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vbaProject.bin" ContentType="application/vnd.ms-office.vbaProject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4" Type="http://schemas.openxmlformats.org/officeDocument/2006/relationships/custom-properties" Target="docProps/custom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ection II (Test Year Data)\Schedule B (Rate Base)\"/>
    </mc:Choice>
  </mc:AlternateContent>
  <bookViews>
    <workbookView xWindow="-90" yWindow="4590" windowWidth="20550" windowHeight="3555" tabRatio="872" activeTab="1"/>
  </bookViews>
  <sheets>
    <sheet name="Link Sheet" sheetId="138" r:id="rId3"/>
    <sheet name="II-B" sheetId="12" r:id="rId4"/>
    <sheet name="II-B-1" sheetId="33" r:id="rId5"/>
    <sheet name="II-B-1a" sheetId="142" r:id="rId6"/>
    <sheet name="II-B-2" sheetId="32" r:id="rId7"/>
    <sheet name="II-B-3" sheetId="31" r:id="rId8"/>
    <sheet name="II-B-4" sheetId="30" r:id="rId9"/>
    <sheet name="II-B-5" sheetId="29" r:id="rId10"/>
    <sheet name="II-B-6" sheetId="28" r:id="rId11"/>
    <sheet name="II-B-7" sheetId="27" r:id="rId12"/>
    <sheet name="II-B-8" sheetId="26" r:id="rId13"/>
    <sheet name="II-B-9" sheetId="25" r:id="rId14"/>
    <sheet name="II-B-10" sheetId="24" r:id="rId15"/>
    <sheet name="II-B-11" sheetId="23" r:id="rId16"/>
    <sheet name="II-B-12" sheetId="22" r:id="rId17"/>
    <sheet name="II-B-13" sheetId="140" r:id="rId18"/>
    <sheet name="II-B-14" sheetId="141" r:id="rId19"/>
    <sheet name="II-B-14 Attachment 1" sheetId="143" r:id="rId20"/>
    <sheet name="II-B-15A" sheetId="145" r:id="rId21"/>
    <sheet name="II-B-15B" sheetId="144" r:id="rId22"/>
  </sheets>
  <externalReferences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_xlnm.Print_Area" localSheetId="1">'II-B'!$A$9:$P$41</definedName>
    <definedName name="_xlnm.Print_Area" localSheetId="2">'II-B-1'!$E$16:$W$56</definedName>
    <definedName name="_xlnm.Print_Area" localSheetId="12">'II-B-10'!$A$15:$W$42</definedName>
    <definedName name="_xlnm.Print_Area" localSheetId="13">'II-B-11'!$A$15:$W$30</definedName>
    <definedName name="_xlnm.Print_Area" localSheetId="14">'II-B-12'!$D$15:$W$108</definedName>
    <definedName name="_xlnm.Print_Area" localSheetId="15">'II-B-13'!$A$16:$W$33</definedName>
    <definedName name="_xlnm.Print_Area" localSheetId="16">'II-B-14'!$A$15:$G$61</definedName>
    <definedName name="_xlnm.Print_Area" localSheetId="17">'II-B-14 Attachment 1'!$A$8:$L$15</definedName>
    <definedName name="_xlnm.Print_Area" localSheetId="18">'II-B-15A'!$B$8:$N$53</definedName>
    <definedName name="_xlnm.Print_Area" localSheetId="19">'II-B-15B'!$A$7:$O$39</definedName>
    <definedName name="_xlnm.Print_Area" localSheetId="3">'II-B-1a'!$A$13:$R$223</definedName>
    <definedName name="_xlnm.Print_Area" localSheetId="4">'II-B-2'!$A$15:$W$33</definedName>
    <definedName name="_xlnm.Print_Area" localSheetId="5">'II-B-3'!$A$15:$W$26</definedName>
    <definedName name="_xlnm.Print_Area" localSheetId="6">'II-B-4'!$A$15:$W$20</definedName>
    <definedName name="_xlnm.Print_Area" localSheetId="7">'II-B-5'!$A$15:$W$88</definedName>
    <definedName name="_xlnm.Print_Area" localSheetId="8">'II-B-6'!$A$15:$W$20</definedName>
    <definedName name="_xlnm.Print_Area" localSheetId="9">'II-B-7'!$A$15:$W$25</definedName>
    <definedName name="_xlnm.Print_Area" localSheetId="10">'II-B-8'!$A$15:$W$60</definedName>
    <definedName name="_xlnm.Print_Area" localSheetId="11">'II-B-9'!$A$15:$W$23</definedName>
    <definedName name="_xlnm.Print_Titles" localSheetId="1">'II-B'!$B:$B</definedName>
    <definedName name="_xlnm.Print_Titles" localSheetId="2">'II-B-1'!$A:$D,'II-B-1'!$9:$14</definedName>
    <definedName name="_xlnm.Print_Titles" localSheetId="12">'II-B-10'!$A:$C,'II-B-10'!$9:$14</definedName>
    <definedName name="_xlnm.Print_Titles" localSheetId="13">'II-B-11'!$A:$C,'II-B-11'!$9:$14</definedName>
    <definedName name="_xlnm.Print_Titles" localSheetId="14">'II-B-12'!$A:$C,'II-B-12'!$9:$14</definedName>
    <definedName name="_xlnm.Print_Titles" localSheetId="15">'II-B-13'!$A:$C,'II-B-13'!$10:$15</definedName>
    <definedName name="_xlnm.Print_Titles" localSheetId="16">'II-B-14'!$10:$14</definedName>
    <definedName name="_xlnm.Print_Titles" localSheetId="18">'II-B-15A'!$A:$A</definedName>
    <definedName name="_xlnm.Print_Titles" localSheetId="19">'II-B-15B'!$A:$A</definedName>
    <definedName name="_xlnm.Print_Titles" localSheetId="3">'II-B-1a'!$9:$12</definedName>
    <definedName name="_xlnm.Print_Titles" localSheetId="4">'II-B-2'!$A:$C,'II-B-2'!$9:$14</definedName>
    <definedName name="_xlnm.Print_Titles" localSheetId="5">'II-B-3'!$A:$C,'II-B-3'!$9:$14</definedName>
    <definedName name="_xlnm.Print_Titles" localSheetId="6">'II-B-4'!$A:$C,'II-B-4'!$9:$14</definedName>
    <definedName name="_xlnm.Print_Titles" localSheetId="7">'II-B-5'!$A:$D,'II-B-5'!$9:$14</definedName>
    <definedName name="_xlnm.Print_Titles" localSheetId="8">'II-B-6'!$A:$C,'II-B-6'!$9:$14</definedName>
    <definedName name="_xlnm.Print_Titles" localSheetId="9">'II-B-7'!$A:$C,'II-B-7'!$9:$14</definedName>
    <definedName name="_xlnm.Print_Titles" localSheetId="10">'II-B-8'!$A:$C,'II-B-8'!$9:$14</definedName>
    <definedName name="_xlnm.Print_Titles" localSheetId="11">'II-B-9'!$A:$C,'II-B-9'!$9:$14</definedName>
  </definedNames>
  <calcPr calcId="152511"/>
</workbook>
</file>

<file path=xl/calcChain.xml><?xml version="1.0" encoding="utf-8"?>
<calcChain xmlns="http://schemas.openxmlformats.org/spreadsheetml/2006/main">
  <c r="T191" i="138" l="1"/>
</calcChain>
</file>

<file path=xl/sharedStrings.xml><?xml version="1.0" encoding="utf-8"?>
<sst xmlns="http://schemas.openxmlformats.org/spreadsheetml/2006/main" count="2916" uniqueCount="691">
  <si>
    <t>A235</t>
  </si>
  <si>
    <t>A154</t>
  </si>
  <si>
    <t>A163</t>
  </si>
  <si>
    <t>Overhead Conductors and Devices</t>
  </si>
  <si>
    <t>Underground Conductors and Devices</t>
  </si>
  <si>
    <t>Poles,Towers and Fixtures</t>
  </si>
  <si>
    <t>Installations on Customers' Premises</t>
  </si>
  <si>
    <t>Leased Property on Customers' Premises</t>
  </si>
  <si>
    <t>Street Lighting and Signal Systems</t>
  </si>
  <si>
    <t>Office Furniture and Equipment</t>
  </si>
  <si>
    <t xml:space="preserve">Stores Equipment </t>
  </si>
  <si>
    <t>Tools, Shop and Garage Equipment</t>
  </si>
  <si>
    <t>Miscellaneous Equipment</t>
  </si>
  <si>
    <t>Electric Plant Held for Future Use</t>
  </si>
  <si>
    <t>TOTAL ELECTRIC PLANT HELD FOR FUTURE USE</t>
  </si>
  <si>
    <t>TOTAL CONSTRUCTION WORK IN PROGRESS</t>
  </si>
  <si>
    <t>Plant Materials and Operating Supplies</t>
  </si>
  <si>
    <t>Stores Expense Undistributed</t>
  </si>
  <si>
    <t>A165</t>
  </si>
  <si>
    <t>Regulated</t>
  </si>
  <si>
    <t>Adjusted</t>
  </si>
  <si>
    <t>T&amp;D</t>
  </si>
  <si>
    <t>Description</t>
  </si>
  <si>
    <t>Reference</t>
  </si>
  <si>
    <t xml:space="preserve"> </t>
  </si>
  <si>
    <t>Schedule</t>
  </si>
  <si>
    <t>Account</t>
  </si>
  <si>
    <t xml:space="preserve">Total </t>
  </si>
  <si>
    <t>Non-Regulated or</t>
  </si>
  <si>
    <t>Total</t>
  </si>
  <si>
    <t>FF</t>
  </si>
  <si>
    <t>Factor</t>
  </si>
  <si>
    <t>Company</t>
  </si>
  <si>
    <t xml:space="preserve"> Non-Electric</t>
  </si>
  <si>
    <t>Electric</t>
  </si>
  <si>
    <t>Texas</t>
  </si>
  <si>
    <t>#</t>
  </si>
  <si>
    <t>Name</t>
  </si>
  <si>
    <t>A301</t>
  </si>
  <si>
    <t>Organization</t>
  </si>
  <si>
    <t>Subtotal</t>
  </si>
  <si>
    <t>A302</t>
  </si>
  <si>
    <t>A303</t>
  </si>
  <si>
    <t>Miscellaneous Intangible Plant</t>
  </si>
  <si>
    <t>Land Owned in Fee</t>
  </si>
  <si>
    <t>Structures and Improvements</t>
  </si>
  <si>
    <t>Accumulated Depreciation</t>
  </si>
  <si>
    <t>Transmission Plant-Gross</t>
  </si>
  <si>
    <t>A349</t>
  </si>
  <si>
    <t>A350</t>
  </si>
  <si>
    <t>Land and Land Rights</t>
  </si>
  <si>
    <t>A352</t>
  </si>
  <si>
    <t>A353</t>
  </si>
  <si>
    <t>Station Equipment</t>
  </si>
  <si>
    <t>A354</t>
  </si>
  <si>
    <t>Towers and Fixtures</t>
  </si>
  <si>
    <t>A355</t>
  </si>
  <si>
    <t>Poles and Fixtures</t>
  </si>
  <si>
    <t>A356</t>
  </si>
  <si>
    <t>A357</t>
  </si>
  <si>
    <t>Undergound Conduit</t>
  </si>
  <si>
    <t>A358</t>
  </si>
  <si>
    <t>A359</t>
  </si>
  <si>
    <t>Roads and Trails</t>
  </si>
  <si>
    <t>Distribution Plant-Gross</t>
  </si>
  <si>
    <t>A360</t>
  </si>
  <si>
    <t>A361</t>
  </si>
  <si>
    <t>A362</t>
  </si>
  <si>
    <t>A363</t>
  </si>
  <si>
    <t>Storage Battery Equipment</t>
  </si>
  <si>
    <t>A364</t>
  </si>
  <si>
    <t>A365</t>
  </si>
  <si>
    <t>A366</t>
  </si>
  <si>
    <t>Underground Conduits</t>
  </si>
  <si>
    <t>A367</t>
  </si>
  <si>
    <t>A368</t>
  </si>
  <si>
    <t>Line Transformers</t>
  </si>
  <si>
    <t>A369</t>
  </si>
  <si>
    <t>Services</t>
  </si>
  <si>
    <t>A370</t>
  </si>
  <si>
    <t>Meters</t>
  </si>
  <si>
    <t>A371</t>
  </si>
  <si>
    <t>A372</t>
  </si>
  <si>
    <t>A374</t>
  </si>
  <si>
    <t>General Plant-Gross</t>
  </si>
  <si>
    <t>A388</t>
  </si>
  <si>
    <t>A389</t>
  </si>
  <si>
    <t>A390</t>
  </si>
  <si>
    <t>A391</t>
  </si>
  <si>
    <t>A392</t>
  </si>
  <si>
    <t>Transportation Equipment</t>
  </si>
  <si>
    <t>A393</t>
  </si>
  <si>
    <t>A394</t>
  </si>
  <si>
    <t>A395</t>
  </si>
  <si>
    <t>Laboratory Equipment</t>
  </si>
  <si>
    <t>A396</t>
  </si>
  <si>
    <t>Power Operated Equipment</t>
  </si>
  <si>
    <t>A397</t>
  </si>
  <si>
    <t>Communication Equipment</t>
  </si>
  <si>
    <t>A398</t>
  </si>
  <si>
    <t>TOTAL GENERAL PLANT-NET</t>
  </si>
  <si>
    <t>Other Rate Base Items</t>
  </si>
  <si>
    <t>A105</t>
  </si>
  <si>
    <t>Plant Held for Future Use</t>
  </si>
  <si>
    <t>A107</t>
  </si>
  <si>
    <t>Customer Deposits</t>
  </si>
  <si>
    <t>Working Capital</t>
  </si>
  <si>
    <t>Prepayments</t>
  </si>
  <si>
    <t>TOTAL OTHER RATE BASE ITEMS</t>
  </si>
  <si>
    <t>TOTAL RATE BASE</t>
  </si>
  <si>
    <t>(p)</t>
  </si>
  <si>
    <t>Transmission Plant</t>
  </si>
  <si>
    <t>A373</t>
  </si>
  <si>
    <t>General Plant</t>
  </si>
  <si>
    <t>Net Plant In Service</t>
  </si>
  <si>
    <t>Other Rate Base Items:</t>
  </si>
  <si>
    <t>Cash Working Capital</t>
  </si>
  <si>
    <t>Materials &amp; Supplies</t>
  </si>
  <si>
    <t>Rate of Return</t>
  </si>
  <si>
    <t>RETURN ON RATE BASE</t>
  </si>
  <si>
    <t>MET</t>
  </si>
  <si>
    <t>Intangible Plant</t>
  </si>
  <si>
    <t>Accumulated Deferred Income Taxes</t>
  </si>
  <si>
    <t>Original Cost of Plant</t>
  </si>
  <si>
    <t>Total Plant</t>
  </si>
  <si>
    <t>Franchise and Consents</t>
  </si>
  <si>
    <t>TRAN</t>
  </si>
  <si>
    <t>DIST</t>
  </si>
  <si>
    <t>Number</t>
  </si>
  <si>
    <t>Intangible Plant-Gross</t>
  </si>
  <si>
    <t>TOTAL PLANT IN SERVICE-GROSS (EXCL. INTANGIBLES)</t>
  </si>
  <si>
    <t>TOTAL PLANT IN SERVICE-GROSS (INCL. INTANGIBLES)</t>
  </si>
  <si>
    <t>TOTAL PLANT IN SERVICE NET (INCL. INTANGIBLES)</t>
  </si>
  <si>
    <t>TOTAL PLANT IN SERVICE NET (EXCL. INTANGIBLES)</t>
  </si>
  <si>
    <t>Distribution Plant</t>
  </si>
  <si>
    <t>TOTAL GENERAL PLANT GROSS</t>
  </si>
  <si>
    <t>TOTAL COMMUNICATION EQUIPMENT</t>
  </si>
  <si>
    <t>TOTAL GENERAL PLANT GROSS INCLUDE. COMM. EQUIP.</t>
  </si>
  <si>
    <t>Construction Work in Progress</t>
  </si>
  <si>
    <t>TOTAL ACCUM. DEP. FOR GENERAL PLANT</t>
  </si>
  <si>
    <t>CWIP</t>
  </si>
  <si>
    <t>Materials and Supplies</t>
  </si>
  <si>
    <t>TOTAL MATERIALS &amp; SUPPLIES</t>
  </si>
  <si>
    <t>TOTAL CASH WORKING CAPITAL</t>
  </si>
  <si>
    <t>TOTAL ACCUMULATED PROVISIONS</t>
  </si>
  <si>
    <t>TOTAL WORKING CAPITAL</t>
  </si>
  <si>
    <t>TOTAL PREPAYMENTS</t>
  </si>
  <si>
    <t>Minus:  Accumulated Depreciation</t>
  </si>
  <si>
    <t>TOTAL INT, TRAN, DIST PLANT-ACCUM DEP.</t>
  </si>
  <si>
    <t>TOTAL TRAN, DIST PLANT-ACCUM DEP.</t>
  </si>
  <si>
    <t>TOTAL INT, TRAN, DIST PLANT-NET</t>
  </si>
  <si>
    <t>TOTAL TRAN, DIST PLANT-NET</t>
  </si>
  <si>
    <t>II-B-1</t>
  </si>
  <si>
    <t>II-B-2</t>
  </si>
  <si>
    <t>II-B-3</t>
  </si>
  <si>
    <t>II-B-2-3</t>
  </si>
  <si>
    <t>II-B-1-3</t>
  </si>
  <si>
    <t>II-B-4</t>
  </si>
  <si>
    <t>II-B-5</t>
  </si>
  <si>
    <t>II-B-1 - II-B-5</t>
  </si>
  <si>
    <t>II-B-2 - II-B-5</t>
  </si>
  <si>
    <t>II-B-1-3 - II-B-5</t>
  </si>
  <si>
    <t>II-B-6</t>
  </si>
  <si>
    <t>II-B-7</t>
  </si>
  <si>
    <t>II-B-8</t>
  </si>
  <si>
    <t>II-B-9</t>
  </si>
  <si>
    <t>II-B-8-9</t>
  </si>
  <si>
    <t>II-B-10</t>
  </si>
  <si>
    <t>II-B-8-10</t>
  </si>
  <si>
    <t>II-B-11</t>
  </si>
  <si>
    <t>II-B-12</t>
  </si>
  <si>
    <t>II-B-6-12</t>
  </si>
  <si>
    <t>II-B-1-12</t>
  </si>
  <si>
    <t>(a)</t>
  </si>
  <si>
    <t>(b)</t>
  </si>
  <si>
    <t>(c)</t>
  </si>
  <si>
    <t>(d)</t>
  </si>
  <si>
    <t>(e)</t>
  </si>
  <si>
    <t>(f)</t>
  </si>
  <si>
    <t>(g)</t>
  </si>
  <si>
    <t>(h)</t>
  </si>
  <si>
    <t>(i)</t>
  </si>
  <si>
    <t>(j)</t>
  </si>
  <si>
    <t>(k)</t>
  </si>
  <si>
    <t>(l)</t>
  </si>
  <si>
    <t>(m)</t>
  </si>
  <si>
    <t>(n)</t>
  </si>
  <si>
    <t>(o)</t>
  </si>
  <si>
    <t>Line</t>
  </si>
  <si>
    <t>No</t>
  </si>
  <si>
    <t>Regulatory Assets</t>
  </si>
  <si>
    <t>Allocation</t>
  </si>
  <si>
    <t>(q)</t>
  </si>
  <si>
    <t>Subtotal (301-303)</t>
  </si>
  <si>
    <t>Subtotal (349-359)</t>
  </si>
  <si>
    <t>Subtotal (360-374)</t>
  </si>
  <si>
    <t>TOTAL INT, TRAN, DIST PLANT-GROSS (Lines 6+20+39)</t>
  </si>
  <si>
    <t>TOTAL TRAN, DIST PLANT-GROSS (Lines 20+39)</t>
  </si>
  <si>
    <t>Subtotal (388-396)</t>
  </si>
  <si>
    <t>TDCS</t>
  </si>
  <si>
    <t>A399</t>
  </si>
  <si>
    <t>Other Tangible Property</t>
  </si>
  <si>
    <t>Subtotal (398-399)</t>
  </si>
  <si>
    <t>Non-Tax Related Regulatory Assets</t>
  </si>
  <si>
    <t>Non-Tax Related Regulatory Liabilities</t>
  </si>
  <si>
    <t>TOTAL NON-TAX RELATED REGULATORY ASSETS/(LIABILITIES)</t>
  </si>
  <si>
    <t>Depreciation</t>
  </si>
  <si>
    <t>Plant</t>
  </si>
  <si>
    <t>Totals</t>
  </si>
  <si>
    <t>Sheet</t>
  </si>
  <si>
    <t>II-B Total</t>
  </si>
  <si>
    <t>Regulatory Assets/(Liabilities) in Rate Base</t>
  </si>
  <si>
    <t>Gross Plant Function Factors</t>
  </si>
  <si>
    <t>(r)</t>
  </si>
  <si>
    <t>Tax Related Regulatory Assets</t>
  </si>
  <si>
    <t>FAS 109-EPIS-Basis Differences</t>
  </si>
  <si>
    <t>FAS 109-CWIP-Flow Through</t>
  </si>
  <si>
    <t>Subtotal Non-Tax Regulatory Assets</t>
  </si>
  <si>
    <t>Subtotal Non-Tax Regulatory Liabilities</t>
  </si>
  <si>
    <t>Subtotal Tax-Related Regulatory Assets</t>
  </si>
  <si>
    <t>Tax Related Regulatory Liabilities</t>
  </si>
  <si>
    <t>Subtotal Tax-Related Regulatory Liabilities</t>
  </si>
  <si>
    <t>TOTAL TAX-RELATED REGULATORY ASSETS/(LIABILITIES)</t>
  </si>
  <si>
    <t xml:space="preserve">          TOTAL NON-TAX AND TAX-RELATED REGULATORY ASSETS</t>
  </si>
  <si>
    <t>FAS 158 Benefit Liability</t>
  </si>
  <si>
    <t>Net Intangible Plant</t>
  </si>
  <si>
    <t>Accumulated Provisions</t>
  </si>
  <si>
    <t>Prepayments - Total</t>
  </si>
  <si>
    <t>Underground Conduit</t>
  </si>
  <si>
    <t>Poles, Towers and Fixtures</t>
  </si>
  <si>
    <t>Reg. Assets</t>
  </si>
  <si>
    <t>Known and</t>
  </si>
  <si>
    <t>Measurable</t>
  </si>
  <si>
    <t>Adjustments</t>
  </si>
  <si>
    <t>WP/II-B-10</t>
  </si>
  <si>
    <t>Direct Assigned</t>
  </si>
  <si>
    <t>PAYXAG</t>
  </si>
  <si>
    <t>Direct Assignment</t>
  </si>
  <si>
    <t>Funct.</t>
  </si>
  <si>
    <t>to</t>
  </si>
  <si>
    <t>Energy Efficiency Performance Bonus</t>
  </si>
  <si>
    <t>(b)  Asset to be reviewed in this proceeding</t>
  </si>
  <si>
    <t>Deferred Pension Costs (b)</t>
  </si>
  <si>
    <t>Deferred Pension Costs (a)</t>
  </si>
  <si>
    <t>Deferred Other Post-Employment Benefit Costs (a)</t>
  </si>
  <si>
    <t>Deferred Other Post-Employment Benefit Costs (b)</t>
  </si>
  <si>
    <t>13-Month Average Prepayments Test Year End</t>
  </si>
  <si>
    <t>Pension/OPEB - Unrecognized Exp.</t>
  </si>
  <si>
    <t>Unrecognized Exp - Gross-up</t>
  </si>
  <si>
    <t>Pension/OPEB - Gross-up</t>
  </si>
  <si>
    <t>Year in</t>
  </si>
  <si>
    <t>Service</t>
  </si>
  <si>
    <t>Included</t>
  </si>
  <si>
    <t xml:space="preserve">in </t>
  </si>
  <si>
    <t>Rates ?</t>
  </si>
  <si>
    <t>Docket</t>
  </si>
  <si>
    <t>No.</t>
  </si>
  <si>
    <t>Book</t>
  </si>
  <si>
    <t>Amount</t>
  </si>
  <si>
    <t>Gain or</t>
  </si>
  <si>
    <t>(Loss)</t>
  </si>
  <si>
    <t>Amount in</t>
  </si>
  <si>
    <t>Operating</t>
  </si>
  <si>
    <t>Expense</t>
  </si>
  <si>
    <t>Balance Sheet and</t>
  </si>
  <si>
    <t>Other</t>
  </si>
  <si>
    <t>Unreviewed</t>
  </si>
  <si>
    <t>Deferred</t>
  </si>
  <si>
    <t>Previously</t>
  </si>
  <si>
    <t>Reviewed</t>
  </si>
  <si>
    <t>Total Annual</t>
  </si>
  <si>
    <t>Recoverable</t>
  </si>
  <si>
    <t>Accrual</t>
  </si>
  <si>
    <t>Beginning Balance</t>
  </si>
  <si>
    <t>Pension Deferral Regulatory Asset</t>
  </si>
  <si>
    <t>OPEB Deferral Regualtory Asset</t>
  </si>
  <si>
    <t>A114</t>
  </si>
  <si>
    <t>Self Insurance Reserve (a)</t>
  </si>
  <si>
    <t>Self Insurance Reserve (b)</t>
  </si>
  <si>
    <t>Workers Compensation</t>
  </si>
  <si>
    <t xml:space="preserve">Reg Asset - Defaulted REPs </t>
  </si>
  <si>
    <t>Rate Case Expenses - Non-std Metering Tariff (Dkt 41890)</t>
  </si>
  <si>
    <t>(e) = (b) + (c) + (d)</t>
  </si>
  <si>
    <t>Energy Efficiency incl. Unbilled Deferral</t>
  </si>
  <si>
    <t>TCRF Unbilled Revenue Deferral</t>
  </si>
  <si>
    <t xml:space="preserve"> II-E-3.7 </t>
  </si>
  <si>
    <t>Net Sales</t>
  </si>
  <si>
    <t>*  All items represent Land Owned in Fee</t>
  </si>
  <si>
    <t>A116</t>
  </si>
  <si>
    <t>Other Electric Plant Adjustments</t>
  </si>
  <si>
    <t>Authority</t>
  </si>
  <si>
    <t>Order (Docket No. &amp; Page)</t>
  </si>
  <si>
    <t>(s)</t>
  </si>
  <si>
    <t>(t)</t>
  </si>
  <si>
    <t>PURA §36.065</t>
  </si>
  <si>
    <t>To be reviewed in this proceeding</t>
  </si>
  <si>
    <t>16 TAC §25.130</t>
  </si>
  <si>
    <t>16 TAC §25.133</t>
  </si>
  <si>
    <t>PURA §36.061(b)(2), 16 TAC §25.245</t>
  </si>
  <si>
    <t>16 TAC §25.193</t>
  </si>
  <si>
    <t>16 TAC §25.181</t>
  </si>
  <si>
    <t>PURA §36.064</t>
  </si>
  <si>
    <t>(a)  Asset reviewed in prior base rate proceeding</t>
  </si>
  <si>
    <t>II-B-1a TRANSMISSION PROJECTS WITH CCN DOCKET NO. SINCE LAST TCOS FILING</t>
  </si>
  <si>
    <t>Unit</t>
  </si>
  <si>
    <t>CCN Docket Number</t>
  </si>
  <si>
    <t>Project</t>
  </si>
  <si>
    <t>Title</t>
  </si>
  <si>
    <t>Line Energized</t>
  </si>
  <si>
    <t>Date</t>
  </si>
  <si>
    <t>FERC</t>
  </si>
  <si>
    <t>T&amp;D Electric</t>
  </si>
  <si>
    <t>A283</t>
  </si>
  <si>
    <t>Deferred Margin Tax</t>
  </si>
  <si>
    <t>Non-Regulated</t>
  </si>
  <si>
    <t>or</t>
  </si>
  <si>
    <t xml:space="preserve">The information requested in support of this Rate Filing Package schedule is voluminous and confidential and will be made available </t>
  </si>
  <si>
    <t>protective order set forth in Section VII of this Rate Filing Package or a protective order issued in this docket.</t>
  </si>
  <si>
    <t>in electronic format in accordance with RFP General Instruction No. 15, only after execution of a certification to be bound by the draft</t>
  </si>
  <si>
    <t>NTU</t>
  </si>
  <si>
    <t>Consol</t>
  </si>
  <si>
    <t>(v)</t>
  </si>
  <si>
    <t>(u)</t>
  </si>
  <si>
    <t>(w)</t>
  </si>
  <si>
    <t>(x)</t>
  </si>
  <si>
    <t>DC</t>
  </si>
  <si>
    <t>Tie</t>
  </si>
  <si>
    <t>TIE</t>
  </si>
  <si>
    <t>K&amp;M</t>
  </si>
  <si>
    <t>TX Pct.</t>
  </si>
  <si>
    <t>Alloc to TX</t>
  </si>
  <si>
    <t>II-B
NTU DIST</t>
  </si>
  <si>
    <t>II-B
NTU TRAN</t>
  </si>
  <si>
    <t>II-B
DC TIE</t>
  </si>
  <si>
    <t>II-B
Consol TRAN</t>
  </si>
  <si>
    <t>II-B
DIST</t>
  </si>
  <si>
    <t>II-B
TRAN</t>
  </si>
  <si>
    <t>II-B
Consol DIST</t>
  </si>
  <si>
    <t>II-B
MET</t>
  </si>
  <si>
    <t>II-B
TDCS</t>
  </si>
  <si>
    <t>Balance at December 31, 2020</t>
  </si>
  <si>
    <t>Balance at January 31, 2021</t>
  </si>
  <si>
    <t>Balance at February 28, 2021</t>
  </si>
  <si>
    <t>Balance at March 31, 2021</t>
  </si>
  <si>
    <t>2018 Amortization</t>
  </si>
  <si>
    <t>2019 Amortization</t>
  </si>
  <si>
    <t>2020 Amortization</t>
  </si>
  <si>
    <t>Unamortized Losses - Reacquired Debt</t>
  </si>
  <si>
    <t>Rocky Mound Series Compensator</t>
  </si>
  <si>
    <t>COVID19-ERP Proceeds and Expenses Dkt 50664 &amp; 50719</t>
  </si>
  <si>
    <t>COVID19-Incremental Expense Dkt 50664</t>
  </si>
  <si>
    <t>CWIP Tran &amp; Dist Non-Service Cost Pension/OPEBs</t>
  </si>
  <si>
    <t>Plant in service Tran &amp; Dist Non-Service Cost Pension/OPEBs</t>
  </si>
  <si>
    <t>Rate Case Expenses - AMS (a)</t>
  </si>
  <si>
    <t>Rate Case Expenses - Final AMS Rec Dkt 49721</t>
  </si>
  <si>
    <t>Rate Case Expenses - 2018 DCRF Dkt 48231</t>
  </si>
  <si>
    <t>Rate Case Expenses - 2019 DCRF Dkt 49427</t>
  </si>
  <si>
    <t>Rate Case Expenses - 2017 ED DOCKET 46957</t>
  </si>
  <si>
    <t>Rate Case Expenses - 2018 TCJA Dkt 48325</t>
  </si>
  <si>
    <t>Rate Case Expenses - 2021 Base Rate Case</t>
  </si>
  <si>
    <t>Wholesale Distribution Substation Service</t>
  </si>
  <si>
    <t>Sharyland Residential Interim Rate</t>
  </si>
  <si>
    <t>Study Costs/Transition to Comp - NTU</t>
  </si>
  <si>
    <t>PowerLineSafetyAct PURA 36.066</t>
  </si>
  <si>
    <t>Deferred AMS Expense  (a)</t>
  </si>
  <si>
    <t>Deferred Customer Education - AMS (a)</t>
  </si>
  <si>
    <t>Under-Recovered AMS (3)</t>
  </si>
  <si>
    <t xml:space="preserve">TCRF Update 16 TAC 25.193 </t>
  </si>
  <si>
    <t>Prior base rate dockets, most recently Docket 46957</t>
  </si>
  <si>
    <t>Included in Schedule II-C-2.4 and Schedule II-C-2.4a; 2017-2020 debt issuances to be reviewed in this proceeding</t>
  </si>
  <si>
    <t>Docket No. 46957 Order - Pages 16-17</t>
  </si>
  <si>
    <t>Docket No. 46957 Order - Pages 8-11</t>
  </si>
  <si>
    <t>Docket No. 49721</t>
  </si>
  <si>
    <t>Docket No. 49721 Order - Page 7</t>
  </si>
  <si>
    <t>Docket No. 46957 Order - Page 9</t>
  </si>
  <si>
    <t>Docket No. 46957 Order - Pages 8-11 and 16-17, Docket No. 49721 Order - page 7</t>
  </si>
  <si>
    <t>Estimated net removal costs</t>
  </si>
  <si>
    <t>228, 254</t>
  </si>
  <si>
    <t>AMS Unbilled Revenue Deferral</t>
  </si>
  <si>
    <t>Capital structure refund Dkt 48522 (over-refund)</t>
  </si>
  <si>
    <t>FIT refund - rate Dkt 48325 (over-refund)</t>
  </si>
  <si>
    <t>Docket No. 46957 Rider RCE (over-collection)</t>
  </si>
  <si>
    <t>Unamortized Gains - Reacquired Debt</t>
  </si>
  <si>
    <t>Docket No. 46957 Order - page 8 (Included in Schedule II-B-5)</t>
  </si>
  <si>
    <t>Docket Nos 46957 &amp; 48522</t>
  </si>
  <si>
    <t>Docket No. 46957 Order - page 7-8,17, Docket No. 48522 Order - page 5</t>
  </si>
  <si>
    <t>Docket No. 48325</t>
  </si>
  <si>
    <t>Docket No. 48325 Order - page 11</t>
  </si>
  <si>
    <t>Docket Nos. 47675 &amp; most recent????</t>
  </si>
  <si>
    <t>Docket No. 46957</t>
  </si>
  <si>
    <t>Unprotected Excess DFIT Asset</t>
  </si>
  <si>
    <t>Unprotected Excess Asset Grossup</t>
  </si>
  <si>
    <t>FAS109 - Unamortized ITC</t>
  </si>
  <si>
    <t>Pension/OPEB - FAS109</t>
  </si>
  <si>
    <t>Electric Plant Acquisition Adjustment - TRAN (1)</t>
  </si>
  <si>
    <t>Electric Plant Acquisition Adjustment - DIST (2)</t>
  </si>
  <si>
    <t>Electric Plant Acquisition Adjustment - NTU (3)</t>
  </si>
  <si>
    <t>Period</t>
  </si>
  <si>
    <t>Rate (1)</t>
  </si>
  <si>
    <t>Amount Capitalized  Generated</t>
  </si>
  <si>
    <t>Amount Transferred to Plant</t>
  </si>
  <si>
    <t>Jan - Dec 2017</t>
  </si>
  <si>
    <t>Jan - Dec 2018</t>
  </si>
  <si>
    <t>Jan - Dec 2019</t>
  </si>
  <si>
    <t>Jan - Dec 2020</t>
  </si>
  <si>
    <t>Distribution &amp; Transmission Business Unit</t>
  </si>
  <si>
    <t>Distribution</t>
  </si>
  <si>
    <t>Transmission</t>
  </si>
  <si>
    <t>Metering</t>
  </si>
  <si>
    <t>Customer Service &amp; Billing</t>
  </si>
  <si>
    <t>Rate</t>
  </si>
  <si>
    <t>Consolidated</t>
  </si>
  <si>
    <t>Line
No.</t>
  </si>
  <si>
    <t>(1)  The rate provided is the annual rate in effect during the 12 month period.</t>
  </si>
  <si>
    <t>Distribution Rate</t>
  </si>
  <si>
    <t>Transmission  Rate</t>
  </si>
  <si>
    <t>Metering Rate</t>
  </si>
  <si>
    <t>Unprotected Excess DFIT Liability</t>
  </si>
  <si>
    <t>Unprotected Excess DFIT Liability Grossup</t>
  </si>
  <si>
    <t>Protected Excess DFIT</t>
  </si>
  <si>
    <t>Excess DFIT Grossup</t>
  </si>
  <si>
    <t>Unprotected Plant-related Excess DFIT</t>
  </si>
  <si>
    <t>Excess DFIT Reserve</t>
  </si>
  <si>
    <t>Excess DFIT Reserve Gross-up</t>
  </si>
  <si>
    <t>II-E-3.19</t>
  </si>
  <si>
    <t>Interest-rate savings Dkt 47675 &amp; 51881</t>
  </si>
  <si>
    <t>WP</t>
  </si>
  <si>
    <t>Yes</t>
  </si>
  <si>
    <t>Non-protected Excess DFIT Asset</t>
  </si>
  <si>
    <t>Non-protected Excess DFIT Liability</t>
  </si>
  <si>
    <t>Non-protected Excess DFIT Liability Grossup</t>
  </si>
  <si>
    <t>Non-protected Plant-related Excess DFIT</t>
  </si>
  <si>
    <t>II-E-3.5</t>
  </si>
  <si>
    <t>WP/II-B-11</t>
  </si>
  <si>
    <t>WORKING CAPITAL TOTAL</t>
  </si>
  <si>
    <t>Balance at April 30, 2021</t>
  </si>
  <si>
    <t>Balance at May 31, 2021</t>
  </si>
  <si>
    <t>Balance at June 30, 2021</t>
  </si>
  <si>
    <t>Balance at July 31, 2021</t>
  </si>
  <si>
    <t>Balance at August 31, 2021</t>
  </si>
  <si>
    <t>Balance at September 30, 2021</t>
  </si>
  <si>
    <t>Balance at October 31, 2021</t>
  </si>
  <si>
    <t>Balance at November 30, 2021</t>
  </si>
  <si>
    <t>Balance at December 31, 2021</t>
  </si>
  <si>
    <t>2021 Amortization</t>
  </si>
  <si>
    <t>Deferred Mobile Generator Costs HB 2483 &amp; PURA § 39.918</t>
  </si>
  <si>
    <t>Pension &amp; OPEB Reg Asset-ONCOR (GAAP)</t>
  </si>
  <si>
    <t>CWIP Tran &amp; Dist Non-Service Cost Pension/OPEBs (GAAP)</t>
  </si>
  <si>
    <t>Plant in service Tran &amp; Dist Non-Service Cost Pension/OPEBs (GAAP)</t>
  </si>
  <si>
    <t>Rate Case Expenses - 2021 DCRF Dkt 51996</t>
  </si>
  <si>
    <t>Rate Case Expenses - Test Year 2021 Base Rate Case</t>
  </si>
  <si>
    <t>Prior base rate dockets, most recently Docket 46957 - Page 7</t>
  </si>
  <si>
    <t>Included in Schedule II-C-2.4 and Schedule II-C-2.4a; 2017-2021 debt issuances to be reviewed in this proceeding</t>
  </si>
  <si>
    <t>Dockets 37902 - Item No. 28, 38517 - Item No.601</t>
  </si>
  <si>
    <t>HB 2483, PURA §39.918</t>
  </si>
  <si>
    <t>Docket No. 50664 Order, Page 2</t>
  </si>
  <si>
    <t>Docket No. 46957 Order - Page 11; to be reviewed in this proceeding</t>
  </si>
  <si>
    <t>Reg asset for GAAP presentation; included in Schedule II-B-4</t>
  </si>
  <si>
    <t>Reg asset for GAAP presentation; included in Schedule II-B-1 and II-B-5</t>
  </si>
  <si>
    <t>Docket No. 41890 Order - Page 8</t>
  </si>
  <si>
    <t>Docket No. 48231 Order - Page 10</t>
  </si>
  <si>
    <t>Docket No. 49427 Order - Page 10</t>
  </si>
  <si>
    <t>Docket No. 51996 Order - Page 11</t>
  </si>
  <si>
    <t>Docket No. 46957 Order - Page 9, 16</t>
  </si>
  <si>
    <t>Docket No. 48325 Order - Page 11</t>
  </si>
  <si>
    <t>Docket Nos. 46957 Order - Pages 11, 17; 48929 Order - Pages 16, 32</t>
  </si>
  <si>
    <t>Docket Nos. 46957; 47469 Order - Page 11, 20; 45414</t>
  </si>
  <si>
    <t>Docket No. 47469 Order - Page 20</t>
  </si>
  <si>
    <t>Docket No. 48929</t>
  </si>
  <si>
    <t>PURA § 36.066 &amp; § 38.102</t>
  </si>
  <si>
    <t>16 TAC §25.107, Docket No. 46957 Order - Page 10</t>
  </si>
  <si>
    <t>Docket No. 52178 Order - Page 14</t>
  </si>
  <si>
    <t>Most recent Docket No. 52898 (reference "ADJ" in Petition)</t>
  </si>
  <si>
    <t>PURA §36.064, SIR approved in Docket No. 46957 Order - Pages 16-17</t>
  </si>
  <si>
    <t>PURA §36.064, SIR approved in Docket No. 46957 Order - Pages 11</t>
  </si>
  <si>
    <t>Estimated net removal costs (GAAP)</t>
  </si>
  <si>
    <t>Over-amortization of intangible investment</t>
  </si>
  <si>
    <t>TCRF Unbilled Revenue Deferral (GAAP)</t>
  </si>
  <si>
    <t>AMS Unbilled Revenue Deferral (GAAP)</t>
  </si>
  <si>
    <t>Deferred OPEB Cost (b)</t>
  </si>
  <si>
    <t>2017 Jan 1 -Nov 26 Amortization</t>
  </si>
  <si>
    <t>2017  Nov 27-Dec 31 Amortization</t>
  </si>
  <si>
    <t>Sale of 33.006 Acres</t>
  </si>
  <si>
    <t>Sale of 0.1813 acres</t>
  </si>
  <si>
    <t>Sale of 0.684 acres</t>
  </si>
  <si>
    <t>Sale of  0.147 acres</t>
  </si>
  <si>
    <t>Sale of 0.035 acres</t>
  </si>
  <si>
    <t>Sale of 5.4851 Acres</t>
  </si>
  <si>
    <t>Sale of 0.0209 acres</t>
  </si>
  <si>
    <t>Sale of 515 Park Ave</t>
  </si>
  <si>
    <t>FERC 362 WP II-B-1_11</t>
  </si>
  <si>
    <t>TOMXFP</t>
  </si>
  <si>
    <t>See WP II-B-15B_01 for a detailed description of the method, procedures and calculations followed for Indirect Construction Overhead</t>
  </si>
  <si>
    <t>Jan - Dec 2021</t>
  </si>
  <si>
    <t>Interest-rate savings Dkt 47675 &amp; 53320</t>
  </si>
  <si>
    <t>Balance at January 31, 2022</t>
  </si>
  <si>
    <t>Balance at February 28, 2022</t>
  </si>
  <si>
    <t>Balance at March 31, 2022</t>
  </si>
  <si>
    <t>A235/A253</t>
  </si>
  <si>
    <t>TRN</t>
  </si>
  <si>
    <t>0PT01664</t>
  </si>
  <si>
    <t>Sand Lake Previously Mentone 1</t>
  </si>
  <si>
    <t>352</t>
  </si>
  <si>
    <t>353</t>
  </si>
  <si>
    <t>0PT04001</t>
  </si>
  <si>
    <t>HORSESHOE SPRINGS SWITCH  CHIM</t>
  </si>
  <si>
    <t>354</t>
  </si>
  <si>
    <t>355</t>
  </si>
  <si>
    <t>356</t>
  </si>
  <si>
    <t>0PT04007</t>
  </si>
  <si>
    <t>Riverton Switch  Sand Lake Swi</t>
  </si>
  <si>
    <t>0PT04008</t>
  </si>
  <si>
    <t>Riverton Switch  Install 138 k</t>
  </si>
  <si>
    <t>0PT04020</t>
  </si>
  <si>
    <t>OAKLAND AVENUE SUB 138KV TERMI</t>
  </si>
  <si>
    <t>361</t>
  </si>
  <si>
    <t>362</t>
  </si>
  <si>
    <t>0PT04021</t>
  </si>
  <si>
    <t>SARGENT ROAD SWITCH 138KV TERM</t>
  </si>
  <si>
    <t>0PT04024</t>
  </si>
  <si>
    <t>Rough Creek Cogdell  Clairemon</t>
  </si>
  <si>
    <t>0PT04138</t>
  </si>
  <si>
    <t>Owl Hills Sub Establish Substa</t>
  </si>
  <si>
    <t>0PT04144</t>
  </si>
  <si>
    <t>Kyle Ranch Establish Substatio</t>
  </si>
  <si>
    <t>0PT37343</t>
  </si>
  <si>
    <t>Riverton Sw  Sand Lake Sw 138</t>
  </si>
  <si>
    <t>350</t>
  </si>
  <si>
    <t>0PT38178</t>
  </si>
  <si>
    <t>Wolf Switch  Riverton Switch 3</t>
  </si>
  <si>
    <t>0PT38179</t>
  </si>
  <si>
    <t>Odessa EHV Switch  Riverton Sw</t>
  </si>
  <si>
    <t>0PT38181</t>
  </si>
  <si>
    <t>Moss Switch  Riverton Switch 3</t>
  </si>
  <si>
    <t>0PT38182</t>
  </si>
  <si>
    <t>Odessa EHV Switch  Moss Switch</t>
  </si>
  <si>
    <t>0PT38372</t>
  </si>
  <si>
    <t>Odessa EHV  Riverton 345kV Eas</t>
  </si>
  <si>
    <t>0PT38426</t>
  </si>
  <si>
    <t>Riverton Switch Establish 345k</t>
  </si>
  <si>
    <t>0PT38427</t>
  </si>
  <si>
    <t>Sand Lake Switch Establish 345</t>
  </si>
  <si>
    <t>0PT38449</t>
  </si>
  <si>
    <t>East Network Sub  Relay work t</t>
  </si>
  <si>
    <t>0PT38505</t>
  </si>
  <si>
    <t>Sand Lake Switch  AEP Solstice</t>
  </si>
  <si>
    <t>0PT38506</t>
  </si>
  <si>
    <t>Riverton Sw  Sand Lake Sw 345</t>
  </si>
  <si>
    <t>0PT38517</t>
  </si>
  <si>
    <t>Moss Switch 345 kV Line Termin</t>
  </si>
  <si>
    <t>0PT38518</t>
  </si>
  <si>
    <t>Odessa EHV 345 kV Line Termina</t>
  </si>
  <si>
    <t>0PT38601</t>
  </si>
  <si>
    <t>Owl Hills Switch  Tunstill POD</t>
  </si>
  <si>
    <t>0PT38665</t>
  </si>
  <si>
    <t>0PT38838</t>
  </si>
  <si>
    <t>0PT38840</t>
  </si>
  <si>
    <t>Chimney Well POD  Owl Hills 13</t>
  </si>
  <si>
    <t>0PT38858</t>
  </si>
  <si>
    <t>Owl Hills Sub  Tunstill POD 13</t>
  </si>
  <si>
    <t>0PT38884</t>
  </si>
  <si>
    <t>Cogdell  Clairemont   75 miles</t>
  </si>
  <si>
    <t>0PT38886</t>
  </si>
  <si>
    <t>Horseshoe Springs Sw  Owl Hill</t>
  </si>
  <si>
    <t>0PT39623</t>
  </si>
  <si>
    <t>Ogallala  Blackwater Draw 345</t>
  </si>
  <si>
    <t>0PT39628</t>
  </si>
  <si>
    <t>Fiddlewood Switch  Farmland Sw</t>
  </si>
  <si>
    <t>0PT39631</t>
  </si>
  <si>
    <t>SL Ogallala Switch Add Termina</t>
  </si>
  <si>
    <t>0PT39632</t>
  </si>
  <si>
    <t>Blackwater Draw Switch Rebuild</t>
  </si>
  <si>
    <t>0PT39633</t>
  </si>
  <si>
    <t>Double Mountain Switch Wadswor</t>
  </si>
  <si>
    <t>0PT39634</t>
  </si>
  <si>
    <t>Fiddlewood Switch  Establish a</t>
  </si>
  <si>
    <t>0PT39635</t>
  </si>
  <si>
    <t>SL Farmland 345 kV Switch Stat</t>
  </si>
  <si>
    <t>0PT40267</t>
  </si>
  <si>
    <t>Riverton  Kyle Ranch 138 kV Li</t>
  </si>
  <si>
    <t>0PT40453</t>
  </si>
  <si>
    <t>Sandlake  Solstice AEP 345 kV</t>
  </si>
  <si>
    <t>0PT40608</t>
  </si>
  <si>
    <t>Double Mountain Switch  New Sw</t>
  </si>
  <si>
    <t>349</t>
  </si>
  <si>
    <t>0PT40670</t>
  </si>
  <si>
    <t>Riverton  Kyle Ranch 138 kV  T</t>
  </si>
  <si>
    <t>0PT40679</t>
  </si>
  <si>
    <t>Salt Flat Road Switch  Johnson</t>
  </si>
  <si>
    <t>0PT40867</t>
  </si>
  <si>
    <t>Kyle Ranch Substation  Purchas</t>
  </si>
  <si>
    <t>374</t>
  </si>
  <si>
    <t>0PT41331</t>
  </si>
  <si>
    <t>SL Salt Flat Road Sub  Establi</t>
  </si>
  <si>
    <t>0PT41442</t>
  </si>
  <si>
    <t>Fiddlewood Sw New Oliver  Farm</t>
  </si>
  <si>
    <t>0PT41511</t>
  </si>
  <si>
    <t>Johnson Draw POD  Establish 13</t>
  </si>
  <si>
    <t>0PT41847</t>
  </si>
  <si>
    <t>Fiddlewood Switch  Purchase 43</t>
  </si>
  <si>
    <t>0PT42120</t>
  </si>
  <si>
    <t>SL Salt Flat Road Sub  Replace</t>
  </si>
  <si>
    <t>0PT42396</t>
  </si>
  <si>
    <t>Salt Flat Road Sw  Johnson Dra</t>
  </si>
  <si>
    <t>0PT44486</t>
  </si>
  <si>
    <t>Double Mountain  Fiddlewood 34</t>
  </si>
  <si>
    <t>0PT44487</t>
  </si>
  <si>
    <t>Posey  Fiddlewood 345 kV Line</t>
  </si>
  <si>
    <t>0PT44515</t>
  </si>
  <si>
    <t>Blackwater Draw Switch  Double</t>
  </si>
  <si>
    <t>0PT44516</t>
  </si>
  <si>
    <t>Double Mountain Switch  Dunbar</t>
  </si>
  <si>
    <t>0PT44518</t>
  </si>
  <si>
    <t>Blackwater Draw Switch  Folsom</t>
  </si>
  <si>
    <t>0PT44519</t>
  </si>
  <si>
    <t>Folsom Point Switch  Yellow Ho</t>
  </si>
  <si>
    <t>16T63058</t>
  </si>
  <si>
    <t>MCKENZIE DRAW 138 KV SW. STA.</t>
  </si>
  <si>
    <t>18T63018</t>
  </si>
  <si>
    <t>LITTMAN SUBSTATION - FULLERTON</t>
  </si>
  <si>
    <t>18T63027</t>
  </si>
  <si>
    <t>BALDING POD 138 KV LINE</t>
  </si>
  <si>
    <t>18T63096</t>
  </si>
  <si>
    <t>RIVERTON SWITCH - TUNSTILL POD</t>
  </si>
  <si>
    <t>18T63124</t>
  </si>
  <si>
    <t>WINK SW  YUKON SW 138 KV LINE</t>
  </si>
  <si>
    <t>18T65163</t>
  </si>
  <si>
    <t>SARGENT ROAD  EAST NETWORK 138</t>
  </si>
  <si>
    <t>19T63002</t>
  </si>
  <si>
    <t>DUNE SWITCH:  ESTABLISH 138 KV</t>
  </si>
  <si>
    <t>19T63008</t>
  </si>
  <si>
    <t>RIVERTON: PURCHASE 345/138 KV</t>
  </si>
  <si>
    <t>Non-protected Excess Asset Gross-up</t>
  </si>
  <si>
    <t>Excess DFIT Gross-up</t>
  </si>
  <si>
    <t>Various</t>
  </si>
  <si>
    <t xml:space="preserve">*  For the calendar year-end balance of the self-insurance reserve regulatory asset, please reference Schedule II-B-12 Self-Insurance Reserve </t>
  </si>
  <si>
    <t xml:space="preserve">   (previously reviewed and to be reviewed).</t>
  </si>
  <si>
    <t xml:space="preserve">      46957 and 49721</t>
  </si>
  <si>
    <t xml:space="preserve">(c)  AMS Regulatory Asset for AMS Under-Recovery reviewed in Docket Nos. </t>
  </si>
  <si>
    <t>Under-Recovered AMS (c)</t>
  </si>
  <si>
    <t>NTUSU</t>
  </si>
  <si>
    <t>TPSU.12.005319</t>
  </si>
  <si>
    <t>Mitchell County - E10001</t>
  </si>
  <si>
    <t>TPSU.12.005420</t>
  </si>
  <si>
    <t>Driver Tap North Transmission Line</t>
  </si>
  <si>
    <t>TPSU.12.005421</t>
  </si>
  <si>
    <t>Driver Tap South Transmission Line</t>
  </si>
  <si>
    <t>TPSU.14.005776</t>
  </si>
  <si>
    <t>Trans Line from Glass Ranch to Sale</t>
  </si>
  <si>
    <t>PR.11.00001.103</t>
  </si>
  <si>
    <t>LS03 Hereford - White deer</t>
  </si>
  <si>
    <t>PR.11.00001.108</t>
  </si>
  <si>
    <t>Windmill Substation (Hereford)</t>
  </si>
  <si>
    <t>PR.11.00001.109</t>
  </si>
  <si>
    <t>Alibates Station (White Deer)</t>
  </si>
  <si>
    <t>PR.11.00001.104</t>
  </si>
  <si>
    <t>LS04 Silverton - Cottonwood</t>
  </si>
  <si>
    <t>PR.11.00001.106</t>
  </si>
  <si>
    <t>Tule Canyon Station (Silverton)</t>
  </si>
  <si>
    <t>PR.11.00001.101</t>
  </si>
  <si>
    <t>LS01 Silverton - Nazareth</t>
  </si>
  <si>
    <t>PR.11.00001.102</t>
  </si>
  <si>
    <t>LS02 Nazareth - Hereford</t>
  </si>
  <si>
    <t>PR.11.00001.107</t>
  </si>
  <si>
    <t>Ogallala Station (Nazareth)</t>
  </si>
  <si>
    <t>PR.11.00001.105</t>
  </si>
  <si>
    <t>LS05 White Deer - Silverton</t>
  </si>
  <si>
    <t>TPSU.13.005527</t>
  </si>
  <si>
    <t>White River Station Phase II</t>
  </si>
  <si>
    <t>TPSU.15.006043</t>
  </si>
  <si>
    <t>AJS Bay Addition for 2nd Circuit</t>
  </si>
  <si>
    <t>0PT38948</t>
  </si>
  <si>
    <t>SL Clearfork Switch  Establish - TPSU.18.006424</t>
  </si>
  <si>
    <t>S4T25775</t>
  </si>
  <si>
    <t>Tall City: Relay Upgrades - TPSU.14.005775</t>
  </si>
  <si>
    <t>S4T35844</t>
  </si>
  <si>
    <t>Sale Ranch: Relay Upgrades - TPSU.14.005844</t>
  </si>
  <si>
    <t>0PT39679</t>
  </si>
  <si>
    <t>Clearfork  Doghouse Switch 345 - ROFO.18.006421</t>
  </si>
  <si>
    <t>S4T15775</t>
  </si>
  <si>
    <t>Tall City - Glass Ranch 138 kV- TPSU.14.005775</t>
  </si>
  <si>
    <t>S4T15844</t>
  </si>
  <si>
    <t xml:space="preserve">Sale Ranch -Natural Dam 138 kV - TPSU.14.005844 </t>
  </si>
  <si>
    <t>TPSU.12.005419</t>
  </si>
  <si>
    <t>Atlas Driver Plant Substation</t>
  </si>
  <si>
    <t>S4T45775</t>
  </si>
  <si>
    <t>Tall City - Pecan Grove 138 kV - TPSU.14.005775</t>
  </si>
  <si>
    <t>S4T35775</t>
  </si>
  <si>
    <t>Glass Ranch: Relay Upgrades - TPSU.14.005775</t>
  </si>
  <si>
    <t>365</t>
  </si>
  <si>
    <t>PAYXAG (Dkt 46957)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</si>
</sst>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#,##0.000000_);\(#,##0.000000\)"/>
    <numFmt numFmtId="166" formatCode="0.0000%"/>
    <numFmt numFmtId="167" formatCode="_(* #,##0.000_);_(* \(#,##0.000\);_(* &quot;-&quot;??_);_(@_)"/>
    <numFmt numFmtId="168" formatCode="_(* #,##0.000000_);_(* \(#,##0.000000\);_(* &quot;-&quot;??_);_(@_)"/>
    <numFmt numFmtId="169" formatCode="_(* #,##0.0000000_);_(* \(#,##0.0000000\);_(* &quot;-&quot;??_);_(@_)"/>
    <numFmt numFmtId="170" formatCode="0.000%"/>
    <numFmt numFmtId="171" formatCode="_(&quot;$&quot;* #,##0_);_(&quot;$&quot;* \(#,##0\);_(&quot;$&quot;* &quot;-&quot;??_);_(@_)"/>
    <numFmt numFmtId="172" formatCode="_(* #,##0.0000000000_);_(* \(#,##0.0000000000\);_(* &quot;-&quot;??_);_(@_)"/>
    <numFmt numFmtId="173" formatCode="_(* #,##0.0000_);_(* \(#,##0.0000\);_(* &quot;-&quot;??_);_(@_)"/>
    <numFmt numFmtId="174" formatCode="_(&quot;$&quot;* #,##0.00000_);_(&quot;$&quot;* \(#,##0.00000\);_(&quot;$&quot;* &quot;-&quot;??_);_(@_)"/>
  </numFmts>
  <fonts count="23"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u val="single"/>
      <sz val="10"/>
      <name val="Arial"/>
      <family val="2"/>
    </font>
    <font>
      <b/>
      <u val="single"/>
      <sz val="10"/>
      <name val="Arial"/>
      <family val="2"/>
    </font>
    <font>
      <sz val="10"/>
      <color indexed="10"/>
      <name val="Arial"/>
      <family val="2"/>
    </font>
    <font>
      <u val="single"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8"/>
      <name val="Arial"/>
      <family val="2"/>
    </font>
    <font>
      <b/>
      <u val="single"/>
      <sz val="10"/>
      <color indexed="8"/>
      <name val="Arial"/>
      <family val="2"/>
    </font>
    <font>
      <b/>
      <sz val="10"/>
      <color indexed="12"/>
      <name val="Arial"/>
      <family val="2"/>
    </font>
    <font>
      <u val="singleAccounting"/>
      <sz val="10"/>
      <name val="Arial"/>
      <family val="2"/>
    </font>
    <font>
      <b/>
      <sz val="14"/>
      <color indexed="9"/>
      <name val="Arial"/>
      <family val="2"/>
    </font>
    <font>
      <b/>
      <sz val="14"/>
      <name val="Arial"/>
      <family val="2"/>
    </font>
    <font>
      <u val="single"/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0499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</border>
    <border>
      <left style="medium">
        <color auto="1"/>
      </left>
      <right style="medium">
        <color auto="1"/>
      </right>
      <top style="medium">
        <color auto="1"/>
      </top>
      <bottom/>
    </border>
    <border>
      <left style="medium">
        <color auto="1"/>
      </left>
      <right style="medium">
        <color auto="1"/>
      </right>
      <top/>
      <bottom style="medium">
        <color auto="1"/>
      </bottom>
    </border>
    <border>
      <left/>
      <right/>
      <top style="medium">
        <color auto="1"/>
      </top>
      <bottom/>
    </border>
    <border>
      <left/>
      <right/>
      <top style="thin">
        <color auto="1"/>
      </top>
      <bottom/>
    </border>
    <border>
      <left/>
      <right/>
      <top/>
      <bottom style="thin">
        <color auto="1"/>
      </bottom>
    </border>
    <border>
      <left/>
      <right/>
      <top/>
      <bottom style="double">
        <color auto="1"/>
      </bottom>
    </border>
    <border>
      <left/>
      <right/>
      <top style="thin">
        <color auto="1"/>
      </top>
      <bottom style="double">
        <color auto="1"/>
      </bottom>
    </border>
    <border>
      <left/>
      <right/>
      <top/>
      <bottom style="thin">
        <color theme="4" tint="0.39998"/>
      </bottom>
    </border>
    <border>
      <left style="medium">
        <color auto="1"/>
      </left>
      <right/>
      <top style="medium">
        <color auto="1"/>
      </top>
      <bottom style="medium">
        <color auto="1"/>
      </bottom>
    </border>
    <border>
      <left/>
      <right/>
      <top style="medium">
        <color auto="1"/>
      </top>
      <bottom style="medium">
        <color auto="1"/>
      </bottom>
    </border>
    <border>
      <left/>
      <right style="medium">
        <color auto="1"/>
      </right>
      <top style="medium">
        <color auto="1"/>
      </top>
      <bottom style="medium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</border>
    <border>
      <left style="thin">
        <color auto="1"/>
      </left>
      <right/>
      <top style="thick">
        <color auto="1"/>
      </top>
      <bottom style="thin">
        <color auto="1"/>
      </bottom>
    </border>
    <border>
      <left style="thin">
        <color auto="1"/>
      </left>
      <right/>
      <top style="thin">
        <color auto="1"/>
      </top>
      <bottom style="thick">
        <color auto="1"/>
      </bottom>
    </border>
    <border>
      <left/>
      <right style="thin">
        <color auto="1"/>
      </right>
      <top style="thick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</border>
    <border>
      <left/>
      <right style="thin">
        <color auto="1"/>
      </right>
      <top style="thin">
        <color auto="1"/>
      </top>
      <bottom style="thick">
        <color auto="1"/>
      </bottom>
    </border>
  </borders>
  <cellStyleXfs count="28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7" fillId="0" borderId="0" applyNumberFormat="0" applyFill="0" applyBorder="0">
      <alignment/>
      <protection locked="0"/>
    </xf>
    <xf numFmtId="0" fontId="2" fillId="0" borderId="0">
      <alignment/>
      <protection/>
    </xf>
    <xf numFmtId="0" fontId="0" fillId="0" borderId="0">
      <alignment/>
      <protection/>
    </xf>
    <xf numFmtId="0" fontId="2" fillId="0" borderId="0">
      <alignment/>
      <protection/>
    </xf>
    <xf numFmtId="0" fontId="0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</cellStyleXfs>
  <cellXfs count="383">
    <xf numFmtId="0" fontId="0" fillId="0" borderId="0" xfId="0"/>
    <xf numFmtId="0" fontId="4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0" fillId="0" borderId="0" xfId="0" applyFont="1"/>
    <xf numFmtId="0" fontId="0" fillId="0" borderId="0" xfId="0" applyFont="1" applyBorder="1" applyAlignment="1">
      <alignment horizontal="center"/>
    </xf>
    <xf numFmtId="0" fontId="9" fillId="0" borderId="0" xfId="0" applyFont="1" applyBorder="1"/>
    <xf numFmtId="0" fontId="0" fillId="0" borderId="0" xfId="0" applyFont="1" applyFill="1" applyBorder="1"/>
    <xf numFmtId="0" fontId="0" fillId="0" borderId="0" xfId="0" applyFont="1" applyBorder="1"/>
    <xf numFmtId="0" fontId="9" fillId="0" borderId="0" xfId="0" applyFont="1" applyFill="1" applyBorder="1" applyAlignment="1">
      <alignment horizontal="left"/>
    </xf>
    <xf numFmtId="0" fontId="9" fillId="0" borderId="1" xfId="0" applyFont="1" applyFill="1" applyBorder="1"/>
    <xf numFmtId="0" fontId="9" fillId="0" borderId="0" xfId="0" applyFont="1" applyFill="1" applyBorder="1"/>
    <xf numFmtId="0" fontId="8" fillId="0" borderId="0" xfId="0" applyFont="1" applyBorder="1"/>
    <xf numFmtId="0" fontId="0" fillId="0" borderId="0" xfId="0" applyFont="1" applyBorder="1" applyAlignment="1" quotePrefix="1">
      <alignment horizontal="center"/>
    </xf>
    <xf numFmtId="0" fontId="9" fillId="0" borderId="2" xfId="0" applyFont="1" applyFill="1" applyBorder="1"/>
    <xf numFmtId="0" fontId="9" fillId="0" borderId="2" xfId="0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3" xfId="0" applyFont="1" applyFill="1" applyBorder="1" applyAlignment="1">
      <alignment horizontal="center"/>
    </xf>
    <xf numFmtId="0" fontId="0" fillId="0" borderId="0" xfId="0" applyFont="1" applyFill="1" applyBorder="1" quotePrefix="1"/>
    <xf numFmtId="164" fontId="0" fillId="0" borderId="0" xfId="18" applyNumberFormat="1" applyFont="1" applyBorder="1"/>
    <xf numFmtId="164" fontId="0" fillId="0" borderId="0" xfId="18" applyNumberFormat="1" applyFont="1" applyFill="1" applyBorder="1"/>
    <xf numFmtId="0" fontId="0" fillId="0" borderId="4" xfId="0" applyFont="1" applyFill="1" applyBorder="1"/>
    <xf numFmtId="0" fontId="0" fillId="0" borderId="4" xfId="0" applyFont="1" applyFill="1" applyBorder="1" applyAlignment="1">
      <alignment horizontal="center"/>
    </xf>
    <xf numFmtId="164" fontId="0" fillId="0" borderId="4" xfId="18" applyNumberFormat="1" applyFont="1" applyFill="1" applyBorder="1"/>
    <xf numFmtId="0" fontId="0" fillId="0" borderId="0" xfId="0" applyFont="1" applyFill="1" applyBorder="1" applyAlignment="1">
      <alignment horizontal="center"/>
    </xf>
    <xf numFmtId="0" fontId="7" fillId="0" borderId="0" xfId="21" applyFont="1" applyBorder="1" applyAlignment="1" applyProtection="1">
      <alignment/>
      <protection/>
    </xf>
    <xf numFmtId="0" fontId="0" fillId="0" borderId="0" xfId="0" applyFont="1" applyBorder="1" applyAlignment="1">
      <alignment horizontal="centerContinuous"/>
    </xf>
    <xf numFmtId="37" fontId="0" fillId="0" borderId="0" xfId="0" applyNumberFormat="1" applyFont="1" applyBorder="1"/>
    <xf numFmtId="164" fontId="0" fillId="0" borderId="0" xfId="0" applyNumberFormat="1" applyFont="1" applyBorder="1"/>
    <xf numFmtId="0" fontId="0" fillId="0" borderId="0" xfId="0" applyFont="1" applyFill="1" applyBorder="1" applyAlignment="1">
      <alignment horizontal="centerContinuous"/>
    </xf>
    <xf numFmtId="42" fontId="12" fillId="0" borderId="0" xfId="0" applyNumberFormat="1" applyFont="1" applyBorder="1" applyAlignment="1">
      <alignment horizontal="left"/>
    </xf>
    <xf numFmtId="42" fontId="12" fillId="0" borderId="0" xfId="0" applyNumberFormat="1" applyFont="1" applyFill="1" applyBorder="1" applyAlignment="1">
      <alignment horizontal="left"/>
    </xf>
    <xf numFmtId="37" fontId="0" fillId="0" borderId="0" xfId="0" applyNumberFormat="1" applyFont="1" applyBorder="1" applyAlignment="1">
      <alignment horizontal="center"/>
    </xf>
    <xf numFmtId="0" fontId="0" fillId="0" borderId="4" xfId="0" applyFont="1" applyBorder="1"/>
    <xf numFmtId="37" fontId="0" fillId="0" borderId="4" xfId="0" applyNumberFormat="1" applyFont="1" applyBorder="1"/>
    <xf numFmtId="0" fontId="10" fillId="0" borderId="0" xfId="0" applyFont="1" applyBorder="1"/>
    <xf numFmtId="164" fontId="0" fillId="0" borderId="0" xfId="18" applyNumberFormat="1" applyFont="1" applyBorder="1" applyProtection="1">
      <protection locked="0"/>
    </xf>
    <xf numFmtId="37" fontId="0" fillId="0" borderId="0" xfId="18" applyNumberFormat="1" applyFont="1" applyBorder="1" applyProtection="1">
      <protection locked="0"/>
    </xf>
    <xf numFmtId="0" fontId="10" fillId="0" borderId="0" xfId="0" applyFont="1" applyBorder="1" applyAlignment="1">
      <alignment horizontal="left"/>
    </xf>
    <xf numFmtId="0" fontId="13" fillId="0" borderId="0" xfId="0" applyFont="1" applyBorder="1"/>
    <xf numFmtId="164" fontId="0" fillId="0" borderId="0" xfId="18" applyNumberFormat="1" applyFont="1" applyFill="1" applyBorder="1" applyProtection="1">
      <protection locked="0"/>
    </xf>
    <xf numFmtId="0" fontId="10" fillId="0" borderId="0" xfId="0" applyFont="1" applyFill="1" applyBorder="1" applyAlignment="1">
      <alignment horizontal="left"/>
    </xf>
    <xf numFmtId="0" fontId="9" fillId="0" borderId="0" xfId="0" applyFont="1" applyBorder="1" applyAlignment="1">
      <alignment horizontal="right"/>
    </xf>
    <xf numFmtId="0" fontId="10" fillId="0" borderId="0" xfId="0" applyFont="1" applyFill="1" applyBorder="1" applyAlignment="1">
      <alignment horizontal="right"/>
    </xf>
    <xf numFmtId="0" fontId="12" fillId="0" borderId="0" xfId="0" applyFont="1" applyFill="1" applyBorder="1" applyAlignment="1">
      <alignment horizontal="right"/>
    </xf>
    <xf numFmtId="10" fontId="0" fillId="0" borderId="0" xfId="15" applyNumberFormat="1" applyFont="1" applyFill="1" applyBorder="1" applyProtection="1">
      <protection locked="0"/>
    </xf>
    <xf numFmtId="43" fontId="0" fillId="0" borderId="0" xfId="18" applyFont="1" applyBorder="1"/>
    <xf numFmtId="43" fontId="0" fillId="0" borderId="0" xfId="18" applyFont="1" applyBorder="1" applyAlignment="1" applyProtection="1" quotePrefix="1">
      <alignment horizontal="right"/>
      <protection locked="0"/>
    </xf>
    <xf numFmtId="37" fontId="0" fillId="0" borderId="0" xfId="0" applyNumberFormat="1" applyFont="1" applyBorder="1" applyAlignment="1">
      <alignment horizontal="right"/>
    </xf>
    <xf numFmtId="164" fontId="0" fillId="0" borderId="0" xfId="18" applyNumberFormat="1" applyFont="1" applyBorder="1" applyAlignment="1" applyProtection="1" quotePrefix="1">
      <alignment horizontal="fill"/>
      <protection locked="0"/>
    </xf>
    <xf numFmtId="165" fontId="0" fillId="0" borderId="0" xfId="0" applyNumberFormat="1" applyFont="1" applyBorder="1"/>
    <xf numFmtId="164" fontId="9" fillId="0" borderId="0" xfId="18" applyNumberFormat="1" applyFont="1" applyBorder="1"/>
    <xf numFmtId="0" fontId="11" fillId="0" borderId="0" xfId="0" applyFont="1" applyBorder="1" applyAlignment="1">
      <alignment horizontal="center"/>
    </xf>
    <xf numFmtId="164" fontId="0" fillId="0" borderId="4" xfId="18" applyNumberFormat="1" applyFont="1" applyFill="1" applyBorder="1" applyAlignment="1" quotePrefix="1">
      <alignment horizontal="center"/>
    </xf>
    <xf numFmtId="0" fontId="9" fillId="0" borderId="0" xfId="0" applyFont="1" applyFill="1" applyBorder="1" applyAlignment="1">
      <alignment horizontal="center"/>
    </xf>
    <xf numFmtId="164" fontId="9" fillId="0" borderId="0" xfId="18" applyNumberFormat="1" applyFont="1" applyFill="1" applyBorder="1" applyAlignment="1" quotePrefix="1">
      <alignment horizontal="center"/>
    </xf>
    <xf numFmtId="164" fontId="9" fillId="0" borderId="0" xfId="18" applyNumberFormat="1" applyFont="1" applyFill="1" applyBorder="1"/>
    <xf numFmtId="164" fontId="0" fillId="0" borderId="0" xfId="18" applyNumberFormat="1" applyFont="1" applyFill="1" applyBorder="1" applyAlignment="1" quotePrefix="1">
      <alignment horizontal="center"/>
    </xf>
    <xf numFmtId="164" fontId="0" fillId="0" borderId="0" xfId="0" applyNumberFormat="1" applyFont="1" applyFill="1" applyBorder="1"/>
    <xf numFmtId="0" fontId="9" fillId="0" borderId="0" xfId="0" applyFont="1" applyFill="1" applyBorder="1" applyAlignment="1">
      <alignment horizontal="right"/>
    </xf>
    <xf numFmtId="0" fontId="11" fillId="0" borderId="0" xfId="0" applyFont="1" applyFill="1" applyBorder="1" applyAlignment="1">
      <alignment horizontal="center"/>
    </xf>
    <xf numFmtId="0" fontId="0" fillId="0" borderId="0" xfId="0" applyFont="1" applyFill="1" applyBorder="1" applyAlignment="1" quotePrefix="1">
      <alignment horizontal="left"/>
    </xf>
    <xf numFmtId="0" fontId="0" fillId="0" borderId="0" xfId="0" applyFont="1" applyFill="1" applyBorder="1" applyAlignment="1" quotePrefix="1">
      <alignment horizontal="center"/>
    </xf>
    <xf numFmtId="0" fontId="9" fillId="0" borderId="0" xfId="0" applyFont="1" applyFill="1" applyBorder="1" applyAlignment="1" quotePrefix="1">
      <alignment horizontal="left"/>
    </xf>
    <xf numFmtId="164" fontId="9" fillId="0" borderId="0" xfId="18" applyNumberFormat="1" applyFont="1" applyFill="1" applyBorder="1" applyAlignment="1">
      <alignment horizontal="center"/>
    </xf>
    <xf numFmtId="0" fontId="4" fillId="0" borderId="0" xfId="0" applyFont="1" applyFill="1" applyBorder="1"/>
    <xf numFmtId="0" fontId="7" fillId="0" borderId="0" xfId="0" applyFont="1" applyFill="1" applyBorder="1" applyAlignment="1">
      <alignment horizontal="center"/>
    </xf>
    <xf numFmtId="0" fontId="11" fillId="0" borderId="0" xfId="0" applyFont="1" applyFill="1" applyBorder="1" applyAlignment="1" quotePrefix="1">
      <alignment horizontal="center"/>
    </xf>
    <xf numFmtId="0" fontId="9" fillId="0" borderId="1" xfId="0" applyFont="1" applyFill="1" applyBorder="1" applyAlignment="1" quotePrefix="1">
      <alignment horizontal="center"/>
    </xf>
    <xf numFmtId="0" fontId="9" fillId="0" borderId="2" xfId="0" applyFont="1" applyFill="1" applyBorder="1" applyAlignment="1">
      <alignment horizontal="fill"/>
    </xf>
    <xf numFmtId="0" fontId="0" fillId="0" borderId="0" xfId="0" applyFont="1" applyFill="1"/>
    <xf numFmtId="0" fontId="8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164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0" fillId="0" borderId="0" xfId="0" applyFont="1" applyBorder="1" applyProtection="1">
      <protection locked="0"/>
    </xf>
    <xf numFmtId="0" fontId="0" fillId="0" borderId="0" xfId="0" applyFont="1" applyFill="1" applyBorder="1" applyProtection="1" quotePrefix="1">
      <protection locked="0"/>
    </xf>
    <xf numFmtId="0" fontId="9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 quotePrefix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4" xfId="0" applyFont="1" applyFill="1" applyBorder="1" applyProtection="1">
      <protection locked="0"/>
    </xf>
    <xf numFmtId="0" fontId="0" fillId="0" borderId="4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 quotePrefix="1">
      <alignment horizontal="left"/>
      <protection locked="0"/>
    </xf>
    <xf numFmtId="164" fontId="9" fillId="0" borderId="0" xfId="18" applyNumberFormat="1" applyFont="1" applyFill="1" applyBorder="1" applyAlignment="1" applyProtection="1">
      <alignment horizontal="center"/>
      <protection locked="0"/>
    </xf>
    <xf numFmtId="164" fontId="9" fillId="0" borderId="0" xfId="18" applyNumberFormat="1" applyFont="1" applyFill="1" applyBorder="1" applyProtection="1">
      <protection locked="0"/>
    </xf>
    <xf numFmtId="0" fontId="9" fillId="0" borderId="0" xfId="0" applyFont="1" applyFill="1" applyBorder="1" applyAlignment="1" applyProtection="1">
      <alignment horizontal="center"/>
      <protection locked="0"/>
    </xf>
    <xf numFmtId="164" fontId="0" fillId="0" borderId="0" xfId="18" applyNumberFormat="1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right"/>
      <protection locked="0"/>
    </xf>
    <xf numFmtId="0" fontId="0" fillId="0" borderId="0" xfId="0" applyFont="1" applyFill="1" applyBorder="1" applyAlignment="1" applyProtection="1">
      <alignment horizontal="right"/>
      <protection locked="0"/>
    </xf>
    <xf numFmtId="164" fontId="0" fillId="0" borderId="0" xfId="18" applyNumberFormat="1" applyFont="1" applyFill="1" applyBorder="1" applyAlignment="1" applyProtection="1" quotePrefix="1">
      <alignment horizontal="center"/>
      <protection locked="0"/>
    </xf>
    <xf numFmtId="0" fontId="5" fillId="0" borderId="0" xfId="0" applyFont="1" applyFill="1" applyBorder="1" applyAlignment="1" applyProtection="1" quotePrefix="1">
      <alignment horizontal="left"/>
      <protection locked="0"/>
    </xf>
    <xf numFmtId="0" fontId="0" fillId="0" borderId="0" xfId="0" applyFont="1" applyFill="1" applyBorder="1" applyAlignment="1" applyProtection="1" quotePrefix="1">
      <alignment horizontal="left"/>
      <protection locked="0"/>
    </xf>
    <xf numFmtId="0" fontId="9" fillId="0" borderId="0" xfId="0" applyFont="1" applyFill="1" applyBorder="1" applyAlignment="1" applyProtection="1" quotePrefix="1">
      <alignment horizontal="center"/>
      <protection locked="0"/>
    </xf>
    <xf numFmtId="0" fontId="5" fillId="0" borderId="0" xfId="0" applyFont="1" applyFill="1" applyBorder="1" applyProtection="1">
      <protection locked="0"/>
    </xf>
    <xf numFmtId="164" fontId="5" fillId="0" borderId="0" xfId="18" applyNumberFormat="1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164" fontId="4" fillId="0" borderId="0" xfId="18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  <protection locked="0"/>
    </xf>
    <xf numFmtId="164" fontId="9" fillId="0" borderId="0" xfId="18" applyNumberFormat="1" applyFont="1" applyFill="1" applyBorder="1" applyAlignment="1" applyProtection="1" quotePrefix="1">
      <alignment horizontal="center"/>
      <protection locked="0"/>
    </xf>
    <xf numFmtId="0" fontId="4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left"/>
      <protection locked="0"/>
    </xf>
    <xf numFmtId="0" fontId="9" fillId="0" borderId="0" xfId="0" applyFont="1" applyBorder="1" applyProtection="1">
      <protection locked="0"/>
    </xf>
    <xf numFmtId="0" fontId="7" fillId="0" borderId="0" xfId="21" applyFont="1" applyFill="1" applyBorder="1" applyAlignment="1" applyProtection="1">
      <alignment/>
      <protection locked="0"/>
    </xf>
    <xf numFmtId="164" fontId="9" fillId="0" borderId="0" xfId="18" applyNumberFormat="1" applyFont="1" applyFill="1" applyBorder="1" applyAlignment="1" applyProtection="1" quotePrefix="1">
      <alignment horizontal="left"/>
      <protection locked="0"/>
    </xf>
    <xf numFmtId="0" fontId="10" fillId="0" borderId="0" xfId="0" applyFont="1" applyFill="1" applyBorder="1" applyAlignment="1">
      <alignment/>
    </xf>
    <xf numFmtId="166" fontId="0" fillId="0" borderId="0" xfId="15" applyNumberFormat="1" applyFont="1" applyFill="1" applyBorder="1" applyProtection="1">
      <protection locked="0"/>
    </xf>
    <xf numFmtId="9" fontId="0" fillId="0" borderId="0" xfId="15" applyFont="1" applyFill="1" applyBorder="1" applyProtection="1">
      <protection locked="0"/>
    </xf>
    <xf numFmtId="0" fontId="0" fillId="0" borderId="4" xfId="0" applyFont="1" applyFill="1" applyBorder="1" applyAlignment="1" quotePrefix="1">
      <alignment horizontal="center"/>
    </xf>
    <xf numFmtId="164" fontId="9" fillId="0" borderId="0" xfId="0" applyNumberFormat="1" applyFont="1" applyFill="1" applyBorder="1"/>
    <xf numFmtId="0" fontId="10" fillId="0" borderId="0" xfId="0" applyFont="1" applyBorder="1" applyAlignment="1">
      <alignment horizontal="center"/>
    </xf>
    <xf numFmtId="0" fontId="13" fillId="0" borderId="0" xfId="0" applyFont="1" applyBorder="1" applyAlignment="1">
      <alignment horizontal="center"/>
    </xf>
    <xf numFmtId="14" fontId="9" fillId="0" borderId="0" xfId="0" applyNumberFormat="1" applyFont="1" applyFill="1" applyBorder="1" applyAlignment="1">
      <alignment horizontal="left"/>
    </xf>
    <xf numFmtId="164" fontId="0" fillId="0" borderId="4" xfId="0" applyNumberFormat="1" applyFont="1" applyBorder="1"/>
    <xf numFmtId="0" fontId="12" fillId="0" borderId="0" xfId="0" applyFont="1" applyFill="1" applyBorder="1" applyAlignment="1">
      <alignment horizontal="left"/>
    </xf>
    <xf numFmtId="164" fontId="0" fillId="0" borderId="0" xfId="18" applyNumberFormat="1" applyFont="1" applyFill="1" applyBorder="1" applyAlignment="1" quotePrefix="1">
      <alignment/>
    </xf>
    <xf numFmtId="164" fontId="0" fillId="0" borderId="0" xfId="18" applyNumberFormat="1" applyFont="1" applyFill="1" applyBorder="1" applyAlignment="1">
      <alignment/>
    </xf>
    <xf numFmtId="164" fontId="9" fillId="0" borderId="0" xfId="18" applyNumberFormat="1" applyFont="1" applyFill="1" applyBorder="1" applyAlignment="1">
      <alignment/>
    </xf>
    <xf numFmtId="164" fontId="11" fillId="0" borderId="0" xfId="18" applyNumberFormat="1" applyFont="1" applyFill="1" applyBorder="1" applyAlignment="1">
      <alignment/>
    </xf>
    <xf numFmtId="164" fontId="9" fillId="0" borderId="0" xfId="18" applyNumberFormat="1" applyFont="1" applyFill="1" applyBorder="1" applyAlignment="1" quotePrefix="1">
      <alignment/>
    </xf>
    <xf numFmtId="168" fontId="0" fillId="0" borderId="0" xfId="18" applyNumberFormat="1" applyFont="1" applyFill="1" applyBorder="1" applyAlignment="1" quotePrefix="1">
      <alignment/>
    </xf>
    <xf numFmtId="164" fontId="0" fillId="0" borderId="0" xfId="0" applyNumberFormat="1" applyFont="1" applyFill="1" applyBorder="1" applyAlignment="1" applyProtection="1">
      <alignment horizontal="center"/>
      <protection locked="0"/>
    </xf>
    <xf numFmtId="164" fontId="15" fillId="0" borderId="0" xfId="18" applyNumberFormat="1" applyFont="1" applyFill="1" applyBorder="1" applyAlignment="1" quotePrefix="1">
      <alignment/>
    </xf>
    <xf numFmtId="164" fontId="15" fillId="0" borderId="0" xfId="18" applyNumberFormat="1" applyFont="1" applyFill="1" applyBorder="1"/>
    <xf numFmtId="164" fontId="15" fillId="0" borderId="0" xfId="18" applyNumberFormat="1" applyFont="1" applyFill="1" applyBorder="1" applyProtection="1">
      <protection locked="0"/>
    </xf>
    <xf numFmtId="164" fontId="15" fillId="0" borderId="0" xfId="18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Protection="1">
      <protection locked="0"/>
    </xf>
    <xf numFmtId="164" fontId="9" fillId="0" borderId="0" xfId="18" applyNumberFormat="1" applyFont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>
      <alignment horizontal="center"/>
    </xf>
    <xf numFmtId="0" fontId="0" fillId="0" borderId="0" xfId="0" applyBorder="1"/>
    <xf numFmtId="164" fontId="0" fillId="0" borderId="0" xfId="18" applyNumberFormat="1" applyFont="1"/>
    <xf numFmtId="164" fontId="9" fillId="0" borderId="0" xfId="18" applyNumberFormat="1" applyFont="1"/>
    <xf numFmtId="0" fontId="9" fillId="0" borderId="0" xfId="0" applyFont="1" applyFill="1" applyAlignment="1">
      <alignment/>
    </xf>
    <xf numFmtId="164" fontId="0" fillId="0" borderId="0" xfId="18" applyNumberFormat="1" applyFont="1" applyBorder="1"/>
    <xf numFmtId="0" fontId="0" fillId="0" borderId="0" xfId="0" applyFill="1"/>
    <xf numFmtId="164" fontId="0" fillId="0" borderId="0" xfId="18" applyNumberFormat="1" applyFont="1" applyFill="1" applyBorder="1"/>
    <xf numFmtId="0" fontId="9" fillId="0" borderId="0" xfId="0" applyFont="1" applyAlignment="1">
      <alignment horizontal="center"/>
    </xf>
    <xf numFmtId="0" fontId="12" fillId="0" borderId="0" xfId="0" applyFont="1" applyBorder="1"/>
    <xf numFmtId="0" fontId="12" fillId="0" borderId="0" xfId="0" applyFont="1" applyBorder="1" applyAlignment="1">
      <alignment horizontal="left"/>
    </xf>
    <xf numFmtId="0" fontId="18" fillId="0" borderId="0" xfId="0" applyFont="1" applyBorder="1"/>
    <xf numFmtId="164" fontId="0" fillId="0" borderId="0" xfId="18" applyNumberFormat="1" applyFont="1"/>
    <xf numFmtId="0" fontId="10" fillId="0" borderId="0" xfId="0" applyFont="1" applyFill="1" applyBorder="1" applyAlignment="1">
      <alignment horizontal="center"/>
    </xf>
    <xf numFmtId="43" fontId="0" fillId="0" borderId="0" xfId="18" applyFont="1" applyFill="1" applyBorder="1"/>
    <xf numFmtId="43" fontId="0" fillId="0" borderId="0" xfId="0" applyNumberFormat="1" applyFont="1" applyBorder="1"/>
    <xf numFmtId="0" fontId="0" fillId="0" borderId="0" xfId="0" applyFont="1" applyFill="1" applyBorder="1" applyAlignment="1" applyProtection="1">
      <alignment horizontal="left" indent="1"/>
      <protection locked="0"/>
    </xf>
    <xf numFmtId="164" fontId="0" fillId="0" borderId="0" xfId="18" applyNumberFormat="1" applyFont="1" applyFill="1" applyBorder="1" applyAlignment="1" applyProtection="1">
      <alignment/>
      <protection locked="0"/>
    </xf>
    <xf numFmtId="0" fontId="9" fillId="0" borderId="0" xfId="0" applyFont="1" applyFill="1" applyBorder="1" applyAlignment="1" applyProtection="1">
      <alignment/>
      <protection locked="0"/>
    </xf>
    <xf numFmtId="164" fontId="0" fillId="0" borderId="0" xfId="18" applyNumberFormat="1" applyFont="1" applyFill="1" applyBorder="1" applyAlignment="1" applyProtection="1" quotePrefix="1">
      <alignment/>
      <protection locked="0"/>
    </xf>
    <xf numFmtId="10" fontId="9" fillId="0" borderId="0" xfId="15" applyNumberFormat="1" applyFont="1" applyFill="1" applyBorder="1" applyProtection="1">
      <protection locked="0"/>
    </xf>
    <xf numFmtId="164" fontId="11" fillId="0" borderId="0" xfId="0" applyNumberFormat="1" applyFont="1" applyFill="1" applyBorder="1" applyAlignment="1">
      <alignment horizontal="center"/>
    </xf>
    <xf numFmtId="10" fontId="0" fillId="0" borderId="0" xfId="15" applyNumberFormat="1" applyFont="1"/>
    <xf numFmtId="0" fontId="0" fillId="0" borderId="5" xfId="0" applyFont="1" applyFill="1" applyBorder="1"/>
    <xf numFmtId="164" fontId="0" fillId="0" borderId="5" xfId="18" applyNumberFormat="1" applyFont="1" applyFill="1" applyBorder="1"/>
    <xf numFmtId="164" fontId="0" fillId="0" borderId="5" xfId="18" applyNumberFormat="1" applyFont="1" applyFill="1" applyBorder="1" applyAlignment="1" quotePrefix="1">
      <alignment horizontal="center"/>
    </xf>
    <xf numFmtId="164" fontId="0" fillId="0" borderId="5" xfId="18" applyNumberFormat="1" applyFont="1" applyBorder="1" applyAlignment="1" quotePrefix="1">
      <alignment horizontal="fill"/>
    </xf>
    <xf numFmtId="164" fontId="0" fillId="0" borderId="5" xfId="18" applyNumberFormat="1" applyFont="1" applyBorder="1" applyProtection="1">
      <protection locked="0"/>
    </xf>
    <xf numFmtId="164" fontId="0" fillId="0" borderId="5" xfId="18" applyNumberFormat="1" applyFont="1" applyFill="1" applyBorder="1" applyProtection="1">
      <protection locked="0"/>
    </xf>
    <xf numFmtId="164" fontId="9" fillId="0" borderId="5" xfId="18" applyNumberFormat="1" applyFont="1" applyFill="1" applyBorder="1"/>
    <xf numFmtId="164" fontId="0" fillId="0" borderId="5" xfId="0" applyNumberFormat="1" applyFont="1" applyFill="1" applyBorder="1"/>
    <xf numFmtId="164" fontId="0" fillId="0" borderId="5" xfId="18" applyNumberFormat="1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alignment horizontal="center"/>
      <protection locked="0"/>
    </xf>
    <xf numFmtId="0" fontId="0" fillId="0" borderId="5" xfId="0" applyFont="1" applyFill="1" applyBorder="1" applyAlignment="1" applyProtection="1">
      <alignment/>
      <protection locked="0"/>
    </xf>
    <xf numFmtId="164" fontId="0" fillId="0" borderId="0" xfId="0" applyNumberFormat="1" applyFont="1" applyFill="1" applyBorder="1" applyAlignment="1" applyProtection="1">
      <alignment/>
      <protection locked="0"/>
    </xf>
    <xf numFmtId="164" fontId="9" fillId="0" borderId="5" xfId="18" applyNumberFormat="1" applyFont="1" applyFill="1" applyBorder="1" applyProtection="1">
      <protection locked="0"/>
    </xf>
    <xf numFmtId="164" fontId="0" fillId="0" borderId="5" xfId="18" applyNumberFormat="1" applyFont="1" applyFill="1" applyBorder="1" applyAlignment="1" quotePrefix="1">
      <alignment/>
    </xf>
    <xf numFmtId="164" fontId="0" fillId="0" borderId="5" xfId="18" applyNumberFormat="1" applyFont="1" applyFill="1" applyBorder="1" applyAlignment="1">
      <alignment/>
    </xf>
    <xf numFmtId="0" fontId="0" fillId="0" borderId="5" xfId="0" applyFont="1" applyFill="1" applyBorder="1" applyProtection="1">
      <protection locked="0"/>
    </xf>
    <xf numFmtId="37" fontId="0" fillId="0" borderId="0" xfId="23" applyNumberFormat="1" applyFont="1" applyAlignment="1">
      <alignment horizontal="left"/>
      <protection/>
    </xf>
    <xf numFmtId="167" fontId="0" fillId="0" borderId="0" xfId="18" applyNumberFormat="1" applyFont="1" applyFill="1" applyBorder="1"/>
    <xf numFmtId="167" fontId="0" fillId="0" borderId="0" xfId="0" applyNumberFormat="1" applyFont="1" applyFill="1" applyBorder="1" applyProtection="1">
      <protection locked="0"/>
    </xf>
    <xf numFmtId="169" fontId="9" fillId="0" borderId="0" xfId="18" applyNumberFormat="1" applyFont="1" applyFill="1" applyBorder="1" applyProtection="1">
      <protection locked="0"/>
    </xf>
    <xf numFmtId="9" fontId="0" fillId="0" borderId="0" xfId="15" applyFont="1" applyFill="1" applyBorder="1" applyAlignment="1" quotePrefix="1">
      <alignment horizontal="center"/>
    </xf>
    <xf numFmtId="9" fontId="9" fillId="0" borderId="0" xfId="15" applyFont="1" applyFill="1" applyBorder="1" applyAlignment="1">
      <alignment horizontal="center"/>
    </xf>
    <xf numFmtId="9" fontId="0" fillId="0" borderId="0" xfId="15" applyFont="1" applyFill="1" applyBorder="1" applyAlignment="1">
      <alignment horizontal="center"/>
    </xf>
    <xf numFmtId="9" fontId="0" fillId="0" borderId="0" xfId="15" applyFont="1" applyFill="1" applyBorder="1" applyAlignment="1" applyProtection="1">
      <alignment horizontal="center"/>
      <protection locked="0"/>
    </xf>
    <xf numFmtId="9" fontId="9" fillId="0" borderId="0" xfId="15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170" fontId="0" fillId="0" borderId="0" xfId="15" applyNumberFormat="1" applyFont="1" applyFill="1" applyBorder="1" applyProtection="1">
      <protection locked="0"/>
    </xf>
    <xf numFmtId="171" fontId="0" fillId="0" borderId="0" xfId="16" applyNumberFormat="1" applyFont="1" applyBorder="1" applyProtection="1">
      <protection locked="0"/>
    </xf>
    <xf numFmtId="171" fontId="9" fillId="0" borderId="5" xfId="16" applyNumberFormat="1" applyFont="1" applyBorder="1" applyProtection="1">
      <protection locked="0"/>
    </xf>
    <xf numFmtId="171" fontId="9" fillId="0" borderId="0" xfId="16" applyNumberFormat="1" applyFont="1" applyBorder="1" applyProtection="1">
      <protection locked="0"/>
    </xf>
    <xf numFmtId="171" fontId="0" fillId="0" borderId="0" xfId="16" applyNumberFormat="1" applyFont="1" applyFill="1" applyBorder="1" applyAlignment="1" quotePrefix="1">
      <alignment/>
    </xf>
    <xf numFmtId="171" fontId="9" fillId="0" borderId="0" xfId="16" applyNumberFormat="1" applyFont="1" applyFill="1" applyBorder="1" applyAlignment="1">
      <alignment/>
    </xf>
    <xf numFmtId="171" fontId="0" fillId="0" borderId="0" xfId="16" applyNumberFormat="1" applyFont="1" applyFill="1" applyBorder="1"/>
    <xf numFmtId="171" fontId="9" fillId="0" borderId="0" xfId="16" applyNumberFormat="1" applyFont="1" applyFill="1" applyBorder="1"/>
    <xf numFmtId="171" fontId="9" fillId="0" borderId="0" xfId="16" applyNumberFormat="1" applyFont="1" applyFill="1" applyBorder="1" applyProtection="1">
      <protection locked="0"/>
    </xf>
    <xf numFmtId="171" fontId="0" fillId="0" borderId="0" xfId="16" applyNumberFormat="1" applyFont="1" applyFill="1" applyBorder="1" applyProtection="1">
      <protection locked="0"/>
    </xf>
    <xf numFmtId="171" fontId="0" fillId="0" borderId="0" xfId="16" applyNumberFormat="1" applyFont="1" applyFill="1" applyBorder="1" applyAlignment="1" applyProtection="1">
      <alignment/>
      <protection locked="0"/>
    </xf>
    <xf numFmtId="171" fontId="0" fillId="0" borderId="0" xfId="16" applyNumberFormat="1" applyFont="1" applyFill="1" applyBorder="1" applyAlignment="1" applyProtection="1">
      <alignment horizontal="center"/>
      <protection locked="0"/>
    </xf>
    <xf numFmtId="171" fontId="0" fillId="0" borderId="0" xfId="16" applyNumberFormat="1" applyFont="1" applyFill="1" applyBorder="1" applyAlignment="1" applyProtection="1" quotePrefix="1">
      <alignment horizontal="center"/>
      <protection locked="0"/>
    </xf>
    <xf numFmtId="171" fontId="9" fillId="0" borderId="0" xfId="16" applyNumberFormat="1" applyFont="1" applyFill="1" applyBorder="1" applyAlignment="1" applyProtection="1">
      <alignment horizontal="center"/>
      <protection locked="0"/>
    </xf>
    <xf numFmtId="171" fontId="9" fillId="0" borderId="5" xfId="16" applyNumberFormat="1" applyFont="1" applyFill="1" applyBorder="1" applyAlignment="1" quotePrefix="1">
      <alignment/>
    </xf>
    <xf numFmtId="171" fontId="0" fillId="0" borderId="0" xfId="0" applyNumberFormat="1" applyFont="1" applyFill="1" applyBorder="1" applyProtection="1">
      <protection locked="0"/>
    </xf>
    <xf numFmtId="171" fontId="9" fillId="0" borderId="5" xfId="16" applyNumberFormat="1" applyFont="1" applyFill="1" applyBorder="1" applyProtection="1">
      <protection locked="0"/>
    </xf>
    <xf numFmtId="171" fontId="9" fillId="0" borderId="0" xfId="16" applyNumberFormat="1" applyFont="1" applyFill="1" applyBorder="1" applyAlignment="1" applyProtection="1" quotePrefix="1">
      <alignment horizontal="center"/>
      <protection locked="0"/>
    </xf>
    <xf numFmtId="164" fontId="0" fillId="0" borderId="0" xfId="18" applyNumberFormat="1" applyFont="1" applyFill="1" applyBorder="1"/>
    <xf numFmtId="0" fontId="0" fillId="0" borderId="0" xfId="0" applyAlignment="1">
      <alignment horizontal="center"/>
    </xf>
    <xf numFmtId="0" fontId="0" fillId="0" borderId="3" xfId="0" applyFont="1" applyFill="1" applyBorder="1" applyAlignment="1">
      <alignment horizontal="center"/>
    </xf>
    <xf numFmtId="44" fontId="0" fillId="0" borderId="0" xfId="16" applyFont="1"/>
    <xf numFmtId="0" fontId="9" fillId="0" borderId="0" xfId="0" applyFont="1"/>
    <xf numFmtId="0" fontId="0" fillId="0" borderId="0" xfId="0" applyFont="1"/>
    <xf numFmtId="0" fontId="0" fillId="0" borderId="0" xfId="0" applyFont="1" applyFill="1" applyBorder="1" applyAlignment="1">
      <alignment horizontal="center"/>
    </xf>
    <xf numFmtId="43" fontId="0" fillId="0" borderId="0" xfId="18" applyFont="1"/>
    <xf numFmtId="0" fontId="0" fillId="0" borderId="0" xfId="0" applyFont="1" applyAlignment="1">
      <alignment horizontal="left"/>
    </xf>
    <xf numFmtId="0" fontId="0" fillId="0" borderId="0" xfId="0" applyFont="1" applyFill="1" applyBorder="1" applyAlignment="1" applyProtection="1" quotePrefix="1">
      <alignment horizontal="left"/>
      <protection locked="0"/>
    </xf>
    <xf numFmtId="0" fontId="0" fillId="0" borderId="0" xfId="0" applyFont="1" applyFill="1" applyBorder="1" applyProtection="1">
      <protection locked="0"/>
    </xf>
    <xf numFmtId="37" fontId="0" fillId="0" borderId="0" xfId="23" applyNumberFormat="1" applyFont="1" applyFill="1" applyAlignment="1">
      <alignment horizontal="left"/>
      <protection/>
    </xf>
    <xf numFmtId="0" fontId="0" fillId="0" borderId="0" xfId="0" applyFont="1" applyFill="1" applyBorder="1" applyAlignment="1" applyProtection="1">
      <alignment horizontal="left" indent="1"/>
      <protection locked="0"/>
    </xf>
    <xf numFmtId="0" fontId="0" fillId="0" borderId="0" xfId="0" applyFont="1" applyBorder="1" applyProtection="1">
      <protection locked="0"/>
    </xf>
    <xf numFmtId="0" fontId="7" fillId="0" borderId="0" xfId="21" applyFont="1" applyFill="1" applyBorder="1" applyAlignment="1" applyProtection="1">
      <alignment/>
      <protection locked="0"/>
    </xf>
    <xf numFmtId="41" fontId="0" fillId="0" borderId="0" xfId="18" applyNumberFormat="1" applyFont="1" applyFill="1" applyBorder="1"/>
    <xf numFmtId="164" fontId="0" fillId="0" borderId="0" xfId="18" applyNumberFormat="1" applyFont="1" applyFill="1" applyBorder="1" applyAlignment="1" quotePrefix="1">
      <alignment/>
    </xf>
    <xf numFmtId="164" fontId="0" fillId="0" borderId="0" xfId="18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64" fontId="0" fillId="0" borderId="0" xfId="18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64" fontId="0" fillId="0" borderId="0" xfId="18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71" fontId="0" fillId="0" borderId="0" xfId="16" applyNumberFormat="1" applyFont="1" applyFill="1" applyBorder="1"/>
    <xf numFmtId="171" fontId="0" fillId="0" borderId="0" xfId="16" applyNumberFormat="1" applyFont="1" applyFill="1" applyBorder="1"/>
    <xf numFmtId="171" fontId="0" fillId="0" borderId="0" xfId="16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71" fontId="0" fillId="0" borderId="0" xfId="16" applyNumberFormat="1" applyFont="1" applyFill="1" applyBorder="1" applyAlignment="1" quotePrefix="1">
      <alignment/>
    </xf>
    <xf numFmtId="171" fontId="0" fillId="0" borderId="0" xfId="16" applyNumberFormat="1" applyFont="1" applyFill="1" applyBorder="1"/>
    <xf numFmtId="43" fontId="1" fillId="0" borderId="0" xfId="18" applyFont="1" applyAlignment="1">
      <alignment horizontal="center"/>
    </xf>
    <xf numFmtId="0" fontId="0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3" fontId="0" fillId="0" borderId="0" xfId="0" applyNumberFormat="1" applyFont="1"/>
    <xf numFmtId="44" fontId="0" fillId="0" borderId="0" xfId="0" applyNumberFormat="1" applyFont="1"/>
    <xf numFmtId="0" fontId="0" fillId="0" borderId="0" xfId="0" applyFont="1" applyFill="1" applyAlignment="1">
      <alignment horizontal="center"/>
    </xf>
    <xf numFmtId="41" fontId="1" fillId="0" borderId="0" xfId="18" applyNumberFormat="1" applyFont="1" applyAlignment="1">
      <alignment horizontal="center"/>
    </xf>
    <xf numFmtId="41" fontId="1" fillId="0" borderId="6" xfId="18" applyNumberFormat="1" applyFont="1" applyBorder="1" applyAlignment="1">
      <alignment horizontal="center"/>
    </xf>
    <xf numFmtId="42" fontId="1" fillId="0" borderId="0" xfId="18" applyNumberFormat="1" applyFont="1" applyAlignment="1">
      <alignment horizontal="center"/>
    </xf>
    <xf numFmtId="41" fontId="0" fillId="0" borderId="0" xfId="0" applyNumberFormat="1" applyFont="1"/>
    <xf numFmtId="41" fontId="0" fillId="0" borderId="6" xfId="0" applyNumberFormat="1" applyFont="1" applyBorder="1"/>
    <xf numFmtId="42" fontId="0" fillId="0" borderId="0" xfId="0" applyNumberFormat="1" applyFont="1"/>
    <xf numFmtId="9" fontId="0" fillId="0" borderId="0" xfId="15" applyFont="1" applyAlignment="1">
      <alignment horizontal="center"/>
    </xf>
    <xf numFmtId="42" fontId="9" fillId="0" borderId="0" xfId="16" applyNumberFormat="1" applyFont="1" applyFill="1" applyBorder="1" applyProtection="1">
      <protection locked="0"/>
    </xf>
    <xf numFmtId="42" fontId="9" fillId="0" borderId="0" xfId="18" applyNumberFormat="1" applyFont="1" applyFill="1" applyBorder="1" applyProtection="1">
      <protection locked="0"/>
    </xf>
    <xf numFmtId="42" fontId="9" fillId="0" borderId="0" xfId="0" applyNumberFormat="1" applyFont="1" applyFill="1" applyBorder="1" applyAlignment="1" applyProtection="1">
      <alignment horizontal="center"/>
      <protection locked="0"/>
    </xf>
    <xf numFmtId="42" fontId="0" fillId="0" borderId="0" xfId="18" applyNumberFormat="1" applyFont="1" applyFill="1" applyBorder="1" applyProtection="1">
      <protection locked="0"/>
    </xf>
    <xf numFmtId="42" fontId="0" fillId="0" borderId="0" xfId="0" applyNumberFormat="1" applyFont="1" applyFill="1" applyBorder="1" applyAlignment="1" applyProtection="1">
      <alignment horizontal="center"/>
      <protection locked="0"/>
    </xf>
    <xf numFmtId="42" fontId="0" fillId="0" borderId="0" xfId="0" applyNumberFormat="1" applyFont="1" applyFill="1" applyBorder="1" applyProtection="1">
      <protection locked="0"/>
    </xf>
    <xf numFmtId="42" fontId="5" fillId="0" borderId="0" xfId="0" applyNumberFormat="1" applyFont="1" applyFill="1" applyBorder="1" applyAlignment="1" applyProtection="1">
      <alignment horizontal="center"/>
      <protection locked="0"/>
    </xf>
    <xf numFmtId="0" fontId="0" fillId="0" borderId="7" xfId="0" applyFont="1" applyBorder="1"/>
    <xf numFmtId="42" fontId="9" fillId="0" borderId="7" xfId="16" applyNumberFormat="1" applyFont="1" applyBorder="1"/>
    <xf numFmtId="41" fontId="0" fillId="0" borderId="0" xfId="16" applyNumberFormat="1" applyFont="1" applyFill="1" applyBorder="1" applyProtection="1">
      <protection locked="0"/>
    </xf>
    <xf numFmtId="41" fontId="0" fillId="0" borderId="0" xfId="18" applyNumberFormat="1" applyFont="1" applyFill="1" applyBorder="1" applyProtection="1">
      <protection locked="0"/>
    </xf>
    <xf numFmtId="43" fontId="9" fillId="0" borderId="0" xfId="0" applyNumberFormat="1" applyFont="1" applyFill="1" applyBorder="1" applyProtection="1">
      <protection locked="0"/>
    </xf>
    <xf numFmtId="41" fontId="0" fillId="0" borderId="0" xfId="18" applyNumberFormat="1" applyFont="1"/>
    <xf numFmtId="41" fontId="0" fillId="0" borderId="0" xfId="0" applyNumberFormat="1"/>
    <xf numFmtId="42" fontId="0" fillId="0" borderId="0" xfId="16" applyNumberFormat="1" applyFont="1"/>
    <xf numFmtId="42" fontId="9" fillId="0" borderId="8" xfId="0" applyNumberFormat="1" applyFont="1" applyBorder="1"/>
    <xf numFmtId="42" fontId="0" fillId="0" borderId="0" xfId="0" applyNumberFormat="1"/>
    <xf numFmtId="41" fontId="0" fillId="0" borderId="0" xfId="18" applyNumberFormat="1" applyFont="1" applyFill="1" applyBorder="1" applyAlignment="1" quotePrefix="1">
      <alignment/>
    </xf>
    <xf numFmtId="14" fontId="0" fillId="0" borderId="0" xfId="0" applyNumberFormat="1" applyAlignment="1">
      <alignment horizontal="center"/>
    </xf>
    <xf numFmtId="164" fontId="0" fillId="0" borderId="5" xfId="18" applyNumberFormat="1" applyFont="1" applyFill="1" applyBorder="1" applyAlignment="1" quotePrefix="1">
      <alignment horizontal="fill"/>
    </xf>
    <xf numFmtId="37" fontId="0" fillId="0" borderId="0" xfId="0" applyNumberFormat="1" applyFont="1" applyFill="1" applyBorder="1"/>
    <xf numFmtId="164" fontId="0" fillId="0" borderId="0" xfId="18" applyNumberFormat="1" applyFont="1" applyFill="1" applyBorder="1" applyAlignment="1" applyProtection="1" quotePrefix="1">
      <alignment horizontal="fill"/>
      <protection locked="0"/>
    </xf>
    <xf numFmtId="165" fontId="0" fillId="0" borderId="0" xfId="0" applyNumberFormat="1" applyFont="1" applyFill="1" applyBorder="1"/>
    <xf numFmtId="172" fontId="0" fillId="0" borderId="0" xfId="0" applyNumberFormat="1" applyFont="1" applyBorder="1"/>
    <xf numFmtId="43" fontId="0" fillId="0" borderId="0" xfId="16" applyNumberFormat="1" applyFont="1" applyFill="1" applyBorder="1" applyAlignment="1" quotePrefix="1">
      <alignment/>
    </xf>
    <xf numFmtId="43" fontId="0" fillId="0" borderId="0" xfId="18" applyNumberFormat="1" applyFont="1" applyFill="1" applyBorder="1" applyAlignment="1" quotePrefix="1">
      <alignment/>
    </xf>
    <xf numFmtId="41" fontId="0" fillId="0" borderId="0" xfId="18" applyNumberFormat="1" applyFont="1" applyFill="1" applyBorder="1" applyAlignment="1">
      <alignment/>
    </xf>
    <xf numFmtId="41" fontId="0" fillId="0" borderId="0" xfId="18" applyNumberFormat="1" applyFont="1" applyFill="1" applyBorder="1" applyAlignment="1" quotePrefix="1">
      <alignment/>
    </xf>
    <xf numFmtId="42" fontId="0" fillId="0" borderId="0" xfId="16" applyNumberFormat="1" applyFont="1" applyFill="1" applyBorder="1"/>
    <xf numFmtId="42" fontId="9" fillId="0" borderId="0" xfId="16" applyNumberFormat="1" applyFont="1" applyFill="1" applyBorder="1"/>
    <xf numFmtId="41" fontId="0" fillId="0" borderId="0" xfId="18" applyNumberFormat="1" applyFont="1" applyFill="1" applyBorder="1"/>
    <xf numFmtId="0" fontId="0" fillId="0" borderId="0" xfId="0" applyFont="1" applyFill="1" applyBorder="1" applyAlignment="1" applyProtection="1">
      <alignment horizontal="left"/>
      <protection locked="0"/>
    </xf>
    <xf numFmtId="0" fontId="0" fillId="0" borderId="0" xfId="0" applyFont="1" applyFill="1" applyBorder="1" applyAlignment="1" applyProtection="1">
      <alignment/>
      <protection locked="0"/>
    </xf>
    <xf numFmtId="0" fontId="0" fillId="0" borderId="0" xfId="0" applyFont="1" applyFill="1"/>
    <xf numFmtId="42" fontId="0" fillId="0" borderId="0" xfId="16" applyNumberFormat="1" applyFont="1" applyFill="1" applyBorder="1"/>
    <xf numFmtId="42" fontId="0" fillId="0" borderId="0" xfId="16" applyNumberFormat="1" applyFont="1" applyFill="1" applyBorder="1" applyProtection="1">
      <protection locked="0"/>
    </xf>
    <xf numFmtId="44" fontId="0" fillId="0" borderId="0" xfId="16" applyNumberFormat="1" applyFont="1" applyFill="1" applyBorder="1" applyProtection="1">
      <protection locked="0"/>
    </xf>
    <xf numFmtId="42" fontId="0" fillId="0" borderId="0" xfId="15" applyNumberFormat="1" applyFont="1" applyAlignment="1">
      <alignment horizontal="center"/>
    </xf>
    <xf numFmtId="41" fontId="0" fillId="0" borderId="0" xfId="15" applyNumberFormat="1" applyFont="1" applyAlignment="1">
      <alignment horizontal="center"/>
    </xf>
    <xf numFmtId="0" fontId="0" fillId="0" borderId="0" xfId="0" applyFont="1" applyBorder="1"/>
    <xf numFmtId="0" fontId="9" fillId="0" borderId="0" xfId="0" applyFont="1" applyBorder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0" borderId="0" xfId="0" applyNumberFormat="1" applyFill="1"/>
    <xf numFmtId="0" fontId="9" fillId="0" borderId="0" xfId="0" applyNumberFormat="1" applyFont="1" applyAlignment="1">
      <alignment horizontal="center"/>
    </xf>
    <xf numFmtId="173" fontId="0" fillId="0" borderId="0" xfId="0" applyNumberFormat="1"/>
    <xf numFmtId="9" fontId="0" fillId="0" borderId="0" xfId="15" applyFont="1"/>
    <xf numFmtId="164" fontId="9" fillId="0" borderId="0" xfId="18" applyNumberFormat="1" applyFont="1" applyFill="1" applyAlignment="1">
      <alignment horizontal="center"/>
    </xf>
    <xf numFmtId="164" fontId="0" fillId="0" borderId="5" xfId="18" applyNumberFormat="1" applyFont="1" applyBorder="1"/>
    <xf numFmtId="41" fontId="9" fillId="0" borderId="5" xfId="0" applyNumberFormat="1" applyFont="1" applyBorder="1"/>
    <xf numFmtId="41" fontId="9" fillId="0" borderId="0" xfId="0" applyNumberFormat="1" applyFont="1"/>
    <xf numFmtId="0" fontId="9" fillId="0" borderId="0" xfId="0" applyFont="1" applyAlignment="1">
      <alignment horizontal="center" wrapText="1"/>
    </xf>
    <xf numFmtId="0" fontId="9" fillId="0" borderId="0" xfId="0" applyFont="1" applyFill="1" applyAlignment="1">
      <alignment horizontal="center"/>
    </xf>
    <xf numFmtId="164" fontId="0" fillId="0" borderId="0" xfId="18" applyNumberFormat="1" applyFont="1" applyFill="1"/>
    <xf numFmtId="164" fontId="0" fillId="0" borderId="6" xfId="18" applyNumberFormat="1" applyFont="1" applyFill="1" applyBorder="1" applyProtection="1">
      <protection locked="0"/>
    </xf>
    <xf numFmtId="0" fontId="21" fillId="0" borderId="0" xfId="0" applyFont="1" applyAlignment="1">
      <alignment horizontal="center"/>
    </xf>
    <xf numFmtId="43" fontId="21" fillId="0" borderId="0" xfId="18" applyFont="1" applyAlignment="1">
      <alignment horizontal="center" wrapText="1"/>
    </xf>
    <xf numFmtId="0" fontId="0" fillId="0" borderId="9" xfId="0" applyFont="1" applyFill="1" applyBorder="1" applyAlignment="1">
      <alignment horizontal="center"/>
    </xf>
    <xf numFmtId="10" fontId="0" fillId="0" borderId="0" xfId="15" applyNumberFormat="1" applyFont="1" applyBorder="1"/>
    <xf numFmtId="0" fontId="21" fillId="0" borderId="0" xfId="0" applyFont="1" applyFill="1" applyBorder="1" applyAlignment="1">
      <alignment horizontal="center"/>
    </xf>
    <xf numFmtId="0" fontId="21" fillId="2" borderId="10" xfId="0" applyFont="1" applyFill="1" applyBorder="1"/>
    <xf numFmtId="0" fontId="0" fillId="2" borderId="11" xfId="0" applyFill="1" applyBorder="1"/>
    <xf numFmtId="43" fontId="0" fillId="2" borderId="12" xfId="18" applyFont="1" applyFill="1" applyBorder="1"/>
    <xf numFmtId="43" fontId="0" fillId="0" borderId="13" xfId="18" applyFont="1" applyBorder="1"/>
    <xf numFmtId="43" fontId="0" fillId="0" borderId="0" xfId="0" applyNumberFormat="1"/>
    <xf numFmtId="0" fontId="21" fillId="2" borderId="14" xfId="0" applyFont="1" applyFill="1" applyBorder="1"/>
    <xf numFmtId="43" fontId="0" fillId="2" borderId="12" xfId="20" applyFont="1" applyFill="1" applyBorder="1"/>
    <xf numFmtId="0" fontId="0" fillId="0" borderId="0" xfId="0" applyFont="1"/>
    <xf numFmtId="43" fontId="20" fillId="0" borderId="13" xfId="18" applyFont="1" applyBorder="1" applyAlignment="1">
      <alignment horizontal="center" wrapText="1"/>
    </xf>
    <xf numFmtId="43" fontId="0" fillId="0" borderId="13" xfId="0" applyNumberFormat="1" applyFont="1" applyBorder="1"/>
    <xf numFmtId="0" fontId="0" fillId="0" borderId="15" xfId="0" applyFont="1" applyFill="1" applyBorder="1" applyAlignment="1">
      <alignment horizontal="center"/>
    </xf>
    <xf numFmtId="10" fontId="0" fillId="0" borderId="16" xfId="15" applyNumberFormat="1" applyFont="1" applyBorder="1"/>
    <xf numFmtId="0" fontId="0" fillId="0" borderId="17" xfId="0" applyBorder="1"/>
    <xf numFmtId="43" fontId="21" fillId="0" borderId="18" xfId="18" applyFont="1" applyBorder="1" applyAlignment="1">
      <alignment horizontal="centerContinuous" vertical="center"/>
    </xf>
    <xf numFmtId="0" fontId="21" fillId="0" borderId="15" xfId="0" applyFont="1" applyBorder="1" applyAlignment="1">
      <alignment horizontal="center"/>
    </xf>
    <xf numFmtId="43" fontId="21" fillId="0" borderId="19" xfId="18" applyFont="1" applyBorder="1" applyAlignment="1">
      <alignment horizontal="center" wrapText="1"/>
    </xf>
    <xf numFmtId="0" fontId="0" fillId="0" borderId="20" xfId="0" applyBorder="1"/>
    <xf numFmtId="0" fontId="0" fillId="0" borderId="21" xfId="0" applyBorder="1"/>
    <xf numFmtId="0" fontId="21" fillId="0" borderId="16" xfId="0" applyFont="1" applyBorder="1" applyAlignment="1">
      <alignment horizontal="center"/>
    </xf>
    <xf numFmtId="0" fontId="0" fillId="0" borderId="22" xfId="0" applyBorder="1"/>
    <xf numFmtId="43" fontId="21" fillId="0" borderId="23" xfId="18" applyFont="1" applyBorder="1" applyAlignment="1">
      <alignment horizontal="centerContinuous" vertical="center"/>
    </xf>
    <xf numFmtId="43" fontId="21" fillId="0" borderId="24" xfId="18" applyFont="1" applyBorder="1" applyAlignment="1">
      <alignment horizontal="center" wrapText="1"/>
    </xf>
    <xf numFmtId="43" fontId="21" fillId="0" borderId="17" xfId="18" applyFont="1" applyBorder="1" applyAlignment="1">
      <alignment horizontal="centerContinuous" vertical="center"/>
    </xf>
    <xf numFmtId="43" fontId="21" fillId="0" borderId="15" xfId="18" applyFont="1" applyBorder="1" applyAlignment="1">
      <alignment horizontal="center" wrapText="1"/>
    </xf>
    <xf numFmtId="43" fontId="21" fillId="0" borderId="21" xfId="18" applyFont="1" applyBorder="1" applyAlignment="1">
      <alignment horizontal="centerContinuous" vertical="center"/>
    </xf>
    <xf numFmtId="43" fontId="21" fillId="0" borderId="16" xfId="18" applyFont="1" applyBorder="1" applyAlignment="1">
      <alignment horizontal="center" wrapText="1"/>
    </xf>
    <xf numFmtId="0" fontId="21" fillId="2" borderId="2" xfId="0" applyFont="1" applyFill="1" applyBorder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9" fillId="0" borderId="0" xfId="0" applyFont="1" applyFill="1" applyAlignment="1">
      <alignment horizontal="left"/>
    </xf>
    <xf numFmtId="0" fontId="0" fillId="0" borderId="0" xfId="0" applyFont="1" applyFill="1" applyAlignment="1">
      <alignment wrapText="1"/>
    </xf>
    <xf numFmtId="42" fontId="21" fillId="0" borderId="0" xfId="18" applyNumberFormat="1" applyFont="1" applyAlignment="1">
      <alignment horizontal="center"/>
    </xf>
    <xf numFmtId="42" fontId="9" fillId="0" borderId="0" xfId="0" applyNumberFormat="1" applyFont="1"/>
    <xf numFmtId="171" fontId="9" fillId="0" borderId="0" xfId="0" applyNumberFormat="1" applyFont="1" applyFill="1" applyBorder="1" applyProtection="1">
      <protection locked="0"/>
    </xf>
    <xf numFmtId="174" fontId="9" fillId="0" borderId="0" xfId="0" applyNumberFormat="1" applyFont="1" applyFill="1" applyBorder="1" applyProtection="1">
      <protection locked="0"/>
    </xf>
    <xf numFmtId="164" fontId="9" fillId="0" borderId="8" xfId="18" applyNumberFormat="1" applyFont="1" applyFill="1" applyBorder="1" applyProtection="1">
      <protection locked="0"/>
    </xf>
    <xf numFmtId="164" fontId="0" fillId="0" borderId="0" xfId="18" applyNumberFormat="1" applyFont="1" applyFill="1" applyBorder="1" applyProtection="1">
      <protection locked="0"/>
    </xf>
    <xf numFmtId="0" fontId="0" fillId="0" borderId="0" xfId="0" applyFont="1" applyFill="1" applyBorder="1" applyAlignment="1" applyProtection="1" quotePrefix="1">
      <alignment horizontal="center"/>
      <protection locked="0"/>
    </xf>
    <xf numFmtId="0" fontId="0" fillId="0" borderId="0" xfId="0" applyFont="1" applyFill="1" applyBorder="1" applyAlignment="1" applyProtection="1">
      <alignment horizontal="center"/>
      <protection locked="0"/>
    </xf>
    <xf numFmtId="0" fontId="21" fillId="0" borderId="0" xfId="0" applyFont="1" applyFill="1" applyBorder="1" applyAlignment="1">
      <alignment horizontal="left"/>
    </xf>
    <xf numFmtId="0" fontId="22" fillId="0" borderId="0" xfId="0" applyFont="1" applyFill="1" applyBorder="1"/>
    <xf numFmtId="0" fontId="22" fillId="0" borderId="0" xfId="0" applyFont="1" applyBorder="1" applyProtection="1">
      <protection locked="0"/>
    </xf>
    <xf numFmtId="0" fontId="0" fillId="2" borderId="13" xfId="0" applyFont="1" applyFill="1" applyBorder="1"/>
    <xf numFmtId="43" fontId="20" fillId="2" borderId="13" xfId="18" applyFont="1" applyFill="1" applyBorder="1" applyAlignment="1">
      <alignment horizontal="centerContinuous" vertical="center"/>
    </xf>
    <xf numFmtId="0" fontId="20" fillId="0" borderId="13" xfId="0" applyFont="1" applyBorder="1" applyAlignment="1">
      <alignment horizontal="center"/>
    </xf>
    <xf numFmtId="0" fontId="20" fillId="0" borderId="13" xfId="0" applyFont="1" applyBorder="1" applyAlignment="1">
      <alignment horizontal="center" wrapText="1"/>
    </xf>
    <xf numFmtId="0" fontId="0" fillId="0" borderId="13" xfId="0" applyFont="1" applyFill="1" applyBorder="1" applyAlignment="1">
      <alignment horizontal="center"/>
    </xf>
    <xf numFmtId="10" fontId="0" fillId="0" borderId="13" xfId="15" applyNumberFormat="1" applyFont="1" applyBorder="1"/>
    <xf numFmtId="0" fontId="0" fillId="0" borderId="13" xfId="0" applyFont="1" applyBorder="1"/>
    <xf numFmtId="43" fontId="20" fillId="0" borderId="13" xfId="18" applyFont="1" applyBorder="1"/>
    <xf numFmtId="0" fontId="0" fillId="0" borderId="0" xfId="0" applyFont="1" applyFill="1" applyBorder="1" applyAlignment="1">
      <alignment horizontal="center"/>
    </xf>
    <xf numFmtId="41" fontId="21" fillId="0" borderId="7" xfId="18" applyNumberFormat="1" applyFont="1" applyBorder="1"/>
    <xf numFmtId="41" fontId="0" fillId="0" borderId="15" xfId="18" applyNumberFormat="1" applyFont="1" applyBorder="1"/>
    <xf numFmtId="41" fontId="21" fillId="0" borderId="20" xfId="18" applyNumberFormat="1" applyFont="1" applyBorder="1"/>
    <xf numFmtId="41" fontId="0" fillId="0" borderId="19" xfId="18" applyNumberFormat="1" applyFont="1" applyBorder="1"/>
    <xf numFmtId="41" fontId="0" fillId="0" borderId="24" xfId="18" applyNumberFormat="1" applyFont="1" applyBorder="1"/>
    <xf numFmtId="41" fontId="0" fillId="0" borderId="16" xfId="0" applyNumberFormat="1" applyBorder="1"/>
    <xf numFmtId="41" fontId="0" fillId="0" borderId="15" xfId="0" applyNumberFormat="1" applyBorder="1"/>
    <xf numFmtId="41" fontId="0" fillId="0" borderId="19" xfId="0" applyNumberFormat="1" applyBorder="1"/>
    <xf numFmtId="41" fontId="0" fillId="0" borderId="24" xfId="0" applyNumberFormat="1" applyBorder="1"/>
    <xf numFmtId="41" fontId="21" fillId="0" borderId="25" xfId="18" applyNumberFormat="1" applyFont="1" applyBorder="1"/>
    <xf numFmtId="41" fontId="21" fillId="0" borderId="26" xfId="18" applyNumberFormat="1" applyFont="1" applyBorder="1"/>
    <xf numFmtId="41" fontId="21" fillId="0" borderId="22" xfId="18" applyNumberFormat="1" applyFont="1" applyBorder="1"/>
    <xf numFmtId="41" fontId="0" fillId="0" borderId="20" xfId="0" applyNumberFormat="1" applyBorder="1"/>
    <xf numFmtId="41" fontId="0" fillId="0" borderId="16" xfId="18" applyNumberFormat="1" applyFont="1" applyBorder="1"/>
    <xf numFmtId="9" fontId="0" fillId="0" borderId="0" xfId="15" applyFont="1" applyFill="1" applyBorder="1" applyAlignment="1">
      <alignment horizontal="center"/>
    </xf>
    <xf numFmtId="173" fontId="0" fillId="0" borderId="0" xfId="18" applyNumberFormat="1" applyFont="1" applyFill="1" applyBorder="1" applyProtection="1">
      <protection locked="0"/>
    </xf>
    <xf numFmtId="10" fontId="0" fillId="0" borderId="13" xfId="15" applyNumberFormat="1" applyFont="1" applyBorder="1" applyAlignment="1">
      <alignment horizontal="center"/>
    </xf>
    <xf numFmtId="0" fontId="0" fillId="0" borderId="0" xfId="0" applyFont="1" applyFill="1" applyBorder="1" applyAlignment="1" applyProtection="1">
      <alignment horizontal="left" wrapText="1"/>
      <protection locked="0"/>
    </xf>
    <xf numFmtId="0" fontId="0" fillId="0" borderId="0" xfId="0" applyFont="1" applyFill="1" applyBorder="1" applyAlignment="1" applyProtection="1">
      <alignment horizontal="left" wrapText="1"/>
      <protection locked="0"/>
    </xf>
    <xf numFmtId="0" fontId="0" fillId="0" borderId="0" xfId="0" applyFill="1" applyAlignment="1">
      <alignment horizontal="left"/>
    </xf>
    <xf numFmtId="0" fontId="17" fillId="3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6" fillId="4" borderId="0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0" fillId="0" borderId="0" xfId="0" applyFont="1" applyFill="1" applyBorder="1" applyAlignment="1" applyProtection="1">
      <alignment horizontal="left" wrapText="1"/>
      <protection locked="0"/>
    </xf>
    <xf numFmtId="0" fontId="0" fillId="0" borderId="0" xfId="0" applyFont="1" applyFill="1" applyBorder="1" applyAlignment="1" applyProtection="1">
      <alignment horizontal="left" wrapText="1"/>
      <protection locked="0"/>
    </xf>
  </cellXfs>
  <cellStyles count="14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Comma 2" xfId="20"/>
    <cellStyle name="Hyperlink" xfId="21" builtinId="8"/>
    <cellStyle name="Normal 2" xfId="22"/>
    <cellStyle name="Normal_ESD, TRN, RACNS,&amp; RACSA-Reg Assets-2Q" xfId="23"/>
    <cellStyle name="Normal 2 2" xfId="24"/>
    <cellStyle name="Normal 3" xfId="25"/>
    <cellStyle name="Normal 2 3" xfId="26"/>
    <cellStyle name="Normal 2 4" xfId="27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E9BC3F"/>
      <rgbColor rgb="00CC99FF"/>
      <rgbColor rgb="00E3E3E3"/>
      <rgbColor rgb="003366FF"/>
      <rgbColor rgb="0033CCCC"/>
      <rgbColor rgb="00D3CE00"/>
      <rgbColor rgb="00999933"/>
      <rgbColor rgb="00996633"/>
      <rgbColor rgb="00FC5104"/>
      <rgbColor rgb="00666699"/>
      <rgbColor rgb="00969696"/>
      <rgbColor rgb="003333CC"/>
      <rgbColor rgb="0000BE0E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worksheet" Target="worksheets/sheet4.xml" /><Relationship Id="rId30" Type="http://schemas.openxmlformats.org/officeDocument/2006/relationships/externalLink" Target="externalLinks/externalLink6.xml" /><Relationship Id="rId31" Type="http://schemas.openxmlformats.org/officeDocument/2006/relationships/calcChain" Target="calcChain.xml" /><Relationship Id="rId5" Type="http://schemas.openxmlformats.org/officeDocument/2006/relationships/worksheet" Target="worksheets/sheet3.xml" /><Relationship Id="rId9" Type="http://schemas.openxmlformats.org/officeDocument/2006/relationships/worksheet" Target="worksheets/sheet7.xml" /><Relationship Id="rId24" Type="http://schemas.openxmlformats.org/officeDocument/2006/relationships/sharedStrings" Target="sharedStrings.xml" /><Relationship Id="rId25" Type="http://schemas.openxmlformats.org/officeDocument/2006/relationships/externalLink" Target="externalLinks/externalLink1.xml" /><Relationship Id="rId26" Type="http://schemas.openxmlformats.org/officeDocument/2006/relationships/externalLink" Target="externalLinks/externalLink2.xml" /><Relationship Id="rId27" Type="http://schemas.openxmlformats.org/officeDocument/2006/relationships/externalLink" Target="externalLinks/externalLink3.xml" /><Relationship Id="rId20" Type="http://schemas.openxmlformats.org/officeDocument/2006/relationships/worksheet" Target="worksheets/sheet18.xml" /><Relationship Id="rId21" Type="http://schemas.openxmlformats.org/officeDocument/2006/relationships/worksheet" Target="worksheets/sheet19.xml" /><Relationship Id="rId22" Type="http://schemas.openxmlformats.org/officeDocument/2006/relationships/worksheet" Target="worksheets/sheet20.xml" /><Relationship Id="rId23" Type="http://schemas.openxmlformats.org/officeDocument/2006/relationships/styles" Target="styles.xml" /><Relationship Id="rId4" Type="http://schemas.openxmlformats.org/officeDocument/2006/relationships/worksheet" Target="worksheets/sheet2.xml" /><Relationship Id="rId28" Type="http://schemas.openxmlformats.org/officeDocument/2006/relationships/externalLink" Target="externalLinks/externalLink4.xml" /><Relationship Id="rId29" Type="http://schemas.openxmlformats.org/officeDocument/2006/relationships/externalLink" Target="externalLinks/externalLink5.xml" /><Relationship Id="rId8" Type="http://schemas.openxmlformats.org/officeDocument/2006/relationships/worksheet" Target="worksheets/sheet6.xml" /><Relationship Id="rId14" Type="http://schemas.openxmlformats.org/officeDocument/2006/relationships/worksheet" Target="worksheets/sheet12.xml" /><Relationship Id="rId15" Type="http://schemas.openxmlformats.org/officeDocument/2006/relationships/worksheet" Target="worksheets/sheet13.xml" /><Relationship Id="rId16" Type="http://schemas.openxmlformats.org/officeDocument/2006/relationships/worksheet" Target="worksheets/sheet14.xml" /><Relationship Id="rId17" Type="http://schemas.openxmlformats.org/officeDocument/2006/relationships/worksheet" Target="worksheets/sheet15.xml" /><Relationship Id="rId10" Type="http://schemas.openxmlformats.org/officeDocument/2006/relationships/worksheet" Target="worksheets/sheet8.xml" /><Relationship Id="rId11" Type="http://schemas.openxmlformats.org/officeDocument/2006/relationships/worksheet" Target="worksheets/sheet9.xml" /><Relationship Id="rId12" Type="http://schemas.openxmlformats.org/officeDocument/2006/relationships/worksheet" Target="worksheets/sheet10.xml" /><Relationship Id="rId13" Type="http://schemas.openxmlformats.org/officeDocument/2006/relationships/worksheet" Target="worksheets/sheet11.xml" /><Relationship Id="rId3" Type="http://schemas.openxmlformats.org/officeDocument/2006/relationships/worksheet" Target="worksheets/sheet1.xml" /><Relationship Id="rId18" Type="http://schemas.openxmlformats.org/officeDocument/2006/relationships/worksheet" Target="worksheets/sheet16.xml" /><Relationship Id="rId19" Type="http://schemas.openxmlformats.org/officeDocument/2006/relationships/worksheet" Target="worksheets/sheet17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7" Type="http://schemas.openxmlformats.org/officeDocument/2006/relationships/worksheet" Target="worksheets/sheet5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/Iteration.xlsx" TargetMode="External" /></Relationships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F%20(Functionalization%20Factors)/Schedule%20II-F.xlsm" TargetMode="External" /></Relationships>
</file>

<file path=xl/externalLinks/_rels/externalLink3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D%20(O%20&amp;%20M%20Expense)/Schedule%20II-D.xlsm" TargetMode="External" /></Relationships>
</file>

<file path=xl/externalLinks/_rels/externalLink4.xml.rels><?xml version="1.0" encoding="UTF-8" standalone="yes"?><Relationships xmlns="http://schemas.openxmlformats.org/package/2006/relationships"><Relationship Id="rId1" Type="http://schemas.openxmlformats.org/officeDocument/2006/relationships/externalLinkPath" Target="/Schedule%20Headings.xlsm" TargetMode="External" /></Relationships>
</file>

<file path=xl/externalLinks/_rels/externalLink5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E%20(Other%20Items)/Schedule%20II-E.xlsm" TargetMode="External" /></Relationships>
</file>

<file path=xl/externalLinks/_rels/externalLink6.xml.rels><?xml version="1.0" encoding="UTF-8" standalone="yes"?><Relationships xmlns="http://schemas.openxmlformats.org/package/2006/relationships"><Relationship Id="rId1" Type="http://schemas.openxmlformats.org/officeDocument/2006/relationships/externalLinkPath" Target="/Section%20II%20(Test%20Year%20Data)/Schedule%20C%20(Rate%20of%20Return)/Schedule%20II-C.xlsm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ead Lag"/>
      <sheetName val="Wholesale_NTS_RO"/>
    </sheetNames>
    <sheetDataSet>
      <sheetData sheetId="0">
        <row r="67">
          <cell r="I67">
            <v>-73484424</v>
          </cell>
          <cell r="K67">
            <v>-48361434.05</v>
          </cell>
          <cell r="L67">
            <v>-8174427.47</v>
          </cell>
          <cell r="M67">
            <v>0</v>
          </cell>
          <cell r="O67">
            <v>-16695371.96</v>
          </cell>
          <cell r="P67">
            <v>-668468.91</v>
          </cell>
          <cell r="R67">
            <v>273938.61</v>
          </cell>
          <cell r="S67">
            <v>141339.779999984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F Alloc_Data"/>
      <sheetName val="II-F Alloc_Factor"/>
    </sheetNames>
    <sheetDataSet>
      <sheetData sheetId="0"/>
      <sheetData sheetId="1"/>
      <sheetData sheetId="2">
        <row r="17">
          <cell r="E17">
            <v>0.220201564321226</v>
          </cell>
          <cell r="F17">
            <v>0</v>
          </cell>
          <cell r="G17">
            <v>0</v>
          </cell>
          <cell r="I17">
            <v>0.607499511148288</v>
          </cell>
          <cell r="J17">
            <v>0</v>
          </cell>
          <cell r="L17">
            <v>0.16563361015245</v>
          </cell>
        </row>
        <row r="18">
          <cell r="E18">
            <v>0.0868495718725891</v>
          </cell>
          <cell r="F18">
            <v>0</v>
          </cell>
          <cell r="G18">
            <v>0</v>
          </cell>
          <cell r="I18">
            <v>0.830537335284187</v>
          </cell>
          <cell r="J18">
            <v>0</v>
          </cell>
          <cell r="L18">
            <v>0.0456171738719941</v>
          </cell>
        </row>
        <row r="24">
          <cell r="E24">
            <v>0.225390902031001</v>
          </cell>
          <cell r="F24">
            <v>0.0297493720781237</v>
          </cell>
          <cell r="G24">
            <v>0.000385534255227778</v>
          </cell>
          <cell r="I24">
            <v>0.688960453716436</v>
          </cell>
          <cell r="J24">
            <v>0.00228288649544981</v>
          </cell>
          <cell r="L24">
            <v>0.0352735738561509</v>
          </cell>
        </row>
        <row r="42">
          <cell r="F42">
            <v>0</v>
          </cell>
          <cell r="G42">
            <v>0</v>
          </cell>
          <cell r="J42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D-1"/>
      <sheetName val="II-D-1a"/>
      <sheetName val="II-D-1.1"/>
      <sheetName val="II-D-2"/>
      <sheetName val="II-D-2a"/>
      <sheetName val="II-D-2.1"/>
      <sheetName val="II-D-2.2.1"/>
      <sheetName val="II-D-2.2.2"/>
      <sheetName val="II-D-2.2.3"/>
      <sheetName val="II-D-2.2a"/>
      <sheetName val="II-D-2.3"/>
      <sheetName val="II-D-2.4"/>
      <sheetName val="II-D-2.4a"/>
      <sheetName val="II-D-2.5"/>
      <sheetName val="II-D-2.6"/>
      <sheetName val="II-D-2.6a"/>
      <sheetName val="II-D-2.6b"/>
      <sheetName val="II-D-2.6c"/>
      <sheetName val="II-D-2.7 Conf."/>
      <sheetName val="II-D-2.8"/>
      <sheetName val="II-D-2.9"/>
      <sheetName val="II-D-2.9a"/>
      <sheetName val="II-D-2.9b"/>
      <sheetName val="II-D-2.9c"/>
      <sheetName val="II-D-2.9 Attachment 1"/>
      <sheetName val="II-D-3"/>
      <sheetName val="II-D-3.1"/>
      <sheetName val="II-D-3.2"/>
      <sheetName val="II-D-3.3"/>
      <sheetName val="II-D-3.4"/>
      <sheetName val="II-D-3.5"/>
      <sheetName val="II-D-3.6"/>
      <sheetName val="II-D-3.7.1"/>
      <sheetName val="II-D-3.7.2"/>
      <sheetName val="II-D-3.7.3"/>
      <sheetName val="II-D-3.7.3A"/>
      <sheetName val="II-D-3.7.4"/>
      <sheetName val="II-D-3.7.4a"/>
      <sheetName val="II-D-3.7.5"/>
      <sheetName val="II-D-3.8.1"/>
      <sheetName val="II-D-3.8.2"/>
      <sheetName val="II-D-3.8.3"/>
      <sheetName val="II-D-3.9.1"/>
      <sheetName val="II-D-3.9.2"/>
      <sheetName val="II-D-3.9.3"/>
      <sheetName val="II-D-3.10"/>
      <sheetName val="II-D-3.10 Attachment 1"/>
      <sheetName val="II-D-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41">
          <cell r="D41">
            <v>-530633.01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Input Data"/>
      <sheetName val="Schedule Sponsors"/>
    </sheetNames>
    <sheetDataSet>
      <sheetData sheetId="0">
        <row r="2">
          <cell r="A2" t="str">
            <v>ONCOR ELECTRIC DELIVERY COMPANY LLC</v>
          </cell>
        </row>
        <row r="4">
          <cell r="A4" t="str">
            <v>TEST YEAR ENDING DECEMBER 31, 2021</v>
          </cell>
        </row>
        <row r="9">
          <cell r="A9" t="str">
            <v>2022 RATE CASE</v>
          </cell>
        </row>
        <row r="12">
          <cell r="A12" t="str">
            <v>PERIOD COVERED JANUARY 1, 2021 TO DECEMBER 31, 2021</v>
          </cell>
        </row>
      </sheetData>
      <sheetData sheetId="1">
        <row r="12">
          <cell r="A12" t="str">
            <v>II-B  </v>
          </cell>
          <cell r="B12" t="str">
            <v>RATE BASE BY FUNCTION </v>
          </cell>
          <cell r="D12" t="str">
            <v>W. ALAN LEDBETTER</v>
          </cell>
        </row>
        <row r="13">
          <cell r="A13" t="str">
            <v>II-B-1 </v>
          </cell>
          <cell r="B13" t="str">
            <v>ORIGINAL COST OF UTILITY PLANT</v>
          </cell>
          <cell r="D13" t="str">
            <v>W. ALAN LEDBETTER</v>
          </cell>
        </row>
        <row r="14">
          <cell r="A14" t="str">
            <v>II-B-2 </v>
          </cell>
          <cell r="B14" t="str">
            <v>GENERAL PLANT FUNCTIONALIZATION</v>
          </cell>
          <cell r="D14" t="str">
            <v>W. ALAN LEDBETTER</v>
          </cell>
        </row>
        <row r="15">
          <cell r="A15" t="str">
            <v>II-B-3  </v>
          </cell>
          <cell r="B15" t="str">
            <v>COMMUNICATION EQUIPMENT</v>
          </cell>
          <cell r="D15" t="str">
            <v>W. ALAN LEDBETTER</v>
          </cell>
        </row>
        <row r="16">
          <cell r="A16" t="str">
            <v>II-B-4  </v>
          </cell>
          <cell r="B16" t="str">
            <v>CONSTRUCTION WORK IN PROGRESS</v>
          </cell>
          <cell r="D16" t="str">
            <v>W. ALAN LEDBETTER</v>
          </cell>
        </row>
        <row r="17">
          <cell r="A17" t="str">
            <v>II-B-5  </v>
          </cell>
          <cell r="B17" t="str">
            <v>ACCUMULATED DEPRECIATION</v>
          </cell>
          <cell r="D17" t="str">
            <v>W. ALAN LEDBETTER &amp;&amp; D. WATSON</v>
          </cell>
        </row>
        <row r="18">
          <cell r="A18" t="str">
            <v>II-B-6   </v>
          </cell>
          <cell r="B18" t="str">
            <v>PLANT HELD FOR FUTURE USE</v>
          </cell>
          <cell r="D18" t="str">
            <v>W. ALAN LEDBETTER &amp;&amp; W. SPEED</v>
          </cell>
        </row>
        <row r="19">
          <cell r="A19" t="str">
            <v>II-B-7   </v>
          </cell>
          <cell r="B19" t="str">
            <v>ACCUMULATED PROVISION BALANCES</v>
          </cell>
          <cell r="D19" t="str">
            <v>W. ALAN LEDBETTER</v>
          </cell>
        </row>
        <row r="20">
          <cell r="A20" t="str">
            <v>II-B-8   </v>
          </cell>
          <cell r="B20" t="str">
            <v>MATERIALS AND SUPPLIES</v>
          </cell>
          <cell r="D20" t="str">
            <v>A. THENMADATHIL</v>
          </cell>
        </row>
        <row r="21">
          <cell r="A21" t="str">
            <v>II-B-9   </v>
          </cell>
          <cell r="B21" t="str">
            <v>CASH WORKING CAPITAL</v>
          </cell>
          <cell r="D21" t="str">
            <v>A. THENMADATHIL</v>
          </cell>
        </row>
        <row r="22">
          <cell r="A22" t="str">
            <v>II-B-10  </v>
          </cell>
          <cell r="B22" t="str">
            <v>PREPAYMENTS</v>
          </cell>
          <cell r="D22" t="str">
            <v>A. THENMADATHIL</v>
          </cell>
        </row>
        <row r="23">
          <cell r="A23" t="str">
            <v>II-B-11   </v>
          </cell>
          <cell r="B23" t="str">
            <v>OTHER RATE BASE ITEMS</v>
          </cell>
          <cell r="D23" t="str">
            <v>A. THENMADATHIL &amp;&amp; W. ALAN LEDBETTER &amp;&amp; B. L. CLUTTER</v>
          </cell>
        </row>
        <row r="24">
          <cell r="A24" t="str">
            <v>II-B-12   </v>
          </cell>
          <cell r="B24" t="str">
            <v>REGULATORY ASSETS</v>
          </cell>
          <cell r="D24" t="str">
            <v>W. ALAN LEDBETTER &amp;&amp; B. L. CLUTTER</v>
          </cell>
        </row>
        <row r="25">
          <cell r="A25" t="str">
            <v>II-B-13  </v>
          </cell>
          <cell r="B25" t="str">
            <v>GAIN OR LOSS ON SALE OF UTILITY ASSETS</v>
          </cell>
          <cell r="D25" t="str">
            <v>W. ALAN LEDBETTER</v>
          </cell>
        </row>
        <row r="26">
          <cell r="A26" t="str">
            <v>II-B-14  </v>
          </cell>
          <cell r="B26" t="str">
            <v>FUNDED/(UNFUNDED) PENSION AND OTHER POST-EMPLOYMENT BENEFITS BALANCE</v>
          </cell>
          <cell r="D26" t="str">
            <v>W. ALAN LEDBETTER</v>
          </cell>
        </row>
        <row r="27">
          <cell r="A27" t="str">
            <v>II-B-15A  </v>
          </cell>
          <cell r="B27" t="str">
            <v>ALLOWANCE FOR FUNDS USED DURING CONSTRUCTION (AFUDC)</v>
          </cell>
        </row>
        <row r="28">
          <cell r="A28" t="str">
            <v>II-B-15B  </v>
          </cell>
          <cell r="B28" t="str">
            <v>OTHER CONSTRUCTION OVERHEAD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E-1"/>
      <sheetName val="II-E-2"/>
      <sheetName val="II-E-2.1"/>
      <sheetName val="II-E-3 Attachment"/>
      <sheetName val="II-E-3"/>
      <sheetName val="II-E-3.1"/>
      <sheetName val="II-E-3.2a"/>
      <sheetName val="II-E-3.2b"/>
      <sheetName val="II-E-3.3"/>
      <sheetName val="II-E-3.4"/>
      <sheetName val="II-E-3.5"/>
      <sheetName val="II-E-3.5a"/>
      <sheetName val="II-E-3.6"/>
      <sheetName val="II-E-3.7"/>
      <sheetName val="II-E-3.8"/>
      <sheetName val="II-E-3.9"/>
      <sheetName val="II-E-3.10"/>
      <sheetName val="II-E-3.11"/>
      <sheetName val="II-E-3.12"/>
      <sheetName val="II-E-3.13"/>
      <sheetName val="II-E-3.14"/>
      <sheetName val="II-E-3.15"/>
      <sheetName val="II-E-3.16"/>
      <sheetName val="II-E-3.17"/>
      <sheetName val="II-E-3.18"/>
      <sheetName val="II-E-3.19"/>
      <sheetName val="II-E-3.20"/>
      <sheetName val="II-E-3.21"/>
      <sheetName val="II-E-3.22"/>
      <sheetName val="II-E-3.23"/>
      <sheetName val="II-E-3.24"/>
      <sheetName val="II-E-4"/>
      <sheetName val="II-E-4.1"/>
      <sheetName val="II-E-4.1.1"/>
      <sheetName val="II-E-4.2"/>
      <sheetName val="II-E-4.3"/>
      <sheetName val="II-E-4.4"/>
      <sheetName val="II-E-4.5"/>
      <sheetName val="II-E-4.6"/>
      <sheetName val="II-E-5"/>
    </sheetNames>
    <sheetDataSet>
      <sheetData sheetId="0">
        <row r="2">
          <cell r="B2">
            <v>2064493746.56</v>
          </cell>
          <cell r="C2">
            <v>0</v>
          </cell>
          <cell r="D2">
            <v>2064493746.56</v>
          </cell>
          <cell r="E2">
            <v>283400024.89</v>
          </cell>
          <cell r="F2">
            <v>2347893771.45</v>
          </cell>
          <cell r="G2">
            <v>951633684.87</v>
          </cell>
          <cell r="H2">
            <v>129921592.42</v>
          </cell>
          <cell r="I2">
            <v>1226987.21</v>
          </cell>
          <cell r="J2">
            <v>1082782264.5</v>
          </cell>
          <cell r="K2">
            <v>1132059195.67</v>
          </cell>
          <cell r="L2">
            <v>10585547.99</v>
          </cell>
          <cell r="M2">
            <v>1142644743.66</v>
          </cell>
          <cell r="N2">
            <v>36656474.2</v>
          </cell>
          <cell r="O2">
            <v>85810289.0899997</v>
          </cell>
          <cell r="P2">
            <v>2347893771.45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9">
          <cell r="H19">
            <v>-426414552.84</v>
          </cell>
          <cell r="I19">
            <v>-44241748.38</v>
          </cell>
          <cell r="J19">
            <v>-544012.16</v>
          </cell>
          <cell r="L19">
            <v>-462439966.73</v>
          </cell>
          <cell r="M19">
            <v>-3617896.62</v>
          </cell>
          <cell r="O19">
            <v>-15727006.61</v>
          </cell>
        </row>
        <row r="34">
          <cell r="H34">
            <v>-84803453.44</v>
          </cell>
          <cell r="I34">
            <v>-169357.67</v>
          </cell>
          <cell r="J34">
            <v>-108190.74</v>
          </cell>
          <cell r="L34">
            <v>-91968029.51</v>
          </cell>
          <cell r="M34">
            <v>-13849.33</v>
          </cell>
          <cell r="O34">
            <v>-3127718</v>
          </cell>
          <cell r="P34">
            <v>-2667159.31</v>
          </cell>
        </row>
        <row r="36">
          <cell r="H36">
            <v>-52561.41</v>
          </cell>
          <cell r="I36">
            <v>0</v>
          </cell>
          <cell r="J36">
            <v>0</v>
          </cell>
          <cell r="L36">
            <v>-497558.3</v>
          </cell>
          <cell r="M36">
            <v>0</v>
          </cell>
          <cell r="O36">
            <v>-17516.67</v>
          </cell>
          <cell r="P36">
            <v>-4622.62</v>
          </cell>
        </row>
        <row r="37">
          <cell r="H37">
            <v>-131326</v>
          </cell>
          <cell r="I37">
            <v>0</v>
          </cell>
          <cell r="J37">
            <v>0</v>
          </cell>
          <cell r="L37">
            <v>-41450326</v>
          </cell>
          <cell r="M37">
            <v>0</v>
          </cell>
          <cell r="O37">
            <v>0</v>
          </cell>
          <cell r="P37">
            <v>0</v>
          </cell>
        </row>
        <row r="38">
          <cell r="H38">
            <v>0</v>
          </cell>
          <cell r="I38">
            <v>0</v>
          </cell>
          <cell r="J38">
            <v>0</v>
          </cell>
          <cell r="L38">
            <v>0</v>
          </cell>
          <cell r="M38">
            <v>0</v>
          </cell>
          <cell r="O38">
            <v>-19826994</v>
          </cell>
          <cell r="P38">
            <v>0</v>
          </cell>
        </row>
        <row r="39">
          <cell r="H39">
            <v>-9786046.46</v>
          </cell>
          <cell r="I39">
            <v>0</v>
          </cell>
          <cell r="J39">
            <v>0</v>
          </cell>
          <cell r="L39">
            <v>-16879449.19</v>
          </cell>
          <cell r="M39">
            <v>0</v>
          </cell>
          <cell r="O39">
            <v>-5591214.01</v>
          </cell>
          <cell r="P39">
            <v>-1836591.34</v>
          </cell>
        </row>
        <row r="40">
          <cell r="H40">
            <v>0</v>
          </cell>
          <cell r="I40">
            <v>0</v>
          </cell>
          <cell r="J40">
            <v>0</v>
          </cell>
          <cell r="L40">
            <v>0</v>
          </cell>
          <cell r="M40">
            <v>0</v>
          </cell>
          <cell r="O40">
            <v>-299833</v>
          </cell>
          <cell r="P40">
            <v>0</v>
          </cell>
        </row>
        <row r="41">
          <cell r="H41">
            <v>0</v>
          </cell>
          <cell r="I41">
            <v>0</v>
          </cell>
          <cell r="J41">
            <v>0</v>
          </cell>
          <cell r="L41">
            <v>-5415708</v>
          </cell>
          <cell r="M41">
            <v>0</v>
          </cell>
          <cell r="O41">
            <v>0</v>
          </cell>
          <cell r="P41">
            <v>0</v>
          </cell>
        </row>
        <row r="42">
          <cell r="H42">
            <v>-480957.98</v>
          </cell>
          <cell r="I42">
            <v>0</v>
          </cell>
          <cell r="J42">
            <v>0</v>
          </cell>
          <cell r="L42">
            <v>-561335.7</v>
          </cell>
          <cell r="M42">
            <v>0</v>
          </cell>
          <cell r="O42">
            <v>-26099.49</v>
          </cell>
          <cell r="P42">
            <v>-6572.83000000006</v>
          </cell>
        </row>
        <row r="43">
          <cell r="H43">
            <v>0</v>
          </cell>
          <cell r="I43">
            <v>0</v>
          </cell>
          <cell r="J43">
            <v>0</v>
          </cell>
          <cell r="L43">
            <v>0</v>
          </cell>
          <cell r="M43">
            <v>0</v>
          </cell>
          <cell r="O43">
            <v>0</v>
          </cell>
          <cell r="P43">
            <v>-73779</v>
          </cell>
        </row>
        <row r="44">
          <cell r="H44">
            <v>0</v>
          </cell>
          <cell r="I44">
            <v>0</v>
          </cell>
          <cell r="J44">
            <v>0</v>
          </cell>
          <cell r="L44">
            <v>-1869890</v>
          </cell>
          <cell r="M44">
            <v>0</v>
          </cell>
          <cell r="O44">
            <v>0</v>
          </cell>
          <cell r="P44">
            <v>0</v>
          </cell>
        </row>
        <row r="45">
          <cell r="H45">
            <v>0</v>
          </cell>
          <cell r="I45">
            <v>0</v>
          </cell>
          <cell r="J45">
            <v>0</v>
          </cell>
          <cell r="L45">
            <v>-142930</v>
          </cell>
          <cell r="M45">
            <v>0</v>
          </cell>
          <cell r="O45">
            <v>0</v>
          </cell>
          <cell r="P45">
            <v>0</v>
          </cell>
        </row>
        <row r="46">
          <cell r="H46">
            <v>-125198.17</v>
          </cell>
          <cell r="I46">
            <v>0</v>
          </cell>
          <cell r="J46">
            <v>0</v>
          </cell>
          <cell r="L46">
            <v>-215947.9</v>
          </cell>
          <cell r="M46">
            <v>0</v>
          </cell>
          <cell r="O46">
            <v>-71531.42</v>
          </cell>
          <cell r="P46">
            <v>-23496.51</v>
          </cell>
        </row>
        <row r="47">
          <cell r="H47">
            <v>0</v>
          </cell>
          <cell r="I47">
            <v>0</v>
          </cell>
          <cell r="J47">
            <v>0</v>
          </cell>
          <cell r="L47">
            <v>-482484</v>
          </cell>
          <cell r="M47">
            <v>0</v>
          </cell>
          <cell r="O47">
            <v>0</v>
          </cell>
          <cell r="P47">
            <v>0</v>
          </cell>
        </row>
        <row r="48">
          <cell r="H48">
            <v>0</v>
          </cell>
          <cell r="I48">
            <v>0</v>
          </cell>
          <cell r="J48">
            <v>0</v>
          </cell>
          <cell r="L48">
            <v>329827</v>
          </cell>
          <cell r="M48">
            <v>0</v>
          </cell>
          <cell r="O48">
            <v>0</v>
          </cell>
        </row>
        <row r="49">
          <cell r="H49">
            <v>0</v>
          </cell>
          <cell r="I49">
            <v>0</v>
          </cell>
          <cell r="J49">
            <v>0</v>
          </cell>
          <cell r="L49">
            <v>0</v>
          </cell>
          <cell r="M49">
            <v>0</v>
          </cell>
          <cell r="O49">
            <v>104092</v>
          </cell>
        </row>
        <row r="50">
          <cell r="H50">
            <v>60233.06</v>
          </cell>
          <cell r="I50">
            <v>0</v>
          </cell>
          <cell r="J50">
            <v>0</v>
          </cell>
          <cell r="L50">
            <v>166172.99</v>
          </cell>
          <cell r="M50">
            <v>0</v>
          </cell>
          <cell r="O50">
            <v>45306.76</v>
          </cell>
        </row>
        <row r="51">
          <cell r="H51">
            <v>646842.54</v>
          </cell>
          <cell r="I51">
            <v>0</v>
          </cell>
          <cell r="J51">
            <v>0</v>
          </cell>
          <cell r="L51">
            <v>1784531.03</v>
          </cell>
          <cell r="M51">
            <v>0</v>
          </cell>
          <cell r="O51">
            <v>486549.06</v>
          </cell>
        </row>
        <row r="52">
          <cell r="H52">
            <v>0</v>
          </cell>
          <cell r="I52">
            <v>0</v>
          </cell>
          <cell r="J52">
            <v>0</v>
          </cell>
          <cell r="L52">
            <v>5989651</v>
          </cell>
          <cell r="M52">
            <v>0</v>
          </cell>
          <cell r="O52">
            <v>0</v>
          </cell>
        </row>
        <row r="53">
          <cell r="H53">
            <v>0</v>
          </cell>
          <cell r="I53">
            <v>0</v>
          </cell>
          <cell r="J53">
            <v>0</v>
          </cell>
          <cell r="L53">
            <v>-741538</v>
          </cell>
          <cell r="M53">
            <v>0</v>
          </cell>
          <cell r="O53">
            <v>0</v>
          </cell>
        </row>
        <row r="54">
          <cell r="H54">
            <v>111273.41</v>
          </cell>
          <cell r="I54">
            <v>0</v>
          </cell>
          <cell r="J54">
            <v>0</v>
          </cell>
          <cell r="L54">
            <v>403492.59</v>
          </cell>
          <cell r="M54">
            <v>0</v>
          </cell>
          <cell r="O54">
            <v>0</v>
          </cell>
        </row>
        <row r="55">
          <cell r="H55">
            <v>1115542.33</v>
          </cell>
          <cell r="I55">
            <v>0</v>
          </cell>
          <cell r="J55">
            <v>0</v>
          </cell>
          <cell r="L55">
            <v>1924141.69</v>
          </cell>
          <cell r="M55">
            <v>0</v>
          </cell>
          <cell r="O55">
            <v>637360.13</v>
          </cell>
        </row>
        <row r="56">
          <cell r="H56">
            <v>748955.89</v>
          </cell>
          <cell r="I56">
            <v>0</v>
          </cell>
          <cell r="J56">
            <v>0</v>
          </cell>
          <cell r="L56">
            <v>1291835.58</v>
          </cell>
          <cell r="M56">
            <v>0</v>
          </cell>
          <cell r="O56">
            <v>427912.61</v>
          </cell>
        </row>
        <row r="57">
          <cell r="H57">
            <v>19564453.13</v>
          </cell>
          <cell r="I57">
            <v>0</v>
          </cell>
          <cell r="J57">
            <v>0</v>
          </cell>
          <cell r="L57">
            <v>33745720.91</v>
          </cell>
          <cell r="M57">
            <v>0</v>
          </cell>
          <cell r="O57">
            <v>11178063.06</v>
          </cell>
        </row>
        <row r="58">
          <cell r="H58">
            <v>510464.7</v>
          </cell>
          <cell r="I58">
            <v>0</v>
          </cell>
          <cell r="J58">
            <v>0</v>
          </cell>
          <cell r="L58">
            <v>880474.36</v>
          </cell>
          <cell r="M58">
            <v>0</v>
          </cell>
          <cell r="O58">
            <v>291651.73</v>
          </cell>
        </row>
        <row r="59">
          <cell r="H59">
            <v>733709.23</v>
          </cell>
          <cell r="I59">
            <v>0</v>
          </cell>
          <cell r="J59">
            <v>0</v>
          </cell>
          <cell r="L59">
            <v>1780086.53</v>
          </cell>
          <cell r="M59">
            <v>0</v>
          </cell>
          <cell r="O59">
            <v>481208.1</v>
          </cell>
        </row>
        <row r="60">
          <cell r="H60">
            <v>4371117.65</v>
          </cell>
          <cell r="I60">
            <v>0</v>
          </cell>
          <cell r="J60">
            <v>0</v>
          </cell>
          <cell r="L60">
            <v>7539516.46</v>
          </cell>
          <cell r="M60">
            <v>0</v>
          </cell>
          <cell r="O60">
            <v>2497418.58</v>
          </cell>
        </row>
        <row r="61">
          <cell r="H61">
            <v>3665.81</v>
          </cell>
          <cell r="I61">
            <v>0</v>
          </cell>
          <cell r="J61">
            <v>0</v>
          </cell>
          <cell r="L61">
            <v>11205.43</v>
          </cell>
          <cell r="M61">
            <v>0</v>
          </cell>
          <cell r="O61">
            <v>573.7</v>
          </cell>
        </row>
        <row r="62">
          <cell r="H62">
            <v>1162897.44</v>
          </cell>
          <cell r="I62">
            <v>0</v>
          </cell>
          <cell r="J62">
            <v>0</v>
          </cell>
          <cell r="L62">
            <v>1357240.9</v>
          </cell>
          <cell r="M62">
            <v>0</v>
          </cell>
          <cell r="O62">
            <v>63105.37</v>
          </cell>
        </row>
        <row r="63">
          <cell r="H63">
            <v>0</v>
          </cell>
          <cell r="I63">
            <v>796951.77</v>
          </cell>
          <cell r="J63">
            <v>0</v>
          </cell>
          <cell r="L63">
            <v>0</v>
          </cell>
          <cell r="M63">
            <v>65171.23</v>
          </cell>
          <cell r="O63">
            <v>0</v>
          </cell>
        </row>
        <row r="64">
          <cell r="H64">
            <v>0</v>
          </cell>
          <cell r="I64">
            <v>10746.22</v>
          </cell>
          <cell r="J64">
            <v>0</v>
          </cell>
          <cell r="L64">
            <v>0</v>
          </cell>
          <cell r="M64">
            <v>878.78</v>
          </cell>
          <cell r="O64">
            <v>0</v>
          </cell>
        </row>
        <row r="69">
          <cell r="H69">
            <v>7731520.72</v>
          </cell>
          <cell r="I69">
            <v>-7958927.71</v>
          </cell>
          <cell r="J69">
            <v>9863.74</v>
          </cell>
          <cell r="L69">
            <v>8384714.27</v>
          </cell>
          <cell r="M69">
            <v>-650846.29</v>
          </cell>
          <cell r="O69">
            <v>285153.68</v>
          </cell>
          <cell r="P69">
            <v>243164.59</v>
          </cell>
        </row>
      </sheetData>
      <sheetData sheetId="27"/>
      <sheetData sheetId="28"/>
      <sheetData sheetId="29"/>
      <sheetData sheetId="30"/>
      <sheetData sheetId="31"/>
      <sheetData sheetId="32"/>
      <sheetData sheetId="33">
        <row r="58">
          <cell r="M58" t="str">
            <v>Direct Assigned</v>
          </cell>
          <cell r="V58">
            <v>0</v>
          </cell>
        </row>
      </sheetData>
      <sheetData sheetId="34"/>
      <sheetData sheetId="35"/>
      <sheetData sheetId="36"/>
      <sheetData sheetId="37"/>
      <sheetData sheetId="38">
        <row r="48">
          <cell r="M48">
            <v>6700000</v>
          </cell>
        </row>
      </sheetData>
      <sheetData sheetId="39"/>
      <sheetData sheetId="40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Link Sheet"/>
      <sheetName val="II-C-1"/>
      <sheetName val="II-C-1.1"/>
      <sheetName val="II-C-2.1"/>
      <sheetName val="II-C-2.2"/>
      <sheetName val="II-C-2.2a"/>
      <sheetName val="II-C-2.3"/>
      <sheetName val="II-C-2.3a"/>
      <sheetName val="II-C-2.4"/>
      <sheetName val="II-C-2.4a"/>
      <sheetName val="II-C-2.5"/>
      <sheetName val="II-C-2.5a"/>
      <sheetName val="II-C-2.5b"/>
      <sheetName val="II-C-2.5c"/>
      <sheetName val="II-C-2.5d"/>
      <sheetName val="II-C-2.5e"/>
      <sheetName val="II-C-2.5f"/>
      <sheetName val="II-C-2.5g"/>
      <sheetName val="II-C-2.5h"/>
      <sheetName val="II-C-2.5i"/>
      <sheetName val="II-C-2.5j"/>
      <sheetName val="II-C-2.5k"/>
      <sheetName val="II-C-2.5l"/>
      <sheetName val="II-C-2.6"/>
      <sheetName val="II-C-2.7"/>
      <sheetName val="II-C-2.8"/>
      <sheetName val="II-C-2.9"/>
      <sheetName val="II-C-2.10 Attachment 1"/>
      <sheetName val="II-C-3"/>
      <sheetName val="II-C-4"/>
      <sheetName val="II-C-4 Attachment 1"/>
    </sheetNames>
    <sheetDataSet>
      <sheetData sheetId="0">
        <row r="7">
          <cell r="D7">
            <v>0.0705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4.bin" 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5.bin" 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6.bin" 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7.bin" 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8.bin" 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9.bin" 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0.bin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1.bin" 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2.bin" 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3.bin" 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4.bin" 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5.bin" 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6.bin" 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7.bin" 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8.bin" 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9.bin" 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0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>
    <tabColor rgb="FFFFFF00"/>
  </sheetPr>
  <dimension ref="A1:Z3295"/>
  <sheetViews>
    <sheetView zoomScale="85" zoomScaleNormal="85" workbookViewId="0" topLeftCell="A1">
      <pane ySplit="3" topLeftCell="A82" activePane="bottomLeft" state="frozen"/>
      <selection pane="topLeft" activeCell="C31" sqref="C31"/>
      <selection pane="bottomLeft" activeCell="M121" sqref="M121"/>
    </sheetView>
  </sheetViews>
  <sheetFormatPr defaultRowHeight="12.75"/>
  <cols>
    <col min="2" max="2" width="52.4285714285714" bestFit="1" customWidth="1"/>
    <col min="3" max="4" width="15" bestFit="1" customWidth="1"/>
    <col min="5" max="7" width="15" customWidth="1"/>
    <col min="8" max="8" width="15.2857142857143" bestFit="1" customWidth="1"/>
    <col min="9" max="10" width="15.2857142857143" customWidth="1"/>
    <col min="11" max="12" width="13.4285714285714" bestFit="1" customWidth="1"/>
    <col min="13" max="13" width="15" bestFit="1" customWidth="1"/>
    <col min="14" max="14" width="13.4285714285714" bestFit="1" customWidth="1"/>
    <col min="15" max="15" width="10.5714285714286" style="285" bestFit="1" customWidth="1"/>
    <col min="16" max="16" width="13.4285714285714" bestFit="1" customWidth="1"/>
    <col min="17" max="17" width="12.5714285714286" bestFit="1" customWidth="1"/>
    <col min="18" max="18" width="12.2857142857143" bestFit="1" customWidth="1"/>
    <col min="19" max="19" width="15.4285714285714" bestFit="1" customWidth="1"/>
    <col min="20" max="20" width="9.57142857142857" bestFit="1" customWidth="1"/>
    <col min="21" max="21" width="10.2857142857143" customWidth="1"/>
    <col min="22" max="22" width="12.2857142857143" bestFit="1" customWidth="1"/>
  </cols>
  <sheetData>
    <row r="1" spans="2:3" ht="12.75">
      <c r="B1" s="136"/>
      <c r="C1" s="140" t="s">
        <v>20</v>
      </c>
    </row>
    <row r="2" spans="1:13" ht="12.75">
      <c r="A2" s="132"/>
      <c r="B2" s="132"/>
      <c r="C2" s="53" t="s">
        <v>21</v>
      </c>
      <c r="D2" s="133"/>
      <c r="E2" s="283" t="s">
        <v>319</v>
      </c>
      <c r="F2" s="283" t="s">
        <v>325</v>
      </c>
      <c r="G2" s="283" t="s">
        <v>320</v>
      </c>
      <c r="H2" s="133"/>
      <c r="I2" s="283" t="s">
        <v>319</v>
      </c>
      <c r="J2" s="283" t="s">
        <v>320</v>
      </c>
      <c r="K2" s="133"/>
      <c r="L2" s="133"/>
      <c r="M2" s="133"/>
    </row>
    <row r="3" spans="1:13" ht="12.75">
      <c r="A3" s="132"/>
      <c r="B3" s="53"/>
      <c r="C3" s="53" t="s">
        <v>34</v>
      </c>
      <c r="D3" s="53" t="s">
        <v>126</v>
      </c>
      <c r="E3" s="53" t="s">
        <v>126</v>
      </c>
      <c r="F3" s="53" t="s">
        <v>327</v>
      </c>
      <c r="G3" s="53" t="s">
        <v>126</v>
      </c>
      <c r="H3" s="53" t="s">
        <v>127</v>
      </c>
      <c r="I3" s="53" t="s">
        <v>127</v>
      </c>
      <c r="J3" s="53" t="s">
        <v>127</v>
      </c>
      <c r="K3" s="53" t="s">
        <v>120</v>
      </c>
      <c r="L3" s="53" t="s">
        <v>199</v>
      </c>
      <c r="M3" s="53" t="s">
        <v>29</v>
      </c>
    </row>
    <row r="4" spans="1:15" s="138" customFormat="1" ht="12.75">
      <c r="A4" s="378"/>
      <c r="B4" s="378"/>
      <c r="O4" s="286"/>
    </row>
    <row r="5" spans="1:15" s="138" customFormat="1" ht="18">
      <c r="A5" s="379" t="s">
        <v>207</v>
      </c>
      <c r="B5" s="379"/>
      <c r="C5" s="379"/>
      <c r="D5" s="379"/>
      <c r="E5" s="379"/>
      <c r="F5" s="379"/>
      <c r="G5" s="379"/>
      <c r="H5" s="379"/>
      <c r="I5" s="379"/>
      <c r="J5" s="379"/>
      <c r="K5" s="379"/>
      <c r="L5" s="379"/>
      <c r="M5" s="379"/>
      <c r="O5" s="286"/>
    </row>
    <row r="6" spans="1:13" ht="12.75">
      <c r="A6" s="6" t="s">
        <v>38</v>
      </c>
      <c r="B6" s="6" t="s">
        <v>39</v>
      </c>
      <c r="C6" s="134">
        <f>+'II-B-1'!I16</f>
        <v>0</v>
      </c>
      <c r="D6" s="134">
        <f>+'II-B-1'!N16</f>
        <v>0</v>
      </c>
      <c r="E6" s="134">
        <f>+'II-B-1'!O16</f>
        <v>0</v>
      </c>
      <c r="F6" s="134">
        <f>+'II-B-1'!P16</f>
        <v>0</v>
      </c>
      <c r="G6" s="134">
        <f>+'II-B-1'!Q16</f>
        <v>0</v>
      </c>
      <c r="H6" s="134">
        <f>+'II-B-1'!R16</f>
        <v>0</v>
      </c>
      <c r="I6" s="134">
        <f>+'II-B-1'!S16</f>
        <v>0</v>
      </c>
      <c r="J6" s="134">
        <f>+'II-B-1'!T16</f>
        <v>0</v>
      </c>
      <c r="K6" s="134">
        <f>+'II-B-1'!U16</f>
        <v>0</v>
      </c>
      <c r="L6" s="134">
        <f>+'II-B-1'!V16</f>
        <v>0</v>
      </c>
      <c r="M6" s="134">
        <f>+G6+J6+K6+L6</f>
        <v>0</v>
      </c>
    </row>
    <row r="7" spans="1:13" ht="12.75">
      <c r="A7" s="6" t="s">
        <v>41</v>
      </c>
      <c r="B7" s="6" t="s">
        <v>125</v>
      </c>
      <c r="C7" s="134">
        <f>+'II-B-1'!I17</f>
        <v>0</v>
      </c>
      <c r="D7" s="134">
        <f>+'II-B-1'!N17</f>
        <v>0</v>
      </c>
      <c r="E7" s="134">
        <f>+'II-B-1'!O17</f>
        <v>0</v>
      </c>
      <c r="F7" s="134">
        <f>+'II-B-1'!P17</f>
        <v>0</v>
      </c>
      <c r="G7" s="134">
        <f>+'II-B-1'!Q17</f>
        <v>0</v>
      </c>
      <c r="H7" s="134">
        <f>+'II-B-1'!R17</f>
        <v>0</v>
      </c>
      <c r="I7" s="134">
        <f>+'II-B-1'!S17</f>
        <v>0</v>
      </c>
      <c r="J7" s="134">
        <f>+'II-B-1'!T17</f>
        <v>0</v>
      </c>
      <c r="K7" s="134">
        <f>+'II-B-1'!U17</f>
        <v>0</v>
      </c>
      <c r="L7" s="134">
        <f>+'II-B-1'!V17</f>
        <v>0</v>
      </c>
      <c r="M7" s="134">
        <f t="shared" si="0" ref="M7:M45">+G7+J7+K7+L7</f>
        <v>0</v>
      </c>
    </row>
    <row r="8" spans="1:17" ht="12.75">
      <c r="A8" s="6" t="s">
        <v>42</v>
      </c>
      <c r="B8" s="6" t="s">
        <v>43</v>
      </c>
      <c r="C8" s="134">
        <f>+'II-B-1'!I18</f>
        <v>1066350281.0700001</v>
      </c>
      <c r="D8" s="134">
        <f>+'II-B-1'!N18</f>
        <v>247306020.55000001</v>
      </c>
      <c r="E8" s="134">
        <f>+'II-B-1'!O18</f>
        <v>0</v>
      </c>
      <c r="F8" s="134">
        <f>+'II-B-1'!P18</f>
        <v>0</v>
      </c>
      <c r="G8" s="134">
        <f>+'II-B-1'!Q18</f>
        <v>247306020.55000001</v>
      </c>
      <c r="H8" s="134">
        <f>+'II-B-1'!R18</f>
        <v>323333372.81999999</v>
      </c>
      <c r="I8" s="134">
        <f>+'II-B-1'!S18</f>
        <v>0</v>
      </c>
      <c r="J8" s="134">
        <f>+'II-B-1'!T18</f>
        <v>323333372.81999999</v>
      </c>
      <c r="K8" s="134">
        <f>+'II-B-1'!U18</f>
        <v>185301712.96000001</v>
      </c>
      <c r="L8" s="134">
        <f>+'II-B-1'!V18</f>
        <v>310409174.74000001</v>
      </c>
      <c r="M8" s="134">
        <f t="shared" si="0"/>
        <v>1066350281.0700001</v>
      </c>
      <c r="Q8" s="288"/>
    </row>
    <row r="9" spans="1:13" ht="12.75">
      <c r="A9" s="6" t="s">
        <v>48</v>
      </c>
      <c r="B9" s="6" t="s">
        <v>44</v>
      </c>
      <c r="C9" s="134">
        <f>+'II-B-1'!I23</f>
        <v>115906329.26000001</v>
      </c>
      <c r="D9" s="134">
        <f>+'II-B-1'!N23</f>
        <v>93368707.019999996</v>
      </c>
      <c r="E9" s="134">
        <f>+'II-B-1'!O23</f>
        <v>22537622.239999998</v>
      </c>
      <c r="F9" s="134">
        <f>+'II-B-1'!P23</f>
        <v>0</v>
      </c>
      <c r="G9" s="134">
        <f>+'II-B-1'!Q23</f>
        <v>115906329.25999999</v>
      </c>
      <c r="H9" s="134">
        <f>+'II-B-1'!R23</f>
        <v>0</v>
      </c>
      <c r="I9" s="134">
        <f>+'II-B-1'!S23</f>
        <v>0</v>
      </c>
      <c r="J9" s="134">
        <f>+'II-B-1'!T23</f>
        <v>0</v>
      </c>
      <c r="K9" s="134">
        <f>+'II-B-1'!U23</f>
        <v>0</v>
      </c>
      <c r="L9" s="134">
        <f>+'II-B-1'!V23</f>
        <v>0</v>
      </c>
      <c r="M9" s="134">
        <f t="shared" si="0"/>
        <v>115906329.25999999</v>
      </c>
    </row>
    <row r="10" spans="1:13" ht="12.75">
      <c r="A10" s="6" t="s">
        <v>49</v>
      </c>
      <c r="B10" s="6" t="s">
        <v>50</v>
      </c>
      <c r="C10" s="134">
        <f>+'II-B-1'!I24</f>
        <v>615926404.49000001</v>
      </c>
      <c r="D10" s="134">
        <f>+'II-B-1'!N24</f>
        <v>521566382.51999998</v>
      </c>
      <c r="E10" s="134">
        <f>+'II-B-1'!O24</f>
        <v>94360021.969999999</v>
      </c>
      <c r="F10" s="134">
        <f>+'II-B-1'!P24</f>
        <v>0</v>
      </c>
      <c r="G10" s="134">
        <f>+'II-B-1'!Q24</f>
        <v>615926404.49000001</v>
      </c>
      <c r="H10" s="134">
        <f>+'II-B-1'!R24</f>
        <v>0</v>
      </c>
      <c r="I10" s="134">
        <f>+'II-B-1'!S24</f>
        <v>0</v>
      </c>
      <c r="J10" s="134">
        <f>+'II-B-1'!T24</f>
        <v>0</v>
      </c>
      <c r="K10" s="134">
        <f>+'II-B-1'!U24</f>
        <v>0</v>
      </c>
      <c r="L10" s="134">
        <f>+'II-B-1'!V24</f>
        <v>0</v>
      </c>
      <c r="M10" s="134">
        <f t="shared" si="0"/>
        <v>615926404.49000001</v>
      </c>
    </row>
    <row r="11" spans="1:13" ht="12.75">
      <c r="A11" s="6" t="s">
        <v>51</v>
      </c>
      <c r="B11" s="6" t="s">
        <v>45</v>
      </c>
      <c r="C11" s="134">
        <f>+'II-B-1'!I25</f>
        <v>420045890.62</v>
      </c>
      <c r="D11" s="134">
        <f>+'II-B-1'!N25</f>
        <v>325121520.76999998</v>
      </c>
      <c r="E11" s="134">
        <f>+'II-B-1'!O25</f>
        <v>93237800.909999996</v>
      </c>
      <c r="F11" s="134">
        <f>+'II-B-1'!P25</f>
        <v>1686568.9399999999</v>
      </c>
      <c r="G11" s="134">
        <f>+'II-B-1'!Q25</f>
        <v>420045890.61999995</v>
      </c>
      <c r="H11" s="134">
        <f>+'II-B-1'!R25</f>
        <v>0</v>
      </c>
      <c r="I11" s="134">
        <f>+'II-B-1'!S25</f>
        <v>0</v>
      </c>
      <c r="J11" s="134">
        <f>+'II-B-1'!T25</f>
        <v>0</v>
      </c>
      <c r="K11" s="134">
        <f>+'II-B-1'!U25</f>
        <v>0</v>
      </c>
      <c r="L11" s="134">
        <f>+'II-B-1'!V25</f>
        <v>0</v>
      </c>
      <c r="M11" s="134">
        <f t="shared" si="0"/>
        <v>420045890.61999995</v>
      </c>
    </row>
    <row r="12" spans="1:13" ht="12.75">
      <c r="A12" s="6" t="s">
        <v>52</v>
      </c>
      <c r="B12" s="6" t="s">
        <v>53</v>
      </c>
      <c r="C12" s="134">
        <f>+'II-B-1'!I26</f>
        <v>3929015686.6500001</v>
      </c>
      <c r="D12" s="134">
        <f>+'II-B-1'!N26</f>
        <v>3167599763.04</v>
      </c>
      <c r="E12" s="134">
        <f>+'II-B-1'!O26</f>
        <v>296846116.49000001</v>
      </c>
      <c r="F12" s="134">
        <f>+'II-B-1'!P26</f>
        <v>30852548.710000001</v>
      </c>
      <c r="G12" s="134">
        <f>+'II-B-1'!Q26</f>
        <v>3495298428.2399998</v>
      </c>
      <c r="H12" s="134">
        <f>+'II-B-1'!R26</f>
        <v>381860650.86000001</v>
      </c>
      <c r="I12" s="134">
        <f>+'II-B-1'!S26</f>
        <v>51856607.549999997</v>
      </c>
      <c r="J12" s="134">
        <f>+'II-B-1'!T26</f>
        <v>433717258.41000003</v>
      </c>
      <c r="K12" s="134">
        <f>+'II-B-1'!U26</f>
        <v>0</v>
      </c>
      <c r="L12" s="134">
        <f>+'II-B-1'!V26</f>
        <v>0</v>
      </c>
      <c r="M12" s="134">
        <f t="shared" si="0"/>
        <v>3929015686.6499996</v>
      </c>
    </row>
    <row r="13" spans="1:13" ht="12.75">
      <c r="A13" s="6" t="s">
        <v>54</v>
      </c>
      <c r="B13" s="6" t="s">
        <v>55</v>
      </c>
      <c r="C13" s="134">
        <f>+'II-B-1'!I27</f>
        <v>1929652755.3099999</v>
      </c>
      <c r="D13" s="134">
        <f>+'II-B-1'!N27</f>
        <v>1433247198.9200001</v>
      </c>
      <c r="E13" s="134">
        <f>+'II-B-1'!O27</f>
        <v>496405556.38999999</v>
      </c>
      <c r="F13" s="134">
        <f>+'II-B-1'!P27</f>
        <v>0</v>
      </c>
      <c r="G13" s="134">
        <f>+'II-B-1'!Q27</f>
        <v>1929652755.3099999</v>
      </c>
      <c r="H13" s="134">
        <f>+'II-B-1'!R27</f>
        <v>0</v>
      </c>
      <c r="I13" s="134">
        <f>+'II-B-1'!S27</f>
        <v>0</v>
      </c>
      <c r="J13" s="134">
        <f>+'II-B-1'!T27</f>
        <v>0</v>
      </c>
      <c r="K13" s="134">
        <f>+'II-B-1'!U27</f>
        <v>0</v>
      </c>
      <c r="L13" s="134">
        <f>+'II-B-1'!V27</f>
        <v>0</v>
      </c>
      <c r="M13" s="134">
        <f t="shared" si="0"/>
        <v>1929652755.3099999</v>
      </c>
    </row>
    <row r="14" spans="1:13" ht="12.75">
      <c r="A14" s="6" t="s">
        <v>56</v>
      </c>
      <c r="B14" s="6" t="s">
        <v>57</v>
      </c>
      <c r="C14" s="134">
        <f>+'II-B-1'!I28</f>
        <v>2870770310.9200001</v>
      </c>
      <c r="D14" s="134">
        <f>+'II-B-1'!N28</f>
        <v>2646547290.96</v>
      </c>
      <c r="E14" s="134">
        <f>+'II-B-1'!O28</f>
        <v>224223019.96000001</v>
      </c>
      <c r="F14" s="134">
        <f>+'II-B-1'!P28</f>
        <v>0</v>
      </c>
      <c r="G14" s="134">
        <f>+'II-B-1'!Q28</f>
        <v>2870770310.9200001</v>
      </c>
      <c r="H14" s="134">
        <f>+'II-B-1'!R28</f>
        <v>0</v>
      </c>
      <c r="I14" s="134">
        <f>+'II-B-1'!S28</f>
        <v>0</v>
      </c>
      <c r="J14" s="134">
        <f>+'II-B-1'!T28</f>
        <v>0</v>
      </c>
      <c r="K14" s="134">
        <f>+'II-B-1'!U28</f>
        <v>0</v>
      </c>
      <c r="L14" s="134">
        <f>+'II-B-1'!V28</f>
        <v>0</v>
      </c>
      <c r="M14" s="134">
        <f t="shared" si="0"/>
        <v>2870770310.9200001</v>
      </c>
    </row>
    <row r="15" spans="1:13" ht="12.75">
      <c r="A15" s="6" t="s">
        <v>58</v>
      </c>
      <c r="B15" s="6" t="s">
        <v>3</v>
      </c>
      <c r="C15" s="134">
        <f>+'II-B-1'!I29</f>
        <v>3044581319.5700002</v>
      </c>
      <c r="D15" s="134">
        <f>+'II-B-1'!N29</f>
        <v>2597173723.1599998</v>
      </c>
      <c r="E15" s="134">
        <f>+'II-B-1'!O29</f>
        <v>447407596.41000003</v>
      </c>
      <c r="F15" s="134">
        <f>+'II-B-1'!P29</f>
        <v>0</v>
      </c>
      <c r="G15" s="134">
        <f>+'II-B-1'!Q29</f>
        <v>3044581319.5699997</v>
      </c>
      <c r="H15" s="134">
        <f>+'II-B-1'!R29</f>
        <v>0</v>
      </c>
      <c r="I15" s="134">
        <f>+'II-B-1'!S29</f>
        <v>0</v>
      </c>
      <c r="J15" s="134">
        <f>+'II-B-1'!T29</f>
        <v>0</v>
      </c>
      <c r="K15" s="134">
        <f>+'II-B-1'!U29</f>
        <v>0</v>
      </c>
      <c r="L15" s="134">
        <f>+'II-B-1'!V29</f>
        <v>0</v>
      </c>
      <c r="M15" s="134">
        <f t="shared" si="0"/>
        <v>3044581319.5699997</v>
      </c>
    </row>
    <row r="16" spans="1:13" ht="12.75">
      <c r="A16" s="6" t="s">
        <v>59</v>
      </c>
      <c r="B16" s="6" t="s">
        <v>60</v>
      </c>
      <c r="C16" s="134">
        <f>+'II-B-1'!I30</f>
        <v>60197134.759999998</v>
      </c>
      <c r="D16" s="134">
        <f>+'II-B-1'!N30</f>
        <v>60197134.759999998</v>
      </c>
      <c r="E16" s="134">
        <f>+'II-B-1'!O30</f>
        <v>0</v>
      </c>
      <c r="F16" s="134">
        <f>+'II-B-1'!P30</f>
        <v>0</v>
      </c>
      <c r="G16" s="134">
        <f>+'II-B-1'!Q30</f>
        <v>60197134.759999998</v>
      </c>
      <c r="H16" s="134">
        <f>+'II-B-1'!R30</f>
        <v>0</v>
      </c>
      <c r="I16" s="134">
        <f>+'II-B-1'!S30</f>
        <v>0</v>
      </c>
      <c r="J16" s="134">
        <f>+'II-B-1'!T30</f>
        <v>0</v>
      </c>
      <c r="K16" s="134">
        <f>+'II-B-1'!U30</f>
        <v>0</v>
      </c>
      <c r="L16" s="134">
        <f>+'II-B-1'!V30</f>
        <v>0</v>
      </c>
      <c r="M16" s="134">
        <f t="shared" si="0"/>
        <v>60197134.759999998</v>
      </c>
    </row>
    <row r="17" spans="1:13" ht="12.75">
      <c r="A17" s="6" t="s">
        <v>61</v>
      </c>
      <c r="B17" s="74" t="s">
        <v>4</v>
      </c>
      <c r="C17" s="134">
        <f>+'II-B-1'!I31</f>
        <v>84097342.579999998</v>
      </c>
      <c r="D17" s="134">
        <f>+'II-B-1'!N31</f>
        <v>84097342.579999998</v>
      </c>
      <c r="E17" s="134">
        <f>+'II-B-1'!O31</f>
        <v>0</v>
      </c>
      <c r="F17" s="134">
        <f>+'II-B-1'!P31</f>
        <v>0</v>
      </c>
      <c r="G17" s="134">
        <f>+'II-B-1'!Q31</f>
        <v>84097342.579999998</v>
      </c>
      <c r="H17" s="134">
        <f>+'II-B-1'!R31</f>
        <v>0</v>
      </c>
      <c r="I17" s="134">
        <f>+'II-B-1'!S31</f>
        <v>0</v>
      </c>
      <c r="J17" s="134">
        <f>+'II-B-1'!T31</f>
        <v>0</v>
      </c>
      <c r="K17" s="134">
        <f>+'II-B-1'!U31</f>
        <v>0</v>
      </c>
      <c r="L17" s="134">
        <f>+'II-B-1'!V31</f>
        <v>0</v>
      </c>
      <c r="M17" s="134">
        <f t="shared" si="0"/>
        <v>84097342.579999998</v>
      </c>
    </row>
    <row r="18" spans="1:13" ht="12.75">
      <c r="A18" s="6" t="s">
        <v>62</v>
      </c>
      <c r="B18" s="6" t="s">
        <v>63</v>
      </c>
      <c r="C18" s="134">
        <f>+'II-B-1'!I32</f>
        <v>0</v>
      </c>
      <c r="D18" s="134">
        <f>+'II-B-1'!N32</f>
        <v>0</v>
      </c>
      <c r="E18" s="134">
        <f>+'II-B-1'!O32</f>
        <v>0</v>
      </c>
      <c r="F18" s="134">
        <f>+'II-B-1'!P32</f>
        <v>0</v>
      </c>
      <c r="G18" s="134">
        <f>+'II-B-1'!Q32</f>
        <v>0</v>
      </c>
      <c r="H18" s="134">
        <f>+'II-B-1'!R32</f>
        <v>0</v>
      </c>
      <c r="I18" s="134">
        <f>+'II-B-1'!S32</f>
        <v>0</v>
      </c>
      <c r="J18" s="134">
        <f>+'II-B-1'!T32</f>
        <v>0</v>
      </c>
      <c r="K18" s="134">
        <f>+'II-B-1'!U32</f>
        <v>0</v>
      </c>
      <c r="L18" s="134">
        <f>+'II-B-1'!V32</f>
        <v>0</v>
      </c>
      <c r="M18" s="134">
        <f t="shared" si="0"/>
        <v>0</v>
      </c>
    </row>
    <row r="19" spans="1:13" ht="12.75">
      <c r="A19" s="6" t="s">
        <v>65</v>
      </c>
      <c r="B19" s="6" t="s">
        <v>50</v>
      </c>
      <c r="C19" s="134">
        <f>+'II-B-1'!I37</f>
        <v>24366922.719999999</v>
      </c>
      <c r="D19" s="134">
        <f>+'II-B-1'!N37</f>
        <v>1320894.71</v>
      </c>
      <c r="E19" s="134">
        <f>+'II-B-1'!O37</f>
        <v>0</v>
      </c>
      <c r="F19" s="134">
        <f>+'II-B-1'!P37</f>
        <v>0</v>
      </c>
      <c r="G19" s="134">
        <f>+'II-B-1'!Q37</f>
        <v>1320894.71</v>
      </c>
      <c r="H19" s="134">
        <f>+'II-B-1'!R37</f>
        <v>23046028.010000002</v>
      </c>
      <c r="I19" s="134">
        <f>+'II-B-1'!S37</f>
        <v>0</v>
      </c>
      <c r="J19" s="134">
        <f>+'II-B-1'!T37</f>
        <v>23046028.010000002</v>
      </c>
      <c r="K19" s="134">
        <f>+'II-B-1'!U37</f>
        <v>0</v>
      </c>
      <c r="L19" s="134">
        <f>+'II-B-1'!V37</f>
        <v>0</v>
      </c>
      <c r="M19" s="134">
        <f t="shared" si="0"/>
        <v>24366922.720000003</v>
      </c>
    </row>
    <row r="20" spans="1:13" ht="12.75">
      <c r="A20" s="6" t="s">
        <v>66</v>
      </c>
      <c r="B20" s="74" t="s">
        <v>45</v>
      </c>
      <c r="C20" s="134">
        <f>+'II-B-1'!I38</f>
        <v>227950837.84999999</v>
      </c>
      <c r="D20" s="134">
        <f>+'II-B-1'!N38</f>
        <v>53159678.729999997</v>
      </c>
      <c r="E20" s="134">
        <f>+'II-B-1'!O38</f>
        <v>16042221.25</v>
      </c>
      <c r="F20" s="134">
        <f>+'II-B-1'!P38</f>
        <v>0</v>
      </c>
      <c r="G20" s="134">
        <f>+'II-B-1'!Q38</f>
        <v>69201899.979999989</v>
      </c>
      <c r="H20" s="134">
        <f>+'II-B-1'!R38</f>
        <v>137062053.49000001</v>
      </c>
      <c r="I20" s="134">
        <f>+'II-B-1'!S38</f>
        <v>21686884.379999999</v>
      </c>
      <c r="J20" s="134">
        <f>+'II-B-1'!T38</f>
        <v>158748937.87000001</v>
      </c>
      <c r="K20" s="134">
        <f>+'II-B-1'!U38</f>
        <v>0</v>
      </c>
      <c r="L20" s="134">
        <f>+'II-B-1'!V38</f>
        <v>0</v>
      </c>
      <c r="M20" s="134">
        <f t="shared" si="0"/>
        <v>227950837.84999999</v>
      </c>
    </row>
    <row r="21" spans="1:13" ht="12.75">
      <c r="A21" s="6" t="s">
        <v>67</v>
      </c>
      <c r="B21" s="6" t="s">
        <v>53</v>
      </c>
      <c r="C21" s="134">
        <f>+'II-B-1'!I39</f>
        <v>2436284040.71</v>
      </c>
      <c r="D21" s="134">
        <f>+'II-B-1'!N39</f>
        <v>571075226.37</v>
      </c>
      <c r="E21" s="134">
        <f>+'II-B-1'!O39</f>
        <v>39195173.549999997</v>
      </c>
      <c r="F21" s="134">
        <f>+'II-B-1'!P39</f>
        <v>0</v>
      </c>
      <c r="G21" s="134">
        <f>+'II-B-1'!Q39</f>
        <v>610270399.91999996</v>
      </c>
      <c r="H21" s="134">
        <f>+'II-B-1'!R39</f>
        <v>1760200029.54</v>
      </c>
      <c r="I21" s="134">
        <f>+'II-B-1'!S39</f>
        <v>65813611.25</v>
      </c>
      <c r="J21" s="134">
        <f>+'II-B-1'!T39</f>
        <v>1826013640.79</v>
      </c>
      <c r="K21" s="134">
        <f>+'II-B-1'!U39</f>
        <v>0</v>
      </c>
      <c r="L21" s="134">
        <f>+'II-B-1'!V39</f>
        <v>0</v>
      </c>
      <c r="M21" s="134">
        <f t="shared" si="0"/>
        <v>2436284040.71</v>
      </c>
    </row>
    <row r="22" spans="1:13" ht="12.75">
      <c r="A22" s="6" t="s">
        <v>68</v>
      </c>
      <c r="B22" s="6" t="s">
        <v>69</v>
      </c>
      <c r="C22" s="134">
        <f>+'II-B-1'!I40</f>
        <v>0</v>
      </c>
      <c r="D22" s="134">
        <f>+'II-B-1'!N40</f>
        <v>0</v>
      </c>
      <c r="E22" s="134">
        <f>+'II-B-1'!O40</f>
        <v>0</v>
      </c>
      <c r="F22" s="134">
        <f>+'II-B-1'!P40</f>
        <v>0</v>
      </c>
      <c r="G22" s="134">
        <f>+'II-B-1'!Q40</f>
        <v>0</v>
      </c>
      <c r="H22" s="134">
        <f>+'II-B-1'!R40</f>
        <v>0</v>
      </c>
      <c r="I22" s="134">
        <f>+'II-B-1'!S40</f>
        <v>0</v>
      </c>
      <c r="J22" s="134">
        <f>+'II-B-1'!T40</f>
        <v>0</v>
      </c>
      <c r="K22" s="134">
        <f>+'II-B-1'!U40</f>
        <v>0</v>
      </c>
      <c r="L22" s="134">
        <f>+'II-B-1'!V40</f>
        <v>0</v>
      </c>
      <c r="M22" s="134">
        <f t="shared" si="0"/>
        <v>0</v>
      </c>
    </row>
    <row r="23" spans="1:13" ht="12.75">
      <c r="A23" s="6" t="s">
        <v>70</v>
      </c>
      <c r="B23" s="74" t="s">
        <v>5</v>
      </c>
      <c r="C23" s="134">
        <f>+'II-B-1'!I41</f>
        <v>2679007190.3000002</v>
      </c>
      <c r="D23" s="134">
        <f>+'II-B-1'!N41</f>
        <v>0</v>
      </c>
      <c r="E23" s="134">
        <f>+'II-B-1'!O41</f>
        <v>0</v>
      </c>
      <c r="F23" s="134">
        <f>+'II-B-1'!P41</f>
        <v>0</v>
      </c>
      <c r="G23" s="134">
        <f>+'II-B-1'!Q41</f>
        <v>0</v>
      </c>
      <c r="H23" s="134">
        <f>+'II-B-1'!R41</f>
        <v>2678358260.8099999</v>
      </c>
      <c r="I23" s="134">
        <f>+'II-B-1'!S41</f>
        <v>648929.48999999999</v>
      </c>
      <c r="J23" s="134">
        <f>+'II-B-1'!T41</f>
        <v>2679007190.2999997</v>
      </c>
      <c r="K23" s="134">
        <f>+'II-B-1'!U41</f>
        <v>0</v>
      </c>
      <c r="L23" s="134">
        <f>+'II-B-1'!V41</f>
        <v>0</v>
      </c>
      <c r="M23" s="134">
        <f t="shared" si="0"/>
        <v>2679007190.2999997</v>
      </c>
    </row>
    <row r="24" spans="1:13" ht="12.75">
      <c r="A24" s="6" t="s">
        <v>71</v>
      </c>
      <c r="B24" s="6" t="s">
        <v>3</v>
      </c>
      <c r="C24" s="134">
        <f>+'II-B-1'!I42</f>
        <v>1676515251.76</v>
      </c>
      <c r="D24" s="134">
        <f>+'II-B-1'!N42</f>
        <v>0</v>
      </c>
      <c r="E24" s="134">
        <f>+'II-B-1'!O42</f>
        <v>0</v>
      </c>
      <c r="F24" s="134">
        <f>+'II-B-1'!P42</f>
        <v>0</v>
      </c>
      <c r="G24" s="134">
        <f>+'II-B-1'!Q42</f>
        <v>0</v>
      </c>
      <c r="H24" s="134">
        <f>+'II-B-1'!R42</f>
        <v>1675410858.1199999</v>
      </c>
      <c r="I24" s="134">
        <f>+'II-B-1'!S42</f>
        <v>1104393.6399999999</v>
      </c>
      <c r="J24" s="134">
        <f>+'II-B-1'!T42</f>
        <v>1676515251.76</v>
      </c>
      <c r="K24" s="134">
        <f>+'II-B-1'!U42</f>
        <v>0</v>
      </c>
      <c r="L24" s="134">
        <f>+'II-B-1'!V42</f>
        <v>0</v>
      </c>
      <c r="M24" s="134">
        <f t="shared" si="0"/>
        <v>1676515251.76</v>
      </c>
    </row>
    <row r="25" spans="1:13" ht="12.75">
      <c r="A25" s="6" t="s">
        <v>72</v>
      </c>
      <c r="B25" s="6" t="s">
        <v>73</v>
      </c>
      <c r="C25" s="134">
        <f>+'II-B-1'!I43</f>
        <v>1082662295.79</v>
      </c>
      <c r="D25" s="134">
        <f>+'II-B-1'!N43</f>
        <v>0</v>
      </c>
      <c r="E25" s="134">
        <f>+'II-B-1'!O43</f>
        <v>0</v>
      </c>
      <c r="F25" s="134">
        <f>+'II-B-1'!P43</f>
        <v>0</v>
      </c>
      <c r="G25" s="134">
        <f>+'II-B-1'!Q43</f>
        <v>0</v>
      </c>
      <c r="H25" s="134">
        <f>+'II-B-1'!R43</f>
        <v>1082118478.1099999</v>
      </c>
      <c r="I25" s="134">
        <f>+'II-B-1'!S43</f>
        <v>543817.68000000005</v>
      </c>
      <c r="J25" s="134">
        <f>+'II-B-1'!T43</f>
        <v>1082662295.79</v>
      </c>
      <c r="K25" s="134">
        <f>+'II-B-1'!U43</f>
        <v>0</v>
      </c>
      <c r="L25" s="134">
        <f>+'II-B-1'!V43</f>
        <v>0</v>
      </c>
      <c r="M25" s="134">
        <f t="shared" si="0"/>
        <v>1082662295.79</v>
      </c>
    </row>
    <row r="26" spans="1:13" ht="12.75">
      <c r="A26" s="6" t="s">
        <v>74</v>
      </c>
      <c r="B26" s="74" t="s">
        <v>4</v>
      </c>
      <c r="C26" s="134">
        <f>+'II-B-1'!I44</f>
        <v>2555767640.0300002</v>
      </c>
      <c r="D26" s="134">
        <f>+'II-B-1'!N44</f>
        <v>0</v>
      </c>
      <c r="E26" s="134">
        <f>+'II-B-1'!O44</f>
        <v>0</v>
      </c>
      <c r="F26" s="134">
        <f>+'II-B-1'!P44</f>
        <v>0</v>
      </c>
      <c r="G26" s="134">
        <f>+'II-B-1'!Q44</f>
        <v>0</v>
      </c>
      <c r="H26" s="134">
        <f>+'II-B-1'!R44</f>
        <v>2553927527.9699998</v>
      </c>
      <c r="I26" s="134">
        <f>+'II-B-1'!S44</f>
        <v>1840112.0600000001</v>
      </c>
      <c r="J26" s="134">
        <f>+'II-B-1'!T44</f>
        <v>2555767640.0299997</v>
      </c>
      <c r="K26" s="134">
        <f>+'II-B-1'!U44</f>
        <v>0</v>
      </c>
      <c r="L26" s="134">
        <f>+'II-B-1'!V44</f>
        <v>0</v>
      </c>
      <c r="M26" s="134">
        <f t="shared" si="0"/>
        <v>2555767640.0299997</v>
      </c>
    </row>
    <row r="27" spans="1:13" ht="12.75">
      <c r="A27" s="6" t="s">
        <v>75</v>
      </c>
      <c r="B27" s="6" t="s">
        <v>76</v>
      </c>
      <c r="C27" s="134">
        <f>+'II-B-1'!I45</f>
        <v>2493082806.52</v>
      </c>
      <c r="D27" s="134">
        <f>+'II-B-1'!N45</f>
        <v>0</v>
      </c>
      <c r="E27" s="134">
        <f>+'II-B-1'!O45</f>
        <v>0</v>
      </c>
      <c r="F27" s="134">
        <f>+'II-B-1'!P45</f>
        <v>0</v>
      </c>
      <c r="G27" s="134">
        <f>+'II-B-1'!Q45</f>
        <v>0</v>
      </c>
      <c r="H27" s="134">
        <f>+'II-B-1'!R45</f>
        <v>2493077762.4000001</v>
      </c>
      <c r="I27" s="134">
        <f>+'II-B-1'!S45</f>
        <v>5044.1199999999999</v>
      </c>
      <c r="J27" s="134">
        <f>+'II-B-1'!T45</f>
        <v>2493082806.52</v>
      </c>
      <c r="K27" s="134">
        <f>+'II-B-1'!U45</f>
        <v>0</v>
      </c>
      <c r="L27" s="134">
        <f>+'II-B-1'!V45</f>
        <v>0</v>
      </c>
      <c r="M27" s="134">
        <f t="shared" si="0"/>
        <v>2493082806.52</v>
      </c>
    </row>
    <row r="28" spans="1:13" ht="12.75">
      <c r="A28" s="6" t="s">
        <v>77</v>
      </c>
      <c r="B28" s="74" t="s">
        <v>78</v>
      </c>
      <c r="C28" s="134">
        <f>+'II-B-1'!I46</f>
        <v>1652238990.3599999</v>
      </c>
      <c r="D28" s="134">
        <f>+'II-B-1'!N46</f>
        <v>0</v>
      </c>
      <c r="E28" s="134">
        <f>+'II-B-1'!O46</f>
        <v>0</v>
      </c>
      <c r="F28" s="134">
        <f>+'II-B-1'!P46</f>
        <v>0</v>
      </c>
      <c r="G28" s="134">
        <f>+'II-B-1'!Q46</f>
        <v>0</v>
      </c>
      <c r="H28" s="134">
        <f>+'II-B-1'!R46</f>
        <v>1652238990.3599999</v>
      </c>
      <c r="I28" s="134">
        <f>+'II-B-1'!S46</f>
        <v>0</v>
      </c>
      <c r="J28" s="134">
        <f>+'II-B-1'!T46</f>
        <v>1652238990.3599999</v>
      </c>
      <c r="K28" s="134">
        <f>+'II-B-1'!U46</f>
        <v>0</v>
      </c>
      <c r="L28" s="134">
        <f>+'II-B-1'!V46</f>
        <v>0</v>
      </c>
      <c r="M28" s="134">
        <f t="shared" si="0"/>
        <v>1652238990.3599999</v>
      </c>
    </row>
    <row r="29" spans="1:13" ht="12.75">
      <c r="A29" s="6" t="s">
        <v>79</v>
      </c>
      <c r="B29" s="6" t="s">
        <v>80</v>
      </c>
      <c r="C29" s="134">
        <f>+'II-B-1'!I47</f>
        <v>574147483.07000005</v>
      </c>
      <c r="D29" s="134">
        <f>+'II-B-1'!N47</f>
        <v>0</v>
      </c>
      <c r="E29" s="134">
        <f>+'II-B-1'!O47</f>
        <v>0</v>
      </c>
      <c r="F29" s="134">
        <f>+'II-B-1'!P47</f>
        <v>0</v>
      </c>
      <c r="G29" s="134">
        <f>+'II-B-1'!Q47</f>
        <v>0</v>
      </c>
      <c r="H29" s="134">
        <f>+'II-B-1'!R47</f>
        <v>0</v>
      </c>
      <c r="I29" s="134">
        <f>+'II-B-1'!S47</f>
        <v>0</v>
      </c>
      <c r="J29" s="134">
        <f>+'II-B-1'!T47</f>
        <v>0</v>
      </c>
      <c r="K29" s="134">
        <f>+'II-B-1'!U47</f>
        <v>574147483.07000005</v>
      </c>
      <c r="L29" s="134">
        <f>+'II-B-1'!V47</f>
        <v>0</v>
      </c>
      <c r="M29" s="134">
        <f t="shared" si="0"/>
        <v>574147483.07000005</v>
      </c>
    </row>
    <row r="30" spans="1:13" ht="12.75">
      <c r="A30" s="6" t="s">
        <v>81</v>
      </c>
      <c r="B30" s="6" t="s">
        <v>6</v>
      </c>
      <c r="C30" s="134">
        <f>+'II-B-1'!I48</f>
        <v>54631096.93</v>
      </c>
      <c r="D30" s="134">
        <f>+'II-B-1'!N48</f>
        <v>0</v>
      </c>
      <c r="E30" s="134">
        <f>+'II-B-1'!O48</f>
        <v>0</v>
      </c>
      <c r="F30" s="134">
        <f>+'II-B-1'!P48</f>
        <v>0</v>
      </c>
      <c r="G30" s="134">
        <f>+'II-B-1'!Q48</f>
        <v>0</v>
      </c>
      <c r="H30" s="134">
        <f>+'II-B-1'!R48</f>
        <v>54631096.93</v>
      </c>
      <c r="I30" s="134">
        <f>+'II-B-1'!S48</f>
        <v>0</v>
      </c>
      <c r="J30" s="134">
        <f>+'II-B-1'!T48</f>
        <v>54631096.93</v>
      </c>
      <c r="K30" s="134">
        <f>+'II-B-1'!U48</f>
        <v>0</v>
      </c>
      <c r="L30" s="134">
        <f>+'II-B-1'!V48</f>
        <v>0</v>
      </c>
      <c r="M30" s="134">
        <f t="shared" si="0"/>
        <v>54631096.93</v>
      </c>
    </row>
    <row r="31" spans="1:13" ht="12.75">
      <c r="A31" s="6" t="s">
        <v>82</v>
      </c>
      <c r="B31" s="6" t="s">
        <v>7</v>
      </c>
      <c r="C31" s="134">
        <f>+'II-B-1'!I49</f>
        <v>0</v>
      </c>
      <c r="D31" s="134">
        <f>+'II-B-1'!N49</f>
        <v>0</v>
      </c>
      <c r="E31" s="134">
        <f>+'II-B-1'!O49</f>
        <v>0</v>
      </c>
      <c r="F31" s="134">
        <f>+'II-B-1'!P49</f>
        <v>0</v>
      </c>
      <c r="G31" s="134">
        <f>+'II-B-1'!Q49</f>
        <v>0</v>
      </c>
      <c r="H31" s="134">
        <f>+'II-B-1'!R49</f>
        <v>0</v>
      </c>
      <c r="I31" s="134">
        <f>+'II-B-1'!S49</f>
        <v>0</v>
      </c>
      <c r="J31" s="134">
        <f>+'II-B-1'!T49</f>
        <v>0</v>
      </c>
      <c r="K31" s="134">
        <f>+'II-B-1'!U49</f>
        <v>0</v>
      </c>
      <c r="L31" s="134">
        <f>+'II-B-1'!V49</f>
        <v>0</v>
      </c>
      <c r="M31" s="134">
        <f t="shared" si="0"/>
        <v>0</v>
      </c>
    </row>
    <row r="32" spans="1:13" ht="12.75">
      <c r="A32" s="6" t="s">
        <v>112</v>
      </c>
      <c r="B32" s="6" t="s">
        <v>8</v>
      </c>
      <c r="C32" s="134">
        <f>+'II-B-1'!I50</f>
        <v>437411078.04000002</v>
      </c>
      <c r="D32" s="134">
        <f>+'II-B-1'!N50</f>
        <v>0</v>
      </c>
      <c r="E32" s="134">
        <f>+'II-B-1'!O50</f>
        <v>0</v>
      </c>
      <c r="F32" s="134">
        <f>+'II-B-1'!P50</f>
        <v>0</v>
      </c>
      <c r="G32" s="134">
        <f>+'II-B-1'!Q50</f>
        <v>0</v>
      </c>
      <c r="H32" s="134">
        <f>+'II-B-1'!R50</f>
        <v>437403825.88999999</v>
      </c>
      <c r="I32" s="134">
        <f>+'II-B-1'!S50</f>
        <v>7252.1499999999996</v>
      </c>
      <c r="J32" s="134">
        <f>+'II-B-1'!T50</f>
        <v>437411078.03999996</v>
      </c>
      <c r="K32" s="134">
        <f>+'II-B-1'!U50</f>
        <v>0</v>
      </c>
      <c r="L32" s="134">
        <f>+'II-B-1'!V50</f>
        <v>0</v>
      </c>
      <c r="M32" s="134">
        <f t="shared" si="0"/>
        <v>437411078.03999996</v>
      </c>
    </row>
    <row r="33" spans="1:13" ht="12.75">
      <c r="A33" s="6" t="s">
        <v>83</v>
      </c>
      <c r="B33" s="6" t="s">
        <v>44</v>
      </c>
      <c r="C33" s="134">
        <f>+'II-B-1'!I51</f>
        <v>96116029.030000001</v>
      </c>
      <c r="D33" s="134">
        <f>+'II-B-1'!N51</f>
        <v>24591238.710000001</v>
      </c>
      <c r="E33" s="134">
        <f>+'II-B-1'!O51</f>
        <v>49119.300000000003</v>
      </c>
      <c r="F33" s="134">
        <f>+'II-B-1'!P51</f>
        <v>0</v>
      </c>
      <c r="G33" s="134">
        <f>+'II-B-1'!Q51</f>
        <v>24640358.010000002</v>
      </c>
      <c r="H33" s="134">
        <f>+'II-B-1'!R51</f>
        <v>71344821.219999999</v>
      </c>
      <c r="I33" s="134">
        <f>+'II-B-1'!S51</f>
        <v>130849.8</v>
      </c>
      <c r="J33" s="134">
        <f>+'II-B-1'!T51</f>
        <v>71475671.019999996</v>
      </c>
      <c r="K33" s="134">
        <f>+'II-B-1'!U51</f>
        <v>0</v>
      </c>
      <c r="L33" s="134">
        <f>+'II-B-1'!V51</f>
        <v>0</v>
      </c>
      <c r="M33" s="134">
        <f t="shared" si="0"/>
        <v>96116029.030000001</v>
      </c>
    </row>
    <row r="34" spans="1:13" ht="12.75">
      <c r="A34" s="6" t="s">
        <v>85</v>
      </c>
      <c r="B34" s="6" t="s">
        <v>44</v>
      </c>
      <c r="C34" s="137">
        <f>+'II-B-2'!I16</f>
        <v>33672086.140000001</v>
      </c>
      <c r="D34" s="137">
        <f>+'II-B-2'!N16</f>
        <v>7424940.2999999998</v>
      </c>
      <c r="E34" s="137">
        <f>+'II-B-2'!O16</f>
        <v>370948.76000000001</v>
      </c>
      <c r="F34" s="137">
        <f>+'II-B-2'!P16</f>
        <v>0</v>
      </c>
      <c r="G34" s="137">
        <f>+'II-B-2'!Q16</f>
        <v>7795889.0599999996</v>
      </c>
      <c r="H34" s="137">
        <f>+'II-B-2'!R16</f>
        <v>19410065.620000001</v>
      </c>
      <c r="I34" s="137">
        <f>+'II-B-2'!S16</f>
        <v>0</v>
      </c>
      <c r="J34" s="137">
        <f>+'II-B-2'!T16</f>
        <v>19410065.620000001</v>
      </c>
      <c r="K34" s="137">
        <f>+'II-B-2'!U16</f>
        <v>3908190.4500000002</v>
      </c>
      <c r="L34" s="137">
        <f>+'II-B-2'!V16</f>
        <v>2557941.0099999998</v>
      </c>
      <c r="M34" s="134">
        <f t="shared" si="0"/>
        <v>33672086.140000001</v>
      </c>
    </row>
    <row r="35" spans="1:13" ht="12.75">
      <c r="A35" s="6" t="s">
        <v>86</v>
      </c>
      <c r="B35" s="6" t="s">
        <v>50</v>
      </c>
      <c r="C35" s="137">
        <f>+'II-B-2'!I17</f>
        <v>142598.20000000001</v>
      </c>
      <c r="D35" s="137">
        <f>+'II-B-2'!N17</f>
        <v>60493.900000000001</v>
      </c>
      <c r="E35" s="137">
        <f>+'II-B-2'!O17</f>
        <v>0</v>
      </c>
      <c r="F35" s="137">
        <f>+'II-B-2'!P17</f>
        <v>0</v>
      </c>
      <c r="G35" s="137">
        <f>+'II-B-2'!Q17</f>
        <v>60493.900000000001</v>
      </c>
      <c r="H35" s="137">
        <f>+'II-B-2'!R17</f>
        <v>78748.830000000002</v>
      </c>
      <c r="I35" s="137">
        <f>+'II-B-2'!S17</f>
        <v>0</v>
      </c>
      <c r="J35" s="137">
        <f>+'II-B-2'!T17</f>
        <v>78748.830000000002</v>
      </c>
      <c r="K35" s="137">
        <f>+'II-B-2'!U17</f>
        <v>3342.98</v>
      </c>
      <c r="L35" s="137">
        <f>+'II-B-2'!V17</f>
        <v>12.49</v>
      </c>
      <c r="M35" s="134">
        <f t="shared" si="0"/>
        <v>142598.20000000001</v>
      </c>
    </row>
    <row r="36" spans="1:13" ht="12.75">
      <c r="A36" s="6" t="s">
        <v>87</v>
      </c>
      <c r="B36" s="6" t="s">
        <v>45</v>
      </c>
      <c r="C36" s="137">
        <f>+'II-B-2'!I18</f>
        <v>260440631.03999999</v>
      </c>
      <c r="D36" s="137">
        <f>+'II-B-2'!N18</f>
        <v>79087518.310000002</v>
      </c>
      <c r="E36" s="137">
        <f>+'II-B-2'!O18</f>
        <v>1443397.0500000001</v>
      </c>
      <c r="F36" s="137">
        <f>+'II-B-2'!P18</f>
        <v>0</v>
      </c>
      <c r="G36" s="137">
        <f>+'II-B-2'!Q18</f>
        <v>80530915.359999999</v>
      </c>
      <c r="H36" s="137">
        <f>+'II-B-2'!R18</f>
        <v>141498136</v>
      </c>
      <c r="I36" s="137">
        <f>+'II-B-2'!S18</f>
        <v>0</v>
      </c>
      <c r="J36" s="137">
        <f>+'II-B-2'!T18</f>
        <v>141498136</v>
      </c>
      <c r="K36" s="137">
        <f>+'II-B-2'!U18</f>
        <v>24868885.27</v>
      </c>
      <c r="L36" s="137">
        <f>+'II-B-2'!V18</f>
        <v>13542694.41</v>
      </c>
      <c r="M36" s="134">
        <f t="shared" si="0"/>
        <v>260440631.04000002</v>
      </c>
    </row>
    <row r="37" spans="1:13" ht="12.75">
      <c r="A37" s="6" t="s">
        <v>88</v>
      </c>
      <c r="B37" s="6" t="s">
        <v>9</v>
      </c>
      <c r="C37" s="137">
        <f>+'II-B-2'!I19</f>
        <v>324192957.91000003</v>
      </c>
      <c r="D37" s="137">
        <f>+'II-B-2'!N19</f>
        <v>75000689.75</v>
      </c>
      <c r="E37" s="137">
        <f>+'II-B-2'!O19</f>
        <v>2148448.23</v>
      </c>
      <c r="F37" s="137">
        <f>+'II-B-2'!P19</f>
        <v>0</v>
      </c>
      <c r="G37" s="137">
        <f>+'II-B-2'!Q19</f>
        <v>77149137.980000004</v>
      </c>
      <c r="H37" s="137">
        <f>+'II-B-2'!R19</f>
        <v>96093234.140000001</v>
      </c>
      <c r="I37" s="137">
        <f>+'II-B-2'!S19</f>
        <v>0</v>
      </c>
      <c r="J37" s="137">
        <f>+'II-B-2'!T19</f>
        <v>96093234.140000001</v>
      </c>
      <c r="K37" s="137">
        <f>+'II-B-2'!U19</f>
        <v>66950477.740000002</v>
      </c>
      <c r="L37" s="137">
        <f>+'II-B-2'!V19</f>
        <v>84000108.049999997</v>
      </c>
      <c r="M37" s="134">
        <f t="shared" si="0"/>
        <v>324192957.91000003</v>
      </c>
    </row>
    <row r="38" spans="1:13" ht="12.75">
      <c r="A38" s="6" t="s">
        <v>89</v>
      </c>
      <c r="B38" s="6" t="s">
        <v>90</v>
      </c>
      <c r="C38" s="137">
        <f>+'II-B-2'!I20</f>
        <v>22863062.02</v>
      </c>
      <c r="D38" s="137">
        <f>+'II-B-2'!N20</f>
        <v>8759080.5800000001</v>
      </c>
      <c r="E38" s="137">
        <f>+'II-B-2'!O20</f>
        <v>1387552.03</v>
      </c>
      <c r="F38" s="137">
        <f>+'II-B-2'!P20</f>
        <v>0</v>
      </c>
      <c r="G38" s="137">
        <f>+'II-B-2'!Q20</f>
        <v>10146632.609999999</v>
      </c>
      <c r="H38" s="137">
        <f>+'II-B-2'!R20</f>
        <v>12716429.41</v>
      </c>
      <c r="I38" s="137">
        <f>+'II-B-2'!S20</f>
        <v>0</v>
      </c>
      <c r="J38" s="137">
        <f>+'II-B-2'!T20</f>
        <v>12716429.41</v>
      </c>
      <c r="K38" s="137">
        <f>+'II-B-2'!U20</f>
        <v>0</v>
      </c>
      <c r="L38" s="137">
        <f>+'II-B-2'!V20</f>
        <v>0</v>
      </c>
      <c r="M38" s="134">
        <f t="shared" si="0"/>
        <v>22863062.02</v>
      </c>
    </row>
    <row r="39" spans="1:13" ht="12.75">
      <c r="A39" s="6" t="s">
        <v>91</v>
      </c>
      <c r="B39" s="6" t="s">
        <v>10</v>
      </c>
      <c r="C39" s="137">
        <f>+'II-B-2'!I21</f>
        <v>4996536.5899999999</v>
      </c>
      <c r="D39" s="137">
        <f>+'II-B-2'!N21</f>
        <v>1193181.8300000001</v>
      </c>
      <c r="E39" s="137">
        <f>+'II-B-2'!O21</f>
        <v>0</v>
      </c>
      <c r="F39" s="137">
        <f>+'II-B-2'!P21</f>
        <v>0</v>
      </c>
      <c r="G39" s="137">
        <f>+'II-B-2'!Q21</f>
        <v>1193181.8300000001</v>
      </c>
      <c r="H39" s="137">
        <f>+'II-B-2'!R21</f>
        <v>3228206.2200000002</v>
      </c>
      <c r="I39" s="137">
        <f>+'II-B-2'!S21</f>
        <v>0</v>
      </c>
      <c r="J39" s="137">
        <f>+'II-B-2'!T21</f>
        <v>3228206.2200000002</v>
      </c>
      <c r="K39" s="137">
        <f>+'II-B-2'!U21</f>
        <v>575148.54000000004</v>
      </c>
      <c r="L39" s="137">
        <f>+'II-B-2'!V21</f>
        <v>0</v>
      </c>
      <c r="M39" s="134">
        <f t="shared" si="0"/>
        <v>4996536.5900000008</v>
      </c>
    </row>
    <row r="40" spans="1:13" ht="12.75">
      <c r="A40" s="6" t="s">
        <v>92</v>
      </c>
      <c r="B40" s="6" t="s">
        <v>11</v>
      </c>
      <c r="C40" s="137">
        <f>+'II-B-2'!I22</f>
        <v>43428584.539999999</v>
      </c>
      <c r="D40" s="137">
        <f>+'II-B-2'!N22</f>
        <v>14793725.09</v>
      </c>
      <c r="E40" s="137">
        <f>+'II-B-2'!O22</f>
        <v>83350.940000000002</v>
      </c>
      <c r="F40" s="137">
        <f>+'II-B-2'!P22</f>
        <v>0</v>
      </c>
      <c r="G40" s="137">
        <f>+'II-B-2'!Q22</f>
        <v>14877076.029999999</v>
      </c>
      <c r="H40" s="137">
        <f>+'II-B-2'!R22</f>
        <v>25982536.489999998</v>
      </c>
      <c r="I40" s="137">
        <f>+'II-B-2'!S22</f>
        <v>0</v>
      </c>
      <c r="J40" s="137">
        <f>+'II-B-2'!T22</f>
        <v>25982536.489999998</v>
      </c>
      <c r="K40" s="137">
        <f>+'II-B-2'!U22</f>
        <v>2568972.02</v>
      </c>
      <c r="L40" s="137">
        <f>+'II-B-2'!V22</f>
        <v>0</v>
      </c>
      <c r="M40" s="134">
        <f t="shared" si="0"/>
        <v>43428584.539999999</v>
      </c>
    </row>
    <row r="41" spans="1:13" ht="12.75">
      <c r="A41" s="6" t="s">
        <v>93</v>
      </c>
      <c r="B41" s="6" t="s">
        <v>94</v>
      </c>
      <c r="C41" s="137">
        <f>+'II-B-2'!I23</f>
        <v>51910323.740000002</v>
      </c>
      <c r="D41" s="137">
        <f>+'II-B-2'!N23</f>
        <v>30439015.969999999</v>
      </c>
      <c r="E41" s="137">
        <f>+'II-B-2'!O23</f>
        <v>0</v>
      </c>
      <c r="F41" s="137">
        <f>+'II-B-2'!P23</f>
        <v>0</v>
      </c>
      <c r="G41" s="137">
        <f>+'II-B-2'!Q23</f>
        <v>30439015.969999999</v>
      </c>
      <c r="H41" s="137">
        <f>+'II-B-2'!R23</f>
        <v>17734119.199999999</v>
      </c>
      <c r="I41" s="137">
        <f>+'II-B-2'!S23</f>
        <v>0</v>
      </c>
      <c r="J41" s="137">
        <f>+'II-B-2'!T23</f>
        <v>17734119.199999999</v>
      </c>
      <c r="K41" s="137">
        <f>+'II-B-2'!U23</f>
        <v>3737188.5699999998</v>
      </c>
      <c r="L41" s="137">
        <f>+'II-B-2'!V23</f>
        <v>0</v>
      </c>
      <c r="M41" s="134">
        <f t="shared" si="0"/>
        <v>51910323.740000002</v>
      </c>
    </row>
    <row r="42" spans="1:13" ht="12.75">
      <c r="A42" s="6" t="s">
        <v>95</v>
      </c>
      <c r="B42" s="6" t="s">
        <v>96</v>
      </c>
      <c r="C42" s="137">
        <f>+'II-B-2'!I24</f>
        <v>12897886.42</v>
      </c>
      <c r="D42" s="137">
        <f>+'II-B-2'!N24</f>
        <v>3982231.1000000001</v>
      </c>
      <c r="E42" s="137">
        <f>+'II-B-2'!O24</f>
        <v>358439.65000000002</v>
      </c>
      <c r="F42" s="137">
        <f>+'II-B-2'!P24</f>
        <v>0</v>
      </c>
      <c r="G42" s="137">
        <f>+'II-B-2'!Q24</f>
        <v>4340670.75</v>
      </c>
      <c r="H42" s="137">
        <f>+'II-B-2'!R24</f>
        <v>7626625.3200000003</v>
      </c>
      <c r="I42" s="137">
        <f>+'II-B-2'!S24</f>
        <v>0</v>
      </c>
      <c r="J42" s="137">
        <f>+'II-B-2'!T24</f>
        <v>7626625.3200000003</v>
      </c>
      <c r="K42" s="137">
        <f>+'II-B-2'!U24</f>
        <v>930590.34999999998</v>
      </c>
      <c r="L42" s="137">
        <f>+'II-B-2'!V24</f>
        <v>0</v>
      </c>
      <c r="M42" s="134">
        <f t="shared" si="0"/>
        <v>12897886.42</v>
      </c>
    </row>
    <row r="43" spans="1:13" ht="12.75">
      <c r="A43" s="6" t="s">
        <v>97</v>
      </c>
      <c r="B43" s="6" t="s">
        <v>98</v>
      </c>
      <c r="C43" s="137">
        <f>+'II-B-3'!I16</f>
        <v>190342401.91999999</v>
      </c>
      <c r="D43" s="137">
        <f>+'II-B-3'!N16</f>
        <v>81744122.480000004</v>
      </c>
      <c r="E43" s="137">
        <f>+'II-B-3'!O16</f>
        <v>16570.82</v>
      </c>
      <c r="F43" s="137">
        <f>+'II-B-3'!P16</f>
        <v>0</v>
      </c>
      <c r="G43" s="137">
        <f>+'II-B-3'!Q16</f>
        <v>81760693.299999997</v>
      </c>
      <c r="H43" s="137">
        <f>+'II-B-3'!R16</f>
        <v>61337953.159999996</v>
      </c>
      <c r="I43" s="137">
        <f>+'II-B-3'!S16</f>
        <v>0</v>
      </c>
      <c r="J43" s="137">
        <f>+'II-B-3'!T16</f>
        <v>61337953.159999996</v>
      </c>
      <c r="K43" s="137">
        <f>+'II-B-3'!U16</f>
        <v>45688861.039999999</v>
      </c>
      <c r="L43" s="137">
        <f>+'II-B-3'!V16</f>
        <v>1554894.4199999999</v>
      </c>
      <c r="M43" s="134">
        <f t="shared" si="0"/>
        <v>190342401.91999996</v>
      </c>
    </row>
    <row r="44" spans="1:13" ht="12.75">
      <c r="A44" s="6" t="s">
        <v>99</v>
      </c>
      <c r="B44" s="6" t="s">
        <v>12</v>
      </c>
      <c r="C44" s="137">
        <f>+'II-B-2'!I28</f>
        <v>12767813.69</v>
      </c>
      <c r="D44" s="137">
        <f>+'II-B-2'!N28</f>
        <v>5788727.4000000004</v>
      </c>
      <c r="E44" s="137">
        <f>+'II-B-2'!O28</f>
        <v>31366.919999999998</v>
      </c>
      <c r="F44" s="137">
        <f>+'II-B-2'!P28</f>
        <v>0</v>
      </c>
      <c r="G44" s="137">
        <f>+'II-B-2'!Q28</f>
        <v>5820094.3200000003</v>
      </c>
      <c r="H44" s="137">
        <f>+'II-B-2'!R28</f>
        <v>5763893.6799999997</v>
      </c>
      <c r="I44" s="137">
        <f>+'II-B-2'!S28</f>
        <v>0</v>
      </c>
      <c r="J44" s="137">
        <f>+'II-B-2'!T28</f>
        <v>5763893.6799999997</v>
      </c>
      <c r="K44" s="137">
        <f>+'II-B-2'!U28</f>
        <v>1183825.6899999999</v>
      </c>
      <c r="L44" s="137">
        <f>+'II-B-2'!V28</f>
        <v>0</v>
      </c>
      <c r="M44" s="134">
        <f t="shared" si="0"/>
        <v>12767813.69</v>
      </c>
    </row>
    <row r="45" spans="1:13" ht="12.75">
      <c r="A45" s="6" t="s">
        <v>200</v>
      </c>
      <c r="B45" s="6" t="s">
        <v>201</v>
      </c>
      <c r="C45" s="137">
        <f>+'II-B-2'!I29</f>
        <v>0</v>
      </c>
      <c r="D45" s="137">
        <f>+'II-B-2'!N29</f>
        <v>0</v>
      </c>
      <c r="E45" s="137">
        <f>+'II-B-2'!O29</f>
        <v>0</v>
      </c>
      <c r="F45" s="137">
        <f>+'II-B-2'!P29</f>
        <v>0</v>
      </c>
      <c r="G45" s="137">
        <f>+'II-B-2'!Q29</f>
        <v>0</v>
      </c>
      <c r="H45" s="137">
        <f>+'II-B-2'!R29</f>
        <v>0</v>
      </c>
      <c r="I45" s="137">
        <f>+'II-B-2'!S29</f>
        <v>0</v>
      </c>
      <c r="J45" s="137">
        <f>+'II-B-2'!T29</f>
        <v>0</v>
      </c>
      <c r="K45" s="137">
        <f>+'II-B-2'!U29</f>
        <v>0</v>
      </c>
      <c r="L45" s="137">
        <f>+'II-B-2'!V29</f>
        <v>0</v>
      </c>
      <c r="M45" s="134">
        <f t="shared" si="0"/>
        <v>0</v>
      </c>
    </row>
    <row r="46" spans="1:13" ht="12.75">
      <c r="A46" s="6"/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</row>
    <row r="47" spans="1:13" ht="18">
      <c r="A47" s="379" t="s">
        <v>206</v>
      </c>
      <c r="B47" s="379"/>
      <c r="C47" s="379"/>
      <c r="D47" s="379"/>
      <c r="E47" s="379"/>
      <c r="F47" s="379"/>
      <c r="G47" s="379"/>
      <c r="H47" s="379"/>
      <c r="I47" s="379"/>
      <c r="J47" s="379"/>
      <c r="K47" s="379"/>
      <c r="L47" s="379"/>
      <c r="M47" s="379"/>
    </row>
    <row r="48" spans="1:13" ht="12.75">
      <c r="A48" s="6" t="s">
        <v>38</v>
      </c>
      <c r="B48" s="6" t="s">
        <v>39</v>
      </c>
      <c r="C48" s="137">
        <f>+'II-B-5'!I17</f>
        <v>0</v>
      </c>
      <c r="D48" s="137">
        <f>+'II-B-5'!N17</f>
        <v>0</v>
      </c>
      <c r="E48" s="137">
        <f>+'II-B-5'!O17</f>
        <v>0</v>
      </c>
      <c r="F48" s="137">
        <f>+'II-B-5'!P17</f>
        <v>0</v>
      </c>
      <c r="G48" s="137">
        <f>+'II-B-5'!Q17</f>
        <v>0</v>
      </c>
      <c r="H48" s="137">
        <f>+'II-B-5'!R17</f>
        <v>0</v>
      </c>
      <c r="I48" s="137">
        <f>+'II-B-5'!S17</f>
        <v>0</v>
      </c>
      <c r="J48" s="137">
        <f>+'II-B-5'!T17</f>
        <v>0</v>
      </c>
      <c r="K48" s="137">
        <f>+'II-B-5'!U17</f>
        <v>0</v>
      </c>
      <c r="L48" s="137">
        <f>+'II-B-5'!V17</f>
        <v>0</v>
      </c>
      <c r="M48" s="134">
        <f t="shared" si="1" ref="M48:M86">+G48+J48+K48+L48</f>
        <v>0</v>
      </c>
    </row>
    <row r="49" spans="1:13" ht="12.75">
      <c r="A49" s="6" t="s">
        <v>41</v>
      </c>
      <c r="B49" s="6" t="s">
        <v>125</v>
      </c>
      <c r="C49" s="137">
        <f>+'II-B-5'!I18</f>
        <v>0</v>
      </c>
      <c r="D49" s="137">
        <f>+'II-B-5'!N18</f>
        <v>0</v>
      </c>
      <c r="E49" s="137">
        <f>+'II-B-5'!O18</f>
        <v>0</v>
      </c>
      <c r="F49" s="137">
        <f>+'II-B-5'!P18</f>
        <v>0</v>
      </c>
      <c r="G49" s="137">
        <f>+'II-B-5'!Q18</f>
        <v>0</v>
      </c>
      <c r="H49" s="137">
        <f>+'II-B-5'!R18</f>
        <v>0</v>
      </c>
      <c r="I49" s="137">
        <f>+'II-B-5'!S18</f>
        <v>0</v>
      </c>
      <c r="J49" s="137">
        <f>+'II-B-5'!T18</f>
        <v>0</v>
      </c>
      <c r="K49" s="137">
        <f>+'II-B-5'!U18</f>
        <v>0</v>
      </c>
      <c r="L49" s="137">
        <f>+'II-B-5'!V18</f>
        <v>0</v>
      </c>
      <c r="M49" s="134">
        <f t="shared" si="1"/>
        <v>0</v>
      </c>
    </row>
    <row r="50" spans="1:15" ht="12.75">
      <c r="A50" s="6" t="s">
        <v>42</v>
      </c>
      <c r="B50" s="6" t="s">
        <v>43</v>
      </c>
      <c r="C50" s="137">
        <f>+'II-B-5'!I19</f>
        <v>452767876</v>
      </c>
      <c r="D50" s="137">
        <f>+'II-B-5'!N19</f>
        <v>99337445.870000005</v>
      </c>
      <c r="E50" s="137">
        <f>+'II-B-5'!O19</f>
        <v>0</v>
      </c>
      <c r="F50" s="137">
        <f>+'II-B-5'!P19</f>
        <v>0</v>
      </c>
      <c r="G50" s="137">
        <f>+'II-B-5'!Q19</f>
        <v>99337445.870000005</v>
      </c>
      <c r="H50" s="137">
        <f>+'II-B-5'!R19</f>
        <v>114122847.83</v>
      </c>
      <c r="I50" s="137">
        <f>+'II-B-5'!S19</f>
        <v>0</v>
      </c>
      <c r="J50" s="137">
        <f>+'II-B-5'!T19</f>
        <v>114122847.83</v>
      </c>
      <c r="K50" s="137">
        <f>+'II-B-5'!U19</f>
        <v>155161422.72999999</v>
      </c>
      <c r="L50" s="137">
        <f>+'II-B-5'!V19</f>
        <v>84146159.569999993</v>
      </c>
      <c r="M50" s="134">
        <f t="shared" si="1"/>
        <v>452767875.99999994</v>
      </c>
      <c r="O50" s="284"/>
    </row>
    <row r="51" spans="1:13" ht="12.75">
      <c r="A51" s="6" t="s">
        <v>48</v>
      </c>
      <c r="B51" s="6" t="s">
        <v>44</v>
      </c>
      <c r="C51" s="137">
        <f>+'II-B-5'!I25</f>
        <v>0</v>
      </c>
      <c r="D51" s="137">
        <f>+'II-B-5'!N25</f>
        <v>0</v>
      </c>
      <c r="E51" s="137">
        <f>+'II-B-5'!O25</f>
        <v>0</v>
      </c>
      <c r="F51" s="137">
        <f>+'II-B-5'!P25</f>
        <v>0</v>
      </c>
      <c r="G51" s="137">
        <f>+'II-B-5'!Q25</f>
        <v>0</v>
      </c>
      <c r="H51" s="137">
        <f>+'II-B-5'!R25</f>
        <v>0</v>
      </c>
      <c r="I51" s="137">
        <f>+'II-B-5'!S25</f>
        <v>0</v>
      </c>
      <c r="J51" s="137">
        <f>+'II-B-5'!T25</f>
        <v>0</v>
      </c>
      <c r="K51" s="137">
        <f>+'II-B-5'!U25</f>
        <v>0</v>
      </c>
      <c r="L51" s="137">
        <f>+'II-B-5'!V25</f>
        <v>0</v>
      </c>
      <c r="M51" s="134">
        <f t="shared" si="1"/>
        <v>0</v>
      </c>
    </row>
    <row r="52" spans="1:15" ht="12.75">
      <c r="A52" s="6" t="s">
        <v>49</v>
      </c>
      <c r="B52" s="6" t="s">
        <v>50</v>
      </c>
      <c r="C52" s="137">
        <f>+'II-B-5'!I26</f>
        <v>106785501.3</v>
      </c>
      <c r="D52" s="137">
        <f>+'II-B-5'!N26</f>
        <v>98375413.930000007</v>
      </c>
      <c r="E52" s="137">
        <f>+'II-B-5'!O26</f>
        <v>8410087.3699999992</v>
      </c>
      <c r="F52" s="137">
        <f>+'II-B-5'!P26</f>
        <v>0</v>
      </c>
      <c r="G52" s="137">
        <f>+'II-B-5'!Q26</f>
        <v>106785501.30000001</v>
      </c>
      <c r="H52" s="137">
        <f>+'II-B-5'!R26</f>
        <v>0</v>
      </c>
      <c r="I52" s="137">
        <f>+'II-B-5'!S26</f>
        <v>0</v>
      </c>
      <c r="J52" s="137">
        <f>+'II-B-5'!T26</f>
        <v>0</v>
      </c>
      <c r="K52" s="137">
        <f>+'II-B-5'!U26</f>
        <v>0</v>
      </c>
      <c r="L52" s="137">
        <f>+'II-B-5'!V26</f>
        <v>0</v>
      </c>
      <c r="M52" s="134">
        <f t="shared" si="1"/>
        <v>106785501.30000001</v>
      </c>
      <c r="O52" s="284"/>
    </row>
    <row r="53" spans="1:15" ht="12.75">
      <c r="A53" s="6" t="s">
        <v>51</v>
      </c>
      <c r="B53" s="6" t="s">
        <v>45</v>
      </c>
      <c r="C53" s="137">
        <f>+'II-B-5'!I27</f>
        <v>128057112.69</v>
      </c>
      <c r="D53" s="137">
        <f>+'II-B-5'!N27</f>
        <v>107219725.90000001</v>
      </c>
      <c r="E53" s="137">
        <f>+'II-B-5'!O27</f>
        <v>19832907.059999999</v>
      </c>
      <c r="F53" s="137">
        <f>+'II-B-5'!P27</f>
        <v>1004479.73</v>
      </c>
      <c r="G53" s="137">
        <f>+'II-B-5'!Q27</f>
        <v>128057112.69000001</v>
      </c>
      <c r="H53" s="137">
        <f>+'II-B-5'!R27</f>
        <v>0</v>
      </c>
      <c r="I53" s="137">
        <f>+'II-B-5'!S27</f>
        <v>0</v>
      </c>
      <c r="J53" s="137">
        <f>+'II-B-5'!T27</f>
        <v>0</v>
      </c>
      <c r="K53" s="137">
        <f>+'II-B-5'!U27</f>
        <v>0</v>
      </c>
      <c r="L53" s="137">
        <f>+'II-B-5'!V27</f>
        <v>0</v>
      </c>
      <c r="M53" s="134">
        <f t="shared" si="1"/>
        <v>128057112.69000001</v>
      </c>
      <c r="O53" s="284"/>
    </row>
    <row r="54" spans="1:15" ht="12.75">
      <c r="A54" s="6" t="s">
        <v>52</v>
      </c>
      <c r="B54" s="6" t="s">
        <v>53</v>
      </c>
      <c r="C54" s="137">
        <f>+'II-B-5'!I28</f>
        <v>799387049.98000002</v>
      </c>
      <c r="D54" s="137">
        <f>+'II-B-5'!N28</f>
        <v>633373937.80999994</v>
      </c>
      <c r="E54" s="137">
        <f>+'II-B-5'!O28</f>
        <v>39720289.920000002</v>
      </c>
      <c r="F54" s="137">
        <f>+'II-B-5'!P28</f>
        <v>19952247.640000001</v>
      </c>
      <c r="G54" s="137">
        <f>+'II-B-5'!Q28</f>
        <v>693046475.36999989</v>
      </c>
      <c r="H54" s="137">
        <f>+'II-B-5'!R28</f>
        <v>97170477.010000005</v>
      </c>
      <c r="I54" s="137">
        <f>+'II-B-5'!S28</f>
        <v>9170097.5999999996</v>
      </c>
      <c r="J54" s="137">
        <f>+'II-B-5'!T28</f>
        <v>106340574.61</v>
      </c>
      <c r="K54" s="137">
        <f>+'II-B-5'!U28</f>
        <v>0</v>
      </c>
      <c r="L54" s="137">
        <f>+'II-B-5'!V28</f>
        <v>0</v>
      </c>
      <c r="M54" s="134">
        <f t="shared" si="1"/>
        <v>799387049.9799999</v>
      </c>
      <c r="O54" s="284"/>
    </row>
    <row r="55" spans="1:15" ht="12.75">
      <c r="A55" s="6" t="s">
        <v>54</v>
      </c>
      <c r="B55" s="6" t="s">
        <v>55</v>
      </c>
      <c r="C55" s="137">
        <f>+'II-B-5'!I29</f>
        <v>467580047.14999998</v>
      </c>
      <c r="D55" s="137">
        <f>+'II-B-5'!N29</f>
        <v>385888977.10000002</v>
      </c>
      <c r="E55" s="137">
        <f>+'II-B-5'!O29</f>
        <v>81691070.049999997</v>
      </c>
      <c r="F55" s="137">
        <f>+'II-B-5'!P29</f>
        <v>0</v>
      </c>
      <c r="G55" s="137">
        <f>+'II-B-5'!Q29</f>
        <v>467580047.15000004</v>
      </c>
      <c r="H55" s="137">
        <f>+'II-B-5'!R29</f>
        <v>0</v>
      </c>
      <c r="I55" s="137">
        <f>+'II-B-5'!S29</f>
        <v>0</v>
      </c>
      <c r="J55" s="137">
        <f>+'II-B-5'!T29</f>
        <v>0</v>
      </c>
      <c r="K55" s="137">
        <f>+'II-B-5'!U29</f>
        <v>0</v>
      </c>
      <c r="L55" s="137">
        <f>+'II-B-5'!V29</f>
        <v>0</v>
      </c>
      <c r="M55" s="134">
        <f t="shared" si="1"/>
        <v>467580047.15000004</v>
      </c>
      <c r="O55" s="284"/>
    </row>
    <row r="56" spans="1:15" ht="12.75">
      <c r="A56" s="6" t="s">
        <v>56</v>
      </c>
      <c r="B56" s="6" t="s">
        <v>57</v>
      </c>
      <c r="C56" s="137">
        <f>+'II-B-5'!I30</f>
        <v>664853703.49000001</v>
      </c>
      <c r="D56" s="137">
        <f>+'II-B-5'!N30</f>
        <v>613514516.63</v>
      </c>
      <c r="E56" s="137">
        <f>+'II-B-5'!O30</f>
        <v>51339186.859999999</v>
      </c>
      <c r="F56" s="137">
        <f>+'II-B-5'!P30</f>
        <v>0</v>
      </c>
      <c r="G56" s="137">
        <f>+'II-B-5'!Q30</f>
        <v>664853703.49000001</v>
      </c>
      <c r="H56" s="137">
        <f>+'II-B-5'!R30</f>
        <v>0</v>
      </c>
      <c r="I56" s="137">
        <f>+'II-B-5'!S30</f>
        <v>0</v>
      </c>
      <c r="J56" s="137">
        <f>+'II-B-5'!T30</f>
        <v>0</v>
      </c>
      <c r="K56" s="137">
        <f>+'II-B-5'!U30</f>
        <v>0</v>
      </c>
      <c r="L56" s="137">
        <f>+'II-B-5'!V30</f>
        <v>0</v>
      </c>
      <c r="M56" s="134">
        <f t="shared" si="1"/>
        <v>664853703.49000001</v>
      </c>
      <c r="O56" s="284"/>
    </row>
    <row r="57" spans="1:15" ht="12.75">
      <c r="A57" s="6" t="s">
        <v>58</v>
      </c>
      <c r="B57" s="6" t="s">
        <v>3</v>
      </c>
      <c r="C57" s="137">
        <f>+'II-B-5'!I31</f>
        <v>978999051.40999997</v>
      </c>
      <c r="D57" s="137">
        <f>+'II-B-5'!N31</f>
        <v>870706080.36000001</v>
      </c>
      <c r="E57" s="137">
        <f>+'II-B-5'!O31</f>
        <v>108292971.05</v>
      </c>
      <c r="F57" s="137">
        <f>+'II-B-5'!P31</f>
        <v>0</v>
      </c>
      <c r="G57" s="137">
        <f>+'II-B-5'!Q31</f>
        <v>978999051.40999997</v>
      </c>
      <c r="H57" s="137">
        <f>+'II-B-5'!R31</f>
        <v>0</v>
      </c>
      <c r="I57" s="137">
        <f>+'II-B-5'!S31</f>
        <v>0</v>
      </c>
      <c r="J57" s="137">
        <f>+'II-B-5'!T31</f>
        <v>0</v>
      </c>
      <c r="K57" s="137">
        <f>+'II-B-5'!U31</f>
        <v>0</v>
      </c>
      <c r="L57" s="137">
        <f>+'II-B-5'!V31</f>
        <v>0</v>
      </c>
      <c r="M57" s="134">
        <f t="shared" si="1"/>
        <v>978999051.40999997</v>
      </c>
      <c r="O57" s="284"/>
    </row>
    <row r="58" spans="1:15" ht="12.75">
      <c r="A58" s="6" t="s">
        <v>59</v>
      </c>
      <c r="B58" s="6" t="s">
        <v>60</v>
      </c>
      <c r="C58" s="137">
        <f>+'II-B-5'!I32</f>
        <v>19336447.609999999</v>
      </c>
      <c r="D58" s="137">
        <f>+'II-B-5'!N32</f>
        <v>19336447.609999999</v>
      </c>
      <c r="E58" s="137">
        <f>+'II-B-5'!O32</f>
        <v>0</v>
      </c>
      <c r="F58" s="137">
        <f>+'II-B-5'!P32</f>
        <v>0</v>
      </c>
      <c r="G58" s="137">
        <f>+'II-B-5'!Q32</f>
        <v>19336447.609999999</v>
      </c>
      <c r="H58" s="137">
        <f>+'II-B-5'!R32</f>
        <v>0</v>
      </c>
      <c r="I58" s="137">
        <f>+'II-B-5'!S32</f>
        <v>0</v>
      </c>
      <c r="J58" s="137">
        <f>+'II-B-5'!T32</f>
        <v>0</v>
      </c>
      <c r="K58" s="137">
        <f>+'II-B-5'!U32</f>
        <v>0</v>
      </c>
      <c r="L58" s="137">
        <f>+'II-B-5'!V32</f>
        <v>0</v>
      </c>
      <c r="M58" s="134">
        <f t="shared" si="1"/>
        <v>19336447.609999999</v>
      </c>
      <c r="O58" s="284"/>
    </row>
    <row r="59" spans="1:15" ht="12.75">
      <c r="A59" s="6" t="s">
        <v>61</v>
      </c>
      <c r="B59" s="6" t="s">
        <v>4</v>
      </c>
      <c r="C59" s="137">
        <f>+'II-B-5'!I33</f>
        <v>33548402.460000001</v>
      </c>
      <c r="D59" s="137">
        <f>+'II-B-5'!N33</f>
        <v>33548402.460000001</v>
      </c>
      <c r="E59" s="137">
        <f>+'II-B-5'!O33</f>
        <v>0</v>
      </c>
      <c r="F59" s="137">
        <f>+'II-B-5'!P33</f>
        <v>0</v>
      </c>
      <c r="G59" s="137">
        <f>+'II-B-5'!Q33</f>
        <v>33548402.460000001</v>
      </c>
      <c r="H59" s="137">
        <f>+'II-B-5'!R33</f>
        <v>0</v>
      </c>
      <c r="I59" s="137">
        <f>+'II-B-5'!S33</f>
        <v>0</v>
      </c>
      <c r="J59" s="137">
        <f>+'II-B-5'!T33</f>
        <v>0</v>
      </c>
      <c r="K59" s="137">
        <f>+'II-B-5'!U33</f>
        <v>0</v>
      </c>
      <c r="L59" s="137">
        <f>+'II-B-5'!V33</f>
        <v>0</v>
      </c>
      <c r="M59" s="134">
        <f t="shared" si="1"/>
        <v>33548402.460000001</v>
      </c>
      <c r="O59" s="284"/>
    </row>
    <row r="60" spans="1:13" ht="12.75">
      <c r="A60" s="6" t="s">
        <v>62</v>
      </c>
      <c r="B60" s="6" t="s">
        <v>63</v>
      </c>
      <c r="C60" s="137">
        <f>+'II-B-5'!I34</f>
        <v>0</v>
      </c>
      <c r="D60" s="137">
        <f>+'II-B-5'!N34</f>
        <v>0</v>
      </c>
      <c r="E60" s="137">
        <f>+'II-B-5'!O34</f>
        <v>0</v>
      </c>
      <c r="F60" s="137">
        <f>+'II-B-5'!P34</f>
        <v>0</v>
      </c>
      <c r="G60" s="137">
        <f>+'II-B-5'!Q34</f>
        <v>0</v>
      </c>
      <c r="H60" s="137">
        <f>+'II-B-5'!R34</f>
        <v>0</v>
      </c>
      <c r="I60" s="137">
        <f>+'II-B-5'!S34</f>
        <v>0</v>
      </c>
      <c r="J60" s="137">
        <f>+'II-B-5'!T34</f>
        <v>0</v>
      </c>
      <c r="K60" s="137">
        <f>+'II-B-5'!U34</f>
        <v>0</v>
      </c>
      <c r="L60" s="137">
        <f>+'II-B-5'!V34</f>
        <v>0</v>
      </c>
      <c r="M60" s="134">
        <f t="shared" si="1"/>
        <v>0</v>
      </c>
    </row>
    <row r="61" spans="1:15" ht="12.75">
      <c r="A61" s="6" t="s">
        <v>65</v>
      </c>
      <c r="B61" s="6" t="s">
        <v>50</v>
      </c>
      <c r="C61" s="137">
        <f>+'II-B-5'!I40</f>
        <v>9934119.3100000005</v>
      </c>
      <c r="D61" s="137">
        <f>+'II-B-5'!N40</f>
        <v>238774.92999999999</v>
      </c>
      <c r="E61" s="137">
        <f>+'II-B-5'!O40</f>
        <v>0</v>
      </c>
      <c r="F61" s="137">
        <f>+'II-B-5'!P40</f>
        <v>0</v>
      </c>
      <c r="G61" s="137">
        <f>+'II-B-5'!Q40</f>
        <v>238774.92999999999</v>
      </c>
      <c r="H61" s="137">
        <f>+'II-B-5'!R40</f>
        <v>9695344.3800000008</v>
      </c>
      <c r="I61" s="137">
        <f>+'II-B-5'!S40</f>
        <v>0</v>
      </c>
      <c r="J61" s="137">
        <f>+'II-B-5'!T40</f>
        <v>9695344.3800000008</v>
      </c>
      <c r="K61" s="137">
        <f>+'II-B-5'!U40</f>
        <v>0</v>
      </c>
      <c r="L61" s="137">
        <f>+'II-B-5'!V40</f>
        <v>0</v>
      </c>
      <c r="M61" s="134">
        <f t="shared" si="1"/>
        <v>9934119.3100000005</v>
      </c>
      <c r="O61" s="284"/>
    </row>
    <row r="62" spans="1:15" ht="12.75">
      <c r="A62" s="6" t="s">
        <v>66</v>
      </c>
      <c r="B62" s="6" t="s">
        <v>45</v>
      </c>
      <c r="C62" s="137">
        <f>+'II-B-5'!I41</f>
        <v>64649267.189999998</v>
      </c>
      <c r="D62" s="137">
        <f>+'II-B-5'!N41</f>
        <v>14405240.49</v>
      </c>
      <c r="E62" s="137">
        <f>+'II-B-5'!O41</f>
        <v>3646243.2599999998</v>
      </c>
      <c r="F62" s="137">
        <f>+'II-B-5'!P41</f>
        <v>0</v>
      </c>
      <c r="G62" s="137">
        <f>+'II-B-5'!Q41</f>
        <v>18051483.75</v>
      </c>
      <c r="H62" s="137">
        <f>+'II-B-5'!R41</f>
        <v>41745977.75</v>
      </c>
      <c r="I62" s="137">
        <f>+'II-B-5'!S41</f>
        <v>4851805.6900000004</v>
      </c>
      <c r="J62" s="137">
        <f>+'II-B-5'!T41</f>
        <v>46597783.439999998</v>
      </c>
      <c r="K62" s="137">
        <f>+'II-B-5'!U41</f>
        <v>0</v>
      </c>
      <c r="L62" s="137">
        <f>+'II-B-5'!V41</f>
        <v>0</v>
      </c>
      <c r="M62" s="134">
        <f t="shared" si="1"/>
        <v>64649267.189999998</v>
      </c>
      <c r="O62" s="284"/>
    </row>
    <row r="63" spans="1:15" ht="12.75">
      <c r="A63" s="6" t="s">
        <v>67</v>
      </c>
      <c r="B63" s="6" t="s">
        <v>53</v>
      </c>
      <c r="C63" s="137">
        <f>+'II-B-5'!I42</f>
        <v>599558459</v>
      </c>
      <c r="D63" s="137">
        <f>+'II-B-5'!N42</f>
        <v>115031324.45999999</v>
      </c>
      <c r="E63" s="137">
        <f>+'II-B-5'!O42</f>
        <v>7691543.0499999998</v>
      </c>
      <c r="F63" s="137">
        <f>+'II-B-5'!P42</f>
        <v>0</v>
      </c>
      <c r="G63" s="137">
        <f>+'II-B-5'!Q42</f>
        <v>122722867.50999999</v>
      </c>
      <c r="H63" s="137">
        <f>+'II-B-5'!R42</f>
        <v>463683928.67000002</v>
      </c>
      <c r="I63" s="137">
        <f>+'II-B-5'!S42</f>
        <v>13151662.82</v>
      </c>
      <c r="J63" s="137">
        <f>+'II-B-5'!T42</f>
        <v>476835591.49000001</v>
      </c>
      <c r="K63" s="137">
        <f>+'II-B-5'!U42</f>
        <v>0</v>
      </c>
      <c r="L63" s="137">
        <f>+'II-B-5'!V42</f>
        <v>0</v>
      </c>
      <c r="M63" s="134">
        <f t="shared" si="1"/>
        <v>599558459</v>
      </c>
      <c r="O63" s="284"/>
    </row>
    <row r="64" spans="1:15" ht="12.75">
      <c r="A64" s="6" t="s">
        <v>68</v>
      </c>
      <c r="B64" s="6" t="s">
        <v>69</v>
      </c>
      <c r="C64" s="137">
        <f>+'II-B-5'!I43</f>
        <v>0</v>
      </c>
      <c r="D64" s="137">
        <f>+'II-B-5'!N43</f>
        <v>0</v>
      </c>
      <c r="E64" s="137">
        <f>+'II-B-5'!O43</f>
        <v>0</v>
      </c>
      <c r="F64" s="137">
        <f>+'II-B-5'!P43</f>
        <v>0</v>
      </c>
      <c r="G64" s="137">
        <f>+'II-B-5'!Q43</f>
        <v>0</v>
      </c>
      <c r="H64" s="137">
        <f>+'II-B-5'!R43</f>
        <v>0</v>
      </c>
      <c r="I64" s="137">
        <f>+'II-B-5'!S43</f>
        <v>0</v>
      </c>
      <c r="J64" s="137">
        <f>+'II-B-5'!T43</f>
        <v>0</v>
      </c>
      <c r="K64" s="137">
        <f>+'II-B-5'!U43</f>
        <v>0</v>
      </c>
      <c r="L64" s="137">
        <f>+'II-B-5'!V43</f>
        <v>0</v>
      </c>
      <c r="M64" s="134">
        <f t="shared" si="1"/>
        <v>0</v>
      </c>
      <c r="O64" s="284"/>
    </row>
    <row r="65" spans="1:15" ht="12.75">
      <c r="A65" s="6" t="s">
        <v>70</v>
      </c>
      <c r="B65" s="6" t="s">
        <v>5</v>
      </c>
      <c r="C65" s="137">
        <f>+'II-B-5'!I44</f>
        <v>1107841800.8499999</v>
      </c>
      <c r="D65" s="137">
        <f>+'II-B-5'!N44</f>
        <v>0</v>
      </c>
      <c r="E65" s="137">
        <f>+'II-B-5'!O44</f>
        <v>0</v>
      </c>
      <c r="F65" s="137">
        <f>+'II-B-5'!P44</f>
        <v>0</v>
      </c>
      <c r="G65" s="137">
        <f>+'II-B-5'!Q44</f>
        <v>0</v>
      </c>
      <c r="H65" s="137">
        <f>+'II-B-5'!R44</f>
        <v>1107719583.73</v>
      </c>
      <c r="I65" s="137">
        <f>+'II-B-5'!S44</f>
        <v>122217.12</v>
      </c>
      <c r="J65" s="137">
        <f>+'II-B-5'!T44</f>
        <v>1107841800.8499999</v>
      </c>
      <c r="K65" s="137">
        <f>+'II-B-5'!U44</f>
        <v>0</v>
      </c>
      <c r="L65" s="137">
        <f>+'II-B-5'!V44</f>
        <v>0</v>
      </c>
      <c r="M65" s="134">
        <f t="shared" si="1"/>
        <v>1107841800.8499999</v>
      </c>
      <c r="O65" s="284"/>
    </row>
    <row r="66" spans="1:15" ht="12.75">
      <c r="A66" s="6" t="s">
        <v>71</v>
      </c>
      <c r="B66" s="6" t="s">
        <v>3</v>
      </c>
      <c r="C66" s="137">
        <f>+'II-B-5'!I45</f>
        <v>635519287.14999998</v>
      </c>
      <c r="D66" s="137">
        <f>+'II-B-5'!N45</f>
        <v>0</v>
      </c>
      <c r="E66" s="137">
        <f>+'II-B-5'!O45</f>
        <v>0</v>
      </c>
      <c r="F66" s="137">
        <f>+'II-B-5'!P45</f>
        <v>0</v>
      </c>
      <c r="G66" s="137">
        <f>+'II-B-5'!Q45</f>
        <v>0</v>
      </c>
      <c r="H66" s="137">
        <f>+'II-B-5'!R45</f>
        <v>635328009.49000001</v>
      </c>
      <c r="I66" s="137">
        <f>+'II-B-5'!S45</f>
        <v>191277.66</v>
      </c>
      <c r="J66" s="137">
        <f>+'II-B-5'!T45</f>
        <v>635519287.14999998</v>
      </c>
      <c r="K66" s="137">
        <f>+'II-B-5'!U45</f>
        <v>0</v>
      </c>
      <c r="L66" s="137">
        <f>+'II-B-5'!V45</f>
        <v>0</v>
      </c>
      <c r="M66" s="134">
        <f t="shared" si="1"/>
        <v>635519287.14999998</v>
      </c>
      <c r="O66" s="284"/>
    </row>
    <row r="67" spans="1:15" ht="12.75">
      <c r="A67" s="6" t="s">
        <v>72</v>
      </c>
      <c r="B67" s="6" t="s">
        <v>73</v>
      </c>
      <c r="C67" s="137">
        <f>+'II-B-5'!I46</f>
        <v>452267860.98000002</v>
      </c>
      <c r="D67" s="137">
        <f>+'II-B-5'!N46</f>
        <v>0</v>
      </c>
      <c r="E67" s="137">
        <f>+'II-B-5'!O46</f>
        <v>0</v>
      </c>
      <c r="F67" s="137">
        <f>+'II-B-5'!P46</f>
        <v>0</v>
      </c>
      <c r="G67" s="137">
        <f>+'II-B-5'!Q46</f>
        <v>0</v>
      </c>
      <c r="H67" s="137">
        <f>+'II-B-5'!R46</f>
        <v>452193524.26999998</v>
      </c>
      <c r="I67" s="137">
        <f>+'II-B-5'!S46</f>
        <v>74336.710000000006</v>
      </c>
      <c r="J67" s="137">
        <f>+'II-B-5'!T46</f>
        <v>452267860.97999996</v>
      </c>
      <c r="K67" s="137">
        <f>+'II-B-5'!U46</f>
        <v>0</v>
      </c>
      <c r="L67" s="137">
        <f>+'II-B-5'!V46</f>
        <v>0</v>
      </c>
      <c r="M67" s="134">
        <f t="shared" si="1"/>
        <v>452267860.97999996</v>
      </c>
      <c r="O67" s="284"/>
    </row>
    <row r="68" spans="1:15" ht="12.75">
      <c r="A68" s="6" t="s">
        <v>74</v>
      </c>
      <c r="B68" s="6" t="s">
        <v>4</v>
      </c>
      <c r="C68" s="137">
        <f>+'II-B-5'!I47</f>
        <v>578524153.25999999</v>
      </c>
      <c r="D68" s="137">
        <f>+'II-B-5'!N47</f>
        <v>0</v>
      </c>
      <c r="E68" s="137">
        <f>+'II-B-5'!O47</f>
        <v>0</v>
      </c>
      <c r="F68" s="137">
        <f>+'II-B-5'!P47</f>
        <v>0</v>
      </c>
      <c r="G68" s="137">
        <f>+'II-B-5'!Q47</f>
        <v>0</v>
      </c>
      <c r="H68" s="137">
        <f>+'II-B-5'!R47</f>
        <v>578041305.75</v>
      </c>
      <c r="I68" s="137">
        <f>+'II-B-5'!S47</f>
        <v>482847.51000000001</v>
      </c>
      <c r="J68" s="137">
        <f>+'II-B-5'!T47</f>
        <v>578524153.25999999</v>
      </c>
      <c r="K68" s="137">
        <f>+'II-B-5'!U47</f>
        <v>0</v>
      </c>
      <c r="L68" s="137">
        <f>+'II-B-5'!V47</f>
        <v>0</v>
      </c>
      <c r="M68" s="134">
        <f t="shared" si="1"/>
        <v>578524153.25999999</v>
      </c>
      <c r="O68" s="284"/>
    </row>
    <row r="69" spans="1:15" ht="12.75">
      <c r="A69" s="6" t="s">
        <v>75</v>
      </c>
      <c r="B69" s="6" t="s">
        <v>76</v>
      </c>
      <c r="C69" s="137">
        <f>+'II-B-5'!I48</f>
        <v>743687642.63</v>
      </c>
      <c r="D69" s="137">
        <f>+'II-B-5'!N48</f>
        <v>0</v>
      </c>
      <c r="E69" s="137">
        <f>+'II-B-5'!O48</f>
        <v>0</v>
      </c>
      <c r="F69" s="137">
        <f>+'II-B-5'!P48</f>
        <v>0</v>
      </c>
      <c r="G69" s="137">
        <f>+'II-B-5'!Q48</f>
        <v>0</v>
      </c>
      <c r="H69" s="137">
        <f>+'II-B-5'!R48</f>
        <v>743686994.10000002</v>
      </c>
      <c r="I69" s="137">
        <f>+'II-B-5'!S48</f>
        <v>648.52999999999997</v>
      </c>
      <c r="J69" s="137">
        <f>+'II-B-5'!T48</f>
        <v>743687642.63</v>
      </c>
      <c r="K69" s="137">
        <f>+'II-B-5'!U48</f>
        <v>0</v>
      </c>
      <c r="L69" s="137">
        <f>+'II-B-5'!V48</f>
        <v>0</v>
      </c>
      <c r="M69" s="134">
        <f t="shared" si="1"/>
        <v>743687642.63</v>
      </c>
      <c r="O69" s="284"/>
    </row>
    <row r="70" spans="1:15" ht="12.75">
      <c r="A70" s="6" t="s">
        <v>77</v>
      </c>
      <c r="B70" s="6" t="s">
        <v>78</v>
      </c>
      <c r="C70" s="137">
        <f>+'II-B-5'!I49</f>
        <v>1097314112.99</v>
      </c>
      <c r="D70" s="137">
        <f>+'II-B-5'!N49</f>
        <v>0</v>
      </c>
      <c r="E70" s="137">
        <f>+'II-B-5'!O49</f>
        <v>0</v>
      </c>
      <c r="F70" s="137">
        <f>+'II-B-5'!P49</f>
        <v>0</v>
      </c>
      <c r="G70" s="137">
        <f>+'II-B-5'!Q49</f>
        <v>0</v>
      </c>
      <c r="H70" s="137">
        <f>+'II-B-5'!R49</f>
        <v>1097314112.99</v>
      </c>
      <c r="I70" s="137">
        <f>+'II-B-5'!S49</f>
        <v>0</v>
      </c>
      <c r="J70" s="137">
        <f>+'II-B-5'!T49</f>
        <v>1097314112.99</v>
      </c>
      <c r="K70" s="137">
        <f>+'II-B-5'!U49</f>
        <v>0</v>
      </c>
      <c r="L70" s="137">
        <f>+'II-B-5'!V49</f>
        <v>0</v>
      </c>
      <c r="M70" s="134">
        <f t="shared" si="1"/>
        <v>1097314112.99</v>
      </c>
      <c r="O70" s="284"/>
    </row>
    <row r="71" spans="1:15" ht="12.75">
      <c r="A71" s="6" t="s">
        <v>79</v>
      </c>
      <c r="B71" s="6" t="s">
        <v>80</v>
      </c>
      <c r="C71" s="137">
        <f>+'II-B-5'!I50</f>
        <v>336239857.38</v>
      </c>
      <c r="D71" s="137">
        <f>+'II-B-5'!N50</f>
        <v>0</v>
      </c>
      <c r="E71" s="137">
        <f>+'II-B-5'!O50</f>
        <v>0</v>
      </c>
      <c r="F71" s="137">
        <f>+'II-B-5'!P50</f>
        <v>0</v>
      </c>
      <c r="G71" s="137">
        <f>+'II-B-5'!Q50</f>
        <v>0</v>
      </c>
      <c r="H71" s="137">
        <f>+'II-B-5'!R50</f>
        <v>0</v>
      </c>
      <c r="I71" s="137">
        <f>+'II-B-5'!S50</f>
        <v>0</v>
      </c>
      <c r="J71" s="137">
        <f>+'II-B-5'!T50</f>
        <v>0</v>
      </c>
      <c r="K71" s="137">
        <f>+'II-B-5'!U50</f>
        <v>336239857.38</v>
      </c>
      <c r="L71" s="137">
        <f>+'II-B-5'!V50</f>
        <v>0</v>
      </c>
      <c r="M71" s="134">
        <f t="shared" si="1"/>
        <v>336239857.38</v>
      </c>
      <c r="O71" s="284"/>
    </row>
    <row r="72" spans="1:15" ht="12.75">
      <c r="A72" s="6" t="s">
        <v>81</v>
      </c>
      <c r="B72" s="6" t="s">
        <v>6</v>
      </c>
      <c r="C72" s="137">
        <f>+'II-B-5'!I51</f>
        <v>75069053.349999994</v>
      </c>
      <c r="D72" s="137">
        <f>+'II-B-5'!N51</f>
        <v>0</v>
      </c>
      <c r="E72" s="137">
        <f>+'II-B-5'!O51</f>
        <v>0</v>
      </c>
      <c r="F72" s="137">
        <f>+'II-B-5'!P51</f>
        <v>0</v>
      </c>
      <c r="G72" s="137">
        <f>+'II-B-5'!Q51</f>
        <v>0</v>
      </c>
      <c r="H72" s="137">
        <f>+'II-B-5'!R51</f>
        <v>75069053.349999994</v>
      </c>
      <c r="I72" s="137">
        <f>+'II-B-5'!S51</f>
        <v>0</v>
      </c>
      <c r="J72" s="137">
        <f>+'II-B-5'!T51</f>
        <v>75069053.349999994</v>
      </c>
      <c r="K72" s="137">
        <f>+'II-B-5'!U51</f>
        <v>0</v>
      </c>
      <c r="L72" s="137">
        <f>+'II-B-5'!V51</f>
        <v>0</v>
      </c>
      <c r="M72" s="134">
        <f t="shared" si="1"/>
        <v>75069053.349999994</v>
      </c>
      <c r="O72" s="284"/>
    </row>
    <row r="73" spans="1:13" ht="12.75">
      <c r="A73" s="6" t="s">
        <v>82</v>
      </c>
      <c r="B73" s="6" t="s">
        <v>7</v>
      </c>
      <c r="C73" s="137">
        <f>+'II-B-5'!I52</f>
        <v>0</v>
      </c>
      <c r="D73" s="137">
        <f>+'II-B-5'!N52</f>
        <v>0</v>
      </c>
      <c r="E73" s="137">
        <f>+'II-B-5'!O52</f>
        <v>0</v>
      </c>
      <c r="F73" s="137">
        <f>+'II-B-5'!P52</f>
        <v>0</v>
      </c>
      <c r="G73" s="137">
        <f>+'II-B-5'!Q52</f>
        <v>0</v>
      </c>
      <c r="H73" s="137">
        <f>+'II-B-5'!R52</f>
        <v>0</v>
      </c>
      <c r="I73" s="137">
        <f>+'II-B-5'!S52</f>
        <v>0</v>
      </c>
      <c r="J73" s="137">
        <f>+'II-B-5'!T52</f>
        <v>0</v>
      </c>
      <c r="K73" s="137">
        <f>+'II-B-5'!U52</f>
        <v>0</v>
      </c>
      <c r="L73" s="137">
        <f>+'II-B-5'!V52</f>
        <v>0</v>
      </c>
      <c r="M73" s="134">
        <f t="shared" si="1"/>
        <v>0</v>
      </c>
    </row>
    <row r="74" spans="1:15" ht="12.75">
      <c r="A74" s="6" t="s">
        <v>112</v>
      </c>
      <c r="B74" s="6" t="s">
        <v>8</v>
      </c>
      <c r="C74" s="137">
        <f>+'II-B-5'!I53</f>
        <v>372034957.87</v>
      </c>
      <c r="D74" s="137">
        <f>+'II-B-5'!N53</f>
        <v>0</v>
      </c>
      <c r="E74" s="137">
        <f>+'II-B-5'!O53</f>
        <v>0</v>
      </c>
      <c r="F74" s="137">
        <f>+'II-B-5'!P53</f>
        <v>0</v>
      </c>
      <c r="G74" s="137">
        <f>+'II-B-5'!Q53</f>
        <v>0</v>
      </c>
      <c r="H74" s="137">
        <f>+'II-B-5'!R53</f>
        <v>372032656.80000001</v>
      </c>
      <c r="I74" s="137">
        <f>+'II-B-5'!S53</f>
        <v>2301.0700000000002</v>
      </c>
      <c r="J74" s="137">
        <f>+'II-B-5'!T53</f>
        <v>372034957.87</v>
      </c>
      <c r="K74" s="137">
        <f>+'II-B-5'!U53</f>
        <v>0</v>
      </c>
      <c r="L74" s="137">
        <f>+'II-B-5'!V53</f>
        <v>0</v>
      </c>
      <c r="M74" s="134">
        <f t="shared" si="1"/>
        <v>372034957.87</v>
      </c>
      <c r="O74" s="284"/>
    </row>
    <row r="75" spans="1:13" ht="12.75">
      <c r="A75" s="6" t="s">
        <v>85</v>
      </c>
      <c r="B75" s="6" t="s">
        <v>44</v>
      </c>
      <c r="C75" s="137">
        <f>+'II-B-5'!I65</f>
        <v>0</v>
      </c>
      <c r="D75" s="137">
        <f>+'II-B-5'!N65</f>
        <v>0</v>
      </c>
      <c r="E75" s="137">
        <f>+'II-B-5'!O65</f>
        <v>0</v>
      </c>
      <c r="F75" s="137">
        <f>+'II-B-5'!P65</f>
        <v>0</v>
      </c>
      <c r="G75" s="137">
        <f>+'II-B-5'!Q65</f>
        <v>0</v>
      </c>
      <c r="H75" s="137">
        <f>+'II-B-5'!R65</f>
        <v>0</v>
      </c>
      <c r="I75" s="137">
        <f>+'II-B-5'!S65</f>
        <v>0</v>
      </c>
      <c r="J75" s="137">
        <f>+'II-B-5'!T65</f>
        <v>0</v>
      </c>
      <c r="K75" s="137">
        <f>+'II-B-5'!U65</f>
        <v>0</v>
      </c>
      <c r="L75" s="137">
        <f>+'II-B-5'!V65</f>
        <v>0</v>
      </c>
      <c r="M75" s="134">
        <f t="shared" si="1"/>
        <v>0</v>
      </c>
    </row>
    <row r="76" spans="1:15" ht="12.75">
      <c r="A76" s="6" t="s">
        <v>86</v>
      </c>
      <c r="B76" s="6" t="s">
        <v>50</v>
      </c>
      <c r="C76" s="137">
        <f>+'II-B-5'!I66</f>
        <v>23826.650000000001</v>
      </c>
      <c r="D76" s="137">
        <f>+'II-B-5'!N66</f>
        <v>10107.889999999999</v>
      </c>
      <c r="E76" s="137">
        <f>+'II-B-5'!O66</f>
        <v>0</v>
      </c>
      <c r="F76" s="137">
        <f>+'II-B-5'!P66</f>
        <v>0</v>
      </c>
      <c r="G76" s="137">
        <f>+'II-B-5'!Q66</f>
        <v>10107.889999999999</v>
      </c>
      <c r="H76" s="137">
        <f>+'II-B-5'!R66</f>
        <v>13158.09</v>
      </c>
      <c r="I76" s="137">
        <f>+'II-B-5'!S66</f>
        <v>0</v>
      </c>
      <c r="J76" s="137">
        <f>+'II-B-5'!T66</f>
        <v>13158.09</v>
      </c>
      <c r="K76" s="137">
        <f>+'II-B-5'!U66</f>
        <v>558.58000000000004</v>
      </c>
      <c r="L76" s="137">
        <f>+'II-B-5'!V66</f>
        <v>2.0899999999999999</v>
      </c>
      <c r="M76" s="134">
        <f t="shared" si="1"/>
        <v>23826.650000000001</v>
      </c>
      <c r="O76" s="284"/>
    </row>
    <row r="77" spans="1:15" ht="12.75">
      <c r="A77" s="6" t="s">
        <v>87</v>
      </c>
      <c r="B77" s="6" t="s">
        <v>45</v>
      </c>
      <c r="C77" s="137">
        <f>+'II-B-5'!I67</f>
        <v>21845206.189999998</v>
      </c>
      <c r="D77" s="137">
        <f>+'II-B-5'!N67</f>
        <v>6596478.0300000003</v>
      </c>
      <c r="E77" s="137">
        <f>+'II-B-5'!O67</f>
        <v>105417.39</v>
      </c>
      <c r="F77" s="137">
        <f>+'II-B-5'!P67</f>
        <v>0</v>
      </c>
      <c r="G77" s="137">
        <f>+'II-B-5'!Q67</f>
        <v>6701895.4199999999</v>
      </c>
      <c r="H77" s="137">
        <f>+'II-B-5'!R67</f>
        <v>11904359.49</v>
      </c>
      <c r="I77" s="137">
        <f>+'II-B-5'!S67</f>
        <v>0</v>
      </c>
      <c r="J77" s="137">
        <f>+'II-B-5'!T67</f>
        <v>11904359.49</v>
      </c>
      <c r="K77" s="137">
        <f>+'II-B-5'!U67</f>
        <v>2097789.6299999999</v>
      </c>
      <c r="L77" s="137">
        <f>+'II-B-5'!V67</f>
        <v>1141161.6499999999</v>
      </c>
      <c r="M77" s="134">
        <f t="shared" si="1"/>
        <v>21845206.189999998</v>
      </c>
      <c r="O77" s="284"/>
    </row>
    <row r="78" spans="1:15" ht="12.75">
      <c r="A78" s="6" t="s">
        <v>88</v>
      </c>
      <c r="B78" s="6" t="s">
        <v>9</v>
      </c>
      <c r="C78" s="137">
        <f>+'II-B-5'!I68</f>
        <v>155493508.75999999</v>
      </c>
      <c r="D78" s="137">
        <f>+'II-B-5'!N68</f>
        <v>33175414.289999999</v>
      </c>
      <c r="E78" s="137">
        <f>+'II-B-5'!O68</f>
        <v>801055.98999999999</v>
      </c>
      <c r="F78" s="137">
        <f>+'II-B-5'!P68</f>
        <v>0</v>
      </c>
      <c r="G78" s="137">
        <f>+'II-B-5'!Q68</f>
        <v>33976470.280000001</v>
      </c>
      <c r="H78" s="137">
        <f>+'II-B-5'!R68</f>
        <v>43244355.240000002</v>
      </c>
      <c r="I78" s="137">
        <f>+'II-B-5'!S68</f>
        <v>0</v>
      </c>
      <c r="J78" s="137">
        <f>+'II-B-5'!T68</f>
        <v>43244355.240000002</v>
      </c>
      <c r="K78" s="137">
        <f>+'II-B-5'!U68</f>
        <v>37302658.030000001</v>
      </c>
      <c r="L78" s="137">
        <f>+'II-B-5'!V68</f>
        <v>40970025.210000001</v>
      </c>
      <c r="M78" s="134">
        <f t="shared" si="1"/>
        <v>155493508.76000002</v>
      </c>
      <c r="O78" s="284"/>
    </row>
    <row r="79" spans="1:15" ht="12.75">
      <c r="A79" s="6" t="s">
        <v>89</v>
      </c>
      <c r="B79" s="6" t="s">
        <v>90</v>
      </c>
      <c r="C79" s="137">
        <f>+'II-B-5'!I69</f>
        <v>4826574.4199999999</v>
      </c>
      <c r="D79" s="137">
        <f>+'II-B-5'!N69</f>
        <v>1018691.6</v>
      </c>
      <c r="E79" s="137">
        <f>+'II-B-5'!O69</f>
        <v>918047.65000000002</v>
      </c>
      <c r="F79" s="137">
        <f>+'II-B-5'!P69</f>
        <v>0</v>
      </c>
      <c r="G79" s="137">
        <f>+'II-B-5'!Q69</f>
        <v>1936739.25</v>
      </c>
      <c r="H79" s="137">
        <f>+'II-B-5'!R69</f>
        <v>2889835.1699999999</v>
      </c>
      <c r="I79" s="137">
        <f>+'II-B-5'!S69</f>
        <v>0</v>
      </c>
      <c r="J79" s="137">
        <f>+'II-B-5'!T69</f>
        <v>2889835.1699999999</v>
      </c>
      <c r="K79" s="137">
        <f>+'II-B-5'!U69</f>
        <v>0</v>
      </c>
      <c r="L79" s="137">
        <f>+'II-B-5'!V69</f>
        <v>0</v>
      </c>
      <c r="M79" s="134">
        <f t="shared" si="1"/>
        <v>4826574.4199999999</v>
      </c>
      <c r="O79" s="284"/>
    </row>
    <row r="80" spans="1:15" ht="12.75">
      <c r="A80" s="6" t="s">
        <v>91</v>
      </c>
      <c r="B80" s="6" t="s">
        <v>10</v>
      </c>
      <c r="C80" s="137">
        <f>+'II-B-5'!I70</f>
        <v>994469.57999999996</v>
      </c>
      <c r="D80" s="137">
        <f>+'II-B-5'!N70</f>
        <v>237481.10000000001</v>
      </c>
      <c r="E80" s="137">
        <f>+'II-B-5'!O70</f>
        <v>0</v>
      </c>
      <c r="F80" s="137">
        <f>+'II-B-5'!P70</f>
        <v>0</v>
      </c>
      <c r="G80" s="137">
        <f>+'II-B-5'!Q70</f>
        <v>237481.10000000001</v>
      </c>
      <c r="H80" s="137">
        <f>+'II-B-5'!R70</f>
        <v>642515.64000000001</v>
      </c>
      <c r="I80" s="137">
        <f>+'II-B-5'!S70</f>
        <v>0</v>
      </c>
      <c r="J80" s="137">
        <f>+'II-B-5'!T70</f>
        <v>642515.64000000001</v>
      </c>
      <c r="K80" s="137">
        <f>+'II-B-5'!U70</f>
        <v>114472.84</v>
      </c>
      <c r="L80" s="137">
        <f>+'II-B-5'!V70</f>
        <v>0</v>
      </c>
      <c r="M80" s="134">
        <f t="shared" si="1"/>
        <v>994469.57999999996</v>
      </c>
      <c r="O80" s="284"/>
    </row>
    <row r="81" spans="1:15" ht="12.75">
      <c r="A81" s="6" t="s">
        <v>92</v>
      </c>
      <c r="B81" s="6" t="s">
        <v>11</v>
      </c>
      <c r="C81" s="137">
        <f>+'II-B-5'!I71</f>
        <v>16871488.609999999</v>
      </c>
      <c r="D81" s="137">
        <f>+'II-B-5'!N71</f>
        <v>5781119.9699999997</v>
      </c>
      <c r="E81" s="137">
        <f>+'II-B-5'!O71</f>
        <v>69060.020000000004</v>
      </c>
      <c r="F81" s="137">
        <f>+'II-B-5'!P71</f>
        <v>0</v>
      </c>
      <c r="G81" s="137">
        <f>+'II-B-5'!Q71</f>
        <v>5850179.9899999993</v>
      </c>
      <c r="H81" s="137">
        <f>+'II-B-5'!R71</f>
        <v>10062139.470000001</v>
      </c>
      <c r="I81" s="137">
        <f>+'II-B-5'!S71</f>
        <v>0</v>
      </c>
      <c r="J81" s="137">
        <f>+'II-B-5'!T71</f>
        <v>10062139.470000001</v>
      </c>
      <c r="K81" s="137">
        <f>+'II-B-5'!U71</f>
        <v>959169.15000000002</v>
      </c>
      <c r="L81" s="137">
        <f>+'II-B-5'!V71</f>
        <v>0</v>
      </c>
      <c r="M81" s="134">
        <f t="shared" si="1"/>
        <v>16871488.609999999</v>
      </c>
      <c r="O81" s="284"/>
    </row>
    <row r="82" spans="1:15" ht="12.75">
      <c r="A82" s="6" t="s">
        <v>93</v>
      </c>
      <c r="B82" s="6" t="s">
        <v>94</v>
      </c>
      <c r="C82" s="137">
        <f>+'II-B-5'!I72</f>
        <v>8230086.3300000001</v>
      </c>
      <c r="D82" s="137">
        <f>+'II-B-5'!N72</f>
        <v>4825932.71</v>
      </c>
      <c r="E82" s="137">
        <f>+'II-B-5'!O72</f>
        <v>0</v>
      </c>
      <c r="F82" s="137">
        <f>+'II-B-5'!P72</f>
        <v>0</v>
      </c>
      <c r="G82" s="137">
        <f>+'II-B-5'!Q72</f>
        <v>4825932.71</v>
      </c>
      <c r="H82" s="137">
        <f>+'II-B-5'!R72</f>
        <v>2811643.6499999999</v>
      </c>
      <c r="I82" s="137">
        <f>+'II-B-5'!S72</f>
        <v>0</v>
      </c>
      <c r="J82" s="137">
        <f>+'II-B-5'!T72</f>
        <v>2811643.6499999999</v>
      </c>
      <c r="K82" s="137">
        <f>+'II-B-5'!U72</f>
        <v>592509.96999999997</v>
      </c>
      <c r="L82" s="137">
        <f>+'II-B-5'!V72</f>
        <v>0</v>
      </c>
      <c r="M82" s="134">
        <f t="shared" si="1"/>
        <v>8230086.3299999991</v>
      </c>
      <c r="O82" s="284"/>
    </row>
    <row r="83" spans="1:15" ht="12.75">
      <c r="A83" s="6" t="s">
        <v>95</v>
      </c>
      <c r="B83" s="6" t="s">
        <v>96</v>
      </c>
      <c r="C83" s="137">
        <f>+'II-B-5'!I73</f>
        <v>4007607.5499999998</v>
      </c>
      <c r="D83" s="137">
        <f>+'II-B-5'!N73</f>
        <v>1239086.5700000001</v>
      </c>
      <c r="E83" s="137">
        <f>+'II-B-5'!O73</f>
        <v>105910.32000000001</v>
      </c>
      <c r="F83" s="137">
        <f>+'II-B-5'!P73</f>
        <v>0</v>
      </c>
      <c r="G83" s="137">
        <f>+'II-B-5'!Q73</f>
        <v>1344996.8900000001</v>
      </c>
      <c r="H83" s="137">
        <f>+'II-B-5'!R73</f>
        <v>2373053.8799999999</v>
      </c>
      <c r="I83" s="137">
        <f>+'II-B-5'!S73</f>
        <v>0</v>
      </c>
      <c r="J83" s="137">
        <f>+'II-B-5'!T73</f>
        <v>2373053.8799999999</v>
      </c>
      <c r="K83" s="137">
        <f>+'II-B-5'!U73</f>
        <v>289556.78000000003</v>
      </c>
      <c r="L83" s="137">
        <f>+'II-B-5'!V73</f>
        <v>0</v>
      </c>
      <c r="M83" s="134">
        <f t="shared" si="1"/>
        <v>4007607.5499999998</v>
      </c>
      <c r="O83" s="284"/>
    </row>
    <row r="84" spans="1:15" ht="12.75">
      <c r="A84" s="6" t="s">
        <v>97</v>
      </c>
      <c r="B84" s="74" t="s">
        <v>98</v>
      </c>
      <c r="C84" s="137">
        <f>+'II-B-5'!I77</f>
        <v>61505556.329999998</v>
      </c>
      <c r="D84" s="137">
        <f>+'II-B-5'!N77</f>
        <v>11560520.050000001</v>
      </c>
      <c r="E84" s="137">
        <f>+'II-B-5'!O77</f>
        <v>8285.4099999999999</v>
      </c>
      <c r="F84" s="137">
        <f>+'II-B-5'!P77</f>
        <v>0</v>
      </c>
      <c r="G84" s="137">
        <f>+'II-B-5'!Q77</f>
        <v>11568805.460000001</v>
      </c>
      <c r="H84" s="137">
        <f>+'II-B-5'!R77</f>
        <v>7510868.3600000003</v>
      </c>
      <c r="I84" s="137">
        <f>+'II-B-5'!S77</f>
        <v>0</v>
      </c>
      <c r="J84" s="137">
        <f>+'II-B-5'!T77</f>
        <v>7510868.3600000003</v>
      </c>
      <c r="K84" s="137">
        <f>+'II-B-5'!U77</f>
        <v>42151878.130000003</v>
      </c>
      <c r="L84" s="137">
        <f>+'II-B-5'!V77</f>
        <v>274004.38</v>
      </c>
      <c r="M84" s="134">
        <f t="shared" si="1"/>
        <v>61505556.330000006</v>
      </c>
      <c r="O84" s="284"/>
    </row>
    <row r="85" spans="1:15" ht="12.75">
      <c r="A85" s="6" t="s">
        <v>99</v>
      </c>
      <c r="B85" s="6" t="str">
        <f>VLOOKUP(A85,'II-B-2'!$B$16:$C$28,2,FALSE)</f>
        <v>Miscellaneous Equipment</v>
      </c>
      <c r="C85" s="137">
        <f>+'II-B-5'!I78</f>
        <v>1255624.6100000001</v>
      </c>
      <c r="D85" s="137">
        <f>+'II-B-5'!N78</f>
        <v>567681.39000000001</v>
      </c>
      <c r="E85" s="137">
        <f>+'II-B-5'!O78</f>
        <v>6603.3000000000002</v>
      </c>
      <c r="F85" s="137">
        <f>+'II-B-5'!P78</f>
        <v>0</v>
      </c>
      <c r="G85" s="137">
        <f>+'II-B-5'!Q78</f>
        <v>574284.69000000006</v>
      </c>
      <c r="H85" s="137">
        <f>+'II-B-5'!R78</f>
        <v>565246.04000000004</v>
      </c>
      <c r="I85" s="137">
        <f>+'II-B-5'!S78</f>
        <v>0</v>
      </c>
      <c r="J85" s="137">
        <f>+'II-B-5'!T78</f>
        <v>565246.04000000004</v>
      </c>
      <c r="K85" s="137">
        <f>+'II-B-5'!U78</f>
        <v>116093.88000000001</v>
      </c>
      <c r="L85" s="137">
        <f>+'II-B-5'!V78</f>
        <v>0</v>
      </c>
      <c r="M85" s="134">
        <f t="shared" si="1"/>
        <v>1255624.6099999999</v>
      </c>
      <c r="O85" s="284"/>
    </row>
    <row r="86" spans="1:13" ht="12.75">
      <c r="A86" s="6" t="s">
        <v>200</v>
      </c>
      <c r="B86" s="6" t="s">
        <v>201</v>
      </c>
      <c r="C86" s="137">
        <f>+'II-B-5'!I79</f>
        <v>0</v>
      </c>
      <c r="D86" s="137">
        <f>+'II-B-5'!N79</f>
        <v>0</v>
      </c>
      <c r="E86" s="137">
        <f>+'II-B-5'!O79</f>
        <v>0</v>
      </c>
      <c r="F86" s="137">
        <f>+'II-B-5'!P79</f>
        <v>0</v>
      </c>
      <c r="G86" s="137">
        <f>+'II-B-5'!Q79</f>
        <v>0</v>
      </c>
      <c r="H86" s="137">
        <f>+'II-B-5'!R79</f>
        <v>0</v>
      </c>
      <c r="I86" s="137">
        <f>+'II-B-5'!S79</f>
        <v>0</v>
      </c>
      <c r="J86" s="137">
        <f>+'II-B-5'!T79</f>
        <v>0</v>
      </c>
      <c r="K86" s="137">
        <f>+'II-B-5'!U79</f>
        <v>0</v>
      </c>
      <c r="L86" s="137">
        <f>+'II-B-5'!V79</f>
        <v>0</v>
      </c>
      <c r="M86" s="134">
        <f t="shared" si="1"/>
        <v>0</v>
      </c>
    </row>
    <row r="87" spans="3:13" ht="12.75"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</row>
    <row r="88" spans="1:13" ht="18">
      <c r="A88" s="380" t="s">
        <v>101</v>
      </c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</row>
    <row r="89" spans="1:13" ht="12.75">
      <c r="A89" s="76" t="s">
        <v>102</v>
      </c>
      <c r="B89" s="76" t="s">
        <v>13</v>
      </c>
      <c r="C89" s="137">
        <f>+'II-B-6'!I16</f>
        <v>23215047.5</v>
      </c>
      <c r="D89" s="137">
        <f>+'II-B-6'!N16</f>
        <v>21469068.16</v>
      </c>
      <c r="E89" s="137">
        <f>+'II-B-6'!O16</f>
        <v>0</v>
      </c>
      <c r="F89" s="137">
        <f>+'II-B-6'!P16</f>
        <v>0</v>
      </c>
      <c r="G89" s="137">
        <f>+'II-B-6'!Q16</f>
        <v>21469068.16</v>
      </c>
      <c r="H89" s="137">
        <f>+'II-B-6'!R16</f>
        <v>1745979.3400000001</v>
      </c>
      <c r="I89" s="137">
        <f>+'II-B-6'!S16</f>
        <v>0</v>
      </c>
      <c r="J89" s="137">
        <f>+'II-B-6'!T16</f>
        <v>1745979.3400000001</v>
      </c>
      <c r="K89" s="137">
        <f>+'II-B-6'!U16</f>
        <v>0</v>
      </c>
      <c r="L89" s="137">
        <f>+'II-B-6'!V16</f>
        <v>0</v>
      </c>
      <c r="M89" s="134">
        <f t="shared" si="2" ref="M89:M95">+G89+J89+K89+L89</f>
        <v>23215047.5</v>
      </c>
    </row>
    <row r="90" spans="1:13" ht="12.75">
      <c r="A90" s="6" t="s">
        <v>104</v>
      </c>
      <c r="B90" s="6" t="s">
        <v>138</v>
      </c>
      <c r="C90" s="137">
        <f>+'II-B-4'!I16</f>
        <v>0</v>
      </c>
      <c r="D90" s="137">
        <f>+'II-B-4'!N16</f>
        <v>0</v>
      </c>
      <c r="E90" s="137">
        <f>+'II-B-4'!O16</f>
        <v>0</v>
      </c>
      <c r="F90" s="137">
        <f>+'II-B-4'!P16</f>
        <v>0</v>
      </c>
      <c r="G90" s="137">
        <f>+'II-B-4'!Q16</f>
        <v>0</v>
      </c>
      <c r="H90" s="137">
        <f>+'II-B-4'!R16</f>
        <v>0</v>
      </c>
      <c r="I90" s="137">
        <f>+'II-B-4'!S16</f>
        <v>0</v>
      </c>
      <c r="J90" s="137">
        <f>+'II-B-4'!T16</f>
        <v>0</v>
      </c>
      <c r="K90" s="137">
        <f>+'II-B-4'!U16</f>
        <v>0</v>
      </c>
      <c r="L90" s="137">
        <f>+'II-B-4'!V16</f>
        <v>0</v>
      </c>
      <c r="M90" s="134">
        <f t="shared" si="2"/>
        <v>0</v>
      </c>
    </row>
    <row r="91" spans="1:13" ht="12.75">
      <c r="A91" s="76" t="s">
        <v>0</v>
      </c>
      <c r="B91" s="76" t="s">
        <v>105</v>
      </c>
      <c r="C91" s="137">
        <f>+'II-B-11'!I23</f>
        <v>0</v>
      </c>
      <c r="D91" s="137">
        <f>+'II-B-11'!N23</f>
        <v>0</v>
      </c>
      <c r="E91" s="137">
        <f>+'II-B-11'!O23</f>
        <v>0</v>
      </c>
      <c r="F91" s="137">
        <f>+'II-B-11'!P23</f>
        <v>0</v>
      </c>
      <c r="G91" s="137">
        <f>+'II-B-11'!Q23</f>
        <v>0</v>
      </c>
      <c r="H91" s="137">
        <f>+'II-B-11'!R23</f>
        <v>0</v>
      </c>
      <c r="I91" s="137">
        <f>+'II-B-11'!S23</f>
        <v>0</v>
      </c>
      <c r="J91" s="137">
        <f>+'II-B-11'!T23</f>
        <v>0</v>
      </c>
      <c r="K91" s="137">
        <f>+'II-B-11'!U23</f>
        <v>0</v>
      </c>
      <c r="L91" s="137">
        <f>+'II-B-11'!V23</f>
        <v>0</v>
      </c>
      <c r="M91" s="134">
        <f t="shared" si="2"/>
        <v>0</v>
      </c>
    </row>
    <row r="92" spans="1:13" ht="12.75">
      <c r="A92" s="76" t="s">
        <v>1</v>
      </c>
      <c r="B92" s="76" t="s">
        <v>16</v>
      </c>
      <c r="C92" s="137">
        <f>+'II-B-8'!I32</f>
        <v>135112848.58000001</v>
      </c>
      <c r="D92" s="137">
        <f>+'II-B-8'!N32</f>
        <v>70696776.709999993</v>
      </c>
      <c r="E92" s="137">
        <f>+'II-B-8'!O32</f>
        <v>0</v>
      </c>
      <c r="F92" s="137">
        <f>+'II-B-8'!P32</f>
        <v>0</v>
      </c>
      <c r="G92" s="137">
        <f>+'II-B-8'!Q32</f>
        <v>70696776.709999993</v>
      </c>
      <c r="H92" s="137">
        <f>+'II-B-8'!R32</f>
        <v>64325002.539999999</v>
      </c>
      <c r="I92" s="137">
        <f>+'II-B-8'!S32</f>
        <v>0</v>
      </c>
      <c r="J92" s="137">
        <f>+'II-B-8'!T32</f>
        <v>64325002.539999999</v>
      </c>
      <c r="K92" s="137">
        <f>+'II-B-8'!U32</f>
        <v>91069.330000000002</v>
      </c>
      <c r="L92" s="137">
        <f>+'II-B-8'!V32</f>
        <v>0</v>
      </c>
      <c r="M92" s="134">
        <f t="shared" si="2"/>
        <v>135112848.58000001</v>
      </c>
    </row>
    <row r="93" spans="1:13" ht="12.75">
      <c r="A93" s="76" t="s">
        <v>2</v>
      </c>
      <c r="B93" s="76" t="s">
        <v>17</v>
      </c>
      <c r="C93" s="137">
        <f>+'II-B-8'!I52</f>
        <v>16925892.280000001</v>
      </c>
      <c r="D93" s="137">
        <f>+'II-B-8'!N52</f>
        <v>6545776.4100000001</v>
      </c>
      <c r="E93" s="137">
        <f>+'II-B-8'!O52</f>
        <v>0</v>
      </c>
      <c r="F93" s="137">
        <f>+'II-B-8'!P52</f>
        <v>0</v>
      </c>
      <c r="G93" s="137">
        <f>+'II-B-8'!Q52</f>
        <v>6545776.4100000001</v>
      </c>
      <c r="H93" s="137">
        <f>+'II-B-8'!R52</f>
        <v>10365401.869999999</v>
      </c>
      <c r="I93" s="137">
        <f>+'II-B-8'!S52</f>
        <v>0</v>
      </c>
      <c r="J93" s="137">
        <f>+'II-B-8'!T52</f>
        <v>10365401.869999999</v>
      </c>
      <c r="K93" s="137">
        <f>+'II-B-8'!U52</f>
        <v>14714</v>
      </c>
      <c r="L93" s="137">
        <f>+'II-B-8'!V52</f>
        <v>0</v>
      </c>
      <c r="M93" s="134">
        <f t="shared" si="2"/>
        <v>16925892.280000001</v>
      </c>
    </row>
    <row r="94" spans="1:13" ht="12.75">
      <c r="A94" s="76"/>
      <c r="B94" s="76" t="s">
        <v>116</v>
      </c>
      <c r="C94" s="137">
        <f>+'II-B-9'!I17</f>
        <v>-73484424</v>
      </c>
      <c r="D94" s="137">
        <f>+'II-B-9'!N17</f>
        <v>-48361434.050000004</v>
      </c>
      <c r="E94" s="137">
        <f>+'II-B-9'!O17</f>
        <v>-8174427.4699999997</v>
      </c>
      <c r="F94" s="137">
        <f>+'II-B-9'!P17</f>
        <v>0</v>
      </c>
      <c r="G94" s="137">
        <f>+'II-B-9'!Q17</f>
        <v>-56535861.520000003</v>
      </c>
      <c r="H94" s="137">
        <f>+'II-B-9'!R17</f>
        <v>-16695371.95999999</v>
      </c>
      <c r="I94" s="137">
        <f>+'II-B-9'!S17</f>
        <v>-668468.91000000003</v>
      </c>
      <c r="J94" s="137">
        <f>+'II-B-9'!T17</f>
        <v>-17363840.86999999</v>
      </c>
      <c r="K94" s="137">
        <f>+'II-B-9'!U17</f>
        <v>273938.61000000028</v>
      </c>
      <c r="L94" s="137">
        <f>+'II-B-9'!V17</f>
        <v>141339.77999998356</v>
      </c>
      <c r="M94" s="134">
        <f t="shared" si="2"/>
        <v>-73484424</v>
      </c>
    </row>
    <row r="95" spans="1:13" ht="12.75">
      <c r="A95" s="76" t="s">
        <v>18</v>
      </c>
      <c r="B95" s="76" t="s">
        <v>227</v>
      </c>
      <c r="C95" s="137">
        <f>+'II-B-10'!I32</f>
        <v>115153396.16076924</v>
      </c>
      <c r="D95" s="137">
        <f>+'II-B-10'!N32</f>
        <v>10576723.424615383</v>
      </c>
      <c r="E95" s="137">
        <f>+'II-B-10'!O32</f>
        <v>0</v>
      </c>
      <c r="F95" s="137">
        <f>+'II-B-10'!P32</f>
        <v>0</v>
      </c>
      <c r="G95" s="137">
        <f>+'II-B-10'!Q32</f>
        <v>10576723.424615383</v>
      </c>
      <c r="H95" s="137">
        <f>+'II-B-10'!R32</f>
        <v>100121671.99538463</v>
      </c>
      <c r="I95" s="137">
        <f>+'II-B-10'!S32</f>
        <v>0</v>
      </c>
      <c r="J95" s="137">
        <f>+'II-B-10'!T32</f>
        <v>100121671.99538463</v>
      </c>
      <c r="K95" s="137">
        <f>+'II-B-10'!U32</f>
        <v>3524809.17076923</v>
      </c>
      <c r="L95" s="137">
        <f>+'II-B-10'!V32</f>
        <v>930191.56999999855</v>
      </c>
      <c r="M95" s="134">
        <f t="shared" si="2"/>
        <v>115153396.16076924</v>
      </c>
    </row>
    <row r="96" spans="1:13" ht="12.75">
      <c r="A96" s="76" t="s">
        <v>18</v>
      </c>
      <c r="B96" s="76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</row>
    <row r="97" spans="1:13" ht="12.75">
      <c r="A97" s="104"/>
      <c r="B97" s="76" t="s">
        <v>230</v>
      </c>
      <c r="C97" s="137">
        <f>+'II-B-12'!I94</f>
        <v>-159547551.03681278</v>
      </c>
      <c r="D97" s="137">
        <f>+'II-B-12'!N94</f>
        <v>-424638395.25999993</v>
      </c>
      <c r="E97" s="137">
        <f>+'II-B-12'!O94</f>
        <v>-45636288.200000003</v>
      </c>
      <c r="F97" s="137">
        <f>+'II-B-12'!P94</f>
        <v>-642339.16000000003</v>
      </c>
      <c r="G97" s="137">
        <f>+'II-B-12'!Q94</f>
        <v>-470917022.62</v>
      </c>
      <c r="H97" s="137">
        <f>+'II-B-12'!R94</f>
        <v>190520108.74000001</v>
      </c>
      <c r="I97" s="137">
        <f>+'II-B-12'!S94</f>
        <v>-3330024.8900000006</v>
      </c>
      <c r="J97" s="137">
        <f>+'II-B-12'!T94</f>
        <v>187190083.84999991</v>
      </c>
      <c r="K97" s="137">
        <f>+'II-B-12'!U94</f>
        <v>119901695.55999999</v>
      </c>
      <c r="L97" s="137">
        <f>+'II-B-12'!V94</f>
        <v>4277692.1731872801</v>
      </c>
      <c r="M97" s="134">
        <f>+G97+J97+K97+L97</f>
        <v>-159547551.03681281</v>
      </c>
    </row>
    <row r="98" spans="3:13" ht="12.75"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</row>
    <row r="99" spans="3:13" ht="12.75"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</row>
    <row r="100" spans="1:26" ht="26.25">
      <c r="A100" s="377" t="s">
        <v>208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7"/>
      <c r="M100" s="377"/>
      <c r="N100" s="140" t="s">
        <v>209</v>
      </c>
      <c r="O100" s="287" t="s">
        <v>210</v>
      </c>
      <c r="P100" s="294" t="s">
        <v>336</v>
      </c>
      <c r="Q100" s="294" t="s">
        <v>332</v>
      </c>
      <c r="R100" s="294" t="s">
        <v>333</v>
      </c>
      <c r="S100" s="294" t="s">
        <v>334</v>
      </c>
      <c r="T100" s="294" t="s">
        <v>335</v>
      </c>
      <c r="U100" s="294" t="s">
        <v>331</v>
      </c>
      <c r="V100" s="294" t="s">
        <v>337</v>
      </c>
      <c r="W100" s="294" t="s">
        <v>338</v>
      </c>
      <c r="X100" s="294" t="s">
        <v>339</v>
      </c>
      <c r="Y100" s="140"/>
      <c r="Z100" s="140"/>
    </row>
    <row r="101" spans="2:24" ht="12.75">
      <c r="B101" s="141" t="s">
        <v>123</v>
      </c>
      <c r="C101" s="137">
        <f t="shared" si="3" ref="C101:D101">SUM(C6:C33)</f>
        <v>30126725118.339996</v>
      </c>
      <c r="D101" s="137">
        <f t="shared" si="3"/>
        <v>11826372122.799997</v>
      </c>
      <c r="E101" s="137">
        <f t="shared" si="4" ref="E101:L101">SUM(E6:E33)</f>
        <v>1730304248.47</v>
      </c>
      <c r="F101" s="137">
        <f t="shared" si="4"/>
        <v>32539117.650000002</v>
      </c>
      <c r="G101" s="137">
        <f t="shared" si="4"/>
        <v>13589215488.919998</v>
      </c>
      <c r="H101" s="137">
        <f t="shared" si="4"/>
        <v>15324013756.529999</v>
      </c>
      <c r="I101" s="137">
        <f t="shared" si="4"/>
        <v>143637502.12000004</v>
      </c>
      <c r="J101" s="137">
        <f t="shared" si="4"/>
        <v>15467651258.650002</v>
      </c>
      <c r="K101" s="137">
        <f t="shared" si="4"/>
        <v>759449196.03000009</v>
      </c>
      <c r="L101" s="137">
        <f t="shared" si="4"/>
        <v>310409174.74000001</v>
      </c>
      <c r="M101" s="134">
        <f t="shared" si="5" ref="M101:M106">+G101+J101+K101+L101</f>
        <v>30126725118.34</v>
      </c>
      <c r="N101" s="139" t="b">
        <f t="shared" si="6" ref="N101:N106">ROUND(+M101,0)=ROUND(C101,0)</f>
        <v>1</v>
      </c>
      <c r="O101" s="285" t="b">
        <f>ROUND(+C101,0)=ROUND('II-B'!F15,0)</f>
        <v>1</v>
      </c>
      <c r="P101" t="b">
        <f>ROUND(+D101,0)=ROUND('II-B'!G15,0)</f>
        <v>1</v>
      </c>
      <c r="Q101" t="b">
        <f>ROUND(+E101,0)=ROUND('II-B'!H15,0)</f>
        <v>1</v>
      </c>
      <c r="R101" t="b">
        <f>ROUND(+F101,0)=ROUND('II-B'!I15,0)</f>
        <v>1</v>
      </c>
      <c r="S101" t="b">
        <f>ROUND(+G101,0)=ROUND('II-B'!J15,0)</f>
        <v>1</v>
      </c>
      <c r="T101" t="b">
        <f>ROUND(+H101,0)=ROUND('II-B'!K15,0)</f>
        <v>1</v>
      </c>
      <c r="U101" t="b">
        <f>ROUND(+I101,0)=ROUND('II-B'!L15,0)</f>
        <v>1</v>
      </c>
      <c r="V101" t="b">
        <f>ROUND(+J101,0)=ROUND('II-B'!M15,0)</f>
        <v>1</v>
      </c>
      <c r="W101" t="b">
        <f>ROUND(+K101,0)=ROUND('II-B'!N15,0)</f>
        <v>1</v>
      </c>
      <c r="X101" t="b">
        <f>ROUND(+L101,0)=ROUND('II-B'!O15,0)</f>
        <v>1</v>
      </c>
    </row>
    <row r="102" spans="2:24" ht="12.75">
      <c r="B102" s="141" t="s">
        <v>113</v>
      </c>
      <c r="C102" s="137">
        <f t="shared" si="7" ref="C102:D102">SUM(C34:C42)+SUM(C44:C45)</f>
        <v>767312480.28999996</v>
      </c>
      <c r="D102" s="137">
        <f t="shared" si="7"/>
        <v>226529604.23000002</v>
      </c>
      <c r="E102" s="137">
        <f t="shared" si="8" ref="E102:L102">SUM(E34:E42)+SUM(E44:E45)</f>
        <v>5823503.580000001</v>
      </c>
      <c r="F102" s="137">
        <f t="shared" si="8"/>
        <v>0</v>
      </c>
      <c r="G102" s="137">
        <f t="shared" si="8"/>
        <v>232353107.81000003</v>
      </c>
      <c r="H102" s="137">
        <f t="shared" si="8"/>
        <v>330131994.91000003</v>
      </c>
      <c r="I102" s="137">
        <f t="shared" si="8"/>
        <v>0</v>
      </c>
      <c r="J102" s="137">
        <f t="shared" si="8"/>
        <v>330131994.91000003</v>
      </c>
      <c r="K102" s="137">
        <f t="shared" si="8"/>
        <v>104726621.60999998</v>
      </c>
      <c r="L102" s="137">
        <f t="shared" si="8"/>
        <v>100100755.95999999</v>
      </c>
      <c r="M102" s="134">
        <f t="shared" si="5"/>
        <v>767312480.29000008</v>
      </c>
      <c r="N102" s="139" t="b">
        <f t="shared" si="6"/>
        <v>1</v>
      </c>
      <c r="O102" s="285" t="b">
        <f>ROUND(+C102,0)=ROUND('II-B'!F16,0)</f>
        <v>1</v>
      </c>
      <c r="P102" t="b">
        <f>ROUND(+D102,0)=ROUND('II-B'!G16,0)</f>
        <v>1</v>
      </c>
      <c r="Q102" t="b">
        <f>ROUND(+E102,0)=ROUND('II-B'!H16,0)</f>
        <v>1</v>
      </c>
      <c r="R102" t="b">
        <f>ROUND(+F102,0)=ROUND('II-B'!I16,0)</f>
        <v>1</v>
      </c>
      <c r="S102" t="b">
        <f>ROUND(+G102,0)=ROUND('II-B'!J16,0)</f>
        <v>1</v>
      </c>
      <c r="T102" t="b">
        <f>ROUND(+H102,0)=ROUND('II-B'!K16,0)</f>
        <v>1</v>
      </c>
      <c r="U102" t="b">
        <f>ROUND(+I102,0)=ROUND('II-B'!L16,0)</f>
        <v>1</v>
      </c>
      <c r="V102" t="b">
        <f>ROUND(+J102,0)=ROUND('II-B'!M16,0)</f>
        <v>1</v>
      </c>
      <c r="W102" t="b">
        <f>ROUND(+K102,0)=ROUND('II-B'!N16,0)</f>
        <v>1</v>
      </c>
      <c r="X102" t="b">
        <f>ROUND(+L102,0)=ROUND('II-B'!O16,0)</f>
        <v>1</v>
      </c>
    </row>
    <row r="103" spans="2:24" ht="12.75">
      <c r="B103" s="141" t="s">
        <v>98</v>
      </c>
      <c r="C103" s="137">
        <f t="shared" si="9" ref="C103:D103">+C43</f>
        <v>190342401.91999999</v>
      </c>
      <c r="D103" s="137">
        <f t="shared" si="9"/>
        <v>81744122.480000004</v>
      </c>
      <c r="E103" s="137">
        <f t="shared" si="10" ref="E103:L103">+E43</f>
        <v>16570.82</v>
      </c>
      <c r="F103" s="137">
        <f t="shared" si="10"/>
        <v>0</v>
      </c>
      <c r="G103" s="137">
        <f t="shared" si="10"/>
        <v>81760693.299999997</v>
      </c>
      <c r="H103" s="137">
        <f t="shared" si="10"/>
        <v>61337953.159999996</v>
      </c>
      <c r="I103" s="137">
        <f t="shared" si="10"/>
        <v>0</v>
      </c>
      <c r="J103" s="137">
        <f t="shared" si="10"/>
        <v>61337953.159999996</v>
      </c>
      <c r="K103" s="137">
        <f t="shared" si="10"/>
        <v>45688861.039999999</v>
      </c>
      <c r="L103" s="137">
        <f t="shared" si="10"/>
        <v>1554894.4199999999</v>
      </c>
      <c r="M103" s="134">
        <f t="shared" si="5"/>
        <v>190342401.91999996</v>
      </c>
      <c r="N103" s="139" t="b">
        <f t="shared" si="6"/>
        <v>1</v>
      </c>
      <c r="O103" s="285" t="b">
        <f>ROUND(+C103,0)=ROUND('II-B'!F17,0)</f>
        <v>1</v>
      </c>
      <c r="P103" t="b">
        <f>ROUND(+D103,0)=ROUND('II-B'!G17,0)</f>
        <v>1</v>
      </c>
      <c r="Q103" t="b">
        <f>ROUND(+E103,0)=ROUND('II-B'!H17,0)</f>
        <v>1</v>
      </c>
      <c r="R103" t="b">
        <f>ROUND(+F103,0)=ROUND('II-B'!I17,0)</f>
        <v>1</v>
      </c>
      <c r="S103" t="b">
        <f>ROUND(+G103,0)=ROUND('II-B'!J17,0)</f>
        <v>1</v>
      </c>
      <c r="T103" t="b">
        <f>ROUND(+H103,0)=ROUND('II-B'!K17,0)</f>
        <v>1</v>
      </c>
      <c r="U103" t="b">
        <f>ROUND(+I103,0)=ROUND('II-B'!L17,0)</f>
        <v>1</v>
      </c>
      <c r="V103" t="b">
        <f>ROUND(+J103,0)=ROUND('II-B'!M17,0)</f>
        <v>1</v>
      </c>
      <c r="W103" t="b">
        <f>ROUND(+K103,0)=ROUND('II-B'!N17,0)</f>
        <v>1</v>
      </c>
      <c r="X103" t="b">
        <f>ROUND(+L103,0)=ROUND('II-B'!O17,0)</f>
        <v>1</v>
      </c>
    </row>
    <row r="104" spans="2:24" ht="12.75">
      <c r="B104" s="141" t="s">
        <v>124</v>
      </c>
      <c r="C104" s="134">
        <f t="shared" si="11" ref="C104:D104">SUM(C101:C103)</f>
        <v>31084380000.549995</v>
      </c>
      <c r="D104" s="134">
        <f t="shared" si="11"/>
        <v>12134645849.509996</v>
      </c>
      <c r="E104" s="134">
        <f t="shared" si="12" ref="E104:L104">SUM(E101:E103)</f>
        <v>1736144322.8699999</v>
      </c>
      <c r="F104" s="134">
        <f t="shared" si="12"/>
        <v>32539117.650000002</v>
      </c>
      <c r="G104" s="134">
        <f t="shared" si="12"/>
        <v>13903329290.029997</v>
      </c>
      <c r="H104" s="134">
        <f t="shared" si="12"/>
        <v>15715483704.599999</v>
      </c>
      <c r="I104" s="134">
        <f t="shared" si="12"/>
        <v>143637502.12000004</v>
      </c>
      <c r="J104" s="134">
        <f t="shared" si="12"/>
        <v>15859121206.720001</v>
      </c>
      <c r="K104" s="134">
        <f t="shared" si="12"/>
        <v>909864678.68000007</v>
      </c>
      <c r="L104" s="134">
        <f t="shared" si="12"/>
        <v>412064825.12</v>
      </c>
      <c r="M104" s="134">
        <f t="shared" si="5"/>
        <v>31084380000.549999</v>
      </c>
      <c r="N104" s="139" t="b">
        <f t="shared" si="6"/>
        <v>1</v>
      </c>
      <c r="O104" s="285" t="b">
        <f>ROUND(+C104,0)=ROUND('II-B'!F18,0)</f>
        <v>1</v>
      </c>
      <c r="P104" t="b">
        <f>ROUND(+D104,0)=ROUND('II-B'!G18,0)</f>
        <v>1</v>
      </c>
      <c r="Q104" t="b">
        <f>ROUND(+E104,0)=ROUND('II-B'!H18,0)</f>
        <v>1</v>
      </c>
      <c r="R104" t="b">
        <f>ROUND(+F104,0)=ROUND('II-B'!I18,0)</f>
        <v>1</v>
      </c>
      <c r="S104" t="b">
        <f>ROUND(+G104,0)=ROUND('II-B'!J18,0)</f>
        <v>1</v>
      </c>
      <c r="T104" t="b">
        <f>ROUND(+H104,0)=ROUND('II-B'!K18,0)</f>
        <v>1</v>
      </c>
      <c r="U104" t="b">
        <f>ROUND(+I104,0)=ROUND('II-B'!L18,0)</f>
        <v>1</v>
      </c>
      <c r="V104" t="b">
        <f>ROUND(+J104,0)=ROUND('II-B'!M18,0)</f>
        <v>1</v>
      </c>
      <c r="W104" t="b">
        <f>ROUND(+K104,0)=ROUND('II-B'!N18,0)</f>
        <v>1</v>
      </c>
      <c r="X104" t="b">
        <f>ROUND(+L104,0)=ROUND('II-B'!O18,0)</f>
        <v>1</v>
      </c>
    </row>
    <row r="105" spans="2:24" ht="12.75">
      <c r="B105" s="141" t="s">
        <v>147</v>
      </c>
      <c r="C105" s="134">
        <f t="shared" si="13" ref="C105:D105">SUM(C48:C86)</f>
        <v>9999009713.0800018</v>
      </c>
      <c r="D105" s="134">
        <f t="shared" si="13"/>
        <v>3055988801.1500001</v>
      </c>
      <c r="E105" s="134">
        <f t="shared" si="14" ref="E105:L105">SUM(E48:E86)</f>
        <v>322638678.69999999</v>
      </c>
      <c r="F105" s="134">
        <f t="shared" si="14"/>
        <v>20956727.370000001</v>
      </c>
      <c r="G105" s="134">
        <f t="shared" si="14"/>
        <v>3399584207.2199998</v>
      </c>
      <c r="H105" s="134">
        <f t="shared" si="14"/>
        <v>5869820991.1499996</v>
      </c>
      <c r="I105" s="134">
        <f t="shared" si="14"/>
        <v>28047194.710000005</v>
      </c>
      <c r="J105" s="134">
        <f t="shared" si="14"/>
        <v>5897868185.8599997</v>
      </c>
      <c r="K105" s="134">
        <f t="shared" si="14"/>
        <v>575025967.10000002</v>
      </c>
      <c r="L105" s="134">
        <f t="shared" si="14"/>
        <v>126531352.90000001</v>
      </c>
      <c r="M105" s="134">
        <f t="shared" si="5"/>
        <v>9999009713.0799999</v>
      </c>
      <c r="N105" s="139" t="b">
        <f t="shared" si="6"/>
        <v>1</v>
      </c>
      <c r="O105" s="285" t="b">
        <f>ROUND(+C105,0)=ROUND('II-B'!F20,0)</f>
        <v>1</v>
      </c>
      <c r="P105" t="b">
        <f>ROUND(+D105,0)=ROUND('II-B'!G20,0)</f>
        <v>1</v>
      </c>
      <c r="Q105" t="b">
        <f>ROUND(+E105,0)=ROUND('II-B'!H20,0)</f>
        <v>1</v>
      </c>
      <c r="R105" t="b">
        <f>ROUND(+F105,0)=ROUND('II-B'!I20,0)</f>
        <v>1</v>
      </c>
      <c r="S105" t="b">
        <f>ROUND(+G105,0)=ROUND('II-B'!J20,0)</f>
        <v>1</v>
      </c>
      <c r="T105" t="b">
        <f>ROUND(+H105,0)=ROUND('II-B'!K20,0)</f>
        <v>1</v>
      </c>
      <c r="U105" t="b">
        <f>ROUND(+I105,0)=ROUND('II-B'!L20,0)</f>
        <v>1</v>
      </c>
      <c r="V105" t="b">
        <f>ROUND(+J105,0)=ROUND('II-B'!M20,0)</f>
        <v>1</v>
      </c>
      <c r="W105" t="b">
        <f>ROUND(+K105,0)=ROUND('II-B'!N20,0)</f>
        <v>1</v>
      </c>
      <c r="X105" t="b">
        <f>ROUND(+L105,0)=ROUND('II-B'!O20,0)</f>
        <v>1</v>
      </c>
    </row>
    <row r="106" spans="2:24" ht="12.75">
      <c r="B106" s="142" t="s">
        <v>114</v>
      </c>
      <c r="C106" s="134">
        <f t="shared" si="15" ref="C106:D106">+C104-C105</f>
        <v>21085370287.469994</v>
      </c>
      <c r="D106" s="134">
        <f t="shared" si="15"/>
        <v>9078657048.3599968</v>
      </c>
      <c r="E106" s="134">
        <f t="shared" si="16" ref="E106:L106">+E104-E105</f>
        <v>1413505644.1699998</v>
      </c>
      <c r="F106" s="134">
        <f t="shared" si="16"/>
        <v>11582390.280000001</v>
      </c>
      <c r="G106" s="134">
        <f t="shared" si="16"/>
        <v>10503745082.809998</v>
      </c>
      <c r="H106" s="134">
        <f t="shared" si="16"/>
        <v>9845662713.4499989</v>
      </c>
      <c r="I106" s="134">
        <f t="shared" si="16"/>
        <v>115590307.41000003</v>
      </c>
      <c r="J106" s="134">
        <f t="shared" si="16"/>
        <v>9961253020.8600006</v>
      </c>
      <c r="K106" s="134">
        <f t="shared" si="16"/>
        <v>334838711.58000004</v>
      </c>
      <c r="L106" s="134">
        <f t="shared" si="16"/>
        <v>285533472.22000003</v>
      </c>
      <c r="M106" s="134">
        <f t="shared" si="5"/>
        <v>21085370287.470001</v>
      </c>
      <c r="N106" s="139" t="b">
        <f t="shared" si="6"/>
        <v>1</v>
      </c>
      <c r="O106" s="285" t="b">
        <f>ROUND(+C106,0)=ROUND('II-B'!F22,0)</f>
        <v>1</v>
      </c>
      <c r="P106" t="b">
        <f>ROUND(+D106,0)=ROUND('II-B'!G22,0)</f>
        <v>1</v>
      </c>
      <c r="Q106" t="b">
        <f>ROUND(+E106,0)=ROUND('II-B'!H22,0)</f>
        <v>1</v>
      </c>
      <c r="R106" t="b">
        <f>ROUND(+F106,0)=ROUND('II-B'!I22,0)</f>
        <v>1</v>
      </c>
      <c r="S106" t="b">
        <f>ROUND(+G106,0)=ROUND('II-B'!J22,0)</f>
        <v>1</v>
      </c>
      <c r="T106" t="b">
        <f>ROUND(+H106,0)=ROUND('II-B'!K22,0)</f>
        <v>1</v>
      </c>
      <c r="U106" t="b">
        <f>ROUND(+I106,0)=ROUND('II-B'!L22,0)</f>
        <v>1</v>
      </c>
      <c r="V106" t="b">
        <f>ROUND(+J106,0)=ROUND('II-B'!M22,0)</f>
        <v>1</v>
      </c>
      <c r="W106" t="b">
        <f>ROUND(+K106,0)=ROUND('II-B'!N22,0)</f>
        <v>1</v>
      </c>
      <c r="X106" t="b">
        <f>ROUND(+L106,0)=ROUND('II-B'!O22,0)</f>
        <v>1</v>
      </c>
    </row>
    <row r="107" spans="2:14" ht="12.75">
      <c r="B107" s="143" t="s">
        <v>115</v>
      </c>
      <c r="C107" s="134"/>
      <c r="D107" s="134"/>
      <c r="E107" s="134"/>
      <c r="F107" s="134"/>
      <c r="G107" s="134"/>
      <c r="H107" s="134"/>
      <c r="I107" s="134"/>
      <c r="J107" s="134"/>
      <c r="K107" s="134"/>
      <c r="L107" s="134"/>
      <c r="M107" s="134"/>
      <c r="N107" s="139"/>
    </row>
    <row r="108" spans="2:24" ht="12.75">
      <c r="B108" s="142" t="s">
        <v>140</v>
      </c>
      <c r="C108" s="134">
        <f t="shared" si="17" ref="C108:D108">+C90</f>
        <v>0</v>
      </c>
      <c r="D108" s="134">
        <f t="shared" si="17"/>
        <v>0</v>
      </c>
      <c r="E108" s="134">
        <f t="shared" si="18" ref="E108:L108">+E90</f>
        <v>0</v>
      </c>
      <c r="F108" s="134">
        <f t="shared" si="18"/>
        <v>0</v>
      </c>
      <c r="G108" s="134">
        <f t="shared" si="18"/>
        <v>0</v>
      </c>
      <c r="H108" s="134">
        <f t="shared" si="18"/>
        <v>0</v>
      </c>
      <c r="I108" s="134">
        <f t="shared" si="18"/>
        <v>0</v>
      </c>
      <c r="J108" s="134">
        <f t="shared" si="18"/>
        <v>0</v>
      </c>
      <c r="K108" s="134">
        <f t="shared" si="18"/>
        <v>0</v>
      </c>
      <c r="L108" s="134">
        <f t="shared" si="18"/>
        <v>0</v>
      </c>
      <c r="M108" s="134">
        <f t="shared" si="19" ref="M108:M116">+G108+J108+K108+L108</f>
        <v>0</v>
      </c>
      <c r="N108" s="139" t="b">
        <f t="shared" si="20" ref="N108:N116">ROUND(+M108,0)=ROUND(C108,0)</f>
        <v>1</v>
      </c>
      <c r="O108" s="285" t="b">
        <f>+C108='II-B'!F25</f>
        <v>1</v>
      </c>
      <c r="P108" t="b">
        <f>+D108='II-B'!G25</f>
        <v>1</v>
      </c>
      <c r="Q108" t="b">
        <f>+E108='II-B'!H25</f>
        <v>1</v>
      </c>
      <c r="R108" t="b">
        <f>+F108='II-B'!I25</f>
        <v>1</v>
      </c>
      <c r="S108" t="b">
        <f>+G108='II-B'!J25</f>
        <v>1</v>
      </c>
      <c r="T108" t="b">
        <f>+H108='II-B'!K25</f>
        <v>1</v>
      </c>
      <c r="U108" t="b">
        <f>+I108='II-B'!L25</f>
        <v>1</v>
      </c>
      <c r="V108" t="b">
        <f>+J108='II-B'!M25</f>
        <v>1</v>
      </c>
      <c r="W108" t="b">
        <f>+K108='II-B'!N25</f>
        <v>1</v>
      </c>
      <c r="X108" t="b">
        <f>+L108='II-B'!O25</f>
        <v>1</v>
      </c>
    </row>
    <row r="109" spans="2:24" ht="12.75">
      <c r="B109" s="142" t="s">
        <v>103</v>
      </c>
      <c r="C109" s="134">
        <f t="shared" si="21" ref="C109:D109">+C89</f>
        <v>23215047.5</v>
      </c>
      <c r="D109" s="134">
        <f t="shared" si="21"/>
        <v>21469068.16</v>
      </c>
      <c r="E109" s="134">
        <f t="shared" si="22" ref="E109:L109">+E89</f>
        <v>0</v>
      </c>
      <c r="F109" s="134">
        <f t="shared" si="22"/>
        <v>0</v>
      </c>
      <c r="G109" s="134">
        <f t="shared" si="22"/>
        <v>21469068.16</v>
      </c>
      <c r="H109" s="134">
        <f t="shared" si="22"/>
        <v>1745979.3400000001</v>
      </c>
      <c r="I109" s="134">
        <f t="shared" si="22"/>
        <v>0</v>
      </c>
      <c r="J109" s="134">
        <f t="shared" si="22"/>
        <v>1745979.3400000001</v>
      </c>
      <c r="K109" s="134">
        <f t="shared" si="22"/>
        <v>0</v>
      </c>
      <c r="L109" s="134">
        <f t="shared" si="22"/>
        <v>0</v>
      </c>
      <c r="M109" s="134">
        <f t="shared" si="19"/>
        <v>23215047.5</v>
      </c>
      <c r="N109" s="139" t="b">
        <f t="shared" si="20"/>
        <v>1</v>
      </c>
      <c r="O109" s="285" t="b">
        <f>+C109='II-B'!F26</f>
        <v>1</v>
      </c>
      <c r="P109" t="b">
        <f>+D109='II-B'!G26</f>
        <v>1</v>
      </c>
      <c r="Q109" t="b">
        <f>+E109='II-B'!H26</f>
        <v>1</v>
      </c>
      <c r="R109" t="b">
        <f>+F109='II-B'!I26</f>
        <v>1</v>
      </c>
      <c r="S109" t="b">
        <f>+G109='II-B'!J26</f>
        <v>1</v>
      </c>
      <c r="T109" t="b">
        <f>+H109='II-B'!K26</f>
        <v>1</v>
      </c>
      <c r="U109" t="b">
        <f>+I109='II-B'!L26</f>
        <v>1</v>
      </c>
      <c r="V109" t="b">
        <f>+J109='II-B'!M26</f>
        <v>1</v>
      </c>
      <c r="W109" t="b">
        <f>+K109='II-B'!N26</f>
        <v>1</v>
      </c>
      <c r="X109" t="b">
        <f>+L109='II-B'!O26</f>
        <v>1</v>
      </c>
    </row>
    <row r="110" spans="2:24" ht="12.75">
      <c r="B110" s="5" t="s">
        <v>101</v>
      </c>
      <c r="C110" s="134">
        <f>+'II-B-11'!I30</f>
        <v>21076650.420000002</v>
      </c>
      <c r="D110" s="134">
        <f>+'II-B-11'!N30</f>
        <v>720667.52000000002</v>
      </c>
      <c r="E110" s="134">
        <f>+'II-B-11'!O30</f>
        <v>23452667.34</v>
      </c>
      <c r="F110" s="134">
        <f>+'II-B-11'!P30</f>
        <v>0</v>
      </c>
      <c r="G110" s="134">
        <f>+'II-B-11'!Q30</f>
        <v>24173334.859999999</v>
      </c>
      <c r="H110" s="134">
        <f>+'II-B-11'!R30</f>
        <v>-2428360.54</v>
      </c>
      <c r="I110" s="134">
        <f>+'II-B-11'!S30</f>
        <v>0</v>
      </c>
      <c r="J110" s="134">
        <f>+'II-B-11'!T30</f>
        <v>-2428360.54</v>
      </c>
      <c r="K110" s="134">
        <f>+'II-B-11'!U30</f>
        <v>-668323.90000000002</v>
      </c>
      <c r="L110" s="134">
        <f>+'II-B-11'!V30</f>
        <v>0</v>
      </c>
      <c r="M110" s="134">
        <f t="shared" si="19"/>
        <v>21076650.420000002</v>
      </c>
      <c r="N110" s="139" t="b">
        <f t="shared" si="20"/>
        <v>1</v>
      </c>
      <c r="O110" s="285" t="b">
        <f>+C110='II-B'!F31</f>
        <v>1</v>
      </c>
      <c r="P110" t="b">
        <f>+D110='II-B'!G31</f>
        <v>1</v>
      </c>
      <c r="Q110" t="b">
        <f>+E110='II-B'!H31</f>
        <v>1</v>
      </c>
      <c r="R110" t="b">
        <f>+F110='II-B'!I31</f>
        <v>1</v>
      </c>
      <c r="S110" t="b">
        <f>+G110='II-B'!J31</f>
        <v>1</v>
      </c>
      <c r="T110" t="b">
        <f>+H110='II-B'!K31</f>
        <v>1</v>
      </c>
      <c r="U110" t="b">
        <f>+I110='II-B'!L31</f>
        <v>1</v>
      </c>
      <c r="V110" t="b">
        <f>+J110='II-B'!M31</f>
        <v>1</v>
      </c>
      <c r="W110" t="b">
        <f>+K110='II-B'!N31</f>
        <v>1</v>
      </c>
      <c r="X110" t="b">
        <f>+L110='II-B'!O31</f>
        <v>1</v>
      </c>
    </row>
    <row r="111" spans="2:24" ht="12.75">
      <c r="B111" s="142" t="s">
        <v>117</v>
      </c>
      <c r="C111" s="134">
        <f t="shared" si="23" ref="C111:D111">+C92+C93</f>
        <v>152038740.86000001</v>
      </c>
      <c r="D111" s="134">
        <f t="shared" si="23"/>
        <v>77242553.11999999</v>
      </c>
      <c r="E111" s="134">
        <f t="shared" si="24" ref="E111:L111">+E92+E93</f>
        <v>0</v>
      </c>
      <c r="F111" s="134">
        <f t="shared" si="24"/>
        <v>0</v>
      </c>
      <c r="G111" s="134">
        <f t="shared" si="24"/>
        <v>77242553.11999999</v>
      </c>
      <c r="H111" s="134">
        <f t="shared" si="24"/>
        <v>74690404.409999996</v>
      </c>
      <c r="I111" s="134">
        <f t="shared" si="24"/>
        <v>0</v>
      </c>
      <c r="J111" s="134">
        <f t="shared" si="24"/>
        <v>74690404.409999996</v>
      </c>
      <c r="K111" s="134">
        <f t="shared" si="24"/>
        <v>105783.33</v>
      </c>
      <c r="L111" s="134">
        <f t="shared" si="24"/>
        <v>0</v>
      </c>
      <c r="M111" s="134">
        <f t="shared" si="19"/>
        <v>152038740.85999998</v>
      </c>
      <c r="N111" s="139" t="b">
        <f t="shared" si="20"/>
        <v>1</v>
      </c>
      <c r="O111" s="285" t="b">
        <f>+C111='II-B'!F28</f>
        <v>1</v>
      </c>
      <c r="P111" t="b">
        <f>+D111='II-B'!G28</f>
        <v>1</v>
      </c>
      <c r="Q111" t="b">
        <f>+E111='II-B'!H28</f>
        <v>1</v>
      </c>
      <c r="R111" t="b">
        <f>+F111='II-B'!I28</f>
        <v>1</v>
      </c>
      <c r="S111" t="b">
        <f>+G111='II-B'!J28</f>
        <v>1</v>
      </c>
      <c r="T111" t="b">
        <f>+H111='II-B'!K28</f>
        <v>1</v>
      </c>
      <c r="U111" t="b">
        <f>+I111='II-B'!L28</f>
        <v>1</v>
      </c>
      <c r="V111" t="b">
        <f>+J111='II-B'!M28</f>
        <v>1</v>
      </c>
      <c r="W111" t="b">
        <f>+K111='II-B'!N28</f>
        <v>1</v>
      </c>
      <c r="X111" t="b">
        <f>+L111='II-B'!O28</f>
        <v>1</v>
      </c>
    </row>
    <row r="112" spans="2:24" ht="12.75">
      <c r="B112" s="142" t="s">
        <v>116</v>
      </c>
      <c r="C112" s="134">
        <f t="shared" si="25" ref="C112:D112">+C94</f>
        <v>-73484424</v>
      </c>
      <c r="D112" s="134">
        <f t="shared" si="25"/>
        <v>-48361434.050000004</v>
      </c>
      <c r="E112" s="134">
        <f t="shared" si="26" ref="E112:L112">+E94</f>
        <v>-8174427.4699999997</v>
      </c>
      <c r="F112" s="134">
        <f t="shared" si="26"/>
        <v>0</v>
      </c>
      <c r="G112" s="134">
        <f t="shared" si="26"/>
        <v>-56535861.520000003</v>
      </c>
      <c r="H112" s="134">
        <f t="shared" si="26"/>
        <v>-16695371.95999999</v>
      </c>
      <c r="I112" s="134">
        <f t="shared" si="26"/>
        <v>-668468.91000000003</v>
      </c>
      <c r="J112" s="134">
        <f t="shared" si="26"/>
        <v>-17363840.86999999</v>
      </c>
      <c r="K112" s="134">
        <f t="shared" si="26"/>
        <v>273938.61000000028</v>
      </c>
      <c r="L112" s="134">
        <f t="shared" si="26"/>
        <v>141339.77999998356</v>
      </c>
      <c r="M112" s="134">
        <f t="shared" si="19"/>
        <v>-73484424</v>
      </c>
      <c r="N112" s="139" t="b">
        <f t="shared" si="20"/>
        <v>1</v>
      </c>
      <c r="O112" s="285" t="b">
        <f>+C112='II-B'!F29</f>
        <v>1</v>
      </c>
      <c r="P112" t="b">
        <f>+D112='II-B'!G29</f>
        <v>1</v>
      </c>
      <c r="Q112" t="b">
        <f>+E112='II-B'!H29</f>
        <v>1</v>
      </c>
      <c r="R112" t="b">
        <f>+F112='II-B'!I29</f>
        <v>1</v>
      </c>
      <c r="S112" t="b">
        <f>+G112='II-B'!J29</f>
        <v>1</v>
      </c>
      <c r="T112" t="b">
        <f>+H112='II-B'!K29</f>
        <v>1</v>
      </c>
      <c r="U112" t="b">
        <f>+I112='II-B'!L29</f>
        <v>1</v>
      </c>
      <c r="V112" t="b">
        <f>+J112='II-B'!M29</f>
        <v>1</v>
      </c>
      <c r="W112" t="b">
        <f>+K112='II-B'!N29</f>
        <v>1</v>
      </c>
      <c r="X112" t="b">
        <f>+L112='II-B'!O29</f>
        <v>1</v>
      </c>
    </row>
    <row r="113" spans="2:24" ht="12.75">
      <c r="B113" s="142" t="s">
        <v>107</v>
      </c>
      <c r="C113" s="134">
        <f t="shared" si="27" ref="C113:D113">+C95+C96</f>
        <v>115153396.16076924</v>
      </c>
      <c r="D113" s="134">
        <f t="shared" si="27"/>
        <v>10576723.424615383</v>
      </c>
      <c r="E113" s="134">
        <f t="shared" si="28" ref="E113:L113">+E95+E96</f>
        <v>0</v>
      </c>
      <c r="F113" s="134">
        <f t="shared" si="28"/>
        <v>0</v>
      </c>
      <c r="G113" s="134">
        <f t="shared" si="28"/>
        <v>10576723.424615383</v>
      </c>
      <c r="H113" s="134">
        <f t="shared" si="28"/>
        <v>100121671.99538463</v>
      </c>
      <c r="I113" s="134">
        <f t="shared" si="28"/>
        <v>0</v>
      </c>
      <c r="J113" s="134">
        <f t="shared" si="28"/>
        <v>100121671.99538463</v>
      </c>
      <c r="K113" s="134">
        <f t="shared" si="28"/>
        <v>3524809.17076923</v>
      </c>
      <c r="L113" s="134">
        <f t="shared" si="28"/>
        <v>930191.56999999855</v>
      </c>
      <c r="M113" s="134">
        <f t="shared" si="19"/>
        <v>115153396.16076924</v>
      </c>
      <c r="N113" s="139" t="b">
        <f t="shared" si="20"/>
        <v>1</v>
      </c>
      <c r="O113" s="285" t="b">
        <f>ROUND(+C113,2)=ROUND('II-B'!F30,2)</f>
        <v>1</v>
      </c>
      <c r="P113" t="b">
        <f>+D113='II-B'!G30</f>
        <v>1</v>
      </c>
      <c r="Q113" t="b">
        <f>+E113='II-B'!H30</f>
        <v>1</v>
      </c>
      <c r="R113" t="b">
        <f>+F113='II-B'!I30</f>
        <v>1</v>
      </c>
      <c r="S113" t="b">
        <f>+G113='II-B'!J30</f>
        <v>1</v>
      </c>
      <c r="T113" t="b">
        <f>+H113='II-B'!K30</f>
        <v>1</v>
      </c>
      <c r="U113" t="b">
        <f>+I113='II-B'!L30</f>
        <v>1</v>
      </c>
      <c r="V113" t="b">
        <f>+J113='II-B'!M30</f>
        <v>1</v>
      </c>
      <c r="W113" t="b">
        <f>+K113='II-B'!N30</f>
        <v>1</v>
      </c>
      <c r="X113" t="b">
        <f>+L113='II-B'!O30</f>
        <v>1</v>
      </c>
    </row>
    <row r="114" spans="2:24" ht="12.75">
      <c r="B114" s="117" t="s">
        <v>122</v>
      </c>
      <c r="C114" s="134">
        <f>+'II-B'!F33</f>
        <v>-2347893771.4499998</v>
      </c>
      <c r="D114" s="134">
        <f>+'II-B'!G33</f>
        <v>-951633684.86999989</v>
      </c>
      <c r="E114" s="134">
        <f>+'II-B'!H33</f>
        <v>-129921592.42</v>
      </c>
      <c r="F114" s="134">
        <f>+'II-B'!I33</f>
        <v>-1226987.2099999997</v>
      </c>
      <c r="G114" s="134">
        <f>+'II-B'!J33</f>
        <v>-1082782264.5000002</v>
      </c>
      <c r="H114" s="134">
        <f>+'II-B'!K33</f>
        <v>-1132059195.6699996</v>
      </c>
      <c r="I114" s="134">
        <f>+'II-B'!L33</f>
        <v>-10585547.99</v>
      </c>
      <c r="J114" s="134">
        <f>+'II-B'!M33</f>
        <v>-1142644743.6599996</v>
      </c>
      <c r="K114" s="134">
        <f>+'II-B'!N33</f>
        <v>-36656474.20000001</v>
      </c>
      <c r="L114" s="134">
        <f>+'II-B'!O33</f>
        <v>-85810289.089999706</v>
      </c>
      <c r="M114" s="134">
        <f t="shared" si="19"/>
        <v>-2347893771.4499993</v>
      </c>
      <c r="N114" s="139" t="b">
        <f t="shared" si="20"/>
        <v>1</v>
      </c>
      <c r="O114" s="285" t="b">
        <f>+C114='II-B'!F33</f>
        <v>1</v>
      </c>
      <c r="P114" t="b">
        <f>+D114='II-B'!G33</f>
        <v>1</v>
      </c>
      <c r="Q114" t="b">
        <f>+E114='II-B'!H33</f>
        <v>1</v>
      </c>
      <c r="R114" t="b">
        <f>+F114='II-B'!I33</f>
        <v>1</v>
      </c>
      <c r="S114" t="b">
        <f>+G114='II-B'!J33</f>
        <v>1</v>
      </c>
      <c r="T114" t="b">
        <f>+H114='II-B'!K33</f>
        <v>1</v>
      </c>
      <c r="U114" t="b">
        <f>+I114='II-B'!L33</f>
        <v>1</v>
      </c>
      <c r="V114" t="b">
        <f>+J114='II-B'!M33</f>
        <v>1</v>
      </c>
      <c r="W114" t="b">
        <f>+K114='II-B'!N33</f>
        <v>1</v>
      </c>
      <c r="X114" t="b">
        <f>+L114='II-B'!O33</f>
        <v>1</v>
      </c>
    </row>
    <row r="115" spans="2:24" ht="12.75">
      <c r="B115" s="5" t="s">
        <v>190</v>
      </c>
      <c r="C115" s="134">
        <f t="shared" si="29" ref="C115:D115">+C97</f>
        <v>-159547551.03681278</v>
      </c>
      <c r="D115" s="134">
        <f t="shared" si="29"/>
        <v>-424638395.25999993</v>
      </c>
      <c r="E115" s="134">
        <f t="shared" si="30" ref="E115:L115">+E97</f>
        <v>-45636288.200000003</v>
      </c>
      <c r="F115" s="134">
        <f t="shared" si="30"/>
        <v>-642339.16000000003</v>
      </c>
      <c r="G115" s="134">
        <f t="shared" si="30"/>
        <v>-470917022.62</v>
      </c>
      <c r="H115" s="134">
        <f t="shared" si="30"/>
        <v>190520108.74000001</v>
      </c>
      <c r="I115" s="134">
        <f t="shared" si="30"/>
        <v>-3330024.8900000006</v>
      </c>
      <c r="J115" s="134">
        <f t="shared" si="30"/>
        <v>187190083.84999991</v>
      </c>
      <c r="K115" s="134">
        <f t="shared" si="30"/>
        <v>119901695.55999999</v>
      </c>
      <c r="L115" s="134">
        <f t="shared" si="30"/>
        <v>4277692.1731872801</v>
      </c>
      <c r="M115" s="134">
        <f t="shared" si="19"/>
        <v>-159547551.03681281</v>
      </c>
      <c r="N115" s="139" t="b">
        <f t="shared" si="20"/>
        <v>1</v>
      </c>
      <c r="O115" s="285" t="b">
        <f>+C115='II-B'!F32</f>
        <v>1</v>
      </c>
      <c r="P115" t="b">
        <f>+D115='II-B'!G32</f>
        <v>1</v>
      </c>
      <c r="Q115" t="b">
        <f>+E115='II-B'!H32</f>
        <v>1</v>
      </c>
      <c r="R115" t="b">
        <f>+F115='II-B'!I32</f>
        <v>1</v>
      </c>
      <c r="S115" t="b">
        <f>+G115='II-B'!J32</f>
        <v>1</v>
      </c>
      <c r="T115" t="b">
        <f>+H115='II-B'!K32</f>
        <v>1</v>
      </c>
      <c r="U115" t="b">
        <f>+I115='II-B'!L32</f>
        <v>1</v>
      </c>
      <c r="V115" t="b">
        <f>+J115='II-B'!M32</f>
        <v>1</v>
      </c>
      <c r="W115" t="b">
        <f>+K115='II-B'!N32</f>
        <v>1</v>
      </c>
      <c r="X115" t="b">
        <f>+L115='II-B'!O32</f>
        <v>1</v>
      </c>
    </row>
    <row r="116" spans="1:24" ht="12.75">
      <c r="A116" s="117" t="s">
        <v>109</v>
      </c>
      <c r="C116" s="135">
        <f t="shared" si="31" ref="C116:D116">+C106+SUM(C108:C115)</f>
        <v>18815928375.92395</v>
      </c>
      <c r="D116" s="135">
        <f t="shared" si="31"/>
        <v>7764032546.4046125</v>
      </c>
      <c r="E116" s="135">
        <f t="shared" si="32" ref="E116:L116">+E106+SUM(E108:E115)</f>
        <v>1253226003.4199998</v>
      </c>
      <c r="F116" s="135">
        <f t="shared" si="32"/>
        <v>9713063.910000002</v>
      </c>
      <c r="G116" s="135">
        <f t="shared" si="32"/>
        <v>9026971613.7346134</v>
      </c>
      <c r="H116" s="135">
        <f t="shared" si="32"/>
        <v>9061557949.7653847</v>
      </c>
      <c r="I116" s="135">
        <f t="shared" si="32"/>
        <v>101006265.62000002</v>
      </c>
      <c r="J116" s="135">
        <f t="shared" si="32"/>
        <v>9162564215.3853855</v>
      </c>
      <c r="K116" s="135">
        <f t="shared" si="32"/>
        <v>421320140.15076923</v>
      </c>
      <c r="L116" s="135">
        <f t="shared" si="32"/>
        <v>205072406.65318757</v>
      </c>
      <c r="M116" s="134">
        <f t="shared" si="19"/>
        <v>18815928375.923954</v>
      </c>
      <c r="N116" s="139" t="b">
        <f t="shared" si="20"/>
        <v>1</v>
      </c>
      <c r="O116" s="285" t="b">
        <f>+C116='II-B'!F37</f>
        <v>1</v>
      </c>
      <c r="P116" s="144" t="b">
        <f>+D116='II-B'!G37</f>
        <v>1</v>
      </c>
      <c r="Q116" s="144" t="b">
        <f>+E116='II-B'!H37</f>
        <v>1</v>
      </c>
      <c r="R116" s="144" t="b">
        <f>+F116='II-B'!I37</f>
        <v>1</v>
      </c>
      <c r="S116" s="144" t="b">
        <f>+G116='II-B'!J37</f>
        <v>1</v>
      </c>
      <c r="T116" s="144" t="b">
        <f>+H116='II-B'!K37</f>
        <v>1</v>
      </c>
      <c r="U116" s="144" t="b">
        <f>+I116='II-B'!L37</f>
        <v>1</v>
      </c>
      <c r="V116" s="144" t="b">
        <f>+J116='II-B'!M37</f>
        <v>1</v>
      </c>
      <c r="W116" s="144" t="b">
        <f>+K116='II-B'!N37</f>
        <v>1</v>
      </c>
      <c r="X116" s="144" t="b">
        <f>+L116='II-B'!O37</f>
        <v>1</v>
      </c>
    </row>
    <row r="117" spans="3:13" ht="12.75">
      <c r="C117" s="134"/>
      <c r="D117" s="134"/>
      <c r="E117" s="134"/>
      <c r="F117" s="134"/>
      <c r="G117" s="134"/>
      <c r="H117" s="134"/>
      <c r="I117" s="134"/>
      <c r="J117" s="134"/>
      <c r="K117" s="134"/>
      <c r="L117" s="134"/>
      <c r="M117" s="134"/>
    </row>
    <row r="118" spans="2:13" ht="12.75">
      <c r="B118" t="s">
        <v>212</v>
      </c>
      <c r="D118" s="154">
        <f>IF(ISERROR(+'II-B'!G18/'II-B'!$F$18),0,+'II-B'!G18/'II-B'!$F$18)</f>
        <v>0.39037760602898597</v>
      </c>
      <c r="E118" s="154">
        <f>IF(ISERROR(+'II-B'!H18/'II-B'!$F$18),0,+'II-B'!H18/'II-B'!$F$18)</f>
        <v>0.055852628324556612</v>
      </c>
      <c r="F118" s="154">
        <f>IF(ISERROR(+'II-B'!I18/'II-B'!$F$18),0,+'II-B'!I18/'II-B'!$F$18)</f>
        <v>0.0010467996353610482</v>
      </c>
      <c r="G118" s="154">
        <f>IF(ISERROR(+'II-B'!J18/'II-B'!$F$18),0,+'II-B'!J18/'II-B'!$F$18)</f>
        <v>0.44727703398890356</v>
      </c>
      <c r="H118" s="154">
        <f>IF(ISERROR(+'II-B'!K18/'II-B'!$F$18),0,+'II-B'!K18/'II-B'!$F$18)</f>
        <v>0.50557494485403709</v>
      </c>
      <c r="I118" s="154">
        <f>IF(ISERROR(+'II-B'!L18/'II-B'!$F$18),0,+'II-B'!L18/'II-B'!$F$18)</f>
        <v>0.004620890045658254</v>
      </c>
      <c r="J118" s="154">
        <f>IF(ISERROR(+'II-B'!M18/'II-B'!$F$18),0,+'II-B'!M18/'II-B'!$F$18)</f>
        <v>0.51019583489969544</v>
      </c>
      <c r="K118" s="154">
        <f>IF(ISERROR(+'II-B'!N18/'II-B'!$F$18),0,+'II-B'!N18/'II-B'!$F$18)</f>
        <v>0.029270800275376287</v>
      </c>
      <c r="L118" s="154">
        <f>IF(ISERROR(+'II-B'!O18/'II-B'!$F$18),0,+'II-B'!O18/'II-B'!$F$18)</f>
        <v>0.013256330836024685</v>
      </c>
      <c r="M118" s="154">
        <f>SUM(D118:L118)</f>
        <v>1.957472868888599</v>
      </c>
    </row>
    <row r="119" spans="3:13" ht="12.75">
      <c r="C119" s="134"/>
      <c r="D119" s="134"/>
      <c r="E119" s="134"/>
      <c r="F119" s="134"/>
      <c r="G119" s="134"/>
      <c r="H119" s="134"/>
      <c r="I119" s="134"/>
      <c r="J119" s="134"/>
      <c r="K119" s="134"/>
      <c r="L119" s="134"/>
      <c r="M119" s="134"/>
    </row>
    <row r="120" spans="1:14" ht="12.75">
      <c r="A120" s="10" t="s">
        <v>119</v>
      </c>
      <c r="C120" s="134">
        <f>+'II-B'!F41</f>
        <v>1326522950.5026386</v>
      </c>
      <c r="D120" s="134">
        <f>+'II-B'!G41</f>
        <v>547364294.52152526</v>
      </c>
      <c r="E120" s="134">
        <f>+'II-B'!H41</f>
        <v>88352433.241109982</v>
      </c>
      <c r="F120" s="134">
        <f>+'II-B'!I41</f>
        <v>684771.0056550001</v>
      </c>
      <c r="G120" s="134">
        <f>+'II-B'!J41</f>
        <v>636401498.76829016</v>
      </c>
      <c r="H120" s="134">
        <f>+'II-B'!K41</f>
        <v>638839835.45845938</v>
      </c>
      <c r="I120" s="134">
        <f>+'II-B'!L41</f>
        <v>7120941.7262099991</v>
      </c>
      <c r="J120" s="134">
        <f>+'II-B'!M41</f>
        <v>645960777.18466961</v>
      </c>
      <c r="K120" s="134">
        <f>+'II-B'!N41</f>
        <v>29703069.880629227</v>
      </c>
      <c r="L120" s="134">
        <f>+'II-B'!O41</f>
        <v>14457604.669049723</v>
      </c>
      <c r="M120" s="134">
        <f>+L120+K120+J120+G120</f>
        <v>1326522950.5026388</v>
      </c>
      <c r="N120" s="139" t="b">
        <f>ROUND(+M120,0)=ROUND(C120,0)</f>
        <v>1</v>
      </c>
    </row>
    <row r="121" spans="3:13" ht="12.75">
      <c r="C121" s="134"/>
      <c r="D121" s="134"/>
      <c r="E121" s="134"/>
      <c r="F121" s="134"/>
      <c r="G121" s="134"/>
      <c r="H121" s="134"/>
      <c r="I121" s="134"/>
      <c r="J121" s="134"/>
      <c r="K121" s="134"/>
      <c r="L121" s="134"/>
      <c r="M121" s="134"/>
    </row>
    <row r="122" spans="2:14" ht="12.75">
      <c r="B122" t="s">
        <v>225</v>
      </c>
      <c r="C122" s="134">
        <f>+'II-B-1'!I20-'II-B-5'!I21</f>
        <v>613582405.07000005</v>
      </c>
      <c r="D122" s="134">
        <f>+'II-B-1'!N20-'II-B-5'!N21</f>
        <v>147968574.68000001</v>
      </c>
      <c r="E122" s="134">
        <f>+'II-B-1'!O20-'II-B-5'!O21</f>
        <v>0</v>
      </c>
      <c r="F122" s="134">
        <f>+'II-B-1'!P20-'II-B-5'!P21</f>
        <v>0</v>
      </c>
      <c r="G122" s="134">
        <f>+'II-B-1'!Q20-'II-B-5'!Q21</f>
        <v>147968574.68000001</v>
      </c>
      <c r="H122" s="134">
        <f>+'II-B-1'!R20-'II-B-5'!R21</f>
        <v>209210524.99000001</v>
      </c>
      <c r="I122" s="134">
        <f>+'II-B-1'!S20-'II-B-5'!S21</f>
        <v>0</v>
      </c>
      <c r="J122" s="134">
        <f>+'II-B-1'!T20-'II-B-5'!T21</f>
        <v>209210524.99000001</v>
      </c>
      <c r="K122" s="134">
        <f>+'II-B-1'!U20-'II-B-5'!U21</f>
        <v>30140290.230000019</v>
      </c>
      <c r="L122" s="134">
        <f>+'II-B-1'!V20-'II-B-5'!V21</f>
        <v>226263015.17000002</v>
      </c>
      <c r="M122" s="134">
        <f>+'II-B-1'!W20-'II-B-5'!W21</f>
        <v>613582405.06999993</v>
      </c>
      <c r="N122" s="139" t="b">
        <f>ROUND(+M122,0)=ROUND(C122,0)</f>
        <v>1</v>
      </c>
    </row>
    <row r="123" spans="3:13" ht="12.75">
      <c r="C123" s="134"/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</row>
    <row r="124" spans="3:19" ht="12.75">
      <c r="C124" s="296"/>
      <c r="D124" s="296"/>
      <c r="E124" s="296"/>
      <c r="F124" s="296"/>
      <c r="G124" s="296"/>
      <c r="H124" s="296"/>
      <c r="I124" s="296"/>
      <c r="J124" s="296"/>
      <c r="K124" s="290" t="s">
        <v>319</v>
      </c>
      <c r="L124" s="290" t="s">
        <v>325</v>
      </c>
      <c r="M124" s="295" t="s">
        <v>320</v>
      </c>
      <c r="N124" s="138"/>
      <c r="O124" s="290" t="s">
        <v>319</v>
      </c>
      <c r="P124" s="290" t="s">
        <v>320</v>
      </c>
      <c r="Q124" s="138"/>
      <c r="R124" s="138"/>
      <c r="S124" s="138"/>
    </row>
    <row r="125" spans="2:19" ht="12.75">
      <c r="B125" s="140"/>
      <c r="C125" s="290" t="s">
        <v>19</v>
      </c>
      <c r="D125" s="290" t="s">
        <v>328</v>
      </c>
      <c r="E125" s="290" t="s">
        <v>20</v>
      </c>
      <c r="F125" s="290" t="s">
        <v>329</v>
      </c>
      <c r="G125" s="290" t="s">
        <v>330</v>
      </c>
      <c r="H125" s="290"/>
      <c r="I125" s="290" t="s">
        <v>31</v>
      </c>
      <c r="J125" s="290" t="s">
        <v>126</v>
      </c>
      <c r="K125" s="290" t="s">
        <v>126</v>
      </c>
      <c r="L125" s="290" t="s">
        <v>327</v>
      </c>
      <c r="M125" s="290" t="s">
        <v>126</v>
      </c>
      <c r="N125" s="290" t="s">
        <v>127</v>
      </c>
      <c r="O125" s="290" t="s">
        <v>127</v>
      </c>
      <c r="P125" s="290" t="s">
        <v>127</v>
      </c>
      <c r="Q125" s="290" t="s">
        <v>120</v>
      </c>
      <c r="R125" s="290" t="s">
        <v>199</v>
      </c>
      <c r="S125" s="290" t="s">
        <v>29</v>
      </c>
    </row>
    <row r="126" spans="2:21" ht="12.75">
      <c r="B126" s="76" t="s">
        <v>347</v>
      </c>
      <c r="C126" s="291">
        <f>+'II-B-12'!G19</f>
        <v>19458184.879999999</v>
      </c>
      <c r="D126" s="291">
        <f>+'II-B-12'!H19</f>
        <v>-19458184.879999999</v>
      </c>
      <c r="E126" s="291">
        <f>+'II-B-12'!I19</f>
        <v>0</v>
      </c>
      <c r="F126" s="289">
        <f>+'II-B-12'!J19</f>
        <v>1</v>
      </c>
      <c r="G126" s="291">
        <f>+'II-B-12'!K19</f>
        <v>0</v>
      </c>
      <c r="H126" s="291"/>
      <c r="I126" s="291">
        <f>+'II-B-12'!M19</f>
        <v>0</v>
      </c>
      <c r="J126" s="291">
        <f>+'II-B-12'!N19</f>
        <v>0</v>
      </c>
      <c r="K126" s="291">
        <f>+'II-B-12'!O19</f>
        <v>0</v>
      </c>
      <c r="L126" s="291">
        <f>+'II-B-12'!P19</f>
        <v>0</v>
      </c>
      <c r="M126" s="291">
        <f>+'II-B-12'!Q19</f>
        <v>0</v>
      </c>
      <c r="N126" s="291">
        <f>+'II-B-12'!R19</f>
        <v>0</v>
      </c>
      <c r="O126" s="291">
        <f>+'II-B-12'!S19</f>
        <v>0</v>
      </c>
      <c r="P126" s="291">
        <f>+'II-B-12'!T19</f>
        <v>0</v>
      </c>
      <c r="Q126" s="291">
        <f>+'II-B-12'!U19</f>
        <v>0</v>
      </c>
      <c r="R126" s="291">
        <f>+'II-B-12'!V19</f>
        <v>0</v>
      </c>
      <c r="S126" s="292">
        <f>+M126+P126+Q126+R126</f>
        <v>0</v>
      </c>
      <c r="T126" t="b">
        <f>+G126=S126</f>
        <v>1</v>
      </c>
      <c r="U126" s="256">
        <f>+G126-S126</f>
        <v>0</v>
      </c>
    </row>
    <row r="127" spans="2:21" ht="12.75">
      <c r="B127" s="76" t="s">
        <v>348</v>
      </c>
      <c r="C127" s="134">
        <f>+'II-B-12'!G20</f>
        <v>1518897.72</v>
      </c>
      <c r="D127" s="134">
        <f>+'II-B-12'!H20</f>
        <v>0</v>
      </c>
      <c r="E127" s="134">
        <f>+'II-B-12'!I20</f>
        <v>1518897.72</v>
      </c>
      <c r="F127" s="289">
        <f>+'II-B-12'!J20</f>
        <v>1</v>
      </c>
      <c r="G127" s="134">
        <f>+'II-B-12'!K20</f>
        <v>1518897.72</v>
      </c>
      <c r="H127" s="134"/>
      <c r="I127" s="134" t="str">
        <f>+'II-B-12'!M20</f>
        <v>Direct Assignment</v>
      </c>
      <c r="J127" s="134">
        <f>+'II-B-12'!N20</f>
        <v>1518897.72</v>
      </c>
      <c r="K127" s="134">
        <f>+'II-B-12'!O20</f>
        <v>0</v>
      </c>
      <c r="L127" s="134">
        <f>+'II-B-12'!P20</f>
        <v>0</v>
      </c>
      <c r="M127" s="134">
        <f>+'II-B-12'!Q20</f>
        <v>1518897.72</v>
      </c>
      <c r="N127" s="134">
        <f>+'II-B-12'!R20</f>
        <v>0</v>
      </c>
      <c r="O127" s="134">
        <f>+'II-B-12'!S20</f>
        <v>0</v>
      </c>
      <c r="P127" s="134">
        <f>+'II-B-12'!T20</f>
        <v>0</v>
      </c>
      <c r="Q127" s="134">
        <f>+'II-B-12'!U20</f>
        <v>0</v>
      </c>
      <c r="R127" s="134">
        <f>+'II-B-12'!V20</f>
        <v>0</v>
      </c>
      <c r="S127" s="293">
        <f t="shared" si="33" ref="S127:S147">+M127+P127+Q127+R127</f>
        <v>1518897.72</v>
      </c>
      <c r="T127" t="b">
        <f t="shared" si="34" ref="T127:T147">+G127=S127</f>
        <v>1</v>
      </c>
      <c r="U127" s="256">
        <f t="shared" si="35" ref="U127:U147">+G127-S127</f>
        <v>0</v>
      </c>
    </row>
    <row r="128" spans="2:21" ht="12.75">
      <c r="B128" s="76" t="s">
        <v>349</v>
      </c>
      <c r="C128" s="134">
        <f>+'II-B-12'!G21</f>
        <v>26088</v>
      </c>
      <c r="D128" s="134">
        <f>+'II-B-12'!H21</f>
        <v>0</v>
      </c>
      <c r="E128" s="134">
        <f>+'II-B-12'!I21</f>
        <v>26088</v>
      </c>
      <c r="F128" s="289">
        <f>+'II-B-12'!J21</f>
        <v>1</v>
      </c>
      <c r="G128" s="134">
        <f>+'II-B-12'!K21</f>
        <v>26088</v>
      </c>
      <c r="H128" s="134"/>
      <c r="I128" s="134" t="str">
        <f>+'II-B-12'!M21</f>
        <v>Direct Assignment</v>
      </c>
      <c r="J128" s="134">
        <f>+'II-B-12'!N21</f>
        <v>0</v>
      </c>
      <c r="K128" s="134">
        <f>+'II-B-12'!O21</f>
        <v>0</v>
      </c>
      <c r="L128" s="134">
        <f>+'II-B-12'!P21</f>
        <v>0</v>
      </c>
      <c r="M128" s="134">
        <f>+'II-B-12'!Q21</f>
        <v>0</v>
      </c>
      <c r="N128" s="134">
        <f>+'II-B-12'!R21</f>
        <v>26088</v>
      </c>
      <c r="O128" s="134">
        <f>+'II-B-12'!S21</f>
        <v>0</v>
      </c>
      <c r="P128" s="134">
        <f>+'II-B-12'!T21</f>
        <v>26088</v>
      </c>
      <c r="Q128" s="134">
        <f>+'II-B-12'!U21</f>
        <v>0</v>
      </c>
      <c r="R128" s="134">
        <f>+'II-B-12'!V21</f>
        <v>0</v>
      </c>
      <c r="S128" s="293">
        <f t="shared" si="33"/>
        <v>26088</v>
      </c>
      <c r="T128" t="b">
        <f t="shared" si="34"/>
        <v>1</v>
      </c>
      <c r="U128" s="256">
        <f t="shared" si="35"/>
        <v>0</v>
      </c>
    </row>
    <row r="129" spans="2:21" ht="12.75">
      <c r="B129" s="76" t="s">
        <v>350</v>
      </c>
      <c r="C129" s="134">
        <f>+'II-B-12'!G22</f>
        <v>34659802.689999998</v>
      </c>
      <c r="D129" s="134">
        <f>+'II-B-12'!H22</f>
        <v>-41176.370000000003</v>
      </c>
      <c r="E129" s="134">
        <f>+'II-B-12'!I22</f>
        <v>34618626.32</v>
      </c>
      <c r="F129" s="289">
        <f>+'II-B-12'!J22</f>
        <v>1</v>
      </c>
      <c r="G129" s="134">
        <f>+'II-B-12'!K22</f>
        <v>34618626.32</v>
      </c>
      <c r="H129" s="134"/>
      <c r="I129" s="134" t="str">
        <f>+'II-B-12'!M22</f>
        <v>TOMXFP</v>
      </c>
      <c r="J129" s="134">
        <f>+'II-B-12'!N22</f>
        <v>3006612.8700000001</v>
      </c>
      <c r="K129" s="134">
        <f>+'II-B-12'!O22</f>
        <v>0</v>
      </c>
      <c r="L129" s="134">
        <f>+'II-B-12'!P22</f>
        <v>0</v>
      </c>
      <c r="M129" s="134">
        <f>+'II-B-12'!Q22</f>
        <v>3006612.8700000001</v>
      </c>
      <c r="N129" s="134">
        <f>+'II-B-12'!R22</f>
        <v>28752061.66</v>
      </c>
      <c r="O129" s="134">
        <f>+'II-B-12'!S22</f>
        <v>0</v>
      </c>
      <c r="P129" s="134">
        <f>+'II-B-12'!T22</f>
        <v>28752061.66</v>
      </c>
      <c r="Q129" s="134">
        <f>+'II-B-12'!U22</f>
        <v>1579203.8999999999</v>
      </c>
      <c r="R129" s="134">
        <f>+'II-B-12'!V22</f>
        <v>1280747.8899999992</v>
      </c>
      <c r="S129" s="293">
        <f t="shared" si="33"/>
        <v>34618626.32</v>
      </c>
      <c r="T129" t="b">
        <f t="shared" si="34"/>
        <v>1</v>
      </c>
      <c r="U129" s="256">
        <f t="shared" si="35"/>
        <v>0</v>
      </c>
    </row>
    <row r="130" spans="2:21" ht="12.75">
      <c r="B130" s="171" t="s">
        <v>243</v>
      </c>
      <c r="C130" s="134">
        <f>+'II-B-12'!G23</f>
        <v>172977830.47</v>
      </c>
      <c r="D130" s="134">
        <f>+'II-B-12'!H23</f>
        <v>0</v>
      </c>
      <c r="E130" s="134">
        <f>+'II-B-12'!I23</f>
        <v>172977830.47</v>
      </c>
      <c r="F130" s="289">
        <f>+'II-B-12'!J23</f>
        <v>1</v>
      </c>
      <c r="G130" s="134">
        <f>+'II-B-12'!K23</f>
        <v>172977830.47</v>
      </c>
      <c r="H130" s="134"/>
      <c r="I130" s="134" t="str">
        <f>+'II-B-12'!M23</f>
        <v>PAYXAG (Dkt 46957)</v>
      </c>
      <c r="J130" s="134">
        <f>+'II-B-12'!N23</f>
        <v>36117771</v>
      </c>
      <c r="K130" s="134">
        <f>+'II-B-12'!O23</f>
        <v>0</v>
      </c>
      <c r="L130" s="134">
        <f>+'II-B-12'!P23</f>
        <v>0</v>
      </c>
      <c r="M130" s="134">
        <f>+'II-B-12'!Q23</f>
        <v>36117771</v>
      </c>
      <c r="N130" s="134">
        <f>+'II-B-12'!R23</f>
        <v>105257009.84</v>
      </c>
      <c r="O130" s="134">
        <f>+'II-B-12'!S23</f>
        <v>0</v>
      </c>
      <c r="P130" s="134">
        <f>+'II-B-12'!T23</f>
        <v>105257009.84</v>
      </c>
      <c r="Q130" s="134">
        <f>+'II-B-12'!U23</f>
        <v>25202869.899999999</v>
      </c>
      <c r="R130" s="134">
        <f>+'II-B-12'!V23</f>
        <v>6400179.7299999967</v>
      </c>
      <c r="S130" s="293">
        <f t="shared" si="33"/>
        <v>172977830.47</v>
      </c>
      <c r="T130" t="b">
        <f t="shared" si="34"/>
        <v>1</v>
      </c>
      <c r="U130" s="256">
        <f t="shared" si="35"/>
        <v>0</v>
      </c>
    </row>
    <row r="131" spans="2:21" ht="12.75">
      <c r="B131" s="171" t="s">
        <v>242</v>
      </c>
      <c r="C131" s="134">
        <f>+'II-B-12'!G24</f>
        <v>-17440156.219999999</v>
      </c>
      <c r="D131" s="134">
        <f>+'II-B-12'!H24</f>
        <v>0</v>
      </c>
      <c r="E131" s="134">
        <f>+'II-B-12'!I24</f>
        <v>-17440156.219999999</v>
      </c>
      <c r="F131" s="289">
        <f>+'II-B-12'!J24</f>
        <v>1</v>
      </c>
      <c r="G131" s="134">
        <f>+'II-B-12'!K24</f>
        <v>-17440156.219999999</v>
      </c>
      <c r="H131" s="134"/>
      <c r="I131" s="134" t="str">
        <f>+'II-B-12'!M24</f>
        <v>PAYXAG</v>
      </c>
      <c r="J131" s="134">
        <f>+'II-B-12'!N24</f>
        <v>-3840349.6800000002</v>
      </c>
      <c r="K131" s="134">
        <f>+'II-B-12'!O24</f>
        <v>0</v>
      </c>
      <c r="L131" s="134">
        <f>+'II-B-12'!P24</f>
        <v>0</v>
      </c>
      <c r="M131" s="134">
        <f>+'II-B-12'!Q24</f>
        <v>-3840349.6800000002</v>
      </c>
      <c r="N131" s="134">
        <f>+'II-B-12'!R24</f>
        <v>-10594886.380000001</v>
      </c>
      <c r="O131" s="134">
        <f>+'II-B-12'!S24</f>
        <v>0</v>
      </c>
      <c r="P131" s="134">
        <f>+'II-B-12'!T24</f>
        <v>-10594886.380000001</v>
      </c>
      <c r="Q131" s="134">
        <f>+'II-B-12'!U24</f>
        <v>-2888676.04</v>
      </c>
      <c r="R131" s="134">
        <f>+'II-B-12'!V24</f>
        <v>-116244.11999999825</v>
      </c>
      <c r="S131" s="293">
        <f t="shared" si="33"/>
        <v>-17440156.219999999</v>
      </c>
      <c r="T131" t="b">
        <f t="shared" si="34"/>
        <v>1</v>
      </c>
      <c r="U131" s="256">
        <f t="shared" si="35"/>
        <v>0</v>
      </c>
    </row>
    <row r="132" spans="2:21" ht="12.75">
      <c r="B132" s="171" t="s">
        <v>244</v>
      </c>
      <c r="C132" s="134">
        <f>+'II-B-12'!G25</f>
        <v>18815909.739999998</v>
      </c>
      <c r="D132" s="134">
        <f>+'II-B-12'!H25</f>
        <v>0</v>
      </c>
      <c r="E132" s="134">
        <f>+'II-B-12'!I25</f>
        <v>18815909.739999998</v>
      </c>
      <c r="F132" s="289">
        <f>+'II-B-12'!J25</f>
        <v>1</v>
      </c>
      <c r="G132" s="134">
        <f>+'II-B-12'!K25</f>
        <v>18815909.739999998</v>
      </c>
      <c r="H132" s="134"/>
      <c r="I132" s="134" t="str">
        <f>+'II-B-12'!M25</f>
        <v>PAYXAG (Dkt 46957)</v>
      </c>
      <c r="J132" s="134">
        <f>+'II-B-12'!N25</f>
        <v>3928761.9500000002</v>
      </c>
      <c r="K132" s="134">
        <f>+'II-B-12'!O25</f>
        <v>0</v>
      </c>
      <c r="L132" s="134">
        <f>+'II-B-12'!P25</f>
        <v>0</v>
      </c>
      <c r="M132" s="134">
        <f>+'II-B-12'!Q25</f>
        <v>3928761.9500000002</v>
      </c>
      <c r="N132" s="134">
        <f>+'II-B-12'!R25</f>
        <v>11449481.08</v>
      </c>
      <c r="O132" s="134">
        <f>+'II-B-12'!S25</f>
        <v>0</v>
      </c>
      <c r="P132" s="134">
        <f>+'II-B-12'!T25</f>
        <v>11449481.08</v>
      </c>
      <c r="Q132" s="134">
        <f>+'II-B-12'!U25</f>
        <v>2741478.0499999998</v>
      </c>
      <c r="R132" s="134">
        <f>+'II-B-12'!V25</f>
        <v>696188.65999999922</v>
      </c>
      <c r="S132" s="293">
        <f t="shared" si="33"/>
        <v>18815909.740000002</v>
      </c>
      <c r="T132" t="b">
        <f t="shared" si="34"/>
        <v>1</v>
      </c>
      <c r="U132" s="256">
        <f t="shared" si="35"/>
        <v>0</v>
      </c>
    </row>
    <row r="133" spans="2:21" ht="12.75">
      <c r="B133" s="171" t="s">
        <v>245</v>
      </c>
      <c r="C133" s="134">
        <f>+'II-B-12'!G26</f>
        <v>328914729</v>
      </c>
      <c r="D133" s="134">
        <f>+'II-B-12'!H26</f>
        <v>-328914729</v>
      </c>
      <c r="E133" s="134">
        <f>+'II-B-12'!I26</f>
        <v>0</v>
      </c>
      <c r="F133" s="289">
        <f>+'II-B-12'!J26</f>
        <v>1</v>
      </c>
      <c r="G133" s="134">
        <f>+'II-B-12'!K26</f>
        <v>0</v>
      </c>
      <c r="H133" s="134"/>
      <c r="I133" s="134">
        <f>+'II-B-12'!M26</f>
        <v>0</v>
      </c>
      <c r="J133" s="134">
        <f>+'II-B-12'!N26</f>
        <v>0</v>
      </c>
      <c r="K133" s="134">
        <f>+'II-B-12'!O26</f>
        <v>0</v>
      </c>
      <c r="L133" s="134">
        <f>+'II-B-12'!P26</f>
        <v>0</v>
      </c>
      <c r="M133" s="134">
        <f>+'II-B-12'!Q26</f>
        <v>0</v>
      </c>
      <c r="N133" s="134">
        <f>+'II-B-12'!R26</f>
        <v>0</v>
      </c>
      <c r="O133" s="134">
        <f>+'II-B-12'!S26</f>
        <v>0</v>
      </c>
      <c r="P133" s="134">
        <f>+'II-B-12'!T26</f>
        <v>0</v>
      </c>
      <c r="Q133" s="134">
        <f>+'II-B-12'!U26</f>
        <v>0</v>
      </c>
      <c r="R133" s="134">
        <f>+'II-B-12'!V26</f>
        <v>0</v>
      </c>
      <c r="S133" s="293">
        <f t="shared" si="33"/>
        <v>0</v>
      </c>
      <c r="T133" t="b">
        <f t="shared" si="34"/>
        <v>1</v>
      </c>
      <c r="U133" s="256">
        <f t="shared" si="35"/>
        <v>0</v>
      </c>
    </row>
    <row r="134" spans="2:21" ht="12.75">
      <c r="B134" s="76" t="s">
        <v>224</v>
      </c>
      <c r="C134" s="134">
        <f>+'II-B-12'!G27</f>
        <v>1968953.26</v>
      </c>
      <c r="D134" s="134">
        <f>+'II-B-12'!H27</f>
        <v>-1968953.26</v>
      </c>
      <c r="E134" s="134">
        <f>+'II-B-12'!I27</f>
        <v>0</v>
      </c>
      <c r="F134" s="289">
        <f>+'II-B-12'!J27</f>
        <v>1</v>
      </c>
      <c r="G134" s="134">
        <f>+'II-B-12'!K27</f>
        <v>0</v>
      </c>
      <c r="H134" s="134"/>
      <c r="I134" s="134">
        <f>+'II-B-12'!M27</f>
        <v>0</v>
      </c>
      <c r="J134" s="134">
        <f>+'II-B-12'!N27</f>
        <v>0</v>
      </c>
      <c r="K134" s="134">
        <f>+'II-B-12'!O27</f>
        <v>0</v>
      </c>
      <c r="L134" s="134">
        <f>+'II-B-12'!P27</f>
        <v>0</v>
      </c>
      <c r="M134" s="134">
        <f>+'II-B-12'!Q27</f>
        <v>0</v>
      </c>
      <c r="N134" s="134">
        <f>+'II-B-12'!R27</f>
        <v>0</v>
      </c>
      <c r="O134" s="134">
        <f>+'II-B-12'!S27</f>
        <v>0</v>
      </c>
      <c r="P134" s="134">
        <f>+'II-B-12'!T27</f>
        <v>0</v>
      </c>
      <c r="Q134" s="134">
        <f>+'II-B-12'!U27</f>
        <v>0</v>
      </c>
      <c r="R134" s="134">
        <f>+'II-B-12'!V27</f>
        <v>0</v>
      </c>
      <c r="S134" s="293">
        <f t="shared" si="33"/>
        <v>0</v>
      </c>
      <c r="T134" t="b">
        <f t="shared" si="34"/>
        <v>1</v>
      </c>
      <c r="U134" s="256">
        <f t="shared" si="35"/>
        <v>0</v>
      </c>
    </row>
    <row r="135" spans="2:21" ht="12.75">
      <c r="B135" s="76" t="s">
        <v>351</v>
      </c>
      <c r="C135" s="134">
        <f>+'II-B-12'!G28</f>
        <v>114751835.44</v>
      </c>
      <c r="D135" s="134">
        <f>+'II-B-12'!H28</f>
        <v>-114751835.44</v>
      </c>
      <c r="E135" s="134">
        <f>+'II-B-12'!I28</f>
        <v>0</v>
      </c>
      <c r="F135" s="289">
        <f>+'II-B-12'!J28</f>
        <v>1</v>
      </c>
      <c r="G135" s="134">
        <f>+'II-B-12'!K28</f>
        <v>0</v>
      </c>
      <c r="H135" s="134"/>
      <c r="I135" s="134">
        <f>+'II-B-12'!M28</f>
        <v>0</v>
      </c>
      <c r="J135" s="134">
        <f>+'II-B-12'!N28</f>
        <v>0</v>
      </c>
      <c r="K135" s="134">
        <f>+'II-B-12'!O28</f>
        <v>0</v>
      </c>
      <c r="L135" s="134">
        <f>+'II-B-12'!P28</f>
        <v>0</v>
      </c>
      <c r="M135" s="134">
        <f>+'II-B-12'!Q28</f>
        <v>0</v>
      </c>
      <c r="N135" s="134">
        <f>+'II-B-12'!R28</f>
        <v>0</v>
      </c>
      <c r="O135" s="134">
        <f>+'II-B-12'!S28</f>
        <v>0</v>
      </c>
      <c r="P135" s="134">
        <f>+'II-B-12'!T28</f>
        <v>0</v>
      </c>
      <c r="Q135" s="134">
        <f>+'II-B-12'!U28</f>
        <v>0</v>
      </c>
      <c r="R135" s="134">
        <f>+'II-B-12'!V28</f>
        <v>0</v>
      </c>
      <c r="S135" s="293">
        <f t="shared" si="33"/>
        <v>0</v>
      </c>
      <c r="T135" t="b">
        <f t="shared" si="34"/>
        <v>1</v>
      </c>
      <c r="U135" s="256">
        <f t="shared" si="35"/>
        <v>0</v>
      </c>
    </row>
    <row r="136" spans="2:21" ht="12.75">
      <c r="B136" s="76" t="s">
        <v>352</v>
      </c>
      <c r="C136" s="134">
        <f>+'II-B-12'!G29</f>
        <v>80079.689999999973</v>
      </c>
      <c r="D136" s="134">
        <f>+'II-B-12'!H29</f>
        <v>0</v>
      </c>
      <c r="E136" s="134">
        <f>+'II-B-12'!I29</f>
        <v>80079.689999999973</v>
      </c>
      <c r="F136" s="289">
        <f>+'II-B-12'!J29</f>
        <v>1</v>
      </c>
      <c r="G136" s="134">
        <f>+'II-B-12'!K29</f>
        <v>80079.689999999973</v>
      </c>
      <c r="H136" s="134"/>
      <c r="I136" s="134" t="str">
        <f>+'II-B-12'!M29</f>
        <v>Direct Assignment</v>
      </c>
      <c r="J136" s="134">
        <f>+'II-B-12'!N29</f>
        <v>0</v>
      </c>
      <c r="K136" s="134">
        <f>+'II-B-12'!O29</f>
        <v>0</v>
      </c>
      <c r="L136" s="134">
        <f>+'II-B-12'!P29</f>
        <v>0</v>
      </c>
      <c r="M136" s="134">
        <f>+'II-B-12'!Q29</f>
        <v>0</v>
      </c>
      <c r="N136" s="134">
        <f>+'II-B-12'!R29</f>
        <v>0</v>
      </c>
      <c r="O136" s="134">
        <f>+'II-B-12'!S29</f>
        <v>0</v>
      </c>
      <c r="P136" s="134">
        <f>+'II-B-12'!T29</f>
        <v>0</v>
      </c>
      <c r="Q136" s="134">
        <f>+'II-B-12'!U29</f>
        <v>80079.689999999973</v>
      </c>
      <c r="R136" s="134">
        <f>+'II-B-12'!V29</f>
        <v>0</v>
      </c>
      <c r="S136" s="293">
        <f t="shared" si="33"/>
        <v>80079.689999999973</v>
      </c>
      <c r="T136" t="b">
        <f t="shared" si="34"/>
        <v>1</v>
      </c>
      <c r="U136" s="256">
        <f t="shared" si="35"/>
        <v>0</v>
      </c>
    </row>
    <row r="137" spans="2:21" ht="12.75">
      <c r="B137" s="76" t="s">
        <v>353</v>
      </c>
      <c r="C137" s="134">
        <f>+'II-B-12'!G30</f>
        <v>23799.09</v>
      </c>
      <c r="D137" s="134">
        <f>+'II-B-12'!H30</f>
        <v>-23799.09</v>
      </c>
      <c r="E137" s="134">
        <f>+'II-B-12'!I30</f>
        <v>0</v>
      </c>
      <c r="F137" s="289">
        <f>+'II-B-12'!J30</f>
        <v>1</v>
      </c>
      <c r="G137" s="134">
        <f>+'II-B-12'!K30</f>
        <v>0</v>
      </c>
      <c r="H137" s="134"/>
      <c r="I137" s="134">
        <f>+'II-B-12'!M30</f>
        <v>0</v>
      </c>
      <c r="J137" s="134">
        <f>+'II-B-12'!N30</f>
        <v>0</v>
      </c>
      <c r="K137" s="134">
        <f>+'II-B-12'!O30</f>
        <v>0</v>
      </c>
      <c r="L137" s="134">
        <f>+'II-B-12'!P30</f>
        <v>0</v>
      </c>
      <c r="M137" s="134">
        <f>+'II-B-12'!Q30</f>
        <v>0</v>
      </c>
      <c r="N137" s="134">
        <f>+'II-B-12'!R30</f>
        <v>0</v>
      </c>
      <c r="O137" s="134">
        <f>+'II-B-12'!S30</f>
        <v>0</v>
      </c>
      <c r="P137" s="134">
        <f>+'II-B-12'!T30</f>
        <v>0</v>
      </c>
      <c r="Q137" s="134">
        <f>+'II-B-12'!U30</f>
        <v>0</v>
      </c>
      <c r="R137" s="134">
        <f>+'II-B-12'!V30</f>
        <v>0</v>
      </c>
      <c r="S137" s="293">
        <f t="shared" si="33"/>
        <v>0</v>
      </c>
      <c r="T137" t="b">
        <f t="shared" si="34"/>
        <v>1</v>
      </c>
      <c r="U137" s="256">
        <f t="shared" si="35"/>
        <v>0</v>
      </c>
    </row>
    <row r="138" spans="2:21" ht="12.75">
      <c r="B138" s="76" t="s">
        <v>281</v>
      </c>
      <c r="C138" s="134">
        <f>+'II-B-12'!G31</f>
        <v>178482.85000000001</v>
      </c>
      <c r="D138" s="134">
        <f>+'II-B-12'!H31</f>
        <v>0</v>
      </c>
      <c r="E138" s="134">
        <f>+'II-B-12'!I31</f>
        <v>178482.85000000001</v>
      </c>
      <c r="F138" s="289">
        <f>+'II-B-12'!J31</f>
        <v>1</v>
      </c>
      <c r="G138" s="134">
        <f>+'II-B-12'!K31</f>
        <v>178482.85000000001</v>
      </c>
      <c r="H138" s="134"/>
      <c r="I138" s="134" t="str">
        <f>+'II-B-12'!M31</f>
        <v>Direct Assigned</v>
      </c>
      <c r="J138" s="134">
        <f>+'II-B-12'!N31</f>
        <v>0</v>
      </c>
      <c r="K138" s="134">
        <f>+'II-B-12'!O31</f>
        <v>0</v>
      </c>
      <c r="L138" s="134">
        <f>+'II-B-12'!P31</f>
        <v>0</v>
      </c>
      <c r="M138" s="134">
        <f>+'II-B-12'!Q31</f>
        <v>0</v>
      </c>
      <c r="N138" s="134">
        <f>+'II-B-12'!R31</f>
        <v>178482.85000000001</v>
      </c>
      <c r="O138" s="134">
        <f>+'II-B-12'!S31</f>
        <v>0</v>
      </c>
      <c r="P138" s="134">
        <f>+'II-B-12'!T31</f>
        <v>178482.85000000001</v>
      </c>
      <c r="Q138" s="134">
        <f>+'II-B-12'!U31</f>
        <v>0</v>
      </c>
      <c r="R138" s="134">
        <f>+'II-B-12'!V31</f>
        <v>0</v>
      </c>
      <c r="S138" s="293">
        <f t="shared" si="33"/>
        <v>178482.85000000001</v>
      </c>
      <c r="T138" t="b">
        <f t="shared" si="34"/>
        <v>1</v>
      </c>
      <c r="U138" s="256">
        <f t="shared" si="35"/>
        <v>0</v>
      </c>
    </row>
    <row r="139" spans="2:21" ht="12.75">
      <c r="B139" s="76" t="s">
        <v>354</v>
      </c>
      <c r="C139" s="134">
        <f>+'II-B-12'!G32</f>
        <v>304615.98999999999</v>
      </c>
      <c r="D139" s="134">
        <f>+'II-B-12'!H32</f>
        <v>0</v>
      </c>
      <c r="E139" s="134">
        <f>+'II-B-12'!I32</f>
        <v>304615.98999999999</v>
      </c>
      <c r="F139" s="289">
        <f>+'II-B-12'!J32</f>
        <v>1</v>
      </c>
      <c r="G139" s="134">
        <f>+'II-B-12'!K32</f>
        <v>304615.98999999999</v>
      </c>
      <c r="H139" s="134"/>
      <c r="I139" s="134" t="str">
        <f>+'II-B-12'!M32</f>
        <v>Direct Assigned</v>
      </c>
      <c r="J139" s="134">
        <f>+'II-B-12'!N32</f>
        <v>0</v>
      </c>
      <c r="K139" s="134">
        <f>+'II-B-12'!O32</f>
        <v>0</v>
      </c>
      <c r="L139" s="134">
        <f>+'II-B-12'!P32</f>
        <v>0</v>
      </c>
      <c r="M139" s="134">
        <f>+'II-B-12'!Q32</f>
        <v>0</v>
      </c>
      <c r="N139" s="134">
        <f>+'II-B-12'!R32</f>
        <v>304615.98999999999</v>
      </c>
      <c r="O139" s="134">
        <f>+'II-B-12'!S32</f>
        <v>0</v>
      </c>
      <c r="P139" s="134">
        <f>+'II-B-12'!T32</f>
        <v>304615.98999999999</v>
      </c>
      <c r="Q139" s="134">
        <f>+'II-B-12'!U32</f>
        <v>0</v>
      </c>
      <c r="R139" s="134">
        <f>+'II-B-12'!V32</f>
        <v>0</v>
      </c>
      <c r="S139" s="293">
        <f t="shared" si="33"/>
        <v>304615.98999999999</v>
      </c>
      <c r="T139" t="b">
        <f t="shared" si="34"/>
        <v>1</v>
      </c>
      <c r="U139" s="256">
        <f t="shared" si="35"/>
        <v>0</v>
      </c>
    </row>
    <row r="140" spans="2:21" ht="12.75">
      <c r="B140" s="76" t="s">
        <v>355</v>
      </c>
      <c r="C140" s="134">
        <f>+'II-B-12'!G33</f>
        <v>167728.14000000001</v>
      </c>
      <c r="D140" s="134">
        <f>+'II-B-12'!H33</f>
        <v>0</v>
      </c>
      <c r="E140" s="134">
        <f>+'II-B-12'!I33</f>
        <v>167728.14000000001</v>
      </c>
      <c r="F140" s="289">
        <f>+'II-B-12'!J33</f>
        <v>1</v>
      </c>
      <c r="G140" s="134">
        <f>+'II-B-12'!K33</f>
        <v>167728.14000000001</v>
      </c>
      <c r="H140" s="134"/>
      <c r="I140" s="134" t="str">
        <f>+'II-B-12'!M33</f>
        <v>Direct Assigned</v>
      </c>
      <c r="J140" s="134">
        <f>+'II-B-12'!N33</f>
        <v>0</v>
      </c>
      <c r="K140" s="134">
        <f>+'II-B-12'!O33</f>
        <v>0</v>
      </c>
      <c r="L140" s="134">
        <f>+'II-B-12'!P33</f>
        <v>0</v>
      </c>
      <c r="M140" s="134">
        <f>+'II-B-12'!Q33</f>
        <v>0</v>
      </c>
      <c r="N140" s="134">
        <f>+'II-B-12'!R33</f>
        <v>167728.14000000001</v>
      </c>
      <c r="O140" s="134">
        <f>+'II-B-12'!S33</f>
        <v>0</v>
      </c>
      <c r="P140" s="134">
        <f>+'II-B-12'!T33</f>
        <v>167728.14000000001</v>
      </c>
      <c r="Q140" s="134">
        <f>+'II-B-12'!U33</f>
        <v>0</v>
      </c>
      <c r="R140" s="134">
        <f>+'II-B-12'!V33</f>
        <v>0</v>
      </c>
      <c r="S140" s="293">
        <f t="shared" si="33"/>
        <v>167728.14000000001</v>
      </c>
      <c r="T140" t="b">
        <f t="shared" si="34"/>
        <v>1</v>
      </c>
      <c r="U140" s="256">
        <f t="shared" si="35"/>
        <v>0</v>
      </c>
    </row>
    <row r="141" spans="2:21" ht="12.75">
      <c r="B141" s="76" t="s">
        <v>356</v>
      </c>
      <c r="C141" s="134">
        <f>+'II-B-12'!G34</f>
        <v>215521.45999999999</v>
      </c>
      <c r="D141" s="134">
        <f>+'II-B-12'!H34</f>
        <v>0</v>
      </c>
      <c r="E141" s="134">
        <f>+'II-B-12'!I34</f>
        <v>215521.45999999999</v>
      </c>
      <c r="F141" s="289">
        <f>+'II-B-12'!J34</f>
        <v>1</v>
      </c>
      <c r="G141" s="134">
        <f>+'II-B-12'!K34</f>
        <v>215521.45999999999</v>
      </c>
      <c r="H141" s="134"/>
      <c r="I141" s="134" t="str">
        <f>+'II-B-12'!M34</f>
        <v>Direct Assigned</v>
      </c>
      <c r="J141" s="134">
        <f>+'II-B-12'!N34</f>
        <v>0</v>
      </c>
      <c r="K141" s="134">
        <f>+'II-B-12'!O34</f>
        <v>0</v>
      </c>
      <c r="L141" s="134">
        <f>+'II-B-12'!P34</f>
        <v>0</v>
      </c>
      <c r="M141" s="134">
        <f>+'II-B-12'!Q34</f>
        <v>0</v>
      </c>
      <c r="N141" s="134">
        <f>+'II-B-12'!R34</f>
        <v>215521.45999999999</v>
      </c>
      <c r="O141" s="134">
        <f>+'II-B-12'!S34</f>
        <v>0</v>
      </c>
      <c r="P141" s="134">
        <f>+'II-B-12'!T34</f>
        <v>215521.45999999999</v>
      </c>
      <c r="Q141" s="134">
        <f>+'II-B-12'!U34</f>
        <v>0</v>
      </c>
      <c r="R141" s="134">
        <f>+'II-B-12'!V34</f>
        <v>0</v>
      </c>
      <c r="S141" s="293">
        <f t="shared" si="33"/>
        <v>215521.45999999999</v>
      </c>
      <c r="T141" t="b">
        <f t="shared" si="34"/>
        <v>1</v>
      </c>
      <c r="U141" s="256">
        <f t="shared" si="35"/>
        <v>0</v>
      </c>
    </row>
    <row r="142" spans="2:21" ht="12.75">
      <c r="B142" s="76" t="s">
        <v>357</v>
      </c>
      <c r="C142" s="134">
        <f>+'II-B-12'!G35</f>
        <v>586172.70000000007</v>
      </c>
      <c r="D142" s="134">
        <f>+'II-B-12'!H35</f>
        <v>0</v>
      </c>
      <c r="E142" s="134">
        <f>+'II-B-12'!I35</f>
        <v>586172.70000000007</v>
      </c>
      <c r="F142" s="289">
        <f>+'II-B-12'!J35</f>
        <v>1</v>
      </c>
      <c r="G142" s="134">
        <f>+'II-B-12'!K35</f>
        <v>586172.70000000007</v>
      </c>
      <c r="H142" s="134"/>
      <c r="I142" s="134" t="str">
        <f>+'II-B-12'!M35</f>
        <v>Direct Assigned</v>
      </c>
      <c r="J142" s="134">
        <f>+'II-B-12'!N35</f>
        <v>0</v>
      </c>
      <c r="K142" s="134">
        <f>+'II-B-12'!O35</f>
        <v>0</v>
      </c>
      <c r="L142" s="134">
        <f>+'II-B-12'!P35</f>
        <v>0</v>
      </c>
      <c r="M142" s="134">
        <f>+'II-B-12'!Q35</f>
        <v>0</v>
      </c>
      <c r="N142" s="134">
        <f>+'II-B-12'!R35</f>
        <v>586172.70000000007</v>
      </c>
      <c r="O142" s="134">
        <f>+'II-B-12'!S35</f>
        <v>0</v>
      </c>
      <c r="P142" s="134">
        <f>+'II-B-12'!T35</f>
        <v>586172.70000000007</v>
      </c>
      <c r="Q142" s="134">
        <f>+'II-B-12'!U35</f>
        <v>0</v>
      </c>
      <c r="R142" s="134">
        <f>+'II-B-12'!V35</f>
        <v>0</v>
      </c>
      <c r="S142" s="293">
        <f t="shared" si="33"/>
        <v>586172.70000000007</v>
      </c>
      <c r="T142" t="b">
        <f t="shared" si="34"/>
        <v>1</v>
      </c>
      <c r="U142" s="256">
        <f t="shared" si="35"/>
        <v>0</v>
      </c>
    </row>
    <row r="143" spans="2:21" ht="12.75">
      <c r="B143" s="76" t="s">
        <v>358</v>
      </c>
      <c r="C143" s="134">
        <f>+'II-B-12'!G36</f>
        <v>334785.03000000003</v>
      </c>
      <c r="D143" s="134">
        <f>+'II-B-12'!H36</f>
        <v>0</v>
      </c>
      <c r="E143" s="134">
        <f>+'II-B-12'!I36</f>
        <v>334785.03000000003</v>
      </c>
      <c r="F143" s="289">
        <f>+'II-B-12'!J36</f>
        <v>1</v>
      </c>
      <c r="G143" s="134">
        <f>+'II-B-12'!K36</f>
        <v>334785.03000000003</v>
      </c>
      <c r="H143" s="134"/>
      <c r="I143" s="134" t="str">
        <f>+'II-B-12'!M36</f>
        <v>Direct Assigned</v>
      </c>
      <c r="J143" s="134">
        <f>+'II-B-12'!N36</f>
        <v>0</v>
      </c>
      <c r="K143" s="134">
        <f>+'II-B-12'!O36</f>
        <v>0</v>
      </c>
      <c r="L143" s="134">
        <f>+'II-B-12'!P36</f>
        <v>0</v>
      </c>
      <c r="M143" s="134">
        <f>+'II-B-12'!Q36</f>
        <v>0</v>
      </c>
      <c r="N143" s="134">
        <f>+'II-B-12'!R36</f>
        <v>334785.03000000003</v>
      </c>
      <c r="O143" s="134">
        <f>+'II-B-12'!S36</f>
        <v>0</v>
      </c>
      <c r="P143" s="134">
        <f>+'II-B-12'!T36</f>
        <v>334785.03000000003</v>
      </c>
      <c r="Q143" s="134">
        <f>+'II-B-12'!U36</f>
        <v>0</v>
      </c>
      <c r="R143" s="134">
        <f>+'II-B-12'!V36</f>
        <v>0</v>
      </c>
      <c r="S143" s="293">
        <f t="shared" si="33"/>
        <v>334785.03000000003</v>
      </c>
      <c r="T143" t="b">
        <f t="shared" si="34"/>
        <v>1</v>
      </c>
      <c r="U143" s="256">
        <f t="shared" si="35"/>
        <v>0</v>
      </c>
    </row>
    <row r="144" spans="2:21" ht="12.75">
      <c r="B144" s="76" t="s">
        <v>359</v>
      </c>
      <c r="C144" s="134">
        <f>+'II-B-12'!G37</f>
        <v>3421289.8900000006</v>
      </c>
      <c r="D144" s="134">
        <f>+'II-B-12'!H37</f>
        <v>3278710.1099999994</v>
      </c>
      <c r="E144" s="134">
        <f>+'II-B-12'!I37</f>
        <v>6700000</v>
      </c>
      <c r="F144" s="289">
        <f>+'II-B-12'!J37</f>
        <v>1</v>
      </c>
      <c r="G144" s="134">
        <f>+'II-B-12'!K37</f>
        <v>6700000</v>
      </c>
      <c r="H144" s="134"/>
      <c r="I144" s="134" t="str">
        <f>+'II-B-12'!M37</f>
        <v>Direct Assigned</v>
      </c>
      <c r="J144" s="134">
        <f>+'II-B-12'!N37</f>
        <v>0</v>
      </c>
      <c r="K144" s="134">
        <f>+'II-B-12'!O37</f>
        <v>0</v>
      </c>
      <c r="L144" s="134">
        <f>+'II-B-12'!P37</f>
        <v>0</v>
      </c>
      <c r="M144" s="134">
        <f>+'II-B-12'!Q37</f>
        <v>0</v>
      </c>
      <c r="N144" s="134">
        <f>+'II-B-12'!R37</f>
        <v>6700000</v>
      </c>
      <c r="O144" s="134">
        <f>+'II-B-12'!S37</f>
        <v>0</v>
      </c>
      <c r="P144" s="134">
        <f>+'II-B-12'!T37</f>
        <v>6700000</v>
      </c>
      <c r="Q144" s="134">
        <f>+'II-B-12'!U37</f>
        <v>0</v>
      </c>
      <c r="R144" s="134">
        <f>+'II-B-12'!V37</f>
        <v>0</v>
      </c>
      <c r="S144" s="293">
        <f t="shared" si="33"/>
        <v>6700000</v>
      </c>
      <c r="T144" t="b">
        <f t="shared" si="34"/>
        <v>1</v>
      </c>
      <c r="U144" s="256">
        <f t="shared" si="35"/>
        <v>0</v>
      </c>
    </row>
    <row r="145" spans="2:21" ht="12.75">
      <c r="B145" s="76" t="s">
        <v>360</v>
      </c>
      <c r="C145" s="134">
        <f>+'II-B-12'!G38</f>
        <v>75267069.370000005</v>
      </c>
      <c r="D145" s="134">
        <f>+'II-B-12'!H38</f>
        <v>0</v>
      </c>
      <c r="E145" s="134">
        <f>+'II-B-12'!I38</f>
        <v>75267069.370000005</v>
      </c>
      <c r="F145" s="289">
        <f>+'II-B-12'!J38</f>
        <v>1</v>
      </c>
      <c r="G145" s="134">
        <f>+'II-B-12'!K38</f>
        <v>75267069.370000005</v>
      </c>
      <c r="H145" s="134"/>
      <c r="I145" s="134" t="str">
        <f>+'II-B-12'!M38</f>
        <v>Direct Assignment</v>
      </c>
      <c r="J145" s="134">
        <f>+'II-B-12'!N38</f>
        <v>0</v>
      </c>
      <c r="K145" s="134">
        <f>+'II-B-12'!O38</f>
        <v>0</v>
      </c>
      <c r="L145" s="134">
        <f>+'II-B-12'!P38</f>
        <v>0</v>
      </c>
      <c r="M145" s="134">
        <f>+'II-B-12'!Q38</f>
        <v>0</v>
      </c>
      <c r="N145" s="134">
        <f>+'II-B-12'!R38</f>
        <v>75267069.370000005</v>
      </c>
      <c r="O145" s="134">
        <f>+'II-B-12'!S38</f>
        <v>0</v>
      </c>
      <c r="P145" s="134">
        <f>+'II-B-12'!T38</f>
        <v>75267069.370000005</v>
      </c>
      <c r="Q145" s="134">
        <f>+'II-B-12'!U38</f>
        <v>0</v>
      </c>
      <c r="R145" s="134">
        <f>+'II-B-12'!V38</f>
        <v>0</v>
      </c>
      <c r="S145" s="293">
        <f t="shared" si="33"/>
        <v>75267069.370000005</v>
      </c>
      <c r="T145" t="b">
        <f t="shared" si="34"/>
        <v>1</v>
      </c>
      <c r="U145" s="256">
        <f t="shared" si="35"/>
        <v>0</v>
      </c>
    </row>
    <row r="146" spans="2:21" ht="12.75">
      <c r="B146" s="76" t="s">
        <v>361</v>
      </c>
      <c r="C146" s="134">
        <f>+'II-B-12'!G39</f>
        <v>627362.98999999999</v>
      </c>
      <c r="D146" s="134">
        <f>+'II-B-12'!H39</f>
        <v>0</v>
      </c>
      <c r="E146" s="134">
        <f>+'II-B-12'!I39</f>
        <v>627362.98999999999</v>
      </c>
      <c r="F146" s="289">
        <f>+'II-B-12'!J39</f>
        <v>1</v>
      </c>
      <c r="G146" s="134">
        <f>+'II-B-12'!K39</f>
        <v>627362.98999999999</v>
      </c>
      <c r="H146" s="134"/>
      <c r="I146" s="134" t="str">
        <f>+'II-B-12'!M39</f>
        <v>Direct Assignment</v>
      </c>
      <c r="J146" s="134">
        <f>+'II-B-12'!N39</f>
        <v>0</v>
      </c>
      <c r="K146" s="134">
        <f>+'II-B-12'!O39</f>
        <v>0</v>
      </c>
      <c r="L146" s="134">
        <f>+'II-B-12'!P39</f>
        <v>0</v>
      </c>
      <c r="M146" s="134">
        <f>+'II-B-12'!Q39</f>
        <v>0</v>
      </c>
      <c r="N146" s="134">
        <f>+'II-B-12'!R39</f>
        <v>627362.98999999999</v>
      </c>
      <c r="O146" s="134">
        <f>+'II-B-12'!S39</f>
        <v>0</v>
      </c>
      <c r="P146" s="134">
        <f>+'II-B-12'!T39</f>
        <v>627362.98999999999</v>
      </c>
      <c r="Q146" s="134">
        <f>+'II-B-12'!U39</f>
        <v>0</v>
      </c>
      <c r="R146" s="134">
        <f>+'II-B-12'!V39</f>
        <v>0</v>
      </c>
      <c r="S146" s="293">
        <f t="shared" si="33"/>
        <v>627362.98999999999</v>
      </c>
      <c r="T146" t="b">
        <f t="shared" si="34"/>
        <v>1</v>
      </c>
      <c r="U146" s="256">
        <f t="shared" si="35"/>
        <v>0</v>
      </c>
    </row>
    <row r="147" spans="2:21" ht="12.75">
      <c r="B147" s="76" t="s">
        <v>362</v>
      </c>
      <c r="C147" s="134">
        <f>+'II-B-12'!G40</f>
        <v>2602847.4199999999</v>
      </c>
      <c r="D147" s="134">
        <f>+'II-B-12'!H40</f>
        <v>0</v>
      </c>
      <c r="E147" s="134">
        <f>+'II-B-12'!I40</f>
        <v>2602847.4199999999</v>
      </c>
      <c r="F147" s="289">
        <f>+'II-B-12'!J40</f>
        <v>1</v>
      </c>
      <c r="G147" s="134">
        <f>+'II-B-12'!K40</f>
        <v>2602847.4199999999</v>
      </c>
      <c r="H147" s="134"/>
      <c r="I147" s="134" t="str">
        <f>+'II-B-12'!M40</f>
        <v>Direct Assignment</v>
      </c>
      <c r="J147" s="134">
        <f>+'II-B-12'!N40</f>
        <v>0</v>
      </c>
      <c r="K147" s="134">
        <f>+'II-B-12'!O40</f>
        <v>1716330.0800000001</v>
      </c>
      <c r="L147" s="134">
        <f>+'II-B-12'!P40</f>
        <v>0</v>
      </c>
      <c r="M147" s="134">
        <f>+'II-B-12'!Q40</f>
        <v>1716330.0800000001</v>
      </c>
      <c r="N147" s="134">
        <f>+'II-B-12'!R40</f>
        <v>0</v>
      </c>
      <c r="O147" s="134">
        <f>+'II-B-12'!S40</f>
        <v>886517.33999999985</v>
      </c>
      <c r="P147" s="134">
        <f>+'II-B-12'!T40</f>
        <v>886517.33999999985</v>
      </c>
      <c r="Q147" s="134">
        <f>+'II-B-12'!U40</f>
        <v>0</v>
      </c>
      <c r="R147" s="134">
        <f>+'II-B-12'!V40</f>
        <v>0</v>
      </c>
      <c r="S147" s="293">
        <f t="shared" si="33"/>
        <v>2602847.4199999999</v>
      </c>
      <c r="T147" t="b">
        <f t="shared" si="34"/>
        <v>1</v>
      </c>
      <c r="U147" s="256">
        <f t="shared" si="35"/>
        <v>0</v>
      </c>
    </row>
    <row r="148" spans="2:21" ht="12.75">
      <c r="B148" s="76" t="s">
        <v>363</v>
      </c>
      <c r="C148" s="134">
        <f>+'II-B-12'!G41</f>
        <v>7547565.1299999999</v>
      </c>
      <c r="D148" s="134">
        <f>+'II-B-12'!H41</f>
        <v>-34164.940000000002</v>
      </c>
      <c r="E148" s="134">
        <f>+'II-B-12'!I41</f>
        <v>7513400.1899999995</v>
      </c>
      <c r="F148" s="289">
        <f>+'II-B-12'!J41</f>
        <v>1</v>
      </c>
      <c r="G148" s="134">
        <f>+'II-B-12'!K41</f>
        <v>7513400.1899999995</v>
      </c>
      <c r="H148" s="134"/>
      <c r="I148" s="134" t="str">
        <f>+'II-B-12'!M41</f>
        <v>Direct Assignment</v>
      </c>
      <c r="J148" s="134">
        <f>+'II-B-12'!N41</f>
        <v>6343989.4100000001</v>
      </c>
      <c r="K148" s="134">
        <f>+'II-B-12'!O41</f>
        <v>556203</v>
      </c>
      <c r="L148" s="134">
        <f>+'II-B-12'!P41</f>
        <v>0</v>
      </c>
      <c r="M148" s="134">
        <f>+'II-B-12'!Q41</f>
        <v>6900192.4100000001</v>
      </c>
      <c r="N148" s="134">
        <f>+'II-B-12'!R41</f>
        <v>613207.77999999933</v>
      </c>
      <c r="O148" s="134">
        <f>+'II-B-12'!S41</f>
        <v>0</v>
      </c>
      <c r="P148" s="134">
        <f>+'II-B-12'!T41</f>
        <v>613207.77999999933</v>
      </c>
      <c r="Q148" s="134">
        <f>+'II-B-12'!U41</f>
        <v>0</v>
      </c>
      <c r="R148" s="134">
        <f>+'II-B-12'!V41</f>
        <v>0</v>
      </c>
      <c r="S148" s="293">
        <f t="shared" si="36" ref="S148:S157">+M148+P148+Q148+R148</f>
        <v>7513400.1899999995</v>
      </c>
      <c r="T148" t="b">
        <f t="shared" si="37" ref="T148:T157">+G148=S148</f>
        <v>1</v>
      </c>
      <c r="U148" s="256">
        <f t="shared" si="38" ref="U148:U157">+G148-S148</f>
        <v>0</v>
      </c>
    </row>
    <row r="149" spans="2:21" ht="12.75">
      <c r="B149" s="76" t="s">
        <v>280</v>
      </c>
      <c r="C149" s="134">
        <f>+'II-B-12'!G42</f>
        <v>8889387</v>
      </c>
      <c r="D149" s="134">
        <f>+'II-B-12'!H42</f>
        <v>-530633.01000000001</v>
      </c>
      <c r="E149" s="134">
        <f>+'II-B-12'!I42</f>
        <v>8358753.9900000002</v>
      </c>
      <c r="F149" s="289">
        <f>+'II-B-12'!J42</f>
        <v>1</v>
      </c>
      <c r="G149" s="134">
        <f>+'II-B-12'!K42</f>
        <v>8358753.9900000002</v>
      </c>
      <c r="H149" s="134"/>
      <c r="I149" s="134" t="str">
        <f>+'II-B-12'!M42</f>
        <v>Direct Assignment</v>
      </c>
      <c r="J149" s="134">
        <f>+'II-B-12'!N42</f>
        <v>0</v>
      </c>
      <c r="K149" s="134">
        <f>+'II-B-12'!O42</f>
        <v>0</v>
      </c>
      <c r="L149" s="134">
        <f>+'II-B-12'!P42</f>
        <v>0</v>
      </c>
      <c r="M149" s="134">
        <f>+'II-B-12'!Q42</f>
        <v>0</v>
      </c>
      <c r="N149" s="134">
        <f>+'II-B-12'!R42</f>
        <v>0</v>
      </c>
      <c r="O149" s="134">
        <f>+'II-B-12'!S42</f>
        <v>0</v>
      </c>
      <c r="P149" s="134">
        <f>+'II-B-12'!T42</f>
        <v>0</v>
      </c>
      <c r="Q149" s="134">
        <f>+'II-B-12'!U42</f>
        <v>0</v>
      </c>
      <c r="R149" s="134">
        <f>+'II-B-12'!V42</f>
        <v>8358753.9900000002</v>
      </c>
      <c r="S149" s="293">
        <f t="shared" si="36"/>
        <v>8358753.9900000002</v>
      </c>
      <c r="T149" t="b">
        <f t="shared" si="37"/>
        <v>1</v>
      </c>
      <c r="U149" s="256">
        <f t="shared" si="38"/>
        <v>0</v>
      </c>
    </row>
    <row r="150" spans="2:21" ht="12.75">
      <c r="B150" s="76" t="s">
        <v>364</v>
      </c>
      <c r="C150" s="134">
        <f>+'II-B-12'!G43</f>
        <v>59200.770000000004</v>
      </c>
      <c r="D150" s="134">
        <f>+'II-B-12'!H43</f>
        <v>0</v>
      </c>
      <c r="E150" s="134">
        <f>+'II-B-12'!I43</f>
        <v>59200.770000000004</v>
      </c>
      <c r="F150" s="289">
        <f>+'II-B-12'!J43</f>
        <v>1</v>
      </c>
      <c r="G150" s="134">
        <f>+'II-B-12'!K43</f>
        <v>59200.770000000004</v>
      </c>
      <c r="H150" s="134"/>
      <c r="I150" s="134" t="str">
        <f>+'II-B-12'!M43</f>
        <v>Direct Assignment</v>
      </c>
      <c r="J150" s="134">
        <f>+'II-B-12'!N43</f>
        <v>0</v>
      </c>
      <c r="K150" s="134">
        <f>+'II-B-12'!O43</f>
        <v>0</v>
      </c>
      <c r="L150" s="134">
        <f>+'II-B-12'!P43</f>
        <v>0</v>
      </c>
      <c r="M150" s="134">
        <f>+'II-B-12'!Q43</f>
        <v>0</v>
      </c>
      <c r="N150" s="134">
        <f>+'II-B-12'!R43</f>
        <v>0</v>
      </c>
      <c r="O150" s="134">
        <f>+'II-B-12'!S43</f>
        <v>0</v>
      </c>
      <c r="P150" s="134">
        <f>+'II-B-12'!T43</f>
        <v>0</v>
      </c>
      <c r="Q150" s="134">
        <f>+'II-B-12'!U43</f>
        <v>59200.770000000004</v>
      </c>
      <c r="R150" s="134">
        <f>+'II-B-12'!V43</f>
        <v>0</v>
      </c>
      <c r="S150" s="293">
        <f t="shared" si="36"/>
        <v>59200.770000000004</v>
      </c>
      <c r="T150" t="b">
        <f t="shared" si="37"/>
        <v>1</v>
      </c>
      <c r="U150" s="256">
        <f t="shared" si="38"/>
        <v>0</v>
      </c>
    </row>
    <row r="151" spans="2:21" ht="12.75">
      <c r="B151" s="76" t="s">
        <v>365</v>
      </c>
      <c r="C151" s="134">
        <f>+'II-B-12'!G44</f>
        <v>524869.04000000004</v>
      </c>
      <c r="D151" s="134">
        <f>+'II-B-12'!H44</f>
        <v>0</v>
      </c>
      <c r="E151" s="134">
        <f>+'II-B-12'!I44</f>
        <v>524869.04000000004</v>
      </c>
      <c r="F151" s="289">
        <f>+'II-B-12'!J44</f>
        <v>1</v>
      </c>
      <c r="G151" s="134">
        <f>+'II-B-12'!K44</f>
        <v>524869.04000000004</v>
      </c>
      <c r="H151" s="134"/>
      <c r="I151" s="134" t="str">
        <f>+'II-B-12'!M44</f>
        <v>Direct Assignment</v>
      </c>
      <c r="J151" s="134">
        <f>+'II-B-12'!N44</f>
        <v>0</v>
      </c>
      <c r="K151" s="134">
        <f>+'II-B-12'!O44</f>
        <v>0</v>
      </c>
      <c r="L151" s="134">
        <f>+'II-B-12'!P44</f>
        <v>0</v>
      </c>
      <c r="M151" s="134">
        <f>+'II-B-12'!Q44</f>
        <v>0</v>
      </c>
      <c r="N151" s="134">
        <f>+'II-B-12'!R44</f>
        <v>0</v>
      </c>
      <c r="O151" s="134">
        <f>+'II-B-12'!S44</f>
        <v>0</v>
      </c>
      <c r="P151" s="134">
        <f>+'II-B-12'!T44</f>
        <v>0</v>
      </c>
      <c r="Q151" s="134">
        <f>+'II-B-12'!U44</f>
        <v>524869.04000000004</v>
      </c>
      <c r="R151" s="134">
        <f>+'II-B-12'!V44</f>
        <v>0</v>
      </c>
      <c r="S151" s="293">
        <f t="shared" si="36"/>
        <v>524869.04000000004</v>
      </c>
      <c r="T151" t="b">
        <f t="shared" si="37"/>
        <v>1</v>
      </c>
      <c r="U151" s="256">
        <f t="shared" si="38"/>
        <v>0</v>
      </c>
    </row>
    <row r="152" spans="2:21" ht="12.75">
      <c r="B152" s="76" t="s">
        <v>366</v>
      </c>
      <c r="C152" s="134">
        <f>+'II-B-12'!G45</f>
        <v>127299791.38</v>
      </c>
      <c r="D152" s="134">
        <f>+'II-B-12'!H45</f>
        <v>0</v>
      </c>
      <c r="E152" s="134">
        <f>+'II-B-12'!I45</f>
        <v>127299791.38</v>
      </c>
      <c r="F152" s="289">
        <f>+'II-B-12'!J45</f>
        <v>1</v>
      </c>
      <c r="G152" s="134">
        <f>+'II-B-12'!K45</f>
        <v>127299791.38</v>
      </c>
      <c r="H152" s="134"/>
      <c r="I152" s="134" t="str">
        <f>+'II-B-12'!M45</f>
        <v>Direct Assignment</v>
      </c>
      <c r="J152" s="134">
        <f>+'II-B-12'!N45</f>
        <v>0</v>
      </c>
      <c r="K152" s="134">
        <f>+'II-B-12'!O45</f>
        <v>0</v>
      </c>
      <c r="L152" s="134">
        <f>+'II-B-12'!P45</f>
        <v>0</v>
      </c>
      <c r="M152" s="134">
        <f>+'II-B-12'!Q45</f>
        <v>0</v>
      </c>
      <c r="N152" s="134">
        <f>+'II-B-12'!R45</f>
        <v>0</v>
      </c>
      <c r="O152" s="134">
        <f>+'II-B-12'!S45</f>
        <v>0</v>
      </c>
      <c r="P152" s="134">
        <f>+'II-B-12'!T45</f>
        <v>0</v>
      </c>
      <c r="Q152" s="134">
        <f>+'II-B-12'!U45</f>
        <v>127299791.38</v>
      </c>
      <c r="R152" s="134">
        <f>+'II-B-12'!V45</f>
        <v>0</v>
      </c>
      <c r="S152" s="293">
        <f t="shared" si="36"/>
        <v>127299791.38</v>
      </c>
      <c r="T152" t="b">
        <f t="shared" si="37"/>
        <v>1</v>
      </c>
      <c r="U152" s="256">
        <f t="shared" si="38"/>
        <v>0</v>
      </c>
    </row>
    <row r="153" spans="2:21" ht="12.75">
      <c r="B153" s="76" t="s">
        <v>240</v>
      </c>
      <c r="C153" s="134">
        <f>+'II-B-12'!G46</f>
        <v>30796489</v>
      </c>
      <c r="D153" s="134">
        <f>+'II-B-12'!H46</f>
        <v>-30796489</v>
      </c>
      <c r="E153" s="134">
        <f>+'II-B-12'!I46</f>
        <v>0</v>
      </c>
      <c r="F153" s="289">
        <f>+'II-B-12'!J46</f>
        <v>1</v>
      </c>
      <c r="G153" s="134">
        <f>+'II-B-12'!K46</f>
        <v>0</v>
      </c>
      <c r="H153" s="134"/>
      <c r="I153" s="134">
        <f>+'II-B-12'!M46</f>
        <v>0</v>
      </c>
      <c r="J153" s="134">
        <f>+'II-B-12'!N46</f>
        <v>0</v>
      </c>
      <c r="K153" s="134">
        <f>+'II-B-12'!O46</f>
        <v>0</v>
      </c>
      <c r="L153" s="134">
        <f>+'II-B-12'!P46</f>
        <v>0</v>
      </c>
      <c r="M153" s="134">
        <f>+'II-B-12'!Q46</f>
        <v>0</v>
      </c>
      <c r="N153" s="134">
        <f>+'II-B-12'!R46</f>
        <v>0</v>
      </c>
      <c r="O153" s="134">
        <f>+'II-B-12'!S46</f>
        <v>0</v>
      </c>
      <c r="P153" s="134">
        <f>+'II-B-12'!T46</f>
        <v>0</v>
      </c>
      <c r="Q153" s="134">
        <f>+'II-B-12'!U46</f>
        <v>0</v>
      </c>
      <c r="R153" s="134">
        <f>+'II-B-12'!V46</f>
        <v>0</v>
      </c>
      <c r="S153" s="293">
        <f t="shared" si="36"/>
        <v>0</v>
      </c>
      <c r="T153" t="b">
        <f t="shared" si="37"/>
        <v>1</v>
      </c>
      <c r="U153" s="256">
        <f t="shared" si="38"/>
        <v>0</v>
      </c>
    </row>
    <row r="154" spans="2:21" ht="12.75">
      <c r="B154" s="76" t="s">
        <v>367</v>
      </c>
      <c r="C154" s="134">
        <f>+'II-B-12'!G47</f>
        <v>58314503.970000006</v>
      </c>
      <c r="D154" s="134">
        <f>+'II-B-12'!H47</f>
        <v>-58314503.970000006</v>
      </c>
      <c r="E154" s="134">
        <f>+'II-B-12'!I47</f>
        <v>0</v>
      </c>
      <c r="F154" s="289">
        <f>+'II-B-12'!J47</f>
        <v>1</v>
      </c>
      <c r="G154" s="134">
        <f>+'II-B-12'!K47</f>
        <v>0</v>
      </c>
      <c r="H154" s="134"/>
      <c r="I154" s="134">
        <f>+'II-B-12'!M47</f>
        <v>0</v>
      </c>
      <c r="J154" s="134">
        <f>+'II-B-12'!N47</f>
        <v>0</v>
      </c>
      <c r="K154" s="134">
        <f>+'II-B-12'!O47</f>
        <v>0</v>
      </c>
      <c r="L154" s="134">
        <f>+'II-B-12'!P47</f>
        <v>0</v>
      </c>
      <c r="M154" s="134">
        <f>+'II-B-12'!Q47</f>
        <v>0</v>
      </c>
      <c r="N154" s="134">
        <f>+'II-B-12'!R47</f>
        <v>0</v>
      </c>
      <c r="O154" s="134">
        <f>+'II-B-12'!S47</f>
        <v>0</v>
      </c>
      <c r="P154" s="134">
        <f>+'II-B-12'!T47</f>
        <v>0</v>
      </c>
      <c r="Q154" s="134">
        <f>+'II-B-12'!U47</f>
        <v>0</v>
      </c>
      <c r="R154" s="134">
        <f>+'II-B-12'!V47</f>
        <v>0</v>
      </c>
      <c r="S154" s="293">
        <f t="shared" si="36"/>
        <v>0</v>
      </c>
      <c r="T154" t="b">
        <f t="shared" si="37"/>
        <v>1</v>
      </c>
      <c r="U154" s="256">
        <f t="shared" si="38"/>
        <v>0</v>
      </c>
    </row>
    <row r="155" spans="2:21" ht="12.75">
      <c r="B155" s="76" t="s">
        <v>279</v>
      </c>
      <c r="C155" s="134">
        <f>+'II-B-12'!G48</f>
        <v>8098711.6799999997</v>
      </c>
      <c r="D155" s="134">
        <f>+'II-B-12'!H48</f>
        <v>-8098711.6799999997</v>
      </c>
      <c r="E155" s="134">
        <f>+'II-B-12'!I48</f>
        <v>0</v>
      </c>
      <c r="F155" s="289">
        <f>+'II-B-12'!J48</f>
        <v>1</v>
      </c>
      <c r="G155" s="134">
        <f>+'II-B-12'!K48</f>
        <v>0</v>
      </c>
      <c r="H155" s="134"/>
      <c r="I155" s="134">
        <f>+'II-B-12'!M48</f>
        <v>0</v>
      </c>
      <c r="J155" s="134">
        <f>+'II-B-12'!N48</f>
        <v>0</v>
      </c>
      <c r="K155" s="134">
        <f>+'II-B-12'!O48</f>
        <v>0</v>
      </c>
      <c r="L155" s="134">
        <f>+'II-B-12'!P48</f>
        <v>0</v>
      </c>
      <c r="M155" s="134">
        <f>+'II-B-12'!Q48</f>
        <v>0</v>
      </c>
      <c r="N155" s="134">
        <f>+'II-B-12'!R48</f>
        <v>0</v>
      </c>
      <c r="O155" s="134">
        <f>+'II-B-12'!S48</f>
        <v>0</v>
      </c>
      <c r="P155" s="134">
        <f>+'II-B-12'!T48</f>
        <v>0</v>
      </c>
      <c r="Q155" s="134">
        <f>+'II-B-12'!U48</f>
        <v>0</v>
      </c>
      <c r="R155" s="134">
        <f>+'II-B-12'!V48</f>
        <v>0</v>
      </c>
      <c r="S155" s="293">
        <f t="shared" si="36"/>
        <v>0</v>
      </c>
      <c r="T155" t="b">
        <f t="shared" si="37"/>
        <v>1</v>
      </c>
      <c r="U155" s="256">
        <f t="shared" si="38"/>
        <v>0</v>
      </c>
    </row>
    <row r="156" spans="2:21" ht="12.75">
      <c r="B156" s="76" t="s">
        <v>277</v>
      </c>
      <c r="C156" s="134">
        <f>+'II-B-12'!G49</f>
        <v>223287200.03999996</v>
      </c>
      <c r="D156" s="134">
        <f>+'II-B-12'!H49</f>
        <v>0</v>
      </c>
      <c r="E156" s="134">
        <f>+'II-B-12'!I49</f>
        <v>223287200.03999996</v>
      </c>
      <c r="F156" s="289">
        <f>+'II-B-12'!J49</f>
        <v>1</v>
      </c>
      <c r="G156" s="134">
        <f>+'II-B-12'!K49</f>
        <v>223287200.03999996</v>
      </c>
      <c r="H156" s="134"/>
      <c r="I156" s="134" t="str">
        <f>+'II-B-12'!M49</f>
        <v>Direct Assignment</v>
      </c>
      <c r="J156" s="134">
        <f>+'II-B-12'!N49</f>
        <v>1332943.5700000001</v>
      </c>
      <c r="K156" s="134">
        <f>+'II-B-12'!O49</f>
        <v>0</v>
      </c>
      <c r="L156" s="134">
        <f>+'II-B-12'!P49</f>
        <v>0</v>
      </c>
      <c r="M156" s="134">
        <f>+'II-B-12'!Q49</f>
        <v>1332943.5700000001</v>
      </c>
      <c r="N156" s="134">
        <f>+'II-B-12'!R49</f>
        <v>221954256.47</v>
      </c>
      <c r="O156" s="134">
        <f>+'II-B-12'!S49</f>
        <v>0</v>
      </c>
      <c r="P156" s="134">
        <f>+'II-B-12'!T49</f>
        <v>221954256.47</v>
      </c>
      <c r="Q156" s="134">
        <f>+'II-B-12'!U49</f>
        <v>0</v>
      </c>
      <c r="R156" s="134">
        <f>+'II-B-12'!V49</f>
        <v>0</v>
      </c>
      <c r="S156" s="293">
        <f t="shared" si="36"/>
        <v>223287200.03999999</v>
      </c>
      <c r="T156" t="b">
        <f t="shared" si="37"/>
        <v>1</v>
      </c>
      <c r="U156" s="256">
        <f t="shared" si="38"/>
        <v>0</v>
      </c>
    </row>
    <row r="157" spans="2:21" ht="12.75">
      <c r="B157" s="76" t="s">
        <v>278</v>
      </c>
      <c r="C157" s="134">
        <f>+'II-B-12'!G50</f>
        <v>365258456.99000001</v>
      </c>
      <c r="D157" s="134">
        <f>+'II-B-12'!H50</f>
        <v>0</v>
      </c>
      <c r="E157" s="134">
        <f>+'II-B-12'!I50</f>
        <v>365258456.99000001</v>
      </c>
      <c r="F157" s="289">
        <f>+'II-B-12'!J50</f>
        <v>1</v>
      </c>
      <c r="G157" s="134">
        <f>+'II-B-12'!K50</f>
        <v>365258456.99000001</v>
      </c>
      <c r="H157" s="134"/>
      <c r="I157" s="134" t="str">
        <f>+'II-B-12'!M50</f>
        <v>Direct Assignment</v>
      </c>
      <c r="J157" s="134">
        <f>+'II-B-12'!N50</f>
        <v>20801047.32</v>
      </c>
      <c r="K157" s="134">
        <f>+'II-B-12'!O50</f>
        <v>3653514.4900000002</v>
      </c>
      <c r="L157" s="134">
        <f>+'II-B-12'!P50</f>
        <v>0</v>
      </c>
      <c r="M157" s="134">
        <f>+'II-B-12'!Q50</f>
        <v>24454561.810000002</v>
      </c>
      <c r="N157" s="134">
        <f>+'II-B-12'!R50</f>
        <v>340803895.18000001</v>
      </c>
      <c r="O157" s="134">
        <f>+'II-B-12'!S50</f>
        <v>0</v>
      </c>
      <c r="P157" s="134">
        <f>+'II-B-12'!T50</f>
        <v>340803895.18000001</v>
      </c>
      <c r="Q157" s="134">
        <f>+'II-B-12'!U50</f>
        <v>0</v>
      </c>
      <c r="R157" s="134">
        <f>+'II-B-12'!V50</f>
        <v>0</v>
      </c>
      <c r="S157" s="293">
        <f t="shared" si="36"/>
        <v>365258456.99000001</v>
      </c>
      <c r="T157" t="b">
        <f t="shared" si="37"/>
        <v>1</v>
      </c>
      <c r="U157" s="256">
        <f t="shared" si="38"/>
        <v>0</v>
      </c>
    </row>
    <row r="158" spans="3:11" ht="12.75">
      <c r="C158" s="134"/>
      <c r="D158" s="134"/>
      <c r="E158" s="134"/>
      <c r="F158" s="134"/>
      <c r="G158" s="134"/>
      <c r="H158" s="134"/>
      <c r="I158" s="134"/>
      <c r="J158" s="134"/>
      <c r="K158" s="134"/>
    </row>
    <row r="159" spans="3:11" ht="12.75">
      <c r="C159" s="134"/>
      <c r="D159" s="134"/>
      <c r="E159" s="134"/>
      <c r="F159" s="134"/>
      <c r="G159" s="134"/>
      <c r="H159" s="134"/>
      <c r="I159" s="134"/>
      <c r="J159" s="134"/>
      <c r="K159" s="134"/>
    </row>
    <row r="160" spans="3:13" ht="12.75"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M160" s="134"/>
    </row>
    <row r="161" spans="2:21" ht="12.75">
      <c r="B161" t="s">
        <v>376</v>
      </c>
      <c r="C161" s="134">
        <f>+'II-B-12'!G54</f>
        <v>-1348181167.3699999</v>
      </c>
      <c r="D161" s="134">
        <f>+'II-B-12'!H54</f>
        <v>1348181167.3699999</v>
      </c>
      <c r="E161" s="134">
        <f>+'II-B-12'!I54</f>
        <v>0</v>
      </c>
      <c r="F161" s="289">
        <f>+'II-B-12'!J54</f>
        <v>1</v>
      </c>
      <c r="G161" s="134">
        <f>+'II-B-12'!K54</f>
        <v>0</v>
      </c>
      <c r="I161" s="134">
        <f>+'II-B-12'!M54</f>
        <v>0</v>
      </c>
      <c r="J161" s="134">
        <f>+'II-B-12'!N54</f>
        <v>0</v>
      </c>
      <c r="K161" s="134">
        <f>+'II-B-12'!O54</f>
        <v>0</v>
      </c>
      <c r="L161" s="134">
        <f>+'II-B-12'!P54</f>
        <v>0</v>
      </c>
      <c r="M161" s="134">
        <f>+'II-B-12'!Q54</f>
        <v>0</v>
      </c>
      <c r="N161" s="134">
        <f>+'II-B-12'!R54</f>
        <v>0</v>
      </c>
      <c r="O161" s="134">
        <f>+'II-B-12'!S54</f>
        <v>0</v>
      </c>
      <c r="P161" s="134">
        <f>+'II-B-12'!T54</f>
        <v>0</v>
      </c>
      <c r="Q161" s="134">
        <f>+'II-B-12'!U54</f>
        <v>0</v>
      </c>
      <c r="R161" s="134">
        <f>+'II-B-12'!V54</f>
        <v>0</v>
      </c>
      <c r="S161" s="293">
        <f t="shared" si="39" ref="S161:S169">+M161+P161+Q161+R161</f>
        <v>0</v>
      </c>
      <c r="T161" t="b">
        <f t="shared" si="40" ref="T161:T169">+G161=S161</f>
        <v>1</v>
      </c>
      <c r="U161">
        <f t="shared" si="41" ref="U161:U169">+G161-S161</f>
        <v>0</v>
      </c>
    </row>
    <row r="162" spans="2:21" ht="12.75">
      <c r="B162" t="s">
        <v>283</v>
      </c>
      <c r="C162" s="134">
        <f>+'II-B-12'!G55</f>
        <v>1427091.1899999995</v>
      </c>
      <c r="D162" s="134">
        <f>+'II-B-12'!H55</f>
        <v>-1427091.1899999995</v>
      </c>
      <c r="E162" s="134">
        <f>+'II-B-12'!I55</f>
        <v>0</v>
      </c>
      <c r="F162" s="289">
        <f>+'II-B-12'!J55</f>
        <v>1</v>
      </c>
      <c r="G162" s="134">
        <f>+'II-B-12'!K55</f>
        <v>0</v>
      </c>
      <c r="I162" s="134">
        <f>+'II-B-12'!M55</f>
        <v>0</v>
      </c>
      <c r="J162" s="134">
        <f>+'II-B-12'!N55</f>
        <v>0</v>
      </c>
      <c r="K162" s="134">
        <f>+'II-B-12'!O55</f>
        <v>0</v>
      </c>
      <c r="L162" s="134">
        <f>+'II-B-12'!P55</f>
        <v>0</v>
      </c>
      <c r="M162" s="134">
        <f>+'II-B-12'!Q55</f>
        <v>0</v>
      </c>
      <c r="N162" s="134">
        <f>+'II-B-12'!R55</f>
        <v>0</v>
      </c>
      <c r="O162" s="134">
        <f>+'II-B-12'!S55</f>
        <v>0</v>
      </c>
      <c r="P162" s="134">
        <f>+'II-B-12'!T55</f>
        <v>0</v>
      </c>
      <c r="Q162" s="134">
        <f>+'II-B-12'!U55</f>
        <v>0</v>
      </c>
      <c r="R162" s="134">
        <f>+'II-B-12'!V55</f>
        <v>0</v>
      </c>
      <c r="S162" s="293">
        <f t="shared" si="39"/>
        <v>0</v>
      </c>
      <c r="T162" t="b">
        <f t="shared" si="40"/>
        <v>1</v>
      </c>
      <c r="U162">
        <f t="shared" si="41"/>
        <v>0</v>
      </c>
    </row>
    <row r="163" spans="2:21" ht="12.75">
      <c r="B163" t="s">
        <v>284</v>
      </c>
      <c r="C163" s="134">
        <f>+'II-B-12'!G56</f>
        <v>-13536942.92</v>
      </c>
      <c r="D163" s="134">
        <f>+'II-B-12'!H56</f>
        <v>0</v>
      </c>
      <c r="E163" s="134">
        <f>+'II-B-12'!I56</f>
        <v>-13536942.92</v>
      </c>
      <c r="F163" s="289">
        <f>+'II-B-12'!J56</f>
        <v>1</v>
      </c>
      <c r="G163" s="134">
        <f>+'II-B-12'!K56</f>
        <v>-13536942.92</v>
      </c>
      <c r="I163" s="134" t="str">
        <f>+'II-B-12'!M56</f>
        <v>Direct Assignment</v>
      </c>
      <c r="J163" s="134">
        <f>+'II-B-12'!N56</f>
        <v>-163118.13000000001</v>
      </c>
      <c r="K163" s="134">
        <f>+'II-B-12'!O56</f>
        <v>0</v>
      </c>
      <c r="L163" s="134">
        <f>+'II-B-12'!P56</f>
        <v>0</v>
      </c>
      <c r="M163" s="134">
        <f>+'II-B-12'!Q56</f>
        <v>-163118.13000000001</v>
      </c>
      <c r="N163" s="134">
        <f>+'II-B-12'!R56</f>
        <v>-13373824.789999999</v>
      </c>
      <c r="O163" s="134">
        <f>+'II-B-12'!S56</f>
        <v>0</v>
      </c>
      <c r="P163" s="134">
        <f>+'II-B-12'!T56</f>
        <v>-13373824.789999999</v>
      </c>
      <c r="Q163" s="134">
        <f>+'II-B-12'!U56</f>
        <v>0</v>
      </c>
      <c r="R163" s="134">
        <f>+'II-B-12'!V56</f>
        <v>0</v>
      </c>
      <c r="S163" s="293">
        <f t="shared" si="39"/>
        <v>-13536942.92</v>
      </c>
      <c r="T163" t="b">
        <f t="shared" si="40"/>
        <v>1</v>
      </c>
      <c r="U163">
        <f t="shared" si="41"/>
        <v>0</v>
      </c>
    </row>
    <row r="164" spans="2:21" ht="12.75">
      <c r="B164" t="s">
        <v>378</v>
      </c>
      <c r="C164" s="134">
        <f>+'II-B-12'!G57</f>
        <v>-65327867.48999998</v>
      </c>
      <c r="D164" s="134">
        <f>+'II-B-12'!H57</f>
        <v>65327867.48999998</v>
      </c>
      <c r="E164" s="134">
        <f>+'II-B-12'!I57</f>
        <v>0</v>
      </c>
      <c r="F164" s="289">
        <f>+'II-B-12'!J57</f>
        <v>1</v>
      </c>
      <c r="G164" s="134">
        <f>+'II-B-12'!K57</f>
        <v>0</v>
      </c>
      <c r="I164" s="134">
        <f>+'II-B-12'!M57</f>
        <v>0</v>
      </c>
      <c r="J164" s="134">
        <f>+'II-B-12'!N57</f>
        <v>0</v>
      </c>
      <c r="K164" s="134">
        <f>+'II-B-12'!O57</f>
        <v>0</v>
      </c>
      <c r="L164" s="134">
        <f>+'II-B-12'!P57</f>
        <v>0</v>
      </c>
      <c r="M164" s="134">
        <f>+'II-B-12'!Q57</f>
        <v>0</v>
      </c>
      <c r="N164" s="134">
        <f>+'II-B-12'!R57</f>
        <v>0</v>
      </c>
      <c r="O164" s="134">
        <f>+'II-B-12'!S57</f>
        <v>0</v>
      </c>
      <c r="P164" s="134">
        <f>+'II-B-12'!T57</f>
        <v>0</v>
      </c>
      <c r="Q164" s="134">
        <f>+'II-B-12'!U57</f>
        <v>0</v>
      </c>
      <c r="R164" s="134">
        <f>+'II-B-12'!V57</f>
        <v>0</v>
      </c>
      <c r="S164" s="293">
        <f t="shared" si="39"/>
        <v>0</v>
      </c>
      <c r="T164" t="b">
        <f t="shared" si="40"/>
        <v>1</v>
      </c>
      <c r="U164">
        <f t="shared" si="41"/>
        <v>0</v>
      </c>
    </row>
    <row r="165" spans="2:21" ht="12.75">
      <c r="B165" t="s">
        <v>379</v>
      </c>
      <c r="C165" s="134">
        <f>+'II-B-12'!G60</f>
        <v>2368303.2899999991</v>
      </c>
      <c r="D165" s="134">
        <f>+'II-B-12'!H60</f>
        <v>0</v>
      </c>
      <c r="E165" s="134">
        <f>+'II-B-12'!I60</f>
        <v>2368303.2899999991</v>
      </c>
      <c r="F165" s="289">
        <f>+'II-B-12'!J60</f>
        <v>1</v>
      </c>
      <c r="G165" s="134">
        <f>+'II-B-12'!K60</f>
        <v>2368303.2899999991</v>
      </c>
      <c r="I165" s="134" t="str">
        <f>+'II-B-12'!M60</f>
        <v>Direct Assignment</v>
      </c>
      <c r="J165" s="134">
        <f>+'II-B-12'!N60</f>
        <v>0</v>
      </c>
      <c r="K165" s="134">
        <f>+'II-B-12'!O60</f>
        <v>0</v>
      </c>
      <c r="L165" s="134">
        <f>+'II-B-12'!P60</f>
        <v>0</v>
      </c>
      <c r="M165" s="134">
        <f>+'II-B-12'!Q60</f>
        <v>0</v>
      </c>
      <c r="N165" s="134">
        <f>+'II-B-12'!R60</f>
        <v>2368303.2899999991</v>
      </c>
      <c r="O165" s="134">
        <f>+'II-B-12'!S60</f>
        <v>0</v>
      </c>
      <c r="P165" s="134">
        <f>+'II-B-12'!T60</f>
        <v>2368303.2899999991</v>
      </c>
      <c r="Q165" s="134">
        <f>+'II-B-12'!U60</f>
        <v>0</v>
      </c>
      <c r="R165" s="134">
        <f>+'II-B-12'!V60</f>
        <v>0</v>
      </c>
      <c r="S165" s="293">
        <f t="shared" si="39"/>
        <v>2368303.2899999991</v>
      </c>
      <c r="T165" t="b">
        <f t="shared" si="40"/>
        <v>1</v>
      </c>
      <c r="U165">
        <f t="shared" si="41"/>
        <v>0</v>
      </c>
    </row>
    <row r="166" spans="2:21" ht="12.75">
      <c r="B166" t="s">
        <v>380</v>
      </c>
      <c r="C166" s="134">
        <f>+'II-B-12'!G61</f>
        <v>-1946862.6200000001</v>
      </c>
      <c r="D166" s="134">
        <f>+'II-B-12'!H61</f>
        <v>1946862.6200000001</v>
      </c>
      <c r="E166" s="134">
        <f>+'II-B-12'!I61</f>
        <v>0</v>
      </c>
      <c r="F166" s="289">
        <f>+'II-B-12'!J61</f>
        <v>1</v>
      </c>
      <c r="G166" s="134">
        <f>+'II-B-12'!K61</f>
        <v>0</v>
      </c>
      <c r="I166" s="134">
        <f>+'II-B-12'!M61</f>
        <v>0</v>
      </c>
      <c r="J166" s="134">
        <f>+'II-B-12'!N61</f>
        <v>0</v>
      </c>
      <c r="K166" s="134">
        <f>+'II-B-12'!O61</f>
        <v>0</v>
      </c>
      <c r="L166" s="134">
        <f>+'II-B-12'!P61</f>
        <v>0</v>
      </c>
      <c r="M166" s="134">
        <f>+'II-B-12'!Q61</f>
        <v>0</v>
      </c>
      <c r="N166" s="134">
        <f>+'II-B-12'!R61</f>
        <v>0</v>
      </c>
      <c r="O166" s="134">
        <f>+'II-B-12'!S61</f>
        <v>0</v>
      </c>
      <c r="P166" s="134">
        <f>+'II-B-12'!T61</f>
        <v>0</v>
      </c>
      <c r="Q166" s="134">
        <f>+'II-B-12'!U61</f>
        <v>0</v>
      </c>
      <c r="R166" s="134">
        <f>+'II-B-12'!V61</f>
        <v>0</v>
      </c>
      <c r="S166" s="293">
        <f t="shared" si="39"/>
        <v>0</v>
      </c>
      <c r="T166" t="b">
        <f t="shared" si="40"/>
        <v>1</v>
      </c>
      <c r="U166">
        <f t="shared" si="41"/>
        <v>0</v>
      </c>
    </row>
    <row r="167" spans="2:21" ht="12.75">
      <c r="B167" t="s">
        <v>425</v>
      </c>
      <c r="C167" s="134">
        <f>+'II-B-12'!G62</f>
        <v>-254178.24000000002</v>
      </c>
      <c r="D167" s="134">
        <f>+'II-B-12'!H62</f>
        <v>0</v>
      </c>
      <c r="E167" s="134">
        <f>+'II-B-12'!I62</f>
        <v>-254178.24000000002</v>
      </c>
      <c r="F167" s="289">
        <f>+'II-B-12'!J62</f>
        <v>1</v>
      </c>
      <c r="G167" s="134">
        <f>+'II-B-12'!K62</f>
        <v>-254178.24000000002</v>
      </c>
      <c r="I167" s="134" t="str">
        <f>+'II-B-12'!M62</f>
        <v>Direct Assignment</v>
      </c>
      <c r="J167" s="134">
        <f>+'II-B-12'!N62</f>
        <v>0</v>
      </c>
      <c r="K167" s="134">
        <f>+'II-B-12'!O62</f>
        <v>0</v>
      </c>
      <c r="L167" s="134">
        <f>+'II-B-12'!P62</f>
        <v>0</v>
      </c>
      <c r="M167" s="134">
        <f>+'II-B-12'!Q62</f>
        <v>0</v>
      </c>
      <c r="N167" s="134">
        <f>+'II-B-12'!R62</f>
        <v>-254178.24000000002</v>
      </c>
      <c r="O167" s="134">
        <f>+'II-B-12'!S62</f>
        <v>0</v>
      </c>
      <c r="P167" s="134">
        <f>+'II-B-12'!T62</f>
        <v>-254178.24000000002</v>
      </c>
      <c r="Q167" s="134">
        <f>+'II-B-12'!U62</f>
        <v>0</v>
      </c>
      <c r="R167" s="134">
        <f>+'II-B-12'!V62</f>
        <v>0</v>
      </c>
      <c r="S167" s="293">
        <f t="shared" si="39"/>
        <v>-254178.24000000002</v>
      </c>
      <c r="T167" t="b">
        <f t="shared" si="40"/>
        <v>1</v>
      </c>
      <c r="U167">
        <f t="shared" si="41"/>
        <v>0</v>
      </c>
    </row>
    <row r="168" spans="2:21" ht="12.75">
      <c r="B168" t="s">
        <v>381</v>
      </c>
      <c r="C168" s="134">
        <f>+'II-B-12'!G63</f>
        <v>-39289143.68</v>
      </c>
      <c r="D168" s="134">
        <f>+'II-B-12'!H63</f>
        <v>0</v>
      </c>
      <c r="E168" s="134">
        <f>+'II-B-12'!I63</f>
        <v>-39289143.68</v>
      </c>
      <c r="F168" s="289">
        <f>+'II-B-12'!J63</f>
        <v>1</v>
      </c>
      <c r="G168" s="134">
        <f>+'II-B-12'!K63</f>
        <v>-39289143.68</v>
      </c>
      <c r="I168" s="134" t="str">
        <f>+'II-B-12'!M63</f>
        <v>PAYXAG</v>
      </c>
      <c r="J168" s="134">
        <f>+'II-B-12'!N63</f>
        <v>-8651530.9000000004</v>
      </c>
      <c r="K168" s="134">
        <f>+'II-B-12'!O63</f>
        <v>0</v>
      </c>
      <c r="L168" s="134">
        <f>+'II-B-12'!P63</f>
        <v>0</v>
      </c>
      <c r="M168" s="134">
        <f>+'II-B-12'!Q63</f>
        <v>-8651530.9000000004</v>
      </c>
      <c r="N168" s="134">
        <f>+'II-B-12'!R63</f>
        <v>-23868135.579999998</v>
      </c>
      <c r="O168" s="134">
        <f>+'II-B-12'!S63</f>
        <v>0</v>
      </c>
      <c r="P168" s="134">
        <f>+'II-B-12'!T63</f>
        <v>-23868135.579999998</v>
      </c>
      <c r="Q168" s="134">
        <f>+'II-B-12'!U63</f>
        <v>-6507602.71</v>
      </c>
      <c r="R168" s="134">
        <f>+'II-B-12'!V63</f>
        <v>-261874.48999999999</v>
      </c>
      <c r="S168" s="293">
        <f t="shared" si="39"/>
        <v>-39289143.68</v>
      </c>
      <c r="T168" t="b">
        <f t="shared" si="40"/>
        <v>1</v>
      </c>
      <c r="U168">
        <f t="shared" si="41"/>
        <v>0</v>
      </c>
    </row>
    <row r="169" spans="2:21" ht="12.75">
      <c r="B169" t="s">
        <v>382</v>
      </c>
      <c r="C169" s="134">
        <f>+'II-B-12'!G64</f>
        <v>-26090759.66</v>
      </c>
      <c r="D169" s="134">
        <f>+'II-B-12'!H64</f>
        <v>26090759.66</v>
      </c>
      <c r="E169" s="134">
        <f>+'II-B-12'!I64</f>
        <v>0</v>
      </c>
      <c r="F169" s="289">
        <f>+'II-B-12'!J64</f>
        <v>1</v>
      </c>
      <c r="G169" s="134">
        <f>+'II-B-12'!K64</f>
        <v>0</v>
      </c>
      <c r="I169" s="134">
        <f>+'II-B-12'!M64</f>
        <v>0</v>
      </c>
      <c r="J169" s="134">
        <f>+'II-B-12'!N64</f>
        <v>0</v>
      </c>
      <c r="K169" s="134">
        <f>+'II-B-12'!O64</f>
        <v>0</v>
      </c>
      <c r="L169" s="134">
        <f>+'II-B-12'!P64</f>
        <v>0</v>
      </c>
      <c r="M169" s="134">
        <f>+'II-B-12'!Q64</f>
        <v>0</v>
      </c>
      <c r="N169" s="134">
        <f>+'II-B-12'!R64</f>
        <v>0</v>
      </c>
      <c r="O169" s="134">
        <f>+'II-B-12'!S64</f>
        <v>0</v>
      </c>
      <c r="P169" s="134">
        <f>+'II-B-12'!T64</f>
        <v>0</v>
      </c>
      <c r="Q169" s="134">
        <f>+'II-B-12'!U64</f>
        <v>0</v>
      </c>
      <c r="R169" s="134">
        <f>+'II-B-12'!V64</f>
        <v>0</v>
      </c>
      <c r="S169" s="293">
        <f t="shared" si="39"/>
        <v>0</v>
      </c>
      <c r="T169" t="b">
        <f t="shared" si="40"/>
        <v>1</v>
      </c>
      <c r="U169">
        <f t="shared" si="41"/>
        <v>0</v>
      </c>
    </row>
    <row r="170" spans="3:18" ht="12.75">
      <c r="C170" s="134"/>
      <c r="D170" s="134"/>
      <c r="E170" s="134"/>
      <c r="F170" s="289"/>
      <c r="G170" s="134"/>
      <c r="I170" s="134"/>
      <c r="J170" s="134"/>
      <c r="K170" s="134"/>
      <c r="L170" s="134"/>
      <c r="M170" s="134"/>
      <c r="N170" s="134"/>
      <c r="O170" s="134"/>
      <c r="P170" s="134"/>
      <c r="Q170" s="134"/>
      <c r="R170" s="134"/>
    </row>
    <row r="171" spans="3:18" ht="12.75">
      <c r="C171" s="134"/>
      <c r="D171" s="134"/>
      <c r="E171" s="134"/>
      <c r="F171" s="289"/>
      <c r="G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4"/>
    </row>
    <row r="172" spans="3:18" ht="12.75">
      <c r="C172" s="134"/>
      <c r="D172" s="134"/>
      <c r="E172" s="134"/>
      <c r="F172" s="289"/>
      <c r="G172" s="134"/>
      <c r="I172" s="134"/>
      <c r="J172" s="134"/>
      <c r="K172" s="134"/>
      <c r="L172" s="134"/>
      <c r="M172" s="134"/>
      <c r="N172" s="134"/>
      <c r="O172" s="134"/>
      <c r="P172" s="134"/>
      <c r="Q172" s="134"/>
      <c r="R172" s="134"/>
    </row>
    <row r="173" spans="2:20" ht="12.75">
      <c r="B173" t="s">
        <v>215</v>
      </c>
      <c r="C173" s="134">
        <f>+'II-B-12'!G71</f>
        <v>69072092.879999995</v>
      </c>
      <c r="D173" s="134">
        <f>+'II-B-12'!H71</f>
        <v>-69072092.879999995</v>
      </c>
      <c r="E173" s="134">
        <f>+'II-B-12'!I71</f>
        <v>0</v>
      </c>
      <c r="F173" s="289">
        <f>+'II-B-12'!J71</f>
        <v>1</v>
      </c>
      <c r="G173" s="134">
        <f>+'II-B-12'!K71</f>
        <v>0</v>
      </c>
      <c r="I173" s="134">
        <f>+'II-B-12'!M68</f>
        <v>0</v>
      </c>
      <c r="J173" s="134">
        <f>+'II-B-12'!N71</f>
        <v>0</v>
      </c>
      <c r="K173" s="134">
        <f>+'II-B-12'!O71</f>
        <v>0</v>
      </c>
      <c r="L173" s="134">
        <f>+'II-B-12'!P71</f>
        <v>0</v>
      </c>
      <c r="M173" s="134">
        <f>+'II-B-12'!Q71</f>
        <v>0</v>
      </c>
      <c r="N173" s="134">
        <f>+'II-B-12'!R71</f>
        <v>0</v>
      </c>
      <c r="O173" s="134">
        <f>+'II-B-12'!S71</f>
        <v>0</v>
      </c>
      <c r="P173" s="134">
        <f>+'II-B-12'!T71</f>
        <v>0</v>
      </c>
      <c r="Q173" s="134">
        <f>+'II-B-12'!U71</f>
        <v>0</v>
      </c>
      <c r="R173" s="134">
        <f>+'II-B-12'!V71</f>
        <v>0</v>
      </c>
      <c r="S173" s="293">
        <f t="shared" si="42" ref="S173">+M173+P173+Q173+R173</f>
        <v>0</v>
      </c>
      <c r="T173" t="b">
        <f t="shared" si="43" ref="T173">+G173=S173</f>
        <v>1</v>
      </c>
    </row>
    <row r="174" spans="2:20" ht="12.75">
      <c r="B174" t="s">
        <v>216</v>
      </c>
      <c r="C174" s="134">
        <f>+'II-B-12'!G72</f>
        <v>18360936.079999998</v>
      </c>
      <c r="D174" s="134">
        <f>+'II-B-12'!H72</f>
        <v>-18360936.079999998</v>
      </c>
      <c r="E174" s="134">
        <f>+'II-B-12'!I72</f>
        <v>0</v>
      </c>
      <c r="F174" s="289">
        <f>+'II-B-12'!J72</f>
        <v>1</v>
      </c>
      <c r="G174" s="134">
        <f>+'II-B-12'!K72</f>
        <v>0</v>
      </c>
      <c r="I174" s="134">
        <f>+'II-B-12'!M69</f>
        <v>0</v>
      </c>
      <c r="J174" s="134">
        <f>+'II-B-12'!N72</f>
        <v>0</v>
      </c>
      <c r="K174" s="134">
        <f>+'II-B-12'!O72</f>
        <v>0</v>
      </c>
      <c r="L174" s="134">
        <f>+'II-B-12'!P72</f>
        <v>0</v>
      </c>
      <c r="M174" s="134">
        <f>+'II-B-12'!Q72</f>
        <v>0</v>
      </c>
      <c r="N174" s="134">
        <f>+'II-B-12'!R72</f>
        <v>0</v>
      </c>
      <c r="O174" s="134">
        <f>+'II-B-12'!S72</f>
        <v>0</v>
      </c>
      <c r="P174" s="134">
        <f>+'II-B-12'!T72</f>
        <v>0</v>
      </c>
      <c r="Q174" s="134">
        <f>+'II-B-12'!U72</f>
        <v>0</v>
      </c>
      <c r="R174" s="134">
        <f>+'II-B-12'!V72</f>
        <v>0</v>
      </c>
      <c r="S174" s="293">
        <f t="shared" si="44" ref="S174:S178">+M174+P174+Q174+R174</f>
        <v>0</v>
      </c>
      <c r="T174" t="b">
        <f t="shared" si="45" ref="T174:T178">+G174=S174</f>
        <v>1</v>
      </c>
    </row>
    <row r="175" spans="2:20" ht="12.75">
      <c r="B175" s="180" t="s">
        <v>247</v>
      </c>
      <c r="C175" s="134">
        <f>+'II-B-12'!G73</f>
        <v>11634628.25</v>
      </c>
      <c r="D175" s="134">
        <f>+'II-B-12'!H73</f>
        <v>-11634628.25</v>
      </c>
      <c r="E175" s="134">
        <f>+'II-B-12'!I73</f>
        <v>0</v>
      </c>
      <c r="F175" s="289">
        <f>+'II-B-12'!J73</f>
        <v>1</v>
      </c>
      <c r="G175" s="134">
        <f>+'II-B-12'!K73</f>
        <v>0</v>
      </c>
      <c r="I175" s="134">
        <f>+'II-B-12'!M70</f>
        <v>0</v>
      </c>
      <c r="J175" s="134">
        <f>+'II-B-12'!N73</f>
        <v>0</v>
      </c>
      <c r="K175" s="134">
        <f>+'II-B-12'!O73</f>
        <v>0</v>
      </c>
      <c r="L175" s="134">
        <f>+'II-B-12'!P73</f>
        <v>0</v>
      </c>
      <c r="M175" s="134">
        <f>+'II-B-12'!Q73</f>
        <v>0</v>
      </c>
      <c r="N175" s="134">
        <f>+'II-B-12'!R73</f>
        <v>0</v>
      </c>
      <c r="O175" s="134">
        <f>+'II-B-12'!S73</f>
        <v>0</v>
      </c>
      <c r="P175" s="134">
        <f>+'II-B-12'!T73</f>
        <v>0</v>
      </c>
      <c r="Q175" s="134">
        <f>+'II-B-12'!U73</f>
        <v>0</v>
      </c>
      <c r="R175" s="134">
        <f>+'II-B-12'!V73</f>
        <v>0</v>
      </c>
      <c r="S175" s="293">
        <f t="shared" si="44"/>
        <v>0</v>
      </c>
      <c r="T175" t="b">
        <f t="shared" si="45"/>
        <v>1</v>
      </c>
    </row>
    <row r="176" spans="2:20" ht="12.75">
      <c r="B176" s="180" t="s">
        <v>248</v>
      </c>
      <c r="C176" s="134">
        <f>+'II-B-12'!G74</f>
        <v>4330663.04</v>
      </c>
      <c r="D176" s="134">
        <f>+'II-B-12'!H74</f>
        <v>-4330663.04</v>
      </c>
      <c r="E176" s="134">
        <f>+'II-B-12'!I74</f>
        <v>0</v>
      </c>
      <c r="F176" s="289">
        <f>+'II-B-12'!J74</f>
        <v>1</v>
      </c>
      <c r="G176" s="134">
        <f>+'II-B-12'!K74</f>
        <v>0</v>
      </c>
      <c r="I176" s="134">
        <f>+'II-B-12'!M71</f>
        <v>0</v>
      </c>
      <c r="J176" s="134">
        <f>+'II-B-12'!N74</f>
        <v>0</v>
      </c>
      <c r="K176" s="134">
        <f>+'II-B-12'!O74</f>
        <v>0</v>
      </c>
      <c r="L176" s="134">
        <f>+'II-B-12'!P74</f>
        <v>0</v>
      </c>
      <c r="M176" s="134">
        <f>+'II-B-12'!Q74</f>
        <v>0</v>
      </c>
      <c r="N176" s="134">
        <f>+'II-B-12'!R74</f>
        <v>0</v>
      </c>
      <c r="O176" s="134">
        <f>+'II-B-12'!S74</f>
        <v>0</v>
      </c>
      <c r="P176" s="134">
        <f>+'II-B-12'!T74</f>
        <v>0</v>
      </c>
      <c r="Q176" s="134">
        <f>+'II-B-12'!U74</f>
        <v>0</v>
      </c>
      <c r="R176" s="134">
        <f>+'II-B-12'!V74</f>
        <v>0</v>
      </c>
      <c r="S176" s="293">
        <f t="shared" si="44"/>
        <v>0</v>
      </c>
      <c r="T176" t="b">
        <f t="shared" si="45"/>
        <v>1</v>
      </c>
    </row>
    <row r="177" spans="2:20" ht="12.75">
      <c r="B177" s="180" t="s">
        <v>390</v>
      </c>
      <c r="C177" s="134">
        <f>+'II-B-12'!G75</f>
        <v>108278693.52</v>
      </c>
      <c r="D177" s="134">
        <f>+'II-B-12'!H75</f>
        <v>0</v>
      </c>
      <c r="E177" s="134">
        <f>+'II-B-12'!I75</f>
        <v>108278693.52</v>
      </c>
      <c r="F177" s="289">
        <f>+'II-B-12'!J75</f>
        <v>1</v>
      </c>
      <c r="G177" s="134">
        <f>+'II-B-12'!K75</f>
        <v>108278693.52</v>
      </c>
      <c r="I177" s="134">
        <f>+'II-B-12'!M72</f>
        <v>0</v>
      </c>
      <c r="J177" s="134">
        <f>+'II-B-12'!N75</f>
        <v>29029155.189999998</v>
      </c>
      <c r="K177" s="134">
        <f>+'II-B-12'!O75</f>
        <v>807697.98999999999</v>
      </c>
      <c r="L177" s="134">
        <f>+'II-B-12'!P75</f>
        <v>0</v>
      </c>
      <c r="M177" s="134">
        <f>+'II-B-12'!Q75</f>
        <v>29836853.179999996</v>
      </c>
      <c r="N177" s="134">
        <f>+'II-B-12'!R75</f>
        <v>56462358.469999991</v>
      </c>
      <c r="O177" s="134">
        <f>+'II-B-12'!S75</f>
        <v>66050.010000000009</v>
      </c>
      <c r="P177" s="134">
        <f>+'II-B-12'!T75</f>
        <v>56528408.479999989</v>
      </c>
      <c r="Q177" s="134">
        <f>+'II-B-12'!U75</f>
        <v>16213241.1</v>
      </c>
      <c r="R177" s="134">
        <f>+'II-B-12'!V75</f>
        <v>5700190.7600000147</v>
      </c>
      <c r="S177" s="293">
        <f t="shared" si="44"/>
        <v>108278693.52</v>
      </c>
      <c r="T177" t="b">
        <f t="shared" si="45"/>
        <v>1</v>
      </c>
    </row>
    <row r="178" spans="2:20" ht="12.75">
      <c r="B178" s="180" t="s">
        <v>391</v>
      </c>
      <c r="C178" s="134">
        <f>+'II-B-12'!G76</f>
        <v>28782943.850000001</v>
      </c>
      <c r="D178" s="134">
        <f>+'II-B-12'!H76</f>
        <v>-28782943.850000001</v>
      </c>
      <c r="E178" s="134">
        <f>+'II-B-12'!I76</f>
        <v>0</v>
      </c>
      <c r="F178" s="289">
        <f>+'II-B-12'!J76</f>
        <v>1</v>
      </c>
      <c r="G178" s="134">
        <f>+'II-B-12'!K76</f>
        <v>0</v>
      </c>
      <c r="I178" s="134">
        <f>+'II-B-12'!M73</f>
        <v>0</v>
      </c>
      <c r="J178" s="134">
        <f>+'II-B-12'!N76</f>
        <v>0</v>
      </c>
      <c r="K178" s="134">
        <f>+'II-B-12'!O76</f>
        <v>0</v>
      </c>
      <c r="L178" s="134">
        <f>+'II-B-12'!P76</f>
        <v>0</v>
      </c>
      <c r="M178" s="134">
        <f>+'II-B-12'!Q76</f>
        <v>0</v>
      </c>
      <c r="N178" s="134">
        <f>+'II-B-12'!R76</f>
        <v>0</v>
      </c>
      <c r="O178" s="134">
        <f>+'II-B-12'!S76</f>
        <v>0</v>
      </c>
      <c r="P178" s="134">
        <f>+'II-B-12'!T76</f>
        <v>0</v>
      </c>
      <c r="Q178" s="134">
        <f>+'II-B-12'!U76</f>
        <v>0</v>
      </c>
      <c r="R178" s="134">
        <f>+'II-B-12'!V76</f>
        <v>0</v>
      </c>
      <c r="S178" s="293">
        <f t="shared" si="44"/>
        <v>0</v>
      </c>
      <c r="T178" t="b">
        <f t="shared" si="45"/>
        <v>1</v>
      </c>
    </row>
    <row r="179" spans="3:18" ht="12.75">
      <c r="C179" s="134"/>
      <c r="D179" s="134"/>
      <c r="E179" s="134"/>
      <c r="F179" s="289"/>
      <c r="G179" s="134"/>
      <c r="I179" s="134"/>
      <c r="J179" s="134"/>
      <c r="K179" s="134"/>
      <c r="L179" s="134"/>
      <c r="M179" s="134"/>
      <c r="N179" s="134"/>
      <c r="O179" s="134"/>
      <c r="P179" s="134"/>
      <c r="Q179" s="134"/>
      <c r="R179" s="134"/>
    </row>
    <row r="180" spans="3:18" ht="12.75">
      <c r="C180" s="134"/>
      <c r="D180" s="134"/>
      <c r="E180" s="134"/>
      <c r="F180" s="289"/>
      <c r="G180" s="134"/>
      <c r="I180" s="134"/>
      <c r="J180" s="134"/>
      <c r="K180" s="134"/>
      <c r="L180" s="134"/>
      <c r="M180" s="134"/>
      <c r="N180" s="134"/>
      <c r="O180" s="134"/>
      <c r="P180" s="134"/>
      <c r="Q180" s="134"/>
      <c r="R180" s="134"/>
    </row>
    <row r="181" spans="3:18" ht="12.75">
      <c r="C181" s="134"/>
      <c r="D181" s="134"/>
      <c r="E181" s="134"/>
      <c r="F181" s="289"/>
      <c r="G181" s="134"/>
      <c r="I181" s="134"/>
      <c r="J181" s="134"/>
      <c r="K181" s="134"/>
      <c r="L181" s="134"/>
      <c r="M181" s="134"/>
      <c r="N181" s="134"/>
      <c r="O181" s="134"/>
      <c r="P181" s="134"/>
      <c r="Q181" s="134"/>
      <c r="R181" s="134"/>
    </row>
    <row r="182" spans="2:20" ht="12.75">
      <c r="B182" t="s">
        <v>392</v>
      </c>
      <c r="C182" s="134">
        <f>+'II-B-12'!G80</f>
        <v>-1002140.6</v>
      </c>
      <c r="D182" s="134">
        <f>+'II-B-12'!H80</f>
        <v>1002140.6</v>
      </c>
      <c r="E182" s="134">
        <f>+'II-B-12'!I80</f>
        <v>0</v>
      </c>
      <c r="F182" s="289">
        <f>+'II-B-12'!J80</f>
        <v>1</v>
      </c>
      <c r="G182" s="134">
        <f>+'II-B-12'!K80</f>
        <v>0</v>
      </c>
      <c r="I182" s="134">
        <f>+'II-B-12'!M80</f>
        <v>0</v>
      </c>
      <c r="J182" s="134">
        <f>+'II-B-12'!N80</f>
        <v>0</v>
      </c>
      <c r="K182" s="134">
        <f>+'II-B-12'!O80</f>
        <v>0</v>
      </c>
      <c r="L182" s="134">
        <f>+'II-B-12'!P80</f>
        <v>0</v>
      </c>
      <c r="M182" s="134">
        <f>+'II-B-12'!Q80</f>
        <v>0</v>
      </c>
      <c r="N182" s="134">
        <f>+'II-B-12'!R80</f>
        <v>0</v>
      </c>
      <c r="O182" s="134">
        <f>+'II-B-12'!S80</f>
        <v>0</v>
      </c>
      <c r="P182" s="134">
        <f>+'II-B-12'!T80</f>
        <v>0</v>
      </c>
      <c r="Q182" s="134">
        <f>+'II-B-12'!U80</f>
        <v>0</v>
      </c>
      <c r="R182" s="134">
        <f>+'II-B-12'!V80</f>
        <v>0</v>
      </c>
      <c r="S182" s="293">
        <f t="shared" si="46" ref="S182">+M182+P182+Q182+R182</f>
        <v>0</v>
      </c>
      <c r="T182" t="b">
        <f t="shared" si="47" ref="T182">+G182=S182</f>
        <v>1</v>
      </c>
    </row>
    <row r="183" spans="2:20" ht="12.75">
      <c r="B183" t="s">
        <v>417</v>
      </c>
      <c r="C183" s="134">
        <f>+'II-B-12'!G81</f>
        <v>-105869970</v>
      </c>
      <c r="D183" s="134">
        <f>+'II-B-12'!H81</f>
        <v>0</v>
      </c>
      <c r="E183" s="134">
        <f>+'II-B-12'!I81</f>
        <v>-105869970</v>
      </c>
      <c r="F183" s="289">
        <f>+'II-B-12'!J81</f>
        <v>1</v>
      </c>
      <c r="G183" s="134">
        <f>+'II-B-12'!K81</f>
        <v>-105869970</v>
      </c>
      <c r="I183" s="134" t="str">
        <f>+'II-B-12'!M81</f>
        <v>Direct Assignment</v>
      </c>
      <c r="J183" s="134">
        <f>+'II-B-12'!N81</f>
        <v>-10576090.020000001</v>
      </c>
      <c r="K183" s="134">
        <f>+'II-B-12'!O81</f>
        <v>0</v>
      </c>
      <c r="L183" s="134">
        <f>+'II-B-12'!P81</f>
        <v>0</v>
      </c>
      <c r="M183" s="134">
        <f>+'II-B-12'!Q81</f>
        <v>-10576090.020000001</v>
      </c>
      <c r="N183" s="134">
        <f>+'II-B-12'!R81</f>
        <v>-67515629.090000004</v>
      </c>
      <c r="O183" s="134">
        <f>+'II-B-12'!S81</f>
        <v>0</v>
      </c>
      <c r="P183" s="134">
        <f>+'II-B-12'!T81</f>
        <v>-67515629.090000004</v>
      </c>
      <c r="Q183" s="134">
        <f>+'II-B-12'!U81</f>
        <v>-25833188.59</v>
      </c>
      <c r="R183" s="134">
        <f>+'II-B-12'!V81</f>
        <v>-1945062.2999999982</v>
      </c>
      <c r="S183" s="293">
        <f t="shared" si="48" ref="S183:S191">+M183+P183+Q183+R183</f>
        <v>-105869970</v>
      </c>
      <c r="T183" t="b">
        <f t="shared" si="49" ref="T183:T191">+G183=S183</f>
        <v>1</v>
      </c>
    </row>
    <row r="184" spans="2:20" ht="12.75">
      <c r="B184" t="s">
        <v>418</v>
      </c>
      <c r="C184" s="134">
        <f>+'II-B-12'!G82</f>
        <v>-28142649.850000001</v>
      </c>
      <c r="D184" s="134">
        <f>+'II-B-12'!H82</f>
        <v>28142649.850000001</v>
      </c>
      <c r="E184" s="134">
        <f>+'II-B-12'!I82</f>
        <v>0</v>
      </c>
      <c r="F184" s="289">
        <f>+'II-B-12'!J82</f>
        <v>1</v>
      </c>
      <c r="G184" s="134">
        <f>+'II-B-12'!K82</f>
        <v>0</v>
      </c>
      <c r="I184" s="134">
        <f>+'II-B-12'!M82</f>
        <v>0</v>
      </c>
      <c r="J184" s="134">
        <f>+'II-B-12'!N82</f>
        <v>0</v>
      </c>
      <c r="K184" s="134">
        <f>+'II-B-12'!O82</f>
        <v>0</v>
      </c>
      <c r="L184" s="134">
        <f>+'II-B-12'!P82</f>
        <v>0</v>
      </c>
      <c r="M184" s="134">
        <f>+'II-B-12'!Q82</f>
        <v>0</v>
      </c>
      <c r="N184" s="134">
        <f>+'II-B-12'!R82</f>
        <v>0</v>
      </c>
      <c r="O184" s="134">
        <f>+'II-B-12'!S82</f>
        <v>0</v>
      </c>
      <c r="P184" s="134">
        <f>+'II-B-12'!T82</f>
        <v>0</v>
      </c>
      <c r="Q184" s="134">
        <f>+'II-B-12'!U82</f>
        <v>0</v>
      </c>
      <c r="R184" s="134">
        <f>+'II-B-12'!V82</f>
        <v>0</v>
      </c>
      <c r="S184" s="293">
        <f t="shared" si="48"/>
        <v>0</v>
      </c>
      <c r="T184" t="b">
        <f t="shared" si="49"/>
        <v>1</v>
      </c>
    </row>
    <row r="185" spans="2:20" ht="12.75">
      <c r="B185" t="s">
        <v>419</v>
      </c>
      <c r="C185" s="134">
        <f>+'II-B-12'!G83</f>
        <v>-966396376.56681275</v>
      </c>
      <c r="D185" s="134">
        <f>+'II-B-12'!H83</f>
        <v>0</v>
      </c>
      <c r="E185" s="134">
        <f>+'II-B-12'!I83</f>
        <v>-966396376.56681275</v>
      </c>
      <c r="F185" s="289">
        <f>+'II-B-12'!J83</f>
        <v>1</v>
      </c>
      <c r="G185" s="134">
        <f>+'II-B-12'!K83</f>
        <v>-966396376.56681275</v>
      </c>
      <c r="I185" s="134" t="str">
        <f>+'II-B-12'!M83</f>
        <v>Direct Assignment</v>
      </c>
      <c r="J185" s="134">
        <f>+'II-B-12'!N83</f>
        <v>-426414552.83999997</v>
      </c>
      <c r="K185" s="134">
        <f>+'II-B-12'!O83</f>
        <v>-44241748.380000003</v>
      </c>
      <c r="L185" s="134">
        <f>+'II-B-12'!P83</f>
        <v>-544012.16000000003</v>
      </c>
      <c r="M185" s="134">
        <f>+'II-B-12'!Q83</f>
        <v>-471200313.38</v>
      </c>
      <c r="N185" s="134">
        <f>+'II-B-12'!R83</f>
        <v>-462439966.73000002</v>
      </c>
      <c r="O185" s="134">
        <f>+'II-B-12'!S83</f>
        <v>-3617896.6200000001</v>
      </c>
      <c r="P185" s="134">
        <f>+'II-B-12'!T83</f>
        <v>-466057863.35000002</v>
      </c>
      <c r="Q185" s="134">
        <f>+'II-B-12'!U83</f>
        <v>-15727006.609999999</v>
      </c>
      <c r="R185" s="134">
        <f>+'II-B-12'!V83</f>
        <v>-13411193.226812735</v>
      </c>
      <c r="S185" s="293">
        <f t="shared" si="48"/>
        <v>-966396376.56681275</v>
      </c>
      <c r="T185" t="b">
        <f t="shared" si="49"/>
        <v>1</v>
      </c>
    </row>
    <row r="186" spans="2:20" ht="12.75">
      <c r="B186" t="s">
        <v>420</v>
      </c>
      <c r="C186" s="134">
        <f>+'II-B-12'!G84</f>
        <v>-305497934.85000002</v>
      </c>
      <c r="D186" s="134">
        <f>+'II-B-12'!H84</f>
        <v>305497934.85000002</v>
      </c>
      <c r="E186" s="134">
        <f>+'II-B-12'!I84</f>
        <v>0</v>
      </c>
      <c r="F186" s="289">
        <f>+'II-B-12'!J84</f>
        <v>1</v>
      </c>
      <c r="G186" s="134">
        <f>+'II-B-12'!K84</f>
        <v>0</v>
      </c>
      <c r="I186" s="134">
        <f>+'II-B-12'!M84</f>
        <v>0</v>
      </c>
      <c r="J186" s="134">
        <f>+'II-B-12'!N84</f>
        <v>0</v>
      </c>
      <c r="K186" s="134">
        <f>+'II-B-12'!O84</f>
        <v>0</v>
      </c>
      <c r="L186" s="134">
        <f>+'II-B-12'!P84</f>
        <v>0</v>
      </c>
      <c r="M186" s="134">
        <f>+'II-B-12'!Q84</f>
        <v>0</v>
      </c>
      <c r="N186" s="134">
        <f>+'II-B-12'!R84</f>
        <v>0</v>
      </c>
      <c r="O186" s="134">
        <f>+'II-B-12'!S84</f>
        <v>0</v>
      </c>
      <c r="P186" s="134">
        <f>+'II-B-12'!T84</f>
        <v>0</v>
      </c>
      <c r="Q186" s="134">
        <f>+'II-B-12'!U84</f>
        <v>0</v>
      </c>
      <c r="R186" s="134">
        <f>+'II-B-12'!V84</f>
        <v>0</v>
      </c>
      <c r="S186" s="293">
        <f t="shared" si="48"/>
        <v>0</v>
      </c>
      <c r="T186" t="b">
        <f t="shared" si="49"/>
        <v>1</v>
      </c>
    </row>
    <row r="187" spans="2:20" ht="12.75">
      <c r="B187" t="s">
        <v>421</v>
      </c>
      <c r="C187" s="134">
        <f>+'II-B-12'!G85</f>
        <v>-182857758</v>
      </c>
      <c r="D187" s="134">
        <f>+'II-B-12'!H85</f>
        <v>0</v>
      </c>
      <c r="E187" s="134">
        <f>+'II-B-12'!I85</f>
        <v>-182857758</v>
      </c>
      <c r="F187" s="289">
        <f>+'II-B-12'!J85</f>
        <v>1</v>
      </c>
      <c r="G187" s="134">
        <f>+'II-B-12'!K85</f>
        <v>-182857758</v>
      </c>
      <c r="I187" s="134" t="str">
        <f>+'II-B-12'!M85</f>
        <v>Direct Assignment</v>
      </c>
      <c r="J187" s="134">
        <f>+'II-B-12'!N85</f>
        <v>-84803453.439999983</v>
      </c>
      <c r="K187" s="134">
        <f>+'II-B-12'!O85</f>
        <v>-169357.67000000004</v>
      </c>
      <c r="L187" s="134">
        <f>+'II-B-12'!P85</f>
        <v>-108190.74000000001</v>
      </c>
      <c r="M187" s="134">
        <f>+'II-B-12'!Q85</f>
        <v>-85081001.849999979</v>
      </c>
      <c r="N187" s="134">
        <f>+'II-B-12'!R85</f>
        <v>-91968029.510000005</v>
      </c>
      <c r="O187" s="134">
        <f>+'II-B-12'!S85</f>
        <v>-13849.330000000002</v>
      </c>
      <c r="P187" s="134">
        <f>+'II-B-12'!T85</f>
        <v>-91981878.840000004</v>
      </c>
      <c r="Q187" s="134">
        <f>+'II-B-12'!U85</f>
        <v>-3127718</v>
      </c>
      <c r="R187" s="134">
        <f>+'II-B-12'!V85</f>
        <v>-2667159.3099999968</v>
      </c>
      <c r="S187" s="293">
        <f t="shared" si="48"/>
        <v>-182857758</v>
      </c>
      <c r="T187" t="b">
        <f t="shared" si="49"/>
        <v>1</v>
      </c>
    </row>
    <row r="188" spans="2:20" ht="12.75">
      <c r="B188" t="s">
        <v>422</v>
      </c>
      <c r="C188" s="134">
        <f>+'II-B-12'!G86</f>
        <v>8044643</v>
      </c>
      <c r="D188" s="134">
        <f>+'II-B-12'!H86</f>
        <v>0</v>
      </c>
      <c r="E188" s="134">
        <f>+'II-B-12'!I86</f>
        <v>8044643</v>
      </c>
      <c r="F188" s="289">
        <f>+'II-B-12'!J86</f>
        <v>1</v>
      </c>
      <c r="G188" s="134">
        <f>+'II-B-12'!K86</f>
        <v>8044643</v>
      </c>
      <c r="I188" s="134" t="str">
        <f>+'II-B-12'!M86</f>
        <v>Direct Assignment</v>
      </c>
      <c r="J188" s="134">
        <f>+'II-B-12'!N86</f>
        <v>7731520.7199999997</v>
      </c>
      <c r="K188" s="134">
        <f>+'II-B-12'!O86</f>
        <v>-7958927.71</v>
      </c>
      <c r="L188" s="134">
        <f>+'II-B-12'!P86</f>
        <v>9863.7399999999998</v>
      </c>
      <c r="M188" s="134">
        <f>+'II-B-12'!Q86</f>
        <v>-217543.25000000023</v>
      </c>
      <c r="N188" s="134">
        <f>+'II-B-12'!R86</f>
        <v>8384714.2699999996</v>
      </c>
      <c r="O188" s="134">
        <f>+'II-B-12'!S86</f>
        <v>-650846.29000000004</v>
      </c>
      <c r="P188" s="134">
        <f>+'II-B-12'!T86</f>
        <v>7733867.9799999995</v>
      </c>
      <c r="Q188" s="134">
        <f>+'II-B-12'!U86</f>
        <v>285153.67999999999</v>
      </c>
      <c r="R188" s="134">
        <f>+'II-B-12'!V86</f>
        <v>243164.58999999956</v>
      </c>
      <c r="S188" s="293">
        <f t="shared" si="48"/>
        <v>8044642.9999999991</v>
      </c>
      <c r="T188" t="b">
        <f t="shared" si="49"/>
        <v>1</v>
      </c>
    </row>
    <row r="189" spans="2:20" ht="12.75">
      <c r="B189" t="s">
        <v>423</v>
      </c>
      <c r="C189" s="134">
        <f>+'II-B-12'!G87</f>
        <v>2138449.8199999998</v>
      </c>
      <c r="D189" s="134">
        <f>+'II-B-12'!H87</f>
        <v>-2138449.8199999998</v>
      </c>
      <c r="E189" s="134">
        <f>+'II-B-12'!I87</f>
        <v>0</v>
      </c>
      <c r="F189" s="289">
        <f>+'II-B-12'!J87</f>
        <v>1</v>
      </c>
      <c r="G189" s="134">
        <f>+'II-B-12'!K87</f>
        <v>0</v>
      </c>
      <c r="I189" s="134">
        <f>+'II-B-12'!M87</f>
        <v>0</v>
      </c>
      <c r="J189" s="134">
        <f>+'II-B-12'!N87</f>
        <v>0</v>
      </c>
      <c r="K189" s="134">
        <f>+'II-B-12'!O87</f>
        <v>0</v>
      </c>
      <c r="L189" s="134">
        <f>+'II-B-12'!P87</f>
        <v>0</v>
      </c>
      <c r="M189" s="134">
        <f>+'II-B-12'!Q87</f>
        <v>0</v>
      </c>
      <c r="N189" s="134">
        <f>+'II-B-12'!R87</f>
        <v>0</v>
      </c>
      <c r="O189" s="134">
        <f>+'II-B-12'!S87</f>
        <v>0</v>
      </c>
      <c r="P189" s="134">
        <f>+'II-B-12'!T87</f>
        <v>0</v>
      </c>
      <c r="Q189" s="134">
        <f>+'II-B-12'!U87</f>
        <v>0</v>
      </c>
      <c r="R189" s="134">
        <f>+'II-B-12'!V87</f>
        <v>0</v>
      </c>
      <c r="S189" s="293">
        <f t="shared" si="48"/>
        <v>0</v>
      </c>
      <c r="T189" t="b">
        <f t="shared" si="49"/>
        <v>1</v>
      </c>
    </row>
    <row r="190" spans="2:20" ht="12.75">
      <c r="B190" t="s">
        <v>393</v>
      </c>
      <c r="C190" s="134">
        <f>+'II-B-12'!G88</f>
        <v>-69072092.879999995</v>
      </c>
      <c r="D190" s="134">
        <f>+'II-B-12'!H88</f>
        <v>69072092.879999995</v>
      </c>
      <c r="E190" s="134">
        <f>+'II-B-12'!I88</f>
        <v>0</v>
      </c>
      <c r="F190" s="289">
        <f>+'II-B-12'!J88</f>
        <v>1</v>
      </c>
      <c r="G190" s="134">
        <f>+'II-B-12'!K88</f>
        <v>0</v>
      </c>
      <c r="I190" s="134">
        <f>+'II-B-12'!M88</f>
        <v>0</v>
      </c>
      <c r="J190" s="134">
        <f>+'II-B-12'!N88</f>
        <v>0</v>
      </c>
      <c r="K190" s="134">
        <f>+'II-B-12'!O88</f>
        <v>0</v>
      </c>
      <c r="L190" s="134">
        <f>+'II-B-12'!P88</f>
        <v>0</v>
      </c>
      <c r="M190" s="134">
        <f>+'II-B-12'!Q88</f>
        <v>0</v>
      </c>
      <c r="N190" s="134">
        <f>+'II-B-12'!R88</f>
        <v>0</v>
      </c>
      <c r="O190" s="134">
        <f>+'II-B-12'!S88</f>
        <v>0</v>
      </c>
      <c r="P190" s="134">
        <f>+'II-B-12'!T88</f>
        <v>0</v>
      </c>
      <c r="Q190" s="134">
        <f>+'II-B-12'!U88</f>
        <v>0</v>
      </c>
      <c r="R190" s="134">
        <f>+'II-B-12'!V88</f>
        <v>0</v>
      </c>
      <c r="S190" s="293">
        <f t="shared" si="48"/>
        <v>0</v>
      </c>
      <c r="T190" t="b">
        <f t="shared" si="49"/>
        <v>1</v>
      </c>
    </row>
    <row r="191" spans="2:20" ht="12.75">
      <c r="B191" t="s">
        <v>249</v>
      </c>
      <c r="C191" s="134">
        <f>+'II-B-12'!G89</f>
        <v>-18360936.079999998</v>
      </c>
      <c r="D191" s="134">
        <f>+'II-B-12'!H89</f>
        <v>18360936.079999998</v>
      </c>
      <c r="E191" s="134">
        <f>+'II-B-12'!I89</f>
        <v>0</v>
      </c>
      <c r="F191" s="289">
        <f>+'II-B-12'!J89</f>
        <v>1</v>
      </c>
      <c r="G191" s="134">
        <f>+'II-B-12'!K89</f>
        <v>0</v>
      </c>
      <c r="I191" s="134">
        <f>+'II-B-12'!M89</f>
        <v>0</v>
      </c>
      <c r="J191" s="134">
        <f>+'II-B-12'!N89</f>
        <v>0</v>
      </c>
      <c r="K191" s="134">
        <f>+'II-B-12'!O89</f>
        <v>0</v>
      </c>
      <c r="L191" s="134">
        <f>+'II-B-12'!P89</f>
        <v>0</v>
      </c>
      <c r="M191" s="134">
        <f>+'II-B-12'!Q89</f>
        <v>0</v>
      </c>
      <c r="N191" s="134">
        <f>+'II-B-12'!R89</f>
        <v>0</v>
      </c>
      <c r="O191" s="134">
        <f>+'II-B-12'!S89</f>
        <v>0</v>
      </c>
      <c r="P191" s="134">
        <f>+'II-B-12'!T89</f>
        <v>0</v>
      </c>
      <c r="Q191" s="134">
        <f>+'II-B-12'!U89</f>
        <v>0</v>
      </c>
      <c r="R191" s="134">
        <f>+'II-B-12'!V89</f>
        <v>0</v>
      </c>
      <c r="S191" s="293">
        <f t="shared" si="48"/>
        <v>0</v>
      </c>
      <c r="T191" t="b">
        <f t="shared" si="49"/>
        <v>1</v>
      </c>
    </row>
    <row r="192" spans="3:13" ht="12.75"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M192" s="134"/>
    </row>
    <row r="193" spans="3:13" ht="12.75"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M193" s="134"/>
    </row>
    <row r="194" spans="3:13" ht="12.75"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M194" s="134"/>
    </row>
    <row r="195" spans="3:13" ht="12.75"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M195" s="134"/>
    </row>
    <row r="196" spans="3:13" ht="12.75"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M196" s="134"/>
    </row>
    <row r="197" spans="3:13" ht="12.75"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</row>
    <row r="198" spans="3:13" ht="12.75"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M198" s="134"/>
    </row>
    <row r="199" spans="3:13" ht="12.75"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M199" s="134"/>
    </row>
    <row r="200" spans="3:13" ht="12.75"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M200" s="134"/>
    </row>
    <row r="201" spans="3:13" ht="12.75"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</row>
    <row r="202" spans="3:13" ht="12.75"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M202" s="134"/>
    </row>
    <row r="203" spans="3:13" ht="12.75"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M203" s="134"/>
    </row>
    <row r="204" spans="3:13" ht="12.75"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M204" s="134"/>
    </row>
    <row r="205" spans="3:13" ht="12.75"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M205" s="134"/>
    </row>
    <row r="206" spans="3:13" ht="12.75"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M206" s="134"/>
    </row>
    <row r="207" spans="3:13" ht="12.75"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M207" s="134"/>
    </row>
    <row r="208" spans="3:13" ht="12.75"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M208" s="134"/>
    </row>
    <row r="209" spans="3:13" ht="12.75"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M209" s="134"/>
    </row>
    <row r="210" spans="3:13" ht="12.75"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M210" s="134"/>
    </row>
    <row r="211" spans="3:13" ht="12.75"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M211" s="134"/>
    </row>
    <row r="212" spans="3:13" ht="12.75"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M212" s="134"/>
    </row>
    <row r="213" spans="3:13" ht="12.75"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M213" s="134"/>
    </row>
    <row r="214" spans="3:13" ht="12.75"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M214" s="134"/>
    </row>
    <row r="215" spans="3:13" ht="12.75"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M215" s="134"/>
    </row>
    <row r="216" spans="3:13" ht="12.75"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M216" s="134"/>
    </row>
    <row r="217" spans="3:13" ht="12.75"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M217" s="134"/>
    </row>
    <row r="218" spans="3:13" ht="12.75"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M218" s="134"/>
    </row>
    <row r="219" spans="3:13" ht="12.75"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M219" s="134"/>
    </row>
    <row r="220" spans="3:13" ht="12.75"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M220" s="134"/>
    </row>
    <row r="221" spans="3:13" ht="12.75"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M221" s="134"/>
    </row>
    <row r="222" spans="3:13" ht="12.75"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M222" s="134"/>
    </row>
    <row r="223" spans="3:13" ht="12.75"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M223" s="134"/>
    </row>
    <row r="224" spans="3:13" ht="12.75"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M224" s="134"/>
    </row>
    <row r="225" spans="3:13" ht="12.75"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M225" s="134"/>
    </row>
    <row r="226" spans="3:13" ht="12.75"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M226" s="134"/>
    </row>
    <row r="227" spans="3:13" ht="12.75"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M227" s="134"/>
    </row>
    <row r="228" spans="3:13" ht="12.75"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M228" s="134"/>
    </row>
    <row r="229" spans="3:13" ht="12.75"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M229" s="134"/>
    </row>
    <row r="230" spans="3:13" ht="12.75"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M230" s="134"/>
    </row>
    <row r="231" spans="3:13" ht="12.75"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M231" s="134"/>
    </row>
    <row r="232" spans="3:13" ht="12.75"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M232" s="134"/>
    </row>
    <row r="233" spans="3:13" ht="12.75"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M233" s="134"/>
    </row>
    <row r="234" spans="3:13" ht="12.75"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M234" s="134"/>
    </row>
    <row r="235" spans="3:13" ht="12.75"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M235" s="134"/>
    </row>
    <row r="236" spans="3:13" ht="12.75"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M236" s="134"/>
    </row>
    <row r="237" spans="3:13" ht="12.75"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M237" s="134"/>
    </row>
    <row r="238" spans="3:13" ht="12.75"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M238" s="134"/>
    </row>
    <row r="239" spans="3:13" ht="12.75"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M239" s="134"/>
    </row>
    <row r="240" spans="3:13" ht="12.75"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M240" s="134"/>
    </row>
    <row r="241" spans="3:13" ht="12.75"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M241" s="134"/>
    </row>
    <row r="242" spans="3:13" ht="12.75"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M242" s="134"/>
    </row>
    <row r="243" spans="3:13" ht="12.75"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M243" s="134"/>
    </row>
    <row r="244" spans="3:13" ht="12.75"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M244" s="134"/>
    </row>
    <row r="245" spans="3:13" ht="12.75"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M245" s="134"/>
    </row>
    <row r="246" spans="3:13" ht="12.75"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M246" s="134"/>
    </row>
    <row r="247" spans="3:13" ht="12.75"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M247" s="134"/>
    </row>
    <row r="248" spans="3:13" ht="12.75"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M248" s="134"/>
    </row>
    <row r="249" spans="3:13" ht="12.75"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M249" s="134"/>
    </row>
    <row r="250" spans="3:13" ht="12.75"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M250" s="134"/>
    </row>
    <row r="251" spans="3:13" ht="12.75"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M251" s="134"/>
    </row>
    <row r="252" spans="3:13" ht="12.75"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M252" s="134"/>
    </row>
    <row r="253" spans="3:13" ht="12.75"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M253" s="134"/>
    </row>
    <row r="254" spans="3:13" ht="12.75"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M254" s="134"/>
    </row>
    <row r="255" spans="3:13" ht="12.75"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M255" s="134"/>
    </row>
    <row r="256" spans="3:13" ht="12.75"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M256" s="134"/>
    </row>
    <row r="257" spans="3:13" ht="12.75"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M257" s="134"/>
    </row>
    <row r="258" spans="3:13" ht="12.75"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M258" s="134"/>
    </row>
    <row r="259" spans="3:13" ht="12.75"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M259" s="134"/>
    </row>
    <row r="260" spans="3:13" ht="12.75"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M260" s="134"/>
    </row>
    <row r="261" spans="3:13" ht="12.75"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M261" s="134"/>
    </row>
    <row r="262" spans="3:13" ht="12.75"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M262" s="134"/>
    </row>
    <row r="263" spans="3:13" ht="12.75"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M263" s="134"/>
    </row>
    <row r="264" spans="3:13" ht="12.75"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M264" s="134"/>
    </row>
    <row r="265" spans="3:13" ht="12.75"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M265" s="134"/>
    </row>
    <row r="266" spans="3:13" ht="12.75"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M266" s="134"/>
    </row>
    <row r="267" spans="3:13" ht="12.75"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M267" s="134"/>
    </row>
    <row r="268" spans="3:13" ht="12.75"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M268" s="134"/>
    </row>
    <row r="269" spans="3:13" ht="12.75"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M269" s="134"/>
    </row>
    <row r="270" spans="3:13" ht="12.75"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M270" s="134"/>
    </row>
    <row r="271" spans="3:13" ht="12.75"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M271" s="134"/>
    </row>
    <row r="272" spans="3:13" ht="12.75"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M272" s="134"/>
    </row>
    <row r="273" spans="3:13" ht="12.75"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M273" s="134"/>
    </row>
    <row r="274" spans="3:13" ht="12.75"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M274" s="134"/>
    </row>
    <row r="275" spans="3:13" ht="12.75"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M275" s="134"/>
    </row>
    <row r="276" spans="3:13" ht="12.75"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M276" s="134"/>
    </row>
    <row r="277" spans="3:13" ht="12.75"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M277" s="134"/>
    </row>
    <row r="278" spans="3:13" ht="12.75"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M278" s="134"/>
    </row>
    <row r="279" spans="3:13" ht="12.75"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M279" s="134"/>
    </row>
    <row r="280" spans="3:13" ht="12.75"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M280" s="134"/>
    </row>
    <row r="281" spans="3:13" ht="12.75"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M281" s="134"/>
    </row>
    <row r="282" spans="3:13" ht="12.75"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M282" s="134"/>
    </row>
    <row r="283" spans="3:13" ht="12.75"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M283" s="134"/>
    </row>
    <row r="284" spans="3:13" ht="12.75"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M284" s="134"/>
    </row>
    <row r="285" spans="3:13" ht="12.75"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M285" s="134"/>
    </row>
    <row r="286" spans="3:13" ht="12.75"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M286" s="134"/>
    </row>
    <row r="287" spans="3:13" ht="12.75"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M287" s="134"/>
    </row>
    <row r="288" spans="3:13" ht="12.75"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M288" s="134"/>
    </row>
    <row r="289" spans="3:13" ht="12.75"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M289" s="134"/>
    </row>
    <row r="290" spans="3:13" ht="12.75"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M290" s="134"/>
    </row>
    <row r="291" spans="3:13" ht="12.75"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M291" s="134"/>
    </row>
    <row r="292" spans="3:13" ht="12.75"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M292" s="134"/>
    </row>
    <row r="293" spans="3:13" ht="12.75"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M293" s="134"/>
    </row>
    <row r="294" spans="3:13" ht="12.75"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M294" s="134"/>
    </row>
    <row r="295" spans="3:13" ht="12.75"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M295" s="134"/>
    </row>
    <row r="296" spans="3:13" ht="12.75"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M296" s="134"/>
    </row>
    <row r="297" spans="3:13" ht="12.75"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M297" s="134"/>
    </row>
    <row r="298" spans="3:13" ht="12.75"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M298" s="134"/>
    </row>
    <row r="299" spans="3:13" ht="12.75"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M299" s="134"/>
    </row>
    <row r="300" spans="3:13" ht="12.75"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M300" s="134"/>
    </row>
    <row r="301" spans="3:13" ht="12.75"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M301" s="134"/>
    </row>
    <row r="302" spans="3:13" ht="12.75"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M302" s="134"/>
    </row>
    <row r="303" spans="3:13" ht="12.75"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M303" s="134"/>
    </row>
    <row r="304" spans="3:13" ht="12.75"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M304" s="134"/>
    </row>
    <row r="305" spans="3:13" ht="12.75"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M305" s="134"/>
    </row>
    <row r="306" spans="3:13" ht="12.75"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M306" s="134"/>
    </row>
    <row r="307" spans="3:13" ht="12.75"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M307" s="134"/>
    </row>
    <row r="308" spans="3:13" ht="12.75"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M308" s="134"/>
    </row>
    <row r="309" spans="3:13" ht="12.75"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M309" s="134"/>
    </row>
    <row r="310" spans="3:13" ht="12.75"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M310" s="134"/>
    </row>
    <row r="311" spans="3:13" ht="12.75"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M311" s="134"/>
    </row>
    <row r="312" spans="3:13" ht="12.75"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M312" s="134"/>
    </row>
    <row r="313" spans="3:13" ht="12.75"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M313" s="134"/>
    </row>
    <row r="314" spans="3:13" ht="12.75"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M314" s="134"/>
    </row>
    <row r="315" spans="3:13" ht="12.75"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M315" s="134"/>
    </row>
    <row r="316" spans="3:13" ht="12.75"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M316" s="134"/>
    </row>
    <row r="317" spans="3:13" ht="12.75"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M317" s="134"/>
    </row>
    <row r="318" spans="3:13" ht="12.75"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M318" s="134"/>
    </row>
    <row r="319" spans="3:13" ht="12.75"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M319" s="134"/>
    </row>
    <row r="320" spans="3:13" ht="12.75"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M320" s="134"/>
    </row>
    <row r="321" spans="3:13" ht="12.75"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M321" s="134"/>
    </row>
    <row r="322" spans="3:13" ht="12.75"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M322" s="134"/>
    </row>
    <row r="323" spans="3:13" ht="12.75"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M323" s="134"/>
    </row>
    <row r="324" spans="3:13" ht="12.75"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M324" s="134"/>
    </row>
    <row r="325" spans="3:13" ht="12.75"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M325" s="134"/>
    </row>
    <row r="326" spans="3:13" ht="12.75"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M326" s="134"/>
    </row>
    <row r="327" spans="3:13" ht="12.75"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M327" s="134"/>
    </row>
    <row r="328" spans="3:13" ht="12.75"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M328" s="134"/>
    </row>
    <row r="329" spans="3:13" ht="12.75"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M329" s="134"/>
    </row>
    <row r="330" spans="3:13" ht="12.75"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M330" s="134"/>
    </row>
    <row r="331" spans="3:13" ht="12.75"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M331" s="134"/>
    </row>
    <row r="332" spans="3:13" ht="12.75"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M332" s="134"/>
    </row>
    <row r="333" spans="3:13" ht="12.75"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M333" s="134"/>
    </row>
    <row r="334" spans="3:13" ht="12.75"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M334" s="134"/>
    </row>
    <row r="335" spans="3:13" ht="12.75"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M335" s="134"/>
    </row>
    <row r="336" spans="3:13" ht="12.75"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M336" s="134"/>
    </row>
    <row r="337" spans="3:13" ht="12.75"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M337" s="134"/>
    </row>
    <row r="338" spans="3:13" ht="12.75"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M338" s="134"/>
    </row>
    <row r="339" spans="3:13" ht="12.75"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M339" s="134"/>
    </row>
    <row r="340" spans="3:13" ht="12.75"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M340" s="134"/>
    </row>
    <row r="341" spans="3:13" ht="12.75"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M341" s="134"/>
    </row>
    <row r="342" spans="3:13" ht="12.75"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M342" s="134"/>
    </row>
    <row r="343" spans="3:13" ht="12.75"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M343" s="134"/>
    </row>
    <row r="344" spans="3:13" ht="12.75"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M344" s="134"/>
    </row>
    <row r="345" spans="3:13" ht="12.75"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M345" s="134"/>
    </row>
    <row r="346" spans="3:13" ht="12.75"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M346" s="134"/>
    </row>
    <row r="347" spans="3:13" ht="12.75"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M347" s="134"/>
    </row>
    <row r="348" spans="3:13" ht="12.75"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M348" s="134"/>
    </row>
    <row r="349" spans="3:13" ht="12.75"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M349" s="134"/>
    </row>
    <row r="350" spans="3:13" ht="12.75"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M350" s="134"/>
    </row>
    <row r="351" spans="3:13" ht="12.75"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M351" s="134"/>
    </row>
    <row r="352" spans="3:13" ht="12.75"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M352" s="134"/>
    </row>
    <row r="353" spans="3:13" ht="12.75"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M353" s="134"/>
    </row>
    <row r="354" spans="3:13" ht="12.75"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M354" s="134"/>
    </row>
    <row r="355" spans="3:13" ht="12.75"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M355" s="134"/>
    </row>
    <row r="356" spans="3:13" ht="12.75"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M356" s="134"/>
    </row>
    <row r="357" spans="3:13" ht="12.75"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M357" s="134"/>
    </row>
    <row r="358" spans="3:13" ht="12.75"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M358" s="134"/>
    </row>
    <row r="359" spans="3:13" ht="12.75"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M359" s="134"/>
    </row>
    <row r="360" spans="3:13" ht="12.75"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M360" s="134"/>
    </row>
    <row r="361" spans="3:13" ht="12.75"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M361" s="134"/>
    </row>
    <row r="362" spans="3:13" ht="12.75"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M362" s="134"/>
    </row>
    <row r="363" spans="3:13" ht="12.75"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M363" s="134"/>
    </row>
    <row r="364" spans="3:13" ht="12.75"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M364" s="134"/>
    </row>
    <row r="365" spans="3:13" ht="12.75"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M365" s="134"/>
    </row>
    <row r="366" spans="3:13" ht="12.75"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M366" s="134"/>
    </row>
    <row r="367" spans="3:13" ht="12.75"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M367" s="134"/>
    </row>
    <row r="368" spans="3:13" ht="12.75"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M368" s="134"/>
    </row>
    <row r="369" spans="3:13" ht="12.75"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M369" s="134"/>
    </row>
    <row r="370" spans="3:13" ht="12.75"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M370" s="134"/>
    </row>
    <row r="371" spans="3:13" ht="12.75"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M371" s="134"/>
    </row>
    <row r="372" spans="3:13" ht="12.75"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M372" s="134"/>
    </row>
    <row r="373" spans="3:13" ht="12.75"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M373" s="134"/>
    </row>
    <row r="374" spans="3:13" ht="12.75">
      <c r="C374" s="134"/>
      <c r="D374" s="134"/>
      <c r="E374" s="134"/>
      <c r="F374" s="134"/>
      <c r="G374" s="134"/>
      <c r="H374" s="134"/>
      <c r="I374" s="134"/>
      <c r="J374" s="134"/>
      <c r="K374" s="134"/>
      <c r="L374" s="134"/>
      <c r="M374" s="134"/>
    </row>
    <row r="375" spans="3:13" ht="12.75">
      <c r="C375" s="134"/>
      <c r="D375" s="134"/>
      <c r="E375" s="134"/>
      <c r="F375" s="134"/>
      <c r="G375" s="134"/>
      <c r="H375" s="134"/>
      <c r="I375" s="134"/>
      <c r="J375" s="134"/>
      <c r="K375" s="134"/>
      <c r="L375" s="134"/>
      <c r="M375" s="134"/>
    </row>
    <row r="376" spans="3:13" ht="12.75">
      <c r="C376" s="134"/>
      <c r="D376" s="134"/>
      <c r="E376" s="134"/>
      <c r="F376" s="134"/>
      <c r="G376" s="134"/>
      <c r="H376" s="134"/>
      <c r="I376" s="134"/>
      <c r="J376" s="134"/>
      <c r="K376" s="134"/>
      <c r="L376" s="134"/>
      <c r="M376" s="134"/>
    </row>
    <row r="377" spans="3:13" ht="12.75">
      <c r="C377" s="134"/>
      <c r="D377" s="134"/>
      <c r="E377" s="134"/>
      <c r="F377" s="134"/>
      <c r="G377" s="134"/>
      <c r="H377" s="134"/>
      <c r="I377" s="134"/>
      <c r="J377" s="134"/>
      <c r="K377" s="134"/>
      <c r="L377" s="134"/>
      <c r="M377" s="134"/>
    </row>
    <row r="378" spans="3:13" ht="12.75">
      <c r="C378" s="134"/>
      <c r="D378" s="134"/>
      <c r="E378" s="134"/>
      <c r="F378" s="134"/>
      <c r="G378" s="134"/>
      <c r="H378" s="134"/>
      <c r="I378" s="134"/>
      <c r="J378" s="134"/>
      <c r="K378" s="134"/>
      <c r="L378" s="134"/>
      <c r="M378" s="134"/>
    </row>
    <row r="379" spans="3:13" ht="12.75">
      <c r="C379" s="134"/>
      <c r="D379" s="134"/>
      <c r="E379" s="134"/>
      <c r="F379" s="134"/>
      <c r="G379" s="134"/>
      <c r="H379" s="134"/>
      <c r="I379" s="134"/>
      <c r="J379" s="134"/>
      <c r="K379" s="134"/>
      <c r="L379" s="134"/>
      <c r="M379" s="134"/>
    </row>
    <row r="380" spans="3:13" ht="12.75">
      <c r="C380" s="134"/>
      <c r="D380" s="134"/>
      <c r="E380" s="134"/>
      <c r="F380" s="134"/>
      <c r="G380" s="134"/>
      <c r="H380" s="134"/>
      <c r="I380" s="134"/>
      <c r="J380" s="134"/>
      <c r="K380" s="134"/>
      <c r="L380" s="134"/>
      <c r="M380" s="134"/>
    </row>
    <row r="381" spans="3:13" ht="12.75">
      <c r="C381" s="134"/>
      <c r="D381" s="134"/>
      <c r="E381" s="134"/>
      <c r="F381" s="134"/>
      <c r="G381" s="134"/>
      <c r="H381" s="134"/>
      <c r="I381" s="134"/>
      <c r="J381" s="134"/>
      <c r="K381" s="134"/>
      <c r="L381" s="134"/>
      <c r="M381" s="134"/>
    </row>
    <row r="382" spans="3:13" ht="12.75">
      <c r="C382" s="134"/>
      <c r="D382" s="134"/>
      <c r="E382" s="134"/>
      <c r="F382" s="134"/>
      <c r="G382" s="134"/>
      <c r="H382" s="134"/>
      <c r="I382" s="134"/>
      <c r="J382" s="134"/>
      <c r="K382" s="134"/>
      <c r="L382" s="134"/>
      <c r="M382" s="134"/>
    </row>
    <row r="383" spans="3:13" ht="12.75">
      <c r="C383" s="134"/>
      <c r="D383" s="134"/>
      <c r="E383" s="134"/>
      <c r="F383" s="134"/>
      <c r="G383" s="134"/>
      <c r="H383" s="134"/>
      <c r="I383" s="134"/>
      <c r="J383" s="134"/>
      <c r="K383" s="134"/>
      <c r="L383" s="134"/>
      <c r="M383" s="134"/>
    </row>
    <row r="384" spans="3:13" ht="12.75">
      <c r="C384" s="134"/>
      <c r="D384" s="134"/>
      <c r="E384" s="134"/>
      <c r="F384" s="134"/>
      <c r="G384" s="134"/>
      <c r="H384" s="134"/>
      <c r="I384" s="134"/>
      <c r="J384" s="134"/>
      <c r="K384" s="134"/>
      <c r="L384" s="134"/>
      <c r="M384" s="134"/>
    </row>
    <row r="385" spans="3:13" ht="12.75">
      <c r="C385" s="134"/>
      <c r="D385" s="134"/>
      <c r="E385" s="134"/>
      <c r="F385" s="134"/>
      <c r="G385" s="134"/>
      <c r="H385" s="134"/>
      <c r="I385" s="134"/>
      <c r="J385" s="134"/>
      <c r="K385" s="134"/>
      <c r="L385" s="134"/>
      <c r="M385" s="134"/>
    </row>
    <row r="386" spans="3:13" ht="12.75">
      <c r="C386" s="134"/>
      <c r="D386" s="134"/>
      <c r="E386" s="134"/>
      <c r="F386" s="134"/>
      <c r="G386" s="134"/>
      <c r="H386" s="134"/>
      <c r="I386" s="134"/>
      <c r="J386" s="134"/>
      <c r="K386" s="134"/>
      <c r="L386" s="134"/>
      <c r="M386" s="134"/>
    </row>
    <row r="387" spans="3:13" ht="12.75">
      <c r="C387" s="134"/>
      <c r="D387" s="134"/>
      <c r="E387" s="134"/>
      <c r="F387" s="134"/>
      <c r="G387" s="134"/>
      <c r="H387" s="134"/>
      <c r="I387" s="134"/>
      <c r="J387" s="134"/>
      <c r="K387" s="134"/>
      <c r="L387" s="134"/>
      <c r="M387" s="134"/>
    </row>
    <row r="388" spans="3:13" ht="12.75">
      <c r="C388" s="134"/>
      <c r="D388" s="134"/>
      <c r="E388" s="134"/>
      <c r="F388" s="134"/>
      <c r="G388" s="134"/>
      <c r="H388" s="134"/>
      <c r="I388" s="134"/>
      <c r="J388" s="134"/>
      <c r="K388" s="134"/>
      <c r="L388" s="134"/>
      <c r="M388" s="134"/>
    </row>
    <row r="389" spans="3:13" ht="12.75">
      <c r="C389" s="134"/>
      <c r="D389" s="134"/>
      <c r="E389" s="134"/>
      <c r="F389" s="134"/>
      <c r="G389" s="134"/>
      <c r="H389" s="134"/>
      <c r="I389" s="134"/>
      <c r="J389" s="134"/>
      <c r="K389" s="134"/>
      <c r="L389" s="134"/>
      <c r="M389" s="134"/>
    </row>
    <row r="390" spans="3:13" ht="12.75">
      <c r="C390" s="134"/>
      <c r="D390" s="134"/>
      <c r="E390" s="134"/>
      <c r="F390" s="134"/>
      <c r="G390" s="134"/>
      <c r="H390" s="134"/>
      <c r="I390" s="134"/>
      <c r="J390" s="134"/>
      <c r="K390" s="134"/>
      <c r="L390" s="134"/>
      <c r="M390" s="134"/>
    </row>
    <row r="391" spans="3:13" ht="12.75">
      <c r="C391" s="134"/>
      <c r="D391" s="134"/>
      <c r="E391" s="134"/>
      <c r="F391" s="134"/>
      <c r="G391" s="134"/>
      <c r="H391" s="134"/>
      <c r="I391" s="134"/>
      <c r="J391" s="134"/>
      <c r="K391" s="134"/>
      <c r="L391" s="134"/>
      <c r="M391" s="134"/>
    </row>
    <row r="392" spans="3:13" ht="12.75">
      <c r="C392" s="134"/>
      <c r="D392" s="134"/>
      <c r="E392" s="134"/>
      <c r="F392" s="134"/>
      <c r="G392" s="134"/>
      <c r="H392" s="134"/>
      <c r="I392" s="134"/>
      <c r="J392" s="134"/>
      <c r="K392" s="134"/>
      <c r="L392" s="134"/>
      <c r="M392" s="134"/>
    </row>
    <row r="393" spans="3:13" ht="12.75">
      <c r="C393" s="134"/>
      <c r="D393" s="134"/>
      <c r="E393" s="134"/>
      <c r="F393" s="134"/>
      <c r="G393" s="134"/>
      <c r="H393" s="134"/>
      <c r="I393" s="134"/>
      <c r="J393" s="134"/>
      <c r="K393" s="134"/>
      <c r="L393" s="134"/>
      <c r="M393" s="134"/>
    </row>
    <row r="394" spans="3:13" ht="12.75">
      <c r="C394" s="134"/>
      <c r="D394" s="134"/>
      <c r="E394" s="134"/>
      <c r="F394" s="134"/>
      <c r="G394" s="134"/>
      <c r="H394" s="134"/>
      <c r="I394" s="134"/>
      <c r="J394" s="134"/>
      <c r="K394" s="134"/>
      <c r="L394" s="134"/>
      <c r="M394" s="134"/>
    </row>
    <row r="395" spans="3:13" ht="12.75">
      <c r="C395" s="134"/>
      <c r="D395" s="134"/>
      <c r="E395" s="134"/>
      <c r="F395" s="134"/>
      <c r="G395" s="134"/>
      <c r="H395" s="134"/>
      <c r="I395" s="134"/>
      <c r="J395" s="134"/>
      <c r="K395" s="134"/>
      <c r="L395" s="134"/>
      <c r="M395" s="134"/>
    </row>
    <row r="396" spans="3:13" ht="12.75">
      <c r="C396" s="134"/>
      <c r="D396" s="134"/>
      <c r="E396" s="134"/>
      <c r="F396" s="134"/>
      <c r="G396" s="134"/>
      <c r="H396" s="134"/>
      <c r="I396" s="134"/>
      <c r="J396" s="134"/>
      <c r="K396" s="134"/>
      <c r="L396" s="134"/>
      <c r="M396" s="134"/>
    </row>
    <row r="397" spans="3:13" ht="12.75">
      <c r="C397" s="134"/>
      <c r="D397" s="134"/>
      <c r="E397" s="134"/>
      <c r="F397" s="134"/>
      <c r="G397" s="134"/>
      <c r="H397" s="134"/>
      <c r="I397" s="134"/>
      <c r="J397" s="134"/>
      <c r="K397" s="134"/>
      <c r="L397" s="134"/>
      <c r="M397" s="134"/>
    </row>
    <row r="398" spans="3:13" ht="12.75">
      <c r="C398" s="134"/>
      <c r="D398" s="134"/>
      <c r="E398" s="134"/>
      <c r="F398" s="134"/>
      <c r="G398" s="134"/>
      <c r="H398" s="134"/>
      <c r="I398" s="134"/>
      <c r="J398" s="134"/>
      <c r="K398" s="134"/>
      <c r="L398" s="134"/>
      <c r="M398" s="134"/>
    </row>
    <row r="399" spans="3:13" ht="12.75">
      <c r="C399" s="134"/>
      <c r="D399" s="134"/>
      <c r="E399" s="134"/>
      <c r="F399" s="134"/>
      <c r="G399" s="134"/>
      <c r="H399" s="134"/>
      <c r="I399" s="134"/>
      <c r="J399" s="134"/>
      <c r="K399" s="134"/>
      <c r="L399" s="134"/>
      <c r="M399" s="134"/>
    </row>
    <row r="400" spans="3:13" ht="12.75">
      <c r="C400" s="134"/>
      <c r="D400" s="134"/>
      <c r="E400" s="134"/>
      <c r="F400" s="134"/>
      <c r="G400" s="134"/>
      <c r="H400" s="134"/>
      <c r="I400" s="134"/>
      <c r="J400" s="134"/>
      <c r="K400" s="134"/>
      <c r="L400" s="134"/>
      <c r="M400" s="134"/>
    </row>
    <row r="401" spans="3:13" ht="12.75">
      <c r="C401" s="134"/>
      <c r="D401" s="134"/>
      <c r="E401" s="134"/>
      <c r="F401" s="134"/>
      <c r="G401" s="134"/>
      <c r="H401" s="134"/>
      <c r="I401" s="134"/>
      <c r="J401" s="134"/>
      <c r="K401" s="134"/>
      <c r="L401" s="134"/>
      <c r="M401" s="134"/>
    </row>
    <row r="402" spans="3:13" ht="12.75">
      <c r="C402" s="134"/>
      <c r="D402" s="134"/>
      <c r="E402" s="134"/>
      <c r="F402" s="134"/>
      <c r="G402" s="134"/>
      <c r="H402" s="134"/>
      <c r="I402" s="134"/>
      <c r="J402" s="134"/>
      <c r="K402" s="134"/>
      <c r="L402" s="134"/>
      <c r="M402" s="134"/>
    </row>
    <row r="403" spans="3:13" ht="12.75">
      <c r="C403" s="134"/>
      <c r="D403" s="134"/>
      <c r="E403" s="134"/>
      <c r="F403" s="134"/>
      <c r="G403" s="134"/>
      <c r="H403" s="134"/>
      <c r="I403" s="134"/>
      <c r="J403" s="134"/>
      <c r="K403" s="134"/>
      <c r="L403" s="134"/>
      <c r="M403" s="134"/>
    </row>
    <row r="404" spans="3:13" ht="12.75">
      <c r="C404" s="134"/>
      <c r="D404" s="134"/>
      <c r="E404" s="134"/>
      <c r="F404" s="134"/>
      <c r="G404" s="134"/>
      <c r="H404" s="134"/>
      <c r="I404" s="134"/>
      <c r="J404" s="134"/>
      <c r="K404" s="134"/>
      <c r="L404" s="134"/>
      <c r="M404" s="134"/>
    </row>
    <row r="405" spans="3:13" ht="12.75">
      <c r="C405" s="134"/>
      <c r="D405" s="134"/>
      <c r="E405" s="134"/>
      <c r="F405" s="134"/>
      <c r="G405" s="134"/>
      <c r="H405" s="134"/>
      <c r="I405" s="134"/>
      <c r="J405" s="134"/>
      <c r="K405" s="134"/>
      <c r="L405" s="134"/>
      <c r="M405" s="134"/>
    </row>
    <row r="406" spans="3:13" ht="12.75">
      <c r="C406" s="134"/>
      <c r="D406" s="134"/>
      <c r="E406" s="134"/>
      <c r="F406" s="134"/>
      <c r="G406" s="134"/>
      <c r="H406" s="134"/>
      <c r="I406" s="134"/>
      <c r="J406" s="134"/>
      <c r="K406" s="134"/>
      <c r="L406" s="134"/>
      <c r="M406" s="134"/>
    </row>
    <row r="407" spans="3:13" ht="12.75">
      <c r="C407" s="134"/>
      <c r="D407" s="134"/>
      <c r="E407" s="134"/>
      <c r="F407" s="134"/>
      <c r="G407" s="134"/>
      <c r="H407" s="134"/>
      <c r="I407" s="134"/>
      <c r="J407" s="134"/>
      <c r="K407" s="134"/>
      <c r="L407" s="134"/>
      <c r="M407" s="134"/>
    </row>
    <row r="408" spans="3:13" ht="12.75">
      <c r="C408" s="134"/>
      <c r="D408" s="134"/>
      <c r="E408" s="134"/>
      <c r="F408" s="134"/>
      <c r="G408" s="134"/>
      <c r="H408" s="134"/>
      <c r="I408" s="134"/>
      <c r="J408" s="134"/>
      <c r="K408" s="134"/>
      <c r="L408" s="134"/>
      <c r="M408" s="134"/>
    </row>
    <row r="409" spans="3:13" ht="12.75">
      <c r="C409" s="134"/>
      <c r="D409" s="134"/>
      <c r="E409" s="134"/>
      <c r="F409" s="134"/>
      <c r="G409" s="134"/>
      <c r="H409" s="134"/>
      <c r="I409" s="134"/>
      <c r="J409" s="134"/>
      <c r="K409" s="134"/>
      <c r="L409" s="134"/>
      <c r="M409" s="134"/>
    </row>
    <row r="410" spans="3:13" ht="12.75">
      <c r="C410" s="134"/>
      <c r="D410" s="134"/>
      <c r="E410" s="134"/>
      <c r="F410" s="134"/>
      <c r="G410" s="134"/>
      <c r="H410" s="134"/>
      <c r="I410" s="134"/>
      <c r="J410" s="134"/>
      <c r="K410" s="134"/>
      <c r="L410" s="134"/>
      <c r="M410" s="134"/>
    </row>
    <row r="411" spans="3:13" ht="12.75">
      <c r="C411" s="134"/>
      <c r="D411" s="134"/>
      <c r="E411" s="134"/>
      <c r="F411" s="134"/>
      <c r="G411" s="134"/>
      <c r="H411" s="134"/>
      <c r="I411" s="134"/>
      <c r="J411" s="134"/>
      <c r="K411" s="134"/>
      <c r="L411" s="134"/>
      <c r="M411" s="134"/>
    </row>
    <row r="412" spans="3:13" ht="12.75">
      <c r="C412" s="134"/>
      <c r="D412" s="134"/>
      <c r="E412" s="134"/>
      <c r="F412" s="134"/>
      <c r="G412" s="134"/>
      <c r="H412" s="134"/>
      <c r="I412" s="134"/>
      <c r="J412" s="134"/>
      <c r="K412" s="134"/>
      <c r="L412" s="134"/>
      <c r="M412" s="134"/>
    </row>
    <row r="413" spans="3:13" ht="12.75">
      <c r="C413" s="134"/>
      <c r="D413" s="134"/>
      <c r="E413" s="134"/>
      <c r="F413" s="134"/>
      <c r="G413" s="134"/>
      <c r="H413" s="134"/>
      <c r="I413" s="134"/>
      <c r="J413" s="134"/>
      <c r="K413" s="134"/>
      <c r="L413" s="134"/>
      <c r="M413" s="134"/>
    </row>
    <row r="414" spans="3:13" ht="12.75">
      <c r="C414" s="134"/>
      <c r="D414" s="134"/>
      <c r="E414" s="134"/>
      <c r="F414" s="134"/>
      <c r="G414" s="134"/>
      <c r="H414" s="134"/>
      <c r="I414" s="134"/>
      <c r="J414" s="134"/>
      <c r="K414" s="134"/>
      <c r="L414" s="134"/>
      <c r="M414" s="134"/>
    </row>
    <row r="415" spans="3:13" ht="12.75">
      <c r="C415" s="134"/>
      <c r="D415" s="134"/>
      <c r="E415" s="134"/>
      <c r="F415" s="134"/>
      <c r="G415" s="134"/>
      <c r="H415" s="134"/>
      <c r="I415" s="134"/>
      <c r="J415" s="134"/>
      <c r="K415" s="134"/>
      <c r="L415" s="134"/>
      <c r="M415" s="134"/>
    </row>
    <row r="416" spans="3:13" ht="12.75">
      <c r="C416" s="134"/>
      <c r="D416" s="134"/>
      <c r="E416" s="134"/>
      <c r="F416" s="134"/>
      <c r="G416" s="134"/>
      <c r="H416" s="134"/>
      <c r="I416" s="134"/>
      <c r="J416" s="134"/>
      <c r="K416" s="134"/>
      <c r="L416" s="134"/>
      <c r="M416" s="134"/>
    </row>
    <row r="417" spans="3:13" ht="12.75">
      <c r="C417" s="134"/>
      <c r="D417" s="134"/>
      <c r="E417" s="134"/>
      <c r="F417" s="134"/>
      <c r="G417" s="134"/>
      <c r="H417" s="134"/>
      <c r="I417" s="134"/>
      <c r="J417" s="134"/>
      <c r="K417" s="134"/>
      <c r="L417" s="134"/>
      <c r="M417" s="134"/>
    </row>
    <row r="418" spans="3:13" ht="12.75">
      <c r="C418" s="134"/>
      <c r="D418" s="134"/>
      <c r="E418" s="134"/>
      <c r="F418" s="134"/>
      <c r="G418" s="134"/>
      <c r="H418" s="134"/>
      <c r="I418" s="134"/>
      <c r="J418" s="134"/>
      <c r="K418" s="134"/>
      <c r="L418" s="134"/>
      <c r="M418" s="134"/>
    </row>
    <row r="419" spans="3:13" ht="12.75">
      <c r="C419" s="134"/>
      <c r="D419" s="134"/>
      <c r="E419" s="134"/>
      <c r="F419" s="134"/>
      <c r="G419" s="134"/>
      <c r="H419" s="134"/>
      <c r="I419" s="134"/>
      <c r="J419" s="134"/>
      <c r="K419" s="134"/>
      <c r="L419" s="134"/>
      <c r="M419" s="134"/>
    </row>
    <row r="420" spans="3:13" ht="12.75">
      <c r="C420" s="134"/>
      <c r="D420" s="134"/>
      <c r="E420" s="134"/>
      <c r="F420" s="134"/>
      <c r="G420" s="134"/>
      <c r="H420" s="134"/>
      <c r="I420" s="134"/>
      <c r="J420" s="134"/>
      <c r="K420" s="134"/>
      <c r="L420" s="134"/>
      <c r="M420" s="134"/>
    </row>
    <row r="421" spans="3:13" ht="12.75">
      <c r="C421" s="134"/>
      <c r="D421" s="134"/>
      <c r="E421" s="134"/>
      <c r="F421" s="134"/>
      <c r="G421" s="134"/>
      <c r="H421" s="134"/>
      <c r="I421" s="134"/>
      <c r="J421" s="134"/>
      <c r="K421" s="134"/>
      <c r="L421" s="134"/>
      <c r="M421" s="134"/>
    </row>
    <row r="422" spans="3:13" ht="12.75">
      <c r="C422" s="134"/>
      <c r="D422" s="134"/>
      <c r="E422" s="134"/>
      <c r="F422" s="134"/>
      <c r="G422" s="134"/>
      <c r="H422" s="134"/>
      <c r="I422" s="134"/>
      <c r="J422" s="134"/>
      <c r="K422" s="134"/>
      <c r="L422" s="134"/>
      <c r="M422" s="134"/>
    </row>
    <row r="423" spans="3:13" ht="12.75">
      <c r="C423" s="134"/>
      <c r="D423" s="134"/>
      <c r="E423" s="134"/>
      <c r="F423" s="134"/>
      <c r="G423" s="134"/>
      <c r="H423" s="134"/>
      <c r="I423" s="134"/>
      <c r="J423" s="134"/>
      <c r="K423" s="134"/>
      <c r="L423" s="134"/>
      <c r="M423" s="134"/>
    </row>
    <row r="424" spans="3:13" ht="12.75">
      <c r="C424" s="134"/>
      <c r="D424" s="134"/>
      <c r="E424" s="134"/>
      <c r="F424" s="134"/>
      <c r="G424" s="134"/>
      <c r="H424" s="134"/>
      <c r="I424" s="134"/>
      <c r="J424" s="134"/>
      <c r="K424" s="134"/>
      <c r="L424" s="134"/>
      <c r="M424" s="134"/>
    </row>
    <row r="425" spans="3:13" ht="12.75">
      <c r="C425" s="134"/>
      <c r="D425" s="134"/>
      <c r="E425" s="134"/>
      <c r="F425" s="134"/>
      <c r="G425" s="134"/>
      <c r="H425" s="134"/>
      <c r="I425" s="134"/>
      <c r="J425" s="134"/>
      <c r="K425" s="134"/>
      <c r="L425" s="134"/>
      <c r="M425" s="134"/>
    </row>
    <row r="426" spans="3:13" ht="12.75">
      <c r="C426" s="134"/>
      <c r="D426" s="134"/>
      <c r="E426" s="134"/>
      <c r="F426" s="134"/>
      <c r="G426" s="134"/>
      <c r="H426" s="134"/>
      <c r="I426" s="134"/>
      <c r="J426" s="134"/>
      <c r="K426" s="134"/>
      <c r="L426" s="134"/>
      <c r="M426" s="134"/>
    </row>
    <row r="427" spans="3:13" ht="12.75">
      <c r="C427" s="134"/>
      <c r="D427" s="134"/>
      <c r="E427" s="134"/>
      <c r="F427" s="134"/>
      <c r="G427" s="134"/>
      <c r="H427" s="134"/>
      <c r="I427" s="134"/>
      <c r="J427" s="134"/>
      <c r="K427" s="134"/>
      <c r="L427" s="134"/>
      <c r="M427" s="134"/>
    </row>
    <row r="428" spans="3:13" ht="12.75">
      <c r="C428" s="134"/>
      <c r="D428" s="134"/>
      <c r="E428" s="134"/>
      <c r="F428" s="134"/>
      <c r="G428" s="134"/>
      <c r="H428" s="134"/>
      <c r="I428" s="134"/>
      <c r="J428" s="134"/>
      <c r="K428" s="134"/>
      <c r="L428" s="134"/>
      <c r="M428" s="134"/>
    </row>
    <row r="429" spans="3:13" ht="12.75">
      <c r="C429" s="134"/>
      <c r="D429" s="134"/>
      <c r="E429" s="134"/>
      <c r="F429" s="134"/>
      <c r="G429" s="134"/>
      <c r="H429" s="134"/>
      <c r="I429" s="134"/>
      <c r="J429" s="134"/>
      <c r="K429" s="134"/>
      <c r="L429" s="134"/>
      <c r="M429" s="134"/>
    </row>
    <row r="430" spans="3:13" ht="12.75">
      <c r="C430" s="134"/>
      <c r="D430" s="134"/>
      <c r="E430" s="134"/>
      <c r="F430" s="134"/>
      <c r="G430" s="134"/>
      <c r="H430" s="134"/>
      <c r="I430" s="134"/>
      <c r="J430" s="134"/>
      <c r="K430" s="134"/>
      <c r="L430" s="134"/>
      <c r="M430" s="134"/>
    </row>
    <row r="431" spans="3:13" ht="12.75">
      <c r="C431" s="134"/>
      <c r="D431" s="134"/>
      <c r="E431" s="134"/>
      <c r="F431" s="134"/>
      <c r="G431" s="134"/>
      <c r="H431" s="134"/>
      <c r="I431" s="134"/>
      <c r="J431" s="134"/>
      <c r="K431" s="134"/>
      <c r="L431" s="134"/>
      <c r="M431" s="134"/>
    </row>
    <row r="432" spans="3:13" ht="12.75">
      <c r="C432" s="134"/>
      <c r="D432" s="134"/>
      <c r="E432" s="134"/>
      <c r="F432" s="134"/>
      <c r="G432" s="134"/>
      <c r="H432" s="134"/>
      <c r="I432" s="134"/>
      <c r="J432" s="134"/>
      <c r="K432" s="134"/>
      <c r="L432" s="134"/>
      <c r="M432" s="134"/>
    </row>
    <row r="433" spans="3:13" ht="12.75">
      <c r="C433" s="134"/>
      <c r="D433" s="134"/>
      <c r="E433" s="134"/>
      <c r="F433" s="134"/>
      <c r="G433" s="134"/>
      <c r="H433" s="134"/>
      <c r="I433" s="134"/>
      <c r="J433" s="134"/>
      <c r="K433" s="134"/>
      <c r="L433" s="134"/>
      <c r="M433" s="134"/>
    </row>
    <row r="434" spans="3:13" ht="12.75">
      <c r="C434" s="134"/>
      <c r="D434" s="134"/>
      <c r="E434" s="134"/>
      <c r="F434" s="134"/>
      <c r="G434" s="134"/>
      <c r="H434" s="134"/>
      <c r="I434" s="134"/>
      <c r="J434" s="134"/>
      <c r="K434" s="134"/>
      <c r="L434" s="134"/>
      <c r="M434" s="134"/>
    </row>
    <row r="435" spans="3:13" ht="12.75">
      <c r="C435" s="134"/>
      <c r="D435" s="134"/>
      <c r="E435" s="134"/>
      <c r="F435" s="134"/>
      <c r="G435" s="134"/>
      <c r="H435" s="134"/>
      <c r="I435" s="134"/>
      <c r="J435" s="134"/>
      <c r="K435" s="134"/>
      <c r="L435" s="134"/>
      <c r="M435" s="134"/>
    </row>
    <row r="436" spans="3:13" ht="12.75">
      <c r="C436" s="134"/>
      <c r="D436" s="134"/>
      <c r="E436" s="134"/>
      <c r="F436" s="134"/>
      <c r="G436" s="134"/>
      <c r="H436" s="134"/>
      <c r="I436" s="134"/>
      <c r="J436" s="134"/>
      <c r="K436" s="134"/>
      <c r="L436" s="134"/>
      <c r="M436" s="134"/>
    </row>
    <row r="437" spans="3:13" ht="12.75">
      <c r="C437" s="134"/>
      <c r="D437" s="134"/>
      <c r="E437" s="134"/>
      <c r="F437" s="134"/>
      <c r="G437" s="134"/>
      <c r="H437" s="134"/>
      <c r="I437" s="134"/>
      <c r="J437" s="134"/>
      <c r="K437" s="134"/>
      <c r="L437" s="134"/>
      <c r="M437" s="134"/>
    </row>
    <row r="438" spans="3:13" ht="12.75">
      <c r="C438" s="134"/>
      <c r="D438" s="134"/>
      <c r="E438" s="134"/>
      <c r="F438" s="134"/>
      <c r="G438" s="134"/>
      <c r="H438" s="134"/>
      <c r="I438" s="134"/>
      <c r="J438" s="134"/>
      <c r="K438" s="134"/>
      <c r="L438" s="134"/>
      <c r="M438" s="134"/>
    </row>
    <row r="439" spans="3:13" ht="12.75">
      <c r="C439" s="134"/>
      <c r="D439" s="134"/>
      <c r="E439" s="134"/>
      <c r="F439" s="134"/>
      <c r="G439" s="134"/>
      <c r="H439" s="134"/>
      <c r="I439" s="134"/>
      <c r="J439" s="134"/>
      <c r="K439" s="134"/>
      <c r="L439" s="134"/>
      <c r="M439" s="134"/>
    </row>
    <row r="440" spans="3:13" ht="12.75">
      <c r="C440" s="134"/>
      <c r="D440" s="134"/>
      <c r="E440" s="134"/>
      <c r="F440" s="134"/>
      <c r="G440" s="134"/>
      <c r="H440" s="134"/>
      <c r="I440" s="134"/>
      <c r="J440" s="134"/>
      <c r="K440" s="134"/>
      <c r="L440" s="134"/>
      <c r="M440" s="134"/>
    </row>
    <row r="441" spans="3:13" ht="12.75">
      <c r="C441" s="134"/>
      <c r="D441" s="134"/>
      <c r="E441" s="134"/>
      <c r="F441" s="134"/>
      <c r="G441" s="134"/>
      <c r="H441" s="134"/>
      <c r="I441" s="134"/>
      <c r="J441" s="134"/>
      <c r="K441" s="134"/>
      <c r="L441" s="134"/>
      <c r="M441" s="134"/>
    </row>
    <row r="442" spans="3:13" ht="12.75">
      <c r="C442" s="134"/>
      <c r="D442" s="134"/>
      <c r="E442" s="134"/>
      <c r="F442" s="134"/>
      <c r="G442" s="134"/>
      <c r="H442" s="134"/>
      <c r="I442" s="134"/>
      <c r="J442" s="134"/>
      <c r="K442" s="134"/>
      <c r="L442" s="134"/>
      <c r="M442" s="134"/>
    </row>
    <row r="443" spans="3:13" ht="12.75">
      <c r="C443" s="134"/>
      <c r="D443" s="134"/>
      <c r="E443" s="134"/>
      <c r="F443" s="134"/>
      <c r="G443" s="134"/>
      <c r="H443" s="134"/>
      <c r="I443" s="134"/>
      <c r="J443" s="134"/>
      <c r="K443" s="134"/>
      <c r="L443" s="134"/>
      <c r="M443" s="134"/>
    </row>
    <row r="444" spans="3:13" ht="12.75">
      <c r="C444" s="134"/>
      <c r="D444" s="134"/>
      <c r="E444" s="134"/>
      <c r="F444" s="134"/>
      <c r="G444" s="134"/>
      <c r="H444" s="134"/>
      <c r="I444" s="134"/>
      <c r="J444" s="134"/>
      <c r="K444" s="134"/>
      <c r="L444" s="134"/>
      <c r="M444" s="134"/>
    </row>
    <row r="445" spans="3:13" ht="12.75">
      <c r="C445" s="134"/>
      <c r="D445" s="134"/>
      <c r="E445" s="134"/>
      <c r="F445" s="134"/>
      <c r="G445" s="134"/>
      <c r="H445" s="134"/>
      <c r="I445" s="134"/>
      <c r="J445" s="134"/>
      <c r="K445" s="134"/>
      <c r="L445" s="134"/>
      <c r="M445" s="134"/>
    </row>
    <row r="446" spans="3:13" ht="12.75">
      <c r="C446" s="134"/>
      <c r="D446" s="134"/>
      <c r="E446" s="134"/>
      <c r="F446" s="134"/>
      <c r="G446" s="134"/>
      <c r="H446" s="134"/>
      <c r="I446" s="134"/>
      <c r="J446" s="134"/>
      <c r="K446" s="134"/>
      <c r="L446" s="134"/>
      <c r="M446" s="134"/>
    </row>
    <row r="447" spans="3:13" ht="12.75">
      <c r="C447" s="134"/>
      <c r="D447" s="134"/>
      <c r="E447" s="134"/>
      <c r="F447" s="134"/>
      <c r="G447" s="134"/>
      <c r="H447" s="134"/>
      <c r="I447" s="134"/>
      <c r="J447" s="134"/>
      <c r="K447" s="134"/>
      <c r="L447" s="134"/>
      <c r="M447" s="134"/>
    </row>
    <row r="448" spans="3:13" ht="12.75">
      <c r="C448" s="134"/>
      <c r="D448" s="134"/>
      <c r="E448" s="134"/>
      <c r="F448" s="134"/>
      <c r="G448" s="134"/>
      <c r="H448" s="134"/>
      <c r="I448" s="134"/>
      <c r="J448" s="134"/>
      <c r="K448" s="134"/>
      <c r="L448" s="134"/>
      <c r="M448" s="134"/>
    </row>
    <row r="449" spans="3:13" ht="12.75">
      <c r="C449" s="134"/>
      <c r="D449" s="134"/>
      <c r="E449" s="134"/>
      <c r="F449" s="134"/>
      <c r="G449" s="134"/>
      <c r="H449" s="134"/>
      <c r="I449" s="134"/>
      <c r="J449" s="134"/>
      <c r="K449" s="134"/>
      <c r="L449" s="134"/>
      <c r="M449" s="134"/>
    </row>
    <row r="450" spans="3:13" ht="12.75">
      <c r="C450" s="134"/>
      <c r="D450" s="134"/>
      <c r="E450" s="134"/>
      <c r="F450" s="134"/>
      <c r="G450" s="134"/>
      <c r="H450" s="134"/>
      <c r="I450" s="134"/>
      <c r="J450" s="134"/>
      <c r="K450" s="134"/>
      <c r="L450" s="134"/>
      <c r="M450" s="134"/>
    </row>
    <row r="451" spans="3:13" ht="12.75">
      <c r="C451" s="134"/>
      <c r="D451" s="134"/>
      <c r="E451" s="134"/>
      <c r="F451" s="134"/>
      <c r="G451" s="134"/>
      <c r="H451" s="134"/>
      <c r="I451" s="134"/>
      <c r="J451" s="134"/>
      <c r="K451" s="134"/>
      <c r="L451" s="134"/>
      <c r="M451" s="134"/>
    </row>
    <row r="452" spans="3:13" ht="12.75">
      <c r="C452" s="134"/>
      <c r="D452" s="134"/>
      <c r="E452" s="134"/>
      <c r="F452" s="134"/>
      <c r="G452" s="134"/>
      <c r="H452" s="134"/>
      <c r="I452" s="134"/>
      <c r="J452" s="134"/>
      <c r="K452" s="134"/>
      <c r="L452" s="134"/>
      <c r="M452" s="134"/>
    </row>
    <row r="453" spans="3:13" ht="12.75">
      <c r="C453" s="134"/>
      <c r="D453" s="134"/>
      <c r="E453" s="134"/>
      <c r="F453" s="134"/>
      <c r="G453" s="134"/>
      <c r="H453" s="134"/>
      <c r="I453" s="134"/>
      <c r="J453" s="134"/>
      <c r="K453" s="134"/>
      <c r="L453" s="134"/>
      <c r="M453" s="134"/>
    </row>
    <row r="454" spans="3:13" ht="12.75">
      <c r="C454" s="134"/>
      <c r="D454" s="134"/>
      <c r="E454" s="134"/>
      <c r="F454" s="134"/>
      <c r="G454" s="134"/>
      <c r="H454" s="134"/>
      <c r="I454" s="134"/>
      <c r="J454" s="134"/>
      <c r="K454" s="134"/>
      <c r="L454" s="134"/>
      <c r="M454" s="134"/>
    </row>
    <row r="455" spans="3:13" ht="12.75">
      <c r="C455" s="134"/>
      <c r="D455" s="134"/>
      <c r="E455" s="134"/>
      <c r="F455" s="134"/>
      <c r="G455" s="134"/>
      <c r="H455" s="134"/>
      <c r="I455" s="134"/>
      <c r="J455" s="134"/>
      <c r="K455" s="134"/>
      <c r="L455" s="134"/>
      <c r="M455" s="134"/>
    </row>
    <row r="456" spans="3:13" ht="12.75">
      <c r="C456" s="134"/>
      <c r="D456" s="134"/>
      <c r="E456" s="134"/>
      <c r="F456" s="134"/>
      <c r="G456" s="134"/>
      <c r="H456" s="134"/>
      <c r="I456" s="134"/>
      <c r="J456" s="134"/>
      <c r="K456" s="134"/>
      <c r="L456" s="134"/>
      <c r="M456" s="134"/>
    </row>
    <row r="457" spans="3:13" ht="12.75">
      <c r="C457" s="134"/>
      <c r="D457" s="134"/>
      <c r="E457" s="134"/>
      <c r="F457" s="134"/>
      <c r="G457" s="134"/>
      <c r="H457" s="134"/>
      <c r="I457" s="134"/>
      <c r="J457" s="134"/>
      <c r="K457" s="134"/>
      <c r="L457" s="134"/>
      <c r="M457" s="134"/>
    </row>
    <row r="458" spans="3:13" ht="12.75">
      <c r="C458" s="134"/>
      <c r="D458" s="134"/>
      <c r="E458" s="134"/>
      <c r="F458" s="134"/>
      <c r="G458" s="134"/>
      <c r="H458" s="134"/>
      <c r="I458" s="134"/>
      <c r="J458" s="134"/>
      <c r="K458" s="134"/>
      <c r="L458" s="134"/>
      <c r="M458" s="134"/>
    </row>
    <row r="459" spans="3:13" ht="12.75">
      <c r="C459" s="134"/>
      <c r="D459" s="134"/>
      <c r="E459" s="134"/>
      <c r="F459" s="134"/>
      <c r="G459" s="134"/>
      <c r="H459" s="134"/>
      <c r="I459" s="134"/>
      <c r="J459" s="134"/>
      <c r="K459" s="134"/>
      <c r="L459" s="134"/>
      <c r="M459" s="134"/>
    </row>
    <row r="460" spans="3:13" ht="12.75">
      <c r="C460" s="134"/>
      <c r="D460" s="134"/>
      <c r="E460" s="134"/>
      <c r="F460" s="134"/>
      <c r="G460" s="134"/>
      <c r="H460" s="134"/>
      <c r="I460" s="134"/>
      <c r="J460" s="134"/>
      <c r="K460" s="134"/>
      <c r="L460" s="134"/>
      <c r="M460" s="134"/>
    </row>
    <row r="461" spans="3:13" ht="12.75">
      <c r="C461" s="134"/>
      <c r="D461" s="134"/>
      <c r="E461" s="134"/>
      <c r="F461" s="134"/>
      <c r="G461" s="134"/>
      <c r="H461" s="134"/>
      <c r="I461" s="134"/>
      <c r="J461" s="134"/>
      <c r="K461" s="134"/>
      <c r="L461" s="134"/>
      <c r="M461" s="134"/>
    </row>
    <row r="462" spans="3:13" ht="12.75">
      <c r="C462" s="134"/>
      <c r="D462" s="134"/>
      <c r="E462" s="134"/>
      <c r="F462" s="134"/>
      <c r="G462" s="134"/>
      <c r="H462" s="134"/>
      <c r="I462" s="134"/>
      <c r="J462" s="134"/>
      <c r="K462" s="134"/>
      <c r="L462" s="134"/>
      <c r="M462" s="134"/>
    </row>
    <row r="463" spans="3:13" ht="12.75">
      <c r="C463" s="134"/>
      <c r="D463" s="134"/>
      <c r="E463" s="134"/>
      <c r="F463" s="134"/>
      <c r="G463" s="134"/>
      <c r="H463" s="134"/>
      <c r="I463" s="134"/>
      <c r="J463" s="134"/>
      <c r="K463" s="134"/>
      <c r="L463" s="134"/>
      <c r="M463" s="134"/>
    </row>
    <row r="464" spans="3:13" ht="12.75">
      <c r="C464" s="134"/>
      <c r="D464" s="134"/>
      <c r="E464" s="134"/>
      <c r="F464" s="134"/>
      <c r="G464" s="134"/>
      <c r="H464" s="134"/>
      <c r="I464" s="134"/>
      <c r="J464" s="134"/>
      <c r="K464" s="134"/>
      <c r="L464" s="134"/>
      <c r="M464" s="134"/>
    </row>
    <row r="465" spans="3:13" ht="12.75">
      <c r="C465" s="134"/>
      <c r="D465" s="134"/>
      <c r="E465" s="134"/>
      <c r="F465" s="134"/>
      <c r="G465" s="134"/>
      <c r="H465" s="134"/>
      <c r="I465" s="134"/>
      <c r="J465" s="134"/>
      <c r="K465" s="134"/>
      <c r="L465" s="134"/>
      <c r="M465" s="134"/>
    </row>
    <row r="466" spans="3:13" ht="12.75">
      <c r="C466" s="134"/>
      <c r="D466" s="134"/>
      <c r="E466" s="134"/>
      <c r="F466" s="134"/>
      <c r="G466" s="134"/>
      <c r="H466" s="134"/>
      <c r="I466" s="134"/>
      <c r="J466" s="134"/>
      <c r="K466" s="134"/>
      <c r="L466" s="134"/>
      <c r="M466" s="134"/>
    </row>
    <row r="467" spans="3:13" ht="12.75">
      <c r="C467" s="134"/>
      <c r="D467" s="134"/>
      <c r="E467" s="134"/>
      <c r="F467" s="134"/>
      <c r="G467" s="134"/>
      <c r="H467" s="134"/>
      <c r="I467" s="134"/>
      <c r="J467" s="134"/>
      <c r="K467" s="134"/>
      <c r="L467" s="134"/>
      <c r="M467" s="134"/>
    </row>
    <row r="468" spans="3:13" ht="12.75">
      <c r="C468" s="134"/>
      <c r="D468" s="134"/>
      <c r="E468" s="134"/>
      <c r="F468" s="134"/>
      <c r="G468" s="134"/>
      <c r="H468" s="134"/>
      <c r="I468" s="134"/>
      <c r="J468" s="134"/>
      <c r="K468" s="134"/>
      <c r="L468" s="134"/>
      <c r="M468" s="134"/>
    </row>
    <row r="469" spans="3:13" ht="12.75">
      <c r="C469" s="134"/>
      <c r="D469" s="134"/>
      <c r="E469" s="134"/>
      <c r="F469" s="134"/>
      <c r="G469" s="134"/>
      <c r="H469" s="134"/>
      <c r="I469" s="134"/>
      <c r="J469" s="134"/>
      <c r="K469" s="134"/>
      <c r="L469" s="134"/>
      <c r="M469" s="134"/>
    </row>
    <row r="470" spans="3:13" ht="12.75">
      <c r="C470" s="134"/>
      <c r="D470" s="134"/>
      <c r="E470" s="134"/>
      <c r="F470" s="134"/>
      <c r="G470" s="134"/>
      <c r="H470" s="134"/>
      <c r="I470" s="134"/>
      <c r="J470" s="134"/>
      <c r="K470" s="134"/>
      <c r="L470" s="134"/>
      <c r="M470" s="134"/>
    </row>
    <row r="471" spans="3:13" ht="12.75">
      <c r="C471" s="134"/>
      <c r="D471" s="134"/>
      <c r="E471" s="134"/>
      <c r="F471" s="134"/>
      <c r="G471" s="134"/>
      <c r="H471" s="134"/>
      <c r="I471" s="134"/>
      <c r="J471" s="134"/>
      <c r="K471" s="134"/>
      <c r="L471" s="134"/>
      <c r="M471" s="134"/>
    </row>
    <row r="472" spans="3:13" ht="12.75">
      <c r="C472" s="134"/>
      <c r="D472" s="134"/>
      <c r="E472" s="134"/>
      <c r="F472" s="134"/>
      <c r="G472" s="134"/>
      <c r="H472" s="134"/>
      <c r="I472" s="134"/>
      <c r="J472" s="134"/>
      <c r="K472" s="134"/>
      <c r="L472" s="134"/>
      <c r="M472" s="134"/>
    </row>
    <row r="473" spans="3:13" ht="12.75">
      <c r="C473" s="134"/>
      <c r="D473" s="134"/>
      <c r="E473" s="134"/>
      <c r="F473" s="134"/>
      <c r="G473" s="134"/>
      <c r="H473" s="134"/>
      <c r="I473" s="134"/>
      <c r="J473" s="134"/>
      <c r="K473" s="134"/>
      <c r="L473" s="134"/>
      <c r="M473" s="134"/>
    </row>
    <row r="474" spans="3:13" ht="12.75">
      <c r="C474" s="134"/>
      <c r="D474" s="134"/>
      <c r="E474" s="134"/>
      <c r="F474" s="134"/>
      <c r="G474" s="134"/>
      <c r="H474" s="134"/>
      <c r="I474" s="134"/>
      <c r="J474" s="134"/>
      <c r="K474" s="134"/>
      <c r="L474" s="134"/>
      <c r="M474" s="134"/>
    </row>
    <row r="475" spans="3:13" ht="12.75">
      <c r="C475" s="134"/>
      <c r="D475" s="134"/>
      <c r="E475" s="134"/>
      <c r="F475" s="134"/>
      <c r="G475" s="134"/>
      <c r="H475" s="134"/>
      <c r="I475" s="134"/>
      <c r="J475" s="134"/>
      <c r="K475" s="134"/>
      <c r="L475" s="134"/>
      <c r="M475" s="134"/>
    </row>
    <row r="476" spans="3:13" ht="12.75">
      <c r="C476" s="134"/>
      <c r="D476" s="134"/>
      <c r="E476" s="134"/>
      <c r="F476" s="134"/>
      <c r="G476" s="134"/>
      <c r="H476" s="134"/>
      <c r="I476" s="134"/>
      <c r="J476" s="134"/>
      <c r="K476" s="134"/>
      <c r="L476" s="134"/>
      <c r="M476" s="134"/>
    </row>
    <row r="477" spans="3:13" ht="12.75">
      <c r="C477" s="134"/>
      <c r="D477" s="134"/>
      <c r="E477" s="134"/>
      <c r="F477" s="134"/>
      <c r="G477" s="134"/>
      <c r="H477" s="134"/>
      <c r="I477" s="134"/>
      <c r="J477" s="134"/>
      <c r="K477" s="134"/>
      <c r="L477" s="134"/>
      <c r="M477" s="134"/>
    </row>
    <row r="478" spans="3:13" ht="12.75">
      <c r="C478" s="134"/>
      <c r="D478" s="134"/>
      <c r="E478" s="134"/>
      <c r="F478" s="134"/>
      <c r="G478" s="134"/>
      <c r="H478" s="134"/>
      <c r="I478" s="134"/>
      <c r="J478" s="134"/>
      <c r="K478" s="134"/>
      <c r="L478" s="134"/>
      <c r="M478" s="134"/>
    </row>
    <row r="479" spans="3:13" ht="12.75">
      <c r="C479" s="134"/>
      <c r="D479" s="134"/>
      <c r="E479" s="134"/>
      <c r="F479" s="134"/>
      <c r="G479" s="134"/>
      <c r="H479" s="134"/>
      <c r="I479" s="134"/>
      <c r="J479" s="134"/>
      <c r="K479" s="134"/>
      <c r="L479" s="134"/>
      <c r="M479" s="134"/>
    </row>
    <row r="480" spans="3:13" ht="12.75">
      <c r="C480" s="134"/>
      <c r="D480" s="134"/>
      <c r="E480" s="134"/>
      <c r="F480" s="134"/>
      <c r="G480" s="134"/>
      <c r="H480" s="134"/>
      <c r="I480" s="134"/>
      <c r="J480" s="134"/>
      <c r="K480" s="134"/>
      <c r="L480" s="134"/>
      <c r="M480" s="134"/>
    </row>
    <row r="481" spans="3:13" ht="12.75">
      <c r="C481" s="134"/>
      <c r="D481" s="134"/>
      <c r="E481" s="134"/>
      <c r="F481" s="134"/>
      <c r="G481" s="134"/>
      <c r="H481" s="134"/>
      <c r="I481" s="134"/>
      <c r="J481" s="134"/>
      <c r="K481" s="134"/>
      <c r="L481" s="134"/>
      <c r="M481" s="134"/>
    </row>
    <row r="482" spans="3:13" ht="12.75">
      <c r="C482" s="134"/>
      <c r="D482" s="134"/>
      <c r="E482" s="134"/>
      <c r="F482" s="134"/>
      <c r="G482" s="134"/>
      <c r="H482" s="134"/>
      <c r="I482" s="134"/>
      <c r="J482" s="134"/>
      <c r="K482" s="134"/>
      <c r="L482" s="134"/>
      <c r="M482" s="134"/>
    </row>
    <row r="483" spans="3:13" ht="12.75">
      <c r="C483" s="134"/>
      <c r="D483" s="134"/>
      <c r="E483" s="134"/>
      <c r="F483" s="134"/>
      <c r="G483" s="134"/>
      <c r="H483" s="134"/>
      <c r="I483" s="134"/>
      <c r="J483" s="134"/>
      <c r="K483" s="134"/>
      <c r="L483" s="134"/>
      <c r="M483" s="134"/>
    </row>
    <row r="484" spans="3:13" ht="12.75">
      <c r="C484" s="134"/>
      <c r="D484" s="134"/>
      <c r="E484" s="134"/>
      <c r="F484" s="134"/>
      <c r="G484" s="134"/>
      <c r="H484" s="134"/>
      <c r="I484" s="134"/>
      <c r="J484" s="134"/>
      <c r="K484" s="134"/>
      <c r="L484" s="134"/>
      <c r="M484" s="134"/>
    </row>
    <row r="485" spans="3:13" ht="12.75">
      <c r="C485" s="134"/>
      <c r="D485" s="134"/>
      <c r="E485" s="134"/>
      <c r="F485" s="134"/>
      <c r="G485" s="134"/>
      <c r="H485" s="134"/>
      <c r="I485" s="134"/>
      <c r="J485" s="134"/>
      <c r="K485" s="134"/>
      <c r="L485" s="134"/>
      <c r="M485" s="134"/>
    </row>
    <row r="486" spans="3:13" ht="12.75">
      <c r="C486" s="134"/>
      <c r="D486" s="134"/>
      <c r="E486" s="134"/>
      <c r="F486" s="134"/>
      <c r="G486" s="134"/>
      <c r="H486" s="134"/>
      <c r="I486" s="134"/>
      <c r="J486" s="134"/>
      <c r="K486" s="134"/>
      <c r="L486" s="134"/>
      <c r="M486" s="134"/>
    </row>
    <row r="487" spans="3:13" ht="12.75">
      <c r="C487" s="134"/>
      <c r="D487" s="134"/>
      <c r="E487" s="134"/>
      <c r="F487" s="134"/>
      <c r="G487" s="134"/>
      <c r="H487" s="134"/>
      <c r="I487" s="134"/>
      <c r="J487" s="134"/>
      <c r="K487" s="134"/>
      <c r="L487" s="134"/>
      <c r="M487" s="134"/>
    </row>
    <row r="488" spans="3:13" ht="12.75">
      <c r="C488" s="134"/>
      <c r="D488" s="134"/>
      <c r="E488" s="134"/>
      <c r="F488" s="134"/>
      <c r="G488" s="134"/>
      <c r="H488" s="134"/>
      <c r="I488" s="134"/>
      <c r="J488" s="134"/>
      <c r="K488" s="134"/>
      <c r="L488" s="134"/>
      <c r="M488" s="134"/>
    </row>
    <row r="489" spans="3:13" ht="12.75">
      <c r="C489" s="134"/>
      <c r="D489" s="134"/>
      <c r="E489" s="134"/>
      <c r="F489" s="134"/>
      <c r="G489" s="134"/>
      <c r="H489" s="134"/>
      <c r="I489" s="134"/>
      <c r="J489" s="134"/>
      <c r="K489" s="134"/>
      <c r="L489" s="134"/>
      <c r="M489" s="134"/>
    </row>
    <row r="490" spans="3:13" ht="12.75">
      <c r="C490" s="134"/>
      <c r="D490" s="134"/>
      <c r="E490" s="134"/>
      <c r="F490" s="134"/>
      <c r="G490" s="134"/>
      <c r="H490" s="134"/>
      <c r="I490" s="134"/>
      <c r="J490" s="134"/>
      <c r="K490" s="134"/>
      <c r="L490" s="134"/>
      <c r="M490" s="134"/>
    </row>
    <row r="491" spans="3:13" ht="12.75">
      <c r="C491" s="134"/>
      <c r="D491" s="134"/>
      <c r="E491" s="134"/>
      <c r="F491" s="134"/>
      <c r="G491" s="134"/>
      <c r="H491" s="134"/>
      <c r="I491" s="134"/>
      <c r="J491" s="134"/>
      <c r="K491" s="134"/>
      <c r="L491" s="134"/>
      <c r="M491" s="134"/>
    </row>
    <row r="492" spans="3:13" ht="12.75">
      <c r="C492" s="134"/>
      <c r="D492" s="134"/>
      <c r="E492" s="134"/>
      <c r="F492" s="134"/>
      <c r="G492" s="134"/>
      <c r="H492" s="134"/>
      <c r="I492" s="134"/>
      <c r="J492" s="134"/>
      <c r="K492" s="134"/>
      <c r="L492" s="134"/>
      <c r="M492" s="134"/>
    </row>
    <row r="493" spans="3:13" ht="12.75">
      <c r="C493" s="134"/>
      <c r="D493" s="134"/>
      <c r="E493" s="134"/>
      <c r="F493" s="134"/>
      <c r="G493" s="134"/>
      <c r="H493" s="134"/>
      <c r="I493" s="134"/>
      <c r="J493" s="134"/>
      <c r="K493" s="134"/>
      <c r="L493" s="134"/>
      <c r="M493" s="134"/>
    </row>
    <row r="494" spans="3:13" ht="12.75">
      <c r="C494" s="134"/>
      <c r="D494" s="134"/>
      <c r="E494" s="134"/>
      <c r="F494" s="134"/>
      <c r="G494" s="134"/>
      <c r="H494" s="134"/>
      <c r="I494" s="134"/>
      <c r="J494" s="134"/>
      <c r="K494" s="134"/>
      <c r="L494" s="134"/>
      <c r="M494" s="134"/>
    </row>
    <row r="495" spans="3:13" ht="12.75">
      <c r="C495" s="134"/>
      <c r="D495" s="134"/>
      <c r="E495" s="134"/>
      <c r="F495" s="134"/>
      <c r="G495" s="134"/>
      <c r="H495" s="134"/>
      <c r="I495" s="134"/>
      <c r="J495" s="134"/>
      <c r="K495" s="134"/>
      <c r="L495" s="134"/>
      <c r="M495" s="134"/>
    </row>
    <row r="496" spans="3:13" ht="12.75">
      <c r="C496" s="134"/>
      <c r="D496" s="134"/>
      <c r="E496" s="134"/>
      <c r="F496" s="134"/>
      <c r="G496" s="134"/>
      <c r="H496" s="134"/>
      <c r="I496" s="134"/>
      <c r="J496" s="134"/>
      <c r="K496" s="134"/>
      <c r="L496" s="134"/>
      <c r="M496" s="134"/>
    </row>
    <row r="497" spans="3:13" ht="12.75">
      <c r="C497" s="134"/>
      <c r="D497" s="134"/>
      <c r="E497" s="134"/>
      <c r="F497" s="134"/>
      <c r="G497" s="134"/>
      <c r="H497" s="134"/>
      <c r="I497" s="134"/>
      <c r="J497" s="134"/>
      <c r="K497" s="134"/>
      <c r="L497" s="134"/>
      <c r="M497" s="134"/>
    </row>
    <row r="498" spans="3:13" ht="12.75">
      <c r="C498" s="134"/>
      <c r="D498" s="134"/>
      <c r="E498" s="134"/>
      <c r="F498" s="134"/>
      <c r="G498" s="134"/>
      <c r="H498" s="134"/>
      <c r="I498" s="134"/>
      <c r="J498" s="134"/>
      <c r="K498" s="134"/>
      <c r="L498" s="134"/>
      <c r="M498" s="134"/>
    </row>
    <row r="499" spans="3:13" ht="12.75">
      <c r="C499" s="134"/>
      <c r="D499" s="134"/>
      <c r="E499" s="134"/>
      <c r="F499" s="134"/>
      <c r="G499" s="134"/>
      <c r="H499" s="134"/>
      <c r="I499" s="134"/>
      <c r="J499" s="134"/>
      <c r="K499" s="134"/>
      <c r="L499" s="134"/>
      <c r="M499" s="134"/>
    </row>
    <row r="500" spans="3:13" ht="12.75">
      <c r="C500" s="134"/>
      <c r="D500" s="134"/>
      <c r="E500" s="134"/>
      <c r="F500" s="134"/>
      <c r="G500" s="134"/>
      <c r="H500" s="134"/>
      <c r="I500" s="134"/>
      <c r="J500" s="134"/>
      <c r="K500" s="134"/>
      <c r="L500" s="134"/>
      <c r="M500" s="134"/>
    </row>
    <row r="501" spans="3:13" ht="12.75">
      <c r="C501" s="134"/>
      <c r="D501" s="134"/>
      <c r="E501" s="134"/>
      <c r="F501" s="134"/>
      <c r="G501" s="134"/>
      <c r="H501" s="134"/>
      <c r="I501" s="134"/>
      <c r="J501" s="134"/>
      <c r="K501" s="134"/>
      <c r="L501" s="134"/>
      <c r="M501" s="134"/>
    </row>
    <row r="502" spans="3:13" ht="12.75">
      <c r="C502" s="134"/>
      <c r="D502" s="134"/>
      <c r="E502" s="134"/>
      <c r="F502" s="134"/>
      <c r="G502" s="134"/>
      <c r="H502" s="134"/>
      <c r="I502" s="134"/>
      <c r="J502" s="134"/>
      <c r="K502" s="134"/>
      <c r="L502" s="134"/>
      <c r="M502" s="134"/>
    </row>
    <row r="503" spans="3:13" ht="12.75">
      <c r="C503" s="134"/>
      <c r="D503" s="134"/>
      <c r="E503" s="134"/>
      <c r="F503" s="134"/>
      <c r="G503" s="134"/>
      <c r="H503" s="134"/>
      <c r="I503" s="134"/>
      <c r="J503" s="134"/>
      <c r="K503" s="134"/>
      <c r="L503" s="134"/>
      <c r="M503" s="134"/>
    </row>
    <row r="504" spans="3:13" ht="12.75">
      <c r="C504" s="134"/>
      <c r="D504" s="134"/>
      <c r="E504" s="134"/>
      <c r="F504" s="134"/>
      <c r="G504" s="134"/>
      <c r="H504" s="134"/>
      <c r="I504" s="134"/>
      <c r="J504" s="134"/>
      <c r="K504" s="134"/>
      <c r="L504" s="134"/>
      <c r="M504" s="134"/>
    </row>
    <row r="505" spans="3:13" ht="12.75">
      <c r="C505" s="134"/>
      <c r="D505" s="134"/>
      <c r="E505" s="134"/>
      <c r="F505" s="134"/>
      <c r="G505" s="134"/>
      <c r="H505" s="134"/>
      <c r="I505" s="134"/>
      <c r="J505" s="134"/>
      <c r="K505" s="134"/>
      <c r="L505" s="134"/>
      <c r="M505" s="134"/>
    </row>
    <row r="506" spans="3:13" ht="12.75">
      <c r="C506" s="134"/>
      <c r="D506" s="134"/>
      <c r="E506" s="134"/>
      <c r="F506" s="134"/>
      <c r="G506" s="134"/>
      <c r="H506" s="134"/>
      <c r="I506" s="134"/>
      <c r="J506" s="134"/>
      <c r="K506" s="134"/>
      <c r="L506" s="134"/>
      <c r="M506" s="134"/>
    </row>
    <row r="507" spans="3:13" ht="12.75">
      <c r="C507" s="134"/>
      <c r="D507" s="134"/>
      <c r="E507" s="134"/>
      <c r="F507" s="134"/>
      <c r="G507" s="134"/>
      <c r="H507" s="134"/>
      <c r="I507" s="134"/>
      <c r="J507" s="134"/>
      <c r="K507" s="134"/>
      <c r="L507" s="134"/>
      <c r="M507" s="134"/>
    </row>
    <row r="508" spans="3:13" ht="12.75">
      <c r="C508" s="134"/>
      <c r="D508" s="134"/>
      <c r="E508" s="134"/>
      <c r="F508" s="134"/>
      <c r="G508" s="134"/>
      <c r="H508" s="134"/>
      <c r="I508" s="134"/>
      <c r="J508" s="134"/>
      <c r="K508" s="134"/>
      <c r="L508" s="134"/>
      <c r="M508" s="134"/>
    </row>
    <row r="509" spans="3:13" ht="12.75">
      <c r="C509" s="134"/>
      <c r="D509" s="134"/>
      <c r="E509" s="134"/>
      <c r="F509" s="134"/>
      <c r="G509" s="134"/>
      <c r="H509" s="134"/>
      <c r="I509" s="134"/>
      <c r="J509" s="134"/>
      <c r="K509" s="134"/>
      <c r="L509" s="134"/>
      <c r="M509" s="134"/>
    </row>
    <row r="510" spans="3:13" ht="12.75">
      <c r="C510" s="134"/>
      <c r="D510" s="134"/>
      <c r="E510" s="134"/>
      <c r="F510" s="134"/>
      <c r="G510" s="134"/>
      <c r="H510" s="134"/>
      <c r="I510" s="134"/>
      <c r="J510" s="134"/>
      <c r="K510" s="134"/>
      <c r="L510" s="134"/>
      <c r="M510" s="134"/>
    </row>
    <row r="511" spans="3:13" ht="12.75">
      <c r="C511" s="134"/>
      <c r="D511" s="134"/>
      <c r="E511" s="134"/>
      <c r="F511" s="134"/>
      <c r="G511" s="134"/>
      <c r="H511" s="134"/>
      <c r="I511" s="134"/>
      <c r="J511" s="134"/>
      <c r="K511" s="134"/>
      <c r="L511" s="134"/>
      <c r="M511" s="134"/>
    </row>
    <row r="512" spans="3:13" ht="12.75">
      <c r="C512" s="134"/>
      <c r="D512" s="134"/>
      <c r="E512" s="134"/>
      <c r="F512" s="134"/>
      <c r="G512" s="134"/>
      <c r="H512" s="134"/>
      <c r="I512" s="134"/>
      <c r="J512" s="134"/>
      <c r="K512" s="134"/>
      <c r="L512" s="134"/>
      <c r="M512" s="134"/>
    </row>
    <row r="513" spans="3:13" ht="12.75">
      <c r="C513" s="134"/>
      <c r="D513" s="134"/>
      <c r="E513" s="134"/>
      <c r="F513" s="134"/>
      <c r="G513" s="134"/>
      <c r="H513" s="134"/>
      <c r="I513" s="134"/>
      <c r="J513" s="134"/>
      <c r="K513" s="134"/>
      <c r="L513" s="134"/>
      <c r="M513" s="134"/>
    </row>
    <row r="514" spans="3:13" ht="12.75">
      <c r="C514" s="134"/>
      <c r="D514" s="134"/>
      <c r="E514" s="134"/>
      <c r="F514" s="134"/>
      <c r="G514" s="134"/>
      <c r="H514" s="134"/>
      <c r="I514" s="134"/>
      <c r="J514" s="134"/>
      <c r="K514" s="134"/>
      <c r="L514" s="134"/>
      <c r="M514" s="134"/>
    </row>
    <row r="515" spans="3:13" ht="12.75">
      <c r="C515" s="134"/>
      <c r="D515" s="134"/>
      <c r="E515" s="134"/>
      <c r="F515" s="134"/>
      <c r="G515" s="134"/>
      <c r="H515" s="134"/>
      <c r="I515" s="134"/>
      <c r="J515" s="134"/>
      <c r="K515" s="134"/>
      <c r="L515" s="134"/>
      <c r="M515" s="134"/>
    </row>
    <row r="516" spans="3:13" ht="12.75">
      <c r="C516" s="134"/>
      <c r="D516" s="134"/>
      <c r="E516" s="134"/>
      <c r="F516" s="134"/>
      <c r="G516" s="134"/>
      <c r="H516" s="134"/>
      <c r="I516" s="134"/>
      <c r="J516" s="134"/>
      <c r="K516" s="134"/>
      <c r="L516" s="134"/>
      <c r="M516" s="134"/>
    </row>
    <row r="517" spans="3:13" ht="12.75">
      <c r="C517" s="134"/>
      <c r="D517" s="134"/>
      <c r="E517" s="134"/>
      <c r="F517" s="134"/>
      <c r="G517" s="134"/>
      <c r="H517" s="134"/>
      <c r="I517" s="134"/>
      <c r="J517" s="134"/>
      <c r="K517" s="134"/>
      <c r="L517" s="134"/>
      <c r="M517" s="134"/>
    </row>
    <row r="518" spans="3:13" ht="12.75">
      <c r="C518" s="134"/>
      <c r="D518" s="134"/>
      <c r="E518" s="134"/>
      <c r="F518" s="134"/>
      <c r="G518" s="134"/>
      <c r="H518" s="134"/>
      <c r="I518" s="134"/>
      <c r="J518" s="134"/>
      <c r="K518" s="134"/>
      <c r="L518" s="134"/>
      <c r="M518" s="134"/>
    </row>
    <row r="519" spans="3:13" ht="12.75">
      <c r="C519" s="134"/>
      <c r="D519" s="134"/>
      <c r="E519" s="134"/>
      <c r="F519" s="134"/>
      <c r="G519" s="134"/>
      <c r="H519" s="134"/>
      <c r="I519" s="134"/>
      <c r="J519" s="134"/>
      <c r="K519" s="134"/>
      <c r="L519" s="134"/>
      <c r="M519" s="134"/>
    </row>
    <row r="520" spans="3:13" ht="12.75">
      <c r="C520" s="134"/>
      <c r="D520" s="134"/>
      <c r="E520" s="134"/>
      <c r="F520" s="134"/>
      <c r="G520" s="134"/>
      <c r="H520" s="134"/>
      <c r="I520" s="134"/>
      <c r="J520" s="134"/>
      <c r="K520" s="134"/>
      <c r="L520" s="134"/>
      <c r="M520" s="134"/>
    </row>
    <row r="521" spans="3:13" ht="12.75">
      <c r="C521" s="134"/>
      <c r="D521" s="134"/>
      <c r="E521" s="134"/>
      <c r="F521" s="134"/>
      <c r="G521" s="134"/>
      <c r="H521" s="134"/>
      <c r="I521" s="134"/>
      <c r="J521" s="134"/>
      <c r="K521" s="134"/>
      <c r="L521" s="134"/>
      <c r="M521" s="134"/>
    </row>
    <row r="522" spans="3:13" ht="12.75">
      <c r="C522" s="134"/>
      <c r="D522" s="134"/>
      <c r="E522" s="134"/>
      <c r="F522" s="134"/>
      <c r="G522" s="134"/>
      <c r="H522" s="134"/>
      <c r="I522" s="134"/>
      <c r="J522" s="134"/>
      <c r="K522" s="134"/>
      <c r="L522" s="134"/>
      <c r="M522" s="134"/>
    </row>
    <row r="523" spans="3:13" ht="12.75">
      <c r="C523" s="134"/>
      <c r="D523" s="134"/>
      <c r="E523" s="134"/>
      <c r="F523" s="134"/>
      <c r="G523" s="134"/>
      <c r="H523" s="134"/>
      <c r="I523" s="134"/>
      <c r="J523" s="134"/>
      <c r="K523" s="134"/>
      <c r="L523" s="134"/>
      <c r="M523" s="134"/>
    </row>
    <row r="524" spans="3:13" ht="12.75">
      <c r="C524" s="134"/>
      <c r="D524" s="134"/>
      <c r="E524" s="134"/>
      <c r="F524" s="134"/>
      <c r="G524" s="134"/>
      <c r="H524" s="134"/>
      <c r="I524" s="134"/>
      <c r="J524" s="134"/>
      <c r="K524" s="134"/>
      <c r="L524" s="134"/>
      <c r="M524" s="134"/>
    </row>
    <row r="525" spans="3:13" ht="12.75">
      <c r="C525" s="134"/>
      <c r="D525" s="134"/>
      <c r="E525" s="134"/>
      <c r="F525" s="134"/>
      <c r="G525" s="134"/>
      <c r="H525" s="134"/>
      <c r="I525" s="134"/>
      <c r="J525" s="134"/>
      <c r="K525" s="134"/>
      <c r="L525" s="134"/>
      <c r="M525" s="134"/>
    </row>
    <row r="526" spans="3:13" ht="12.75">
      <c r="C526" s="134"/>
      <c r="D526" s="134"/>
      <c r="E526" s="134"/>
      <c r="F526" s="134"/>
      <c r="G526" s="134"/>
      <c r="H526" s="134"/>
      <c r="I526" s="134"/>
      <c r="J526" s="134"/>
      <c r="K526" s="134"/>
      <c r="L526" s="134"/>
      <c r="M526" s="134"/>
    </row>
    <row r="527" spans="3:13" ht="12.75">
      <c r="C527" s="134"/>
      <c r="D527" s="134"/>
      <c r="E527" s="134"/>
      <c r="F527" s="134"/>
      <c r="G527" s="134"/>
      <c r="H527" s="134"/>
      <c r="I527" s="134"/>
      <c r="J527" s="134"/>
      <c r="K527" s="134"/>
      <c r="L527" s="134"/>
      <c r="M527" s="134"/>
    </row>
    <row r="528" spans="3:13" ht="12.75">
      <c r="C528" s="134"/>
      <c r="D528" s="134"/>
      <c r="E528" s="134"/>
      <c r="F528" s="134"/>
      <c r="G528" s="134"/>
      <c r="H528" s="134"/>
      <c r="I528" s="134"/>
      <c r="J528" s="134"/>
      <c r="K528" s="134"/>
      <c r="L528" s="134"/>
      <c r="M528" s="134"/>
    </row>
    <row r="529" spans="3:13" ht="12.75">
      <c r="C529" s="134"/>
      <c r="D529" s="134"/>
      <c r="E529" s="134"/>
      <c r="F529" s="134"/>
      <c r="G529" s="134"/>
      <c r="H529" s="134"/>
      <c r="I529" s="134"/>
      <c r="J529" s="134"/>
      <c r="K529" s="134"/>
      <c r="L529" s="134"/>
      <c r="M529" s="134"/>
    </row>
    <row r="530" spans="3:13" ht="12.75">
      <c r="C530" s="134"/>
      <c r="D530" s="134"/>
      <c r="E530" s="134"/>
      <c r="F530" s="134"/>
      <c r="G530" s="134"/>
      <c r="H530" s="134"/>
      <c r="I530" s="134"/>
      <c r="J530" s="134"/>
      <c r="K530" s="134"/>
      <c r="L530" s="134"/>
      <c r="M530" s="134"/>
    </row>
    <row r="531" spans="3:13" ht="12.75">
      <c r="C531" s="134"/>
      <c r="D531" s="134"/>
      <c r="E531" s="134"/>
      <c r="F531" s="134"/>
      <c r="G531" s="134"/>
      <c r="H531" s="134"/>
      <c r="I531" s="134"/>
      <c r="J531" s="134"/>
      <c r="K531" s="134"/>
      <c r="L531" s="134"/>
      <c r="M531" s="134"/>
    </row>
    <row r="532" spans="3:13" ht="12.75">
      <c r="C532" s="134"/>
      <c r="D532" s="134"/>
      <c r="E532" s="134"/>
      <c r="F532" s="134"/>
      <c r="G532" s="134"/>
      <c r="H532" s="134"/>
      <c r="I532" s="134"/>
      <c r="J532" s="134"/>
      <c r="K532" s="134"/>
      <c r="L532" s="134"/>
      <c r="M532" s="134"/>
    </row>
    <row r="533" spans="3:13" ht="12.75">
      <c r="C533" s="134"/>
      <c r="D533" s="134"/>
      <c r="E533" s="134"/>
      <c r="F533" s="134"/>
      <c r="G533" s="134"/>
      <c r="H533" s="134"/>
      <c r="I533" s="134"/>
      <c r="J533" s="134"/>
      <c r="K533" s="134"/>
      <c r="L533" s="134"/>
      <c r="M533" s="134"/>
    </row>
    <row r="534" spans="3:13" ht="12.75">
      <c r="C534" s="134"/>
      <c r="D534" s="134"/>
      <c r="E534" s="134"/>
      <c r="F534" s="134"/>
      <c r="G534" s="134"/>
      <c r="H534" s="134"/>
      <c r="I534" s="134"/>
      <c r="J534" s="134"/>
      <c r="K534" s="134"/>
      <c r="L534" s="134"/>
      <c r="M534" s="134"/>
    </row>
    <row r="535" spans="3:13" ht="12.75">
      <c r="C535" s="134"/>
      <c r="D535" s="134"/>
      <c r="E535" s="134"/>
      <c r="F535" s="134"/>
      <c r="G535" s="134"/>
      <c r="H535" s="134"/>
      <c r="I535" s="134"/>
      <c r="J535" s="134"/>
      <c r="K535" s="134"/>
      <c r="L535" s="134"/>
      <c r="M535" s="134"/>
    </row>
    <row r="536" spans="3:13" ht="12.75">
      <c r="C536" s="134"/>
      <c r="D536" s="134"/>
      <c r="E536" s="134"/>
      <c r="F536" s="134"/>
      <c r="G536" s="134"/>
      <c r="H536" s="134"/>
      <c r="I536" s="134"/>
      <c r="J536" s="134"/>
      <c r="K536" s="134"/>
      <c r="L536" s="134"/>
      <c r="M536" s="134"/>
    </row>
    <row r="537" spans="3:13" ht="12.75">
      <c r="C537" s="134"/>
      <c r="D537" s="134"/>
      <c r="E537" s="134"/>
      <c r="F537" s="134"/>
      <c r="G537" s="134"/>
      <c r="H537" s="134"/>
      <c r="I537" s="134"/>
      <c r="J537" s="134"/>
      <c r="K537" s="134"/>
      <c r="L537" s="134"/>
      <c r="M537" s="134"/>
    </row>
    <row r="538" spans="3:13" ht="12.75">
      <c r="C538" s="134"/>
      <c r="D538" s="134"/>
      <c r="E538" s="134"/>
      <c r="F538" s="134"/>
      <c r="G538" s="134"/>
      <c r="H538" s="134"/>
      <c r="I538" s="134"/>
      <c r="J538" s="134"/>
      <c r="K538" s="134"/>
      <c r="L538" s="134"/>
      <c r="M538" s="134"/>
    </row>
    <row r="539" spans="3:13" ht="12.75">
      <c r="C539" s="134"/>
      <c r="D539" s="134"/>
      <c r="E539" s="134"/>
      <c r="F539" s="134"/>
      <c r="G539" s="134"/>
      <c r="H539" s="134"/>
      <c r="I539" s="134"/>
      <c r="J539" s="134"/>
      <c r="K539" s="134"/>
      <c r="L539" s="134"/>
      <c r="M539" s="134"/>
    </row>
    <row r="540" spans="3:13" ht="12.75">
      <c r="C540" s="134"/>
      <c r="D540" s="134"/>
      <c r="E540" s="134"/>
      <c r="F540" s="134"/>
      <c r="G540" s="134"/>
      <c r="H540" s="134"/>
      <c r="I540" s="134"/>
      <c r="J540" s="134"/>
      <c r="K540" s="134"/>
      <c r="L540" s="134"/>
      <c r="M540" s="134"/>
    </row>
    <row r="541" spans="3:13" ht="12.75">
      <c r="C541" s="134"/>
      <c r="D541" s="134"/>
      <c r="E541" s="134"/>
      <c r="F541" s="134"/>
      <c r="G541" s="134"/>
      <c r="H541" s="134"/>
      <c r="I541" s="134"/>
      <c r="J541" s="134"/>
      <c r="K541" s="134"/>
      <c r="L541" s="134"/>
      <c r="M541" s="134"/>
    </row>
    <row r="542" spans="3:13" ht="12.75">
      <c r="C542" s="134"/>
      <c r="D542" s="134"/>
      <c r="E542" s="134"/>
      <c r="F542" s="134"/>
      <c r="G542" s="134"/>
      <c r="H542" s="134"/>
      <c r="I542" s="134"/>
      <c r="J542" s="134"/>
      <c r="K542" s="134"/>
      <c r="L542" s="134"/>
      <c r="M542" s="134"/>
    </row>
    <row r="543" spans="3:13" ht="12.75">
      <c r="C543" s="134"/>
      <c r="D543" s="134"/>
      <c r="E543" s="134"/>
      <c r="F543" s="134"/>
      <c r="G543" s="134"/>
      <c r="H543" s="134"/>
      <c r="I543" s="134"/>
      <c r="J543" s="134"/>
      <c r="K543" s="134"/>
      <c r="L543" s="134"/>
      <c r="M543" s="134"/>
    </row>
    <row r="544" spans="3:13" ht="12.75">
      <c r="C544" s="134"/>
      <c r="D544" s="134"/>
      <c r="E544" s="134"/>
      <c r="F544" s="134"/>
      <c r="G544" s="134"/>
      <c r="H544" s="134"/>
      <c r="I544" s="134"/>
      <c r="J544" s="134"/>
      <c r="K544" s="134"/>
      <c r="L544" s="134"/>
      <c r="M544" s="134"/>
    </row>
    <row r="545" spans="3:13" ht="12.75">
      <c r="C545" s="134"/>
      <c r="D545" s="134"/>
      <c r="E545" s="134"/>
      <c r="F545" s="134"/>
      <c r="G545" s="134"/>
      <c r="H545" s="134"/>
      <c r="I545" s="134"/>
      <c r="J545" s="134"/>
      <c r="K545" s="134"/>
      <c r="L545" s="134"/>
      <c r="M545" s="134"/>
    </row>
    <row r="546" spans="3:13" ht="12.75">
      <c r="C546" s="134"/>
      <c r="D546" s="134"/>
      <c r="E546" s="134"/>
      <c r="F546" s="134"/>
      <c r="G546" s="134"/>
      <c r="H546" s="134"/>
      <c r="I546" s="134"/>
      <c r="J546" s="134"/>
      <c r="K546" s="134"/>
      <c r="L546" s="134"/>
      <c r="M546" s="134"/>
    </row>
    <row r="547" spans="3:13" ht="12.75">
      <c r="C547" s="134"/>
      <c r="D547" s="134"/>
      <c r="E547" s="134"/>
      <c r="F547" s="134"/>
      <c r="G547" s="134"/>
      <c r="H547" s="134"/>
      <c r="I547" s="134"/>
      <c r="J547" s="134"/>
      <c r="K547" s="134"/>
      <c r="L547" s="134"/>
      <c r="M547" s="134"/>
    </row>
    <row r="548" spans="3:13" ht="12.75">
      <c r="C548" s="134"/>
      <c r="D548" s="134"/>
      <c r="E548" s="134"/>
      <c r="F548" s="134"/>
      <c r="G548" s="134"/>
      <c r="H548" s="134"/>
      <c r="I548" s="134"/>
      <c r="J548" s="134"/>
      <c r="K548" s="134"/>
      <c r="L548" s="134"/>
      <c r="M548" s="134"/>
    </row>
    <row r="549" spans="3:13" ht="12.75">
      <c r="C549" s="134"/>
      <c r="D549" s="134"/>
      <c r="E549" s="134"/>
      <c r="F549" s="134"/>
      <c r="G549" s="134"/>
      <c r="H549" s="134"/>
      <c r="I549" s="134"/>
      <c r="J549" s="134"/>
      <c r="K549" s="134"/>
      <c r="L549" s="134"/>
      <c r="M549" s="134"/>
    </row>
    <row r="550" spans="3:13" ht="12.75">
      <c r="C550" s="134"/>
      <c r="D550" s="134"/>
      <c r="E550" s="134"/>
      <c r="F550" s="134"/>
      <c r="G550" s="134"/>
      <c r="H550" s="134"/>
      <c r="I550" s="134"/>
      <c r="J550" s="134"/>
      <c r="K550" s="134"/>
      <c r="L550" s="134"/>
      <c r="M550" s="134"/>
    </row>
    <row r="551" spans="3:13" ht="12.75">
      <c r="C551" s="134"/>
      <c r="D551" s="134"/>
      <c r="E551" s="134"/>
      <c r="F551" s="134"/>
      <c r="G551" s="134"/>
      <c r="H551" s="134"/>
      <c r="I551" s="134"/>
      <c r="J551" s="134"/>
      <c r="K551" s="134"/>
      <c r="L551" s="134"/>
      <c r="M551" s="134"/>
    </row>
    <row r="552" spans="3:13" ht="12.75">
      <c r="C552" s="134"/>
      <c r="D552" s="134"/>
      <c r="E552" s="134"/>
      <c r="F552" s="134"/>
      <c r="G552" s="134"/>
      <c r="H552" s="134"/>
      <c r="I552" s="134"/>
      <c r="J552" s="134"/>
      <c r="K552" s="134"/>
      <c r="L552" s="134"/>
      <c r="M552" s="134"/>
    </row>
    <row r="553" spans="3:13" ht="12.75">
      <c r="C553" s="134"/>
      <c r="D553" s="134"/>
      <c r="E553" s="134"/>
      <c r="F553" s="134"/>
      <c r="G553" s="134"/>
      <c r="H553" s="134"/>
      <c r="I553" s="134"/>
      <c r="J553" s="134"/>
      <c r="K553" s="134"/>
      <c r="L553" s="134"/>
      <c r="M553" s="134"/>
    </row>
    <row r="554" spans="3:13" ht="12.75">
      <c r="C554" s="134"/>
      <c r="D554" s="134"/>
      <c r="E554" s="134"/>
      <c r="F554" s="134"/>
      <c r="G554" s="134"/>
      <c r="H554" s="134"/>
      <c r="I554" s="134"/>
      <c r="J554" s="134"/>
      <c r="K554" s="134"/>
      <c r="L554" s="134"/>
      <c r="M554" s="134"/>
    </row>
    <row r="555" spans="3:13" ht="12.75">
      <c r="C555" s="134"/>
      <c r="D555" s="134"/>
      <c r="E555" s="134"/>
      <c r="F555" s="134"/>
      <c r="G555" s="134"/>
      <c r="H555" s="134"/>
      <c r="I555" s="134"/>
      <c r="J555" s="134"/>
      <c r="K555" s="134"/>
      <c r="L555" s="134"/>
      <c r="M555" s="134"/>
    </row>
    <row r="556" spans="3:13" ht="12.75">
      <c r="C556" s="134"/>
      <c r="D556" s="134"/>
      <c r="E556" s="134"/>
      <c r="F556" s="134"/>
      <c r="G556" s="134"/>
      <c r="H556" s="134"/>
      <c r="I556" s="134"/>
      <c r="J556" s="134"/>
      <c r="K556" s="134"/>
      <c r="L556" s="134"/>
      <c r="M556" s="134"/>
    </row>
    <row r="557" spans="3:13" ht="12.75">
      <c r="C557" s="134"/>
      <c r="D557" s="134"/>
      <c r="E557" s="134"/>
      <c r="F557" s="134"/>
      <c r="G557" s="134"/>
      <c r="H557" s="134"/>
      <c r="I557" s="134"/>
      <c r="J557" s="134"/>
      <c r="K557" s="134"/>
      <c r="L557" s="134"/>
      <c r="M557" s="134"/>
    </row>
    <row r="558" spans="3:13" ht="12.75">
      <c r="C558" s="134"/>
      <c r="D558" s="134"/>
      <c r="E558" s="134"/>
      <c r="F558" s="134"/>
      <c r="G558" s="134"/>
      <c r="H558" s="134"/>
      <c r="I558" s="134"/>
      <c r="J558" s="134"/>
      <c r="K558" s="134"/>
      <c r="L558" s="134"/>
      <c r="M558" s="134"/>
    </row>
    <row r="559" spans="3:13" ht="12.75">
      <c r="C559" s="134"/>
      <c r="D559" s="134"/>
      <c r="E559" s="134"/>
      <c r="F559" s="134"/>
      <c r="G559" s="134"/>
      <c r="H559" s="134"/>
      <c r="I559" s="134"/>
      <c r="J559" s="134"/>
      <c r="K559" s="134"/>
      <c r="L559" s="134"/>
      <c r="M559" s="134"/>
    </row>
    <row r="560" spans="3:13" ht="12.75">
      <c r="C560" s="134"/>
      <c r="D560" s="134"/>
      <c r="E560" s="134"/>
      <c r="F560" s="134"/>
      <c r="G560" s="134"/>
      <c r="H560" s="134"/>
      <c r="I560" s="134"/>
      <c r="J560" s="134"/>
      <c r="K560" s="134"/>
      <c r="L560" s="134"/>
      <c r="M560" s="134"/>
    </row>
    <row r="561" spans="3:13" ht="12.75">
      <c r="C561" s="134"/>
      <c r="D561" s="134"/>
      <c r="E561" s="134"/>
      <c r="F561" s="134"/>
      <c r="G561" s="134"/>
      <c r="H561" s="134"/>
      <c r="I561" s="134"/>
      <c r="J561" s="134"/>
      <c r="K561" s="134"/>
      <c r="L561" s="134"/>
      <c r="M561" s="134"/>
    </row>
    <row r="562" spans="3:13" ht="12.75">
      <c r="C562" s="134"/>
      <c r="D562" s="134"/>
      <c r="E562" s="134"/>
      <c r="F562" s="134"/>
      <c r="G562" s="134"/>
      <c r="H562" s="134"/>
      <c r="I562" s="134"/>
      <c r="J562" s="134"/>
      <c r="K562" s="134"/>
      <c r="L562" s="134"/>
      <c r="M562" s="134"/>
    </row>
    <row r="563" spans="3:13" ht="12.75">
      <c r="C563" s="134"/>
      <c r="D563" s="134"/>
      <c r="E563" s="134"/>
      <c r="F563" s="134"/>
      <c r="G563" s="134"/>
      <c r="H563" s="134"/>
      <c r="I563" s="134"/>
      <c r="J563" s="134"/>
      <c r="K563" s="134"/>
      <c r="L563" s="134"/>
      <c r="M563" s="134"/>
    </row>
    <row r="564" spans="3:13" ht="12.75">
      <c r="C564" s="134"/>
      <c r="D564" s="134"/>
      <c r="E564" s="134"/>
      <c r="F564" s="134"/>
      <c r="G564" s="134"/>
      <c r="H564" s="134"/>
      <c r="I564" s="134"/>
      <c r="J564" s="134"/>
      <c r="K564" s="134"/>
      <c r="L564" s="134"/>
      <c r="M564" s="134"/>
    </row>
    <row r="565" spans="3:13" ht="12.75">
      <c r="C565" s="134"/>
      <c r="D565" s="134"/>
      <c r="E565" s="134"/>
      <c r="F565" s="134"/>
      <c r="G565" s="134"/>
      <c r="H565" s="134"/>
      <c r="I565" s="134"/>
      <c r="J565" s="134"/>
      <c r="K565" s="134"/>
      <c r="L565" s="134"/>
      <c r="M565" s="134"/>
    </row>
    <row r="566" spans="3:13" ht="12.75">
      <c r="C566" s="134"/>
      <c r="D566" s="134"/>
      <c r="E566" s="134"/>
      <c r="F566" s="134"/>
      <c r="G566" s="134"/>
      <c r="H566" s="134"/>
      <c r="I566" s="134"/>
      <c r="J566" s="134"/>
      <c r="K566" s="134"/>
      <c r="L566" s="134"/>
      <c r="M566" s="134"/>
    </row>
    <row r="567" spans="3:13" ht="12.75">
      <c r="C567" s="134"/>
      <c r="D567" s="134"/>
      <c r="E567" s="134"/>
      <c r="F567" s="134"/>
      <c r="G567" s="134"/>
      <c r="H567" s="134"/>
      <c r="I567" s="134"/>
      <c r="J567" s="134"/>
      <c r="K567" s="134"/>
      <c r="L567" s="134"/>
      <c r="M567" s="134"/>
    </row>
    <row r="568" spans="3:13" ht="12.75">
      <c r="C568" s="134"/>
      <c r="D568" s="134"/>
      <c r="E568" s="134"/>
      <c r="F568" s="134"/>
      <c r="G568" s="134"/>
      <c r="H568" s="134"/>
      <c r="I568" s="134"/>
      <c r="J568" s="134"/>
      <c r="K568" s="134"/>
      <c r="L568" s="134"/>
      <c r="M568" s="134"/>
    </row>
    <row r="569" spans="3:13" ht="12.75">
      <c r="C569" s="134"/>
      <c r="D569" s="134"/>
      <c r="E569" s="134"/>
      <c r="F569" s="134"/>
      <c r="G569" s="134"/>
      <c r="H569" s="134"/>
      <c r="I569" s="134"/>
      <c r="J569" s="134"/>
      <c r="K569" s="134"/>
      <c r="L569" s="134"/>
      <c r="M569" s="134"/>
    </row>
    <row r="570" spans="3:13" ht="12.75">
      <c r="C570" s="134"/>
      <c r="D570" s="134"/>
      <c r="E570" s="134"/>
      <c r="F570" s="134"/>
      <c r="G570" s="134"/>
      <c r="H570" s="134"/>
      <c r="I570" s="134"/>
      <c r="J570" s="134"/>
      <c r="K570" s="134"/>
      <c r="L570" s="134"/>
      <c r="M570" s="134"/>
    </row>
    <row r="571" spans="3:13" ht="12.75">
      <c r="C571" s="134"/>
      <c r="D571" s="134"/>
      <c r="E571" s="134"/>
      <c r="F571" s="134"/>
      <c r="G571" s="134"/>
      <c r="H571" s="134"/>
      <c r="I571" s="134"/>
      <c r="J571" s="134"/>
      <c r="K571" s="134"/>
      <c r="L571" s="134"/>
      <c r="M571" s="134"/>
    </row>
    <row r="572" spans="3:13" ht="12.75">
      <c r="C572" s="134"/>
      <c r="D572" s="134"/>
      <c r="E572" s="134"/>
      <c r="F572" s="134"/>
      <c r="G572" s="134"/>
      <c r="H572" s="134"/>
      <c r="I572" s="134"/>
      <c r="J572" s="134"/>
      <c r="K572" s="134"/>
      <c r="L572" s="134"/>
      <c r="M572" s="134"/>
    </row>
    <row r="573" spans="3:13" ht="12.75">
      <c r="C573" s="134"/>
      <c r="D573" s="134"/>
      <c r="E573" s="134"/>
      <c r="F573" s="134"/>
      <c r="G573" s="134"/>
      <c r="H573" s="134"/>
      <c r="I573" s="134"/>
      <c r="J573" s="134"/>
      <c r="K573" s="134"/>
      <c r="L573" s="134"/>
      <c r="M573" s="134"/>
    </row>
    <row r="574" spans="3:13" ht="12.75">
      <c r="C574" s="134"/>
      <c r="D574" s="134"/>
      <c r="E574" s="134"/>
      <c r="F574" s="134"/>
      <c r="G574" s="134"/>
      <c r="H574" s="134"/>
      <c r="I574" s="134"/>
      <c r="J574" s="134"/>
      <c r="K574" s="134"/>
      <c r="L574" s="134"/>
      <c r="M574" s="134"/>
    </row>
    <row r="575" spans="3:13" ht="12.75">
      <c r="C575" s="134"/>
      <c r="D575" s="134"/>
      <c r="E575" s="134"/>
      <c r="F575" s="134"/>
      <c r="G575" s="134"/>
      <c r="H575" s="134"/>
      <c r="I575" s="134"/>
      <c r="J575" s="134"/>
      <c r="K575" s="134"/>
      <c r="L575" s="134"/>
      <c r="M575" s="134"/>
    </row>
    <row r="576" spans="3:13" ht="12.75">
      <c r="C576" s="134"/>
      <c r="D576" s="134"/>
      <c r="E576" s="134"/>
      <c r="F576" s="134"/>
      <c r="G576" s="134"/>
      <c r="H576" s="134"/>
      <c r="I576" s="134"/>
      <c r="J576" s="134"/>
      <c r="K576" s="134"/>
      <c r="L576" s="134"/>
      <c r="M576" s="134"/>
    </row>
    <row r="577" spans="3:13" ht="12.75">
      <c r="C577" s="134"/>
      <c r="D577" s="134"/>
      <c r="E577" s="134"/>
      <c r="F577" s="134"/>
      <c r="G577" s="134"/>
      <c r="H577" s="134"/>
      <c r="I577" s="134"/>
      <c r="J577" s="134"/>
      <c r="K577" s="134"/>
      <c r="L577" s="134"/>
      <c r="M577" s="134"/>
    </row>
    <row r="578" spans="3:13" ht="12.75">
      <c r="C578" s="134"/>
      <c r="D578" s="134"/>
      <c r="E578" s="134"/>
      <c r="F578" s="134"/>
      <c r="G578" s="134"/>
      <c r="H578" s="134"/>
      <c r="I578" s="134"/>
      <c r="J578" s="134"/>
      <c r="K578" s="134"/>
      <c r="L578" s="134"/>
      <c r="M578" s="134"/>
    </row>
    <row r="579" spans="3:13" ht="12.75">
      <c r="C579" s="134"/>
      <c r="D579" s="134"/>
      <c r="E579" s="134"/>
      <c r="F579" s="134"/>
      <c r="G579" s="134"/>
      <c r="H579" s="134"/>
      <c r="I579" s="134"/>
      <c r="J579" s="134"/>
      <c r="K579" s="134"/>
      <c r="L579" s="134"/>
      <c r="M579" s="134"/>
    </row>
    <row r="580" spans="3:13" ht="12.75">
      <c r="C580" s="134"/>
      <c r="D580" s="134"/>
      <c r="E580" s="134"/>
      <c r="F580" s="134"/>
      <c r="G580" s="134"/>
      <c r="H580" s="134"/>
      <c r="I580" s="134"/>
      <c r="J580" s="134"/>
      <c r="K580" s="134"/>
      <c r="L580" s="134"/>
      <c r="M580" s="134"/>
    </row>
    <row r="581" spans="3:13" ht="12.75">
      <c r="C581" s="134"/>
      <c r="D581" s="134"/>
      <c r="E581" s="134"/>
      <c r="F581" s="134"/>
      <c r="G581" s="134"/>
      <c r="H581" s="134"/>
      <c r="I581" s="134"/>
      <c r="J581" s="134"/>
      <c r="K581" s="134"/>
      <c r="L581" s="134"/>
      <c r="M581" s="134"/>
    </row>
    <row r="582" spans="3:13" ht="12.75">
      <c r="C582" s="134"/>
      <c r="D582" s="134"/>
      <c r="E582" s="134"/>
      <c r="F582" s="134"/>
      <c r="G582" s="134"/>
      <c r="H582" s="134"/>
      <c r="I582" s="134"/>
      <c r="J582" s="134"/>
      <c r="K582" s="134"/>
      <c r="L582" s="134"/>
      <c r="M582" s="134"/>
    </row>
    <row r="583" spans="3:13" ht="12.75">
      <c r="C583" s="134"/>
      <c r="D583" s="134"/>
      <c r="E583" s="134"/>
      <c r="F583" s="134"/>
      <c r="G583" s="134"/>
      <c r="H583" s="134"/>
      <c r="I583" s="134"/>
      <c r="J583" s="134"/>
      <c r="K583" s="134"/>
      <c r="L583" s="134"/>
      <c r="M583" s="134"/>
    </row>
    <row r="584" spans="3:13" ht="12.75">
      <c r="C584" s="134"/>
      <c r="D584" s="134"/>
      <c r="E584" s="134"/>
      <c r="F584" s="134"/>
      <c r="G584" s="134"/>
      <c r="H584" s="134"/>
      <c r="I584" s="134"/>
      <c r="J584" s="134"/>
      <c r="K584" s="134"/>
      <c r="L584" s="134"/>
      <c r="M584" s="134"/>
    </row>
    <row r="585" spans="3:13" ht="12.75">
      <c r="C585" s="134"/>
      <c r="D585" s="134"/>
      <c r="E585" s="134"/>
      <c r="F585" s="134"/>
      <c r="G585" s="134"/>
      <c r="H585" s="134"/>
      <c r="I585" s="134"/>
      <c r="J585" s="134"/>
      <c r="K585" s="134"/>
      <c r="L585" s="134"/>
      <c r="M585" s="134"/>
    </row>
    <row r="586" spans="3:13" ht="12.75">
      <c r="C586" s="134"/>
      <c r="D586" s="134"/>
      <c r="E586" s="134"/>
      <c r="F586" s="134"/>
      <c r="G586" s="134"/>
      <c r="H586" s="134"/>
      <c r="I586" s="134"/>
      <c r="J586" s="134"/>
      <c r="K586" s="134"/>
      <c r="L586" s="134"/>
      <c r="M586" s="134"/>
    </row>
    <row r="587" spans="3:13" ht="12.75">
      <c r="C587" s="134"/>
      <c r="D587" s="134"/>
      <c r="E587" s="134"/>
      <c r="F587" s="134"/>
      <c r="G587" s="134"/>
      <c r="H587" s="134"/>
      <c r="I587" s="134"/>
      <c r="J587" s="134"/>
      <c r="K587" s="134"/>
      <c r="L587" s="134"/>
      <c r="M587" s="134"/>
    </row>
    <row r="588" spans="3:13" ht="12.75">
      <c r="C588" s="134"/>
      <c r="D588" s="134"/>
      <c r="E588" s="134"/>
      <c r="F588" s="134"/>
      <c r="G588" s="134"/>
      <c r="H588" s="134"/>
      <c r="I588" s="134"/>
      <c r="J588" s="134"/>
      <c r="K588" s="134"/>
      <c r="L588" s="134"/>
      <c r="M588" s="134"/>
    </row>
    <row r="589" spans="3:13" ht="12.75">
      <c r="C589" s="134"/>
      <c r="D589" s="134"/>
      <c r="E589" s="134"/>
      <c r="F589" s="134"/>
      <c r="G589" s="134"/>
      <c r="H589" s="134"/>
      <c r="I589" s="134"/>
      <c r="J589" s="134"/>
      <c r="K589" s="134"/>
      <c r="L589" s="134"/>
      <c r="M589" s="134"/>
    </row>
    <row r="590" spans="3:13" ht="12.75">
      <c r="C590" s="134"/>
      <c r="D590" s="134"/>
      <c r="E590" s="134"/>
      <c r="F590" s="134"/>
      <c r="G590" s="134"/>
      <c r="H590" s="134"/>
      <c r="I590" s="134"/>
      <c r="J590" s="134"/>
      <c r="K590" s="134"/>
      <c r="L590" s="134"/>
      <c r="M590" s="134"/>
    </row>
    <row r="591" spans="3:13" ht="12.75">
      <c r="C591" s="134"/>
      <c r="D591" s="134"/>
      <c r="E591" s="134"/>
      <c r="F591" s="134"/>
      <c r="G591" s="134"/>
      <c r="H591" s="134"/>
      <c r="I591" s="134"/>
      <c r="J591" s="134"/>
      <c r="K591" s="134"/>
      <c r="L591" s="134"/>
      <c r="M591" s="134"/>
    </row>
    <row r="592" spans="3:13" ht="12.75">
      <c r="C592" s="134"/>
      <c r="D592" s="134"/>
      <c r="E592" s="134"/>
      <c r="F592" s="134"/>
      <c r="G592" s="134"/>
      <c r="H592" s="134"/>
      <c r="I592" s="134"/>
      <c r="J592" s="134"/>
      <c r="K592" s="134"/>
      <c r="L592" s="134"/>
      <c r="M592" s="134"/>
    </row>
    <row r="593" spans="3:13" ht="12.75">
      <c r="C593" s="134"/>
      <c r="D593" s="134"/>
      <c r="E593" s="134"/>
      <c r="F593" s="134"/>
      <c r="G593" s="134"/>
      <c r="H593" s="134"/>
      <c r="I593" s="134"/>
      <c r="J593" s="134"/>
      <c r="K593" s="134"/>
      <c r="L593" s="134"/>
      <c r="M593" s="134"/>
    </row>
    <row r="594" spans="3:13" ht="12.75">
      <c r="C594" s="134"/>
      <c r="D594" s="134"/>
      <c r="E594" s="134"/>
      <c r="F594" s="134"/>
      <c r="G594" s="134"/>
      <c r="H594" s="134"/>
      <c r="I594" s="134"/>
      <c r="J594" s="134"/>
      <c r="K594" s="134"/>
      <c r="L594" s="134"/>
      <c r="M594" s="134"/>
    </row>
    <row r="595" spans="3:13" ht="12.75">
      <c r="C595" s="134"/>
      <c r="D595" s="134"/>
      <c r="E595" s="134"/>
      <c r="F595" s="134"/>
      <c r="G595" s="134"/>
      <c r="H595" s="134"/>
      <c r="I595" s="134"/>
      <c r="J595" s="134"/>
      <c r="K595" s="134"/>
      <c r="L595" s="134"/>
      <c r="M595" s="134"/>
    </row>
    <row r="596" spans="3:13" ht="12.75">
      <c r="C596" s="134"/>
      <c r="D596" s="134"/>
      <c r="E596" s="134"/>
      <c r="F596" s="134"/>
      <c r="G596" s="134"/>
      <c r="H596" s="134"/>
      <c r="I596" s="134"/>
      <c r="J596" s="134"/>
      <c r="K596" s="134"/>
      <c r="L596" s="134"/>
      <c r="M596" s="134"/>
    </row>
    <row r="597" spans="3:13" ht="12.75">
      <c r="C597" s="134"/>
      <c r="D597" s="134"/>
      <c r="E597" s="134"/>
      <c r="F597" s="134"/>
      <c r="G597" s="134"/>
      <c r="H597" s="134"/>
      <c r="I597" s="134"/>
      <c r="J597" s="134"/>
      <c r="K597" s="134"/>
      <c r="L597" s="134"/>
      <c r="M597" s="134"/>
    </row>
    <row r="598" spans="3:13" ht="12.75">
      <c r="C598" s="134"/>
      <c r="D598" s="134"/>
      <c r="E598" s="134"/>
      <c r="F598" s="134"/>
      <c r="G598" s="134"/>
      <c r="H598" s="134"/>
      <c r="I598" s="134"/>
      <c r="J598" s="134"/>
      <c r="K598" s="134"/>
      <c r="L598" s="134"/>
      <c r="M598" s="134"/>
    </row>
    <row r="599" spans="3:13" ht="12.75">
      <c r="C599" s="134"/>
      <c r="D599" s="134"/>
      <c r="E599" s="134"/>
      <c r="F599" s="134"/>
      <c r="G599" s="134"/>
      <c r="H599" s="134"/>
      <c r="I599" s="134"/>
      <c r="J599" s="134"/>
      <c r="K599" s="134"/>
      <c r="L599" s="134"/>
      <c r="M599" s="134"/>
    </row>
    <row r="600" spans="3:13" ht="12.75">
      <c r="C600" s="134"/>
      <c r="D600" s="134"/>
      <c r="E600" s="134"/>
      <c r="F600" s="134"/>
      <c r="G600" s="134"/>
      <c r="H600" s="134"/>
      <c r="I600" s="134"/>
      <c r="J600" s="134"/>
      <c r="K600" s="134"/>
      <c r="L600" s="134"/>
      <c r="M600" s="134"/>
    </row>
    <row r="601" spans="3:13" ht="12.75">
      <c r="C601" s="134"/>
      <c r="D601" s="134"/>
      <c r="E601" s="134"/>
      <c r="F601" s="134"/>
      <c r="G601" s="134"/>
      <c r="H601" s="134"/>
      <c r="I601" s="134"/>
      <c r="J601" s="134"/>
      <c r="K601" s="134"/>
      <c r="L601" s="134"/>
      <c r="M601" s="134"/>
    </row>
    <row r="602" spans="3:13" ht="12.75">
      <c r="C602" s="134"/>
      <c r="D602" s="134"/>
      <c r="E602" s="134"/>
      <c r="F602" s="134"/>
      <c r="G602" s="134"/>
      <c r="H602" s="134"/>
      <c r="I602" s="134"/>
      <c r="J602" s="134"/>
      <c r="K602" s="134"/>
      <c r="L602" s="134"/>
      <c r="M602" s="134"/>
    </row>
    <row r="603" spans="3:13" ht="12.75">
      <c r="C603" s="134"/>
      <c r="D603" s="134"/>
      <c r="E603" s="134"/>
      <c r="F603" s="134"/>
      <c r="G603" s="134"/>
      <c r="H603" s="134"/>
      <c r="I603" s="134"/>
      <c r="J603" s="134"/>
      <c r="K603" s="134"/>
      <c r="L603" s="134"/>
      <c r="M603" s="134"/>
    </row>
    <row r="604" spans="3:13" ht="12.75">
      <c r="C604" s="134"/>
      <c r="D604" s="134"/>
      <c r="E604" s="134"/>
      <c r="F604" s="134"/>
      <c r="G604" s="134"/>
      <c r="H604" s="134"/>
      <c r="I604" s="134"/>
      <c r="J604" s="134"/>
      <c r="K604" s="134"/>
      <c r="L604" s="134"/>
      <c r="M604" s="134"/>
    </row>
    <row r="605" spans="3:13" ht="12.75">
      <c r="C605" s="134"/>
      <c r="D605" s="134"/>
      <c r="E605" s="134"/>
      <c r="F605" s="134"/>
      <c r="G605" s="134"/>
      <c r="H605" s="134"/>
      <c r="I605" s="134"/>
      <c r="J605" s="134"/>
      <c r="K605" s="134"/>
      <c r="L605" s="134"/>
      <c r="M605" s="134"/>
    </row>
    <row r="606" spans="3:13" ht="12.75">
      <c r="C606" s="134"/>
      <c r="D606" s="134"/>
      <c r="E606" s="134"/>
      <c r="F606" s="134"/>
      <c r="G606" s="134"/>
      <c r="H606" s="134"/>
      <c r="I606" s="134"/>
      <c r="J606" s="134"/>
      <c r="K606" s="134"/>
      <c r="L606" s="134"/>
      <c r="M606" s="134"/>
    </row>
    <row r="607" spans="3:13" ht="12.75">
      <c r="C607" s="134"/>
      <c r="D607" s="134"/>
      <c r="E607" s="134"/>
      <c r="F607" s="134"/>
      <c r="G607" s="134"/>
      <c r="H607" s="134"/>
      <c r="I607" s="134"/>
      <c r="J607" s="134"/>
      <c r="K607" s="134"/>
      <c r="L607" s="134"/>
      <c r="M607" s="134"/>
    </row>
    <row r="608" spans="3:13" ht="12.75">
      <c r="C608" s="134"/>
      <c r="D608" s="134"/>
      <c r="E608" s="134"/>
      <c r="F608" s="134"/>
      <c r="G608" s="134"/>
      <c r="H608" s="134"/>
      <c r="I608" s="134"/>
      <c r="J608" s="134"/>
      <c r="K608" s="134"/>
      <c r="L608" s="134"/>
      <c r="M608" s="134"/>
    </row>
    <row r="609" spans="3:13" ht="12.75">
      <c r="C609" s="134"/>
      <c r="D609" s="134"/>
      <c r="E609" s="134"/>
      <c r="F609" s="134"/>
      <c r="G609" s="134"/>
      <c r="H609" s="134"/>
      <c r="I609" s="134"/>
      <c r="J609" s="134"/>
      <c r="K609" s="134"/>
      <c r="L609" s="134"/>
      <c r="M609" s="134"/>
    </row>
    <row r="610" spans="3:13" ht="12.75">
      <c r="C610" s="134"/>
      <c r="D610" s="134"/>
      <c r="E610" s="134"/>
      <c r="F610" s="134"/>
      <c r="G610" s="134"/>
      <c r="H610" s="134"/>
      <c r="I610" s="134"/>
      <c r="J610" s="134"/>
      <c r="K610" s="134"/>
      <c r="L610" s="134"/>
      <c r="M610" s="134"/>
    </row>
    <row r="611" spans="3:13" ht="12.75">
      <c r="C611" s="134"/>
      <c r="D611" s="134"/>
      <c r="E611" s="134"/>
      <c r="F611" s="134"/>
      <c r="G611" s="134"/>
      <c r="H611" s="134"/>
      <c r="I611" s="134"/>
      <c r="J611" s="134"/>
      <c r="K611" s="134"/>
      <c r="L611" s="134"/>
      <c r="M611" s="134"/>
    </row>
    <row r="612" spans="3:13" ht="12.75">
      <c r="C612" s="134"/>
      <c r="D612" s="134"/>
      <c r="E612" s="134"/>
      <c r="F612" s="134"/>
      <c r="G612" s="134"/>
      <c r="H612" s="134"/>
      <c r="I612" s="134"/>
      <c r="J612" s="134"/>
      <c r="K612" s="134"/>
      <c r="L612" s="134"/>
      <c r="M612" s="134"/>
    </row>
    <row r="613" spans="3:13" ht="12.75">
      <c r="C613" s="134"/>
      <c r="D613" s="134"/>
      <c r="E613" s="134"/>
      <c r="F613" s="134"/>
      <c r="G613" s="134"/>
      <c r="H613" s="134"/>
      <c r="I613" s="134"/>
      <c r="J613" s="134"/>
      <c r="K613" s="134"/>
      <c r="L613" s="134"/>
      <c r="M613" s="134"/>
    </row>
    <row r="614" spans="3:13" ht="12.75">
      <c r="C614" s="134"/>
      <c r="D614" s="134"/>
      <c r="E614" s="134"/>
      <c r="F614" s="134"/>
      <c r="G614" s="134"/>
      <c r="H614" s="134"/>
      <c r="I614" s="134"/>
      <c r="J614" s="134"/>
      <c r="K614" s="134"/>
      <c r="L614" s="134"/>
      <c r="M614" s="134"/>
    </row>
    <row r="615" spans="3:13" ht="12.75">
      <c r="C615" s="134"/>
      <c r="D615" s="134"/>
      <c r="E615" s="134"/>
      <c r="F615" s="134"/>
      <c r="G615" s="134"/>
      <c r="H615" s="134"/>
      <c r="I615" s="134"/>
      <c r="J615" s="134"/>
      <c r="K615" s="134"/>
      <c r="L615" s="134"/>
      <c r="M615" s="134"/>
    </row>
    <row r="616" spans="3:13" ht="12.75">
      <c r="C616" s="134"/>
      <c r="D616" s="134"/>
      <c r="E616" s="134"/>
      <c r="F616" s="134"/>
      <c r="G616" s="134"/>
      <c r="H616" s="134"/>
      <c r="I616" s="134"/>
      <c r="J616" s="134"/>
      <c r="K616" s="134"/>
      <c r="L616" s="134"/>
      <c r="M616" s="134"/>
    </row>
    <row r="617" spans="3:13" ht="12.75">
      <c r="C617" s="134"/>
      <c r="D617" s="134"/>
      <c r="E617" s="134"/>
      <c r="F617" s="134"/>
      <c r="G617" s="134"/>
      <c r="H617" s="134"/>
      <c r="I617" s="134"/>
      <c r="J617" s="134"/>
      <c r="K617" s="134"/>
      <c r="L617" s="134"/>
      <c r="M617" s="134"/>
    </row>
    <row r="618" spans="3:13" ht="12.75">
      <c r="C618" s="134"/>
      <c r="D618" s="134"/>
      <c r="E618" s="134"/>
      <c r="F618" s="134"/>
      <c r="G618" s="134"/>
      <c r="H618" s="134"/>
      <c r="I618" s="134"/>
      <c r="J618" s="134"/>
      <c r="K618" s="134"/>
      <c r="L618" s="134"/>
      <c r="M618" s="134"/>
    </row>
    <row r="619" spans="3:13" ht="12.75">
      <c r="C619" s="134"/>
      <c r="D619" s="134"/>
      <c r="E619" s="134"/>
      <c r="F619" s="134"/>
      <c r="G619" s="134"/>
      <c r="H619" s="134"/>
      <c r="I619" s="134"/>
      <c r="J619" s="134"/>
      <c r="K619" s="134"/>
      <c r="L619" s="134"/>
      <c r="M619" s="134"/>
    </row>
    <row r="620" spans="3:13" ht="12.75">
      <c r="C620" s="134"/>
      <c r="D620" s="134"/>
      <c r="E620" s="134"/>
      <c r="F620" s="134"/>
      <c r="G620" s="134"/>
      <c r="H620" s="134"/>
      <c r="I620" s="134"/>
      <c r="J620" s="134"/>
      <c r="K620" s="134"/>
      <c r="L620" s="134"/>
      <c r="M620" s="134"/>
    </row>
    <row r="621" spans="3:13" ht="12.75">
      <c r="C621" s="134"/>
      <c r="D621" s="134"/>
      <c r="E621" s="134"/>
      <c r="F621" s="134"/>
      <c r="G621" s="134"/>
      <c r="H621" s="134"/>
      <c r="I621" s="134"/>
      <c r="J621" s="134"/>
      <c r="K621" s="134"/>
      <c r="L621" s="134"/>
      <c r="M621" s="134"/>
    </row>
    <row r="622" spans="3:13" ht="12.75">
      <c r="C622" s="134"/>
      <c r="D622" s="134"/>
      <c r="E622" s="134"/>
      <c r="F622" s="134"/>
      <c r="G622" s="134"/>
      <c r="H622" s="134"/>
      <c r="I622" s="134"/>
      <c r="J622" s="134"/>
      <c r="K622" s="134"/>
      <c r="L622" s="134"/>
      <c r="M622" s="134"/>
    </row>
    <row r="623" spans="3:13" ht="12.75">
      <c r="C623" s="134"/>
      <c r="D623" s="134"/>
      <c r="E623" s="134"/>
      <c r="F623" s="134"/>
      <c r="G623" s="134"/>
      <c r="H623" s="134"/>
      <c r="I623" s="134"/>
      <c r="J623" s="134"/>
      <c r="K623" s="134"/>
      <c r="L623" s="134"/>
      <c r="M623" s="134"/>
    </row>
    <row r="624" spans="3:13" ht="12.75">
      <c r="C624" s="134"/>
      <c r="D624" s="134"/>
      <c r="E624" s="134"/>
      <c r="F624" s="134"/>
      <c r="G624" s="134"/>
      <c r="H624" s="134"/>
      <c r="I624" s="134"/>
      <c r="J624" s="134"/>
      <c r="K624" s="134"/>
      <c r="L624" s="134"/>
      <c r="M624" s="134"/>
    </row>
    <row r="625" spans="3:13" ht="12.75">
      <c r="C625" s="134"/>
      <c r="D625" s="134"/>
      <c r="E625" s="134"/>
      <c r="F625" s="134"/>
      <c r="G625" s="134"/>
      <c r="H625" s="134"/>
      <c r="I625" s="134"/>
      <c r="J625" s="134"/>
      <c r="K625" s="134"/>
      <c r="L625" s="134"/>
      <c r="M625" s="134"/>
    </row>
    <row r="626" spans="3:13" ht="12.75">
      <c r="C626" s="134"/>
      <c r="D626" s="134"/>
      <c r="E626" s="134"/>
      <c r="F626" s="134"/>
      <c r="G626" s="134"/>
      <c r="H626" s="134"/>
      <c r="I626" s="134"/>
      <c r="J626" s="134"/>
      <c r="K626" s="134"/>
      <c r="L626" s="134"/>
      <c r="M626" s="134"/>
    </row>
    <row r="627" spans="3:13" ht="12.75">
      <c r="C627" s="134"/>
      <c r="D627" s="134"/>
      <c r="E627" s="134"/>
      <c r="F627" s="134"/>
      <c r="G627" s="134"/>
      <c r="H627" s="134"/>
      <c r="I627" s="134"/>
      <c r="J627" s="134"/>
      <c r="K627" s="134"/>
      <c r="L627" s="134"/>
      <c r="M627" s="134"/>
    </row>
    <row r="628" spans="3:13" ht="12.75">
      <c r="C628" s="134"/>
      <c r="D628" s="134"/>
      <c r="E628" s="134"/>
      <c r="F628" s="134"/>
      <c r="G628" s="134"/>
      <c r="H628" s="134"/>
      <c r="I628" s="134"/>
      <c r="J628" s="134"/>
      <c r="K628" s="134"/>
      <c r="L628" s="134"/>
      <c r="M628" s="134"/>
    </row>
    <row r="629" spans="3:13" ht="12.75">
      <c r="C629" s="134"/>
      <c r="D629" s="134"/>
      <c r="E629" s="134"/>
      <c r="F629" s="134"/>
      <c r="G629" s="134"/>
      <c r="H629" s="134"/>
      <c r="I629" s="134"/>
      <c r="J629" s="134"/>
      <c r="K629" s="134"/>
      <c r="L629" s="134"/>
      <c r="M629" s="134"/>
    </row>
    <row r="630" spans="3:13" ht="12.75">
      <c r="C630" s="134"/>
      <c r="D630" s="134"/>
      <c r="E630" s="134"/>
      <c r="F630" s="134"/>
      <c r="G630" s="134"/>
      <c r="H630" s="134"/>
      <c r="I630" s="134"/>
      <c r="J630" s="134"/>
      <c r="K630" s="134"/>
      <c r="L630" s="134"/>
      <c r="M630" s="134"/>
    </row>
    <row r="631" spans="3:13" ht="12.75">
      <c r="C631" s="134"/>
      <c r="D631" s="134"/>
      <c r="E631" s="134"/>
      <c r="F631" s="134"/>
      <c r="G631" s="134"/>
      <c r="H631" s="134"/>
      <c r="I631" s="134"/>
      <c r="J631" s="134"/>
      <c r="K631" s="134"/>
      <c r="L631" s="134"/>
      <c r="M631" s="134"/>
    </row>
    <row r="632" spans="3:13" ht="12.75">
      <c r="C632" s="134"/>
      <c r="D632" s="134"/>
      <c r="E632" s="134"/>
      <c r="F632" s="134"/>
      <c r="G632" s="134"/>
      <c r="H632" s="134"/>
      <c r="I632" s="134"/>
      <c r="J632" s="134"/>
      <c r="K632" s="134"/>
      <c r="L632" s="134"/>
      <c r="M632" s="134"/>
    </row>
    <row r="633" spans="3:13" ht="12.75">
      <c r="C633" s="134"/>
      <c r="D633" s="134"/>
      <c r="E633" s="134"/>
      <c r="F633" s="134"/>
      <c r="G633" s="134"/>
      <c r="H633" s="134"/>
      <c r="I633" s="134"/>
      <c r="J633" s="134"/>
      <c r="K633" s="134"/>
      <c r="L633" s="134"/>
      <c r="M633" s="134"/>
    </row>
    <row r="634" spans="3:13" ht="12.75">
      <c r="C634" s="134"/>
      <c r="D634" s="134"/>
      <c r="E634" s="134"/>
      <c r="F634" s="134"/>
      <c r="G634" s="134"/>
      <c r="H634" s="134"/>
      <c r="I634" s="134"/>
      <c r="J634" s="134"/>
      <c r="K634" s="134"/>
      <c r="L634" s="134"/>
      <c r="M634" s="134"/>
    </row>
    <row r="635" spans="3:13" ht="12.75">
      <c r="C635" s="134"/>
      <c r="D635" s="134"/>
      <c r="E635" s="134"/>
      <c r="F635" s="134"/>
      <c r="G635" s="134"/>
      <c r="H635" s="134"/>
      <c r="I635" s="134"/>
      <c r="J635" s="134"/>
      <c r="K635" s="134"/>
      <c r="L635" s="134"/>
      <c r="M635" s="134"/>
    </row>
    <row r="636" spans="3:13" ht="12.75">
      <c r="C636" s="134"/>
      <c r="D636" s="134"/>
      <c r="E636" s="134"/>
      <c r="F636" s="134"/>
      <c r="G636" s="134"/>
      <c r="H636" s="134"/>
      <c r="I636" s="134"/>
      <c r="J636" s="134"/>
      <c r="K636" s="134"/>
      <c r="L636" s="134"/>
      <c r="M636" s="134"/>
    </row>
    <row r="637" spans="3:13" ht="12.75">
      <c r="C637" s="134"/>
      <c r="D637" s="134"/>
      <c r="E637" s="134"/>
      <c r="F637" s="134"/>
      <c r="G637" s="134"/>
      <c r="H637" s="134"/>
      <c r="I637" s="134"/>
      <c r="J637" s="134"/>
      <c r="K637" s="134"/>
      <c r="L637" s="134"/>
      <c r="M637" s="134"/>
    </row>
    <row r="638" spans="3:13" ht="12.75">
      <c r="C638" s="134"/>
      <c r="D638" s="134"/>
      <c r="E638" s="134"/>
      <c r="F638" s="134"/>
      <c r="G638" s="134"/>
      <c r="H638" s="134"/>
      <c r="I638" s="134"/>
      <c r="J638" s="134"/>
      <c r="K638" s="134"/>
      <c r="L638" s="134"/>
      <c r="M638" s="134"/>
    </row>
    <row r="639" spans="3:13" ht="12.75">
      <c r="C639" s="134"/>
      <c r="D639" s="134"/>
      <c r="E639" s="134"/>
      <c r="F639" s="134"/>
      <c r="G639" s="134"/>
      <c r="H639" s="134"/>
      <c r="I639" s="134"/>
      <c r="J639" s="134"/>
      <c r="K639" s="134"/>
      <c r="L639" s="134"/>
      <c r="M639" s="134"/>
    </row>
    <row r="640" spans="3:13" ht="12.75">
      <c r="C640" s="134"/>
      <c r="D640" s="134"/>
      <c r="E640" s="134"/>
      <c r="F640" s="134"/>
      <c r="G640" s="134"/>
      <c r="H640" s="134"/>
      <c r="I640" s="134"/>
      <c r="J640" s="134"/>
      <c r="K640" s="134"/>
      <c r="L640" s="134"/>
      <c r="M640" s="134"/>
    </row>
    <row r="641" spans="3:13" ht="12.75">
      <c r="C641" s="134"/>
      <c r="D641" s="134"/>
      <c r="E641" s="134"/>
      <c r="F641" s="134"/>
      <c r="G641" s="134"/>
      <c r="H641" s="134"/>
      <c r="I641" s="134"/>
      <c r="J641" s="134"/>
      <c r="K641" s="134"/>
      <c r="L641" s="134"/>
      <c r="M641" s="134"/>
    </row>
    <row r="642" spans="3:13" ht="12.75">
      <c r="C642" s="134"/>
      <c r="D642" s="134"/>
      <c r="E642" s="134"/>
      <c r="F642" s="134"/>
      <c r="G642" s="134"/>
      <c r="H642" s="134"/>
      <c r="I642" s="134"/>
      <c r="J642" s="134"/>
      <c r="K642" s="134"/>
      <c r="L642" s="134"/>
      <c r="M642" s="134"/>
    </row>
    <row r="643" spans="3:13" ht="12.75">
      <c r="C643" s="134"/>
      <c r="D643" s="134"/>
      <c r="E643" s="134"/>
      <c r="F643" s="134"/>
      <c r="G643" s="134"/>
      <c r="H643" s="134"/>
      <c r="I643" s="134"/>
      <c r="J643" s="134"/>
      <c r="K643" s="134"/>
      <c r="L643" s="134"/>
      <c r="M643" s="134"/>
    </row>
    <row r="644" spans="3:13" ht="12.75">
      <c r="C644" s="134"/>
      <c r="D644" s="134"/>
      <c r="E644" s="134"/>
      <c r="F644" s="134"/>
      <c r="G644" s="134"/>
      <c r="H644" s="134"/>
      <c r="I644" s="134"/>
      <c r="J644" s="134"/>
      <c r="K644" s="134"/>
      <c r="L644" s="134"/>
      <c r="M644" s="134"/>
    </row>
    <row r="645" spans="3:13" ht="12.75">
      <c r="C645" s="134"/>
      <c r="D645" s="134"/>
      <c r="E645" s="134"/>
      <c r="F645" s="134"/>
      <c r="G645" s="134"/>
      <c r="H645" s="134"/>
      <c r="I645" s="134"/>
      <c r="J645" s="134"/>
      <c r="K645" s="134"/>
      <c r="L645" s="134"/>
      <c r="M645" s="134"/>
    </row>
    <row r="646" spans="3:13" ht="12.75">
      <c r="C646" s="134"/>
      <c r="D646" s="134"/>
      <c r="E646" s="134"/>
      <c r="F646" s="134"/>
      <c r="G646" s="134"/>
      <c r="H646" s="134"/>
      <c r="I646" s="134"/>
      <c r="J646" s="134"/>
      <c r="K646" s="134"/>
      <c r="L646" s="134"/>
      <c r="M646" s="134"/>
    </row>
    <row r="647" spans="3:13" ht="12.75">
      <c r="C647" s="134"/>
      <c r="D647" s="134"/>
      <c r="E647" s="134"/>
      <c r="F647" s="134"/>
      <c r="G647" s="134"/>
      <c r="H647" s="134"/>
      <c r="I647" s="134"/>
      <c r="J647" s="134"/>
      <c r="K647" s="134"/>
      <c r="L647" s="134"/>
      <c r="M647" s="134"/>
    </row>
    <row r="648" spans="3:13" ht="12.75">
      <c r="C648" s="134"/>
      <c r="D648" s="134"/>
      <c r="E648" s="134"/>
      <c r="F648" s="134"/>
      <c r="G648" s="134"/>
      <c r="H648" s="134"/>
      <c r="I648" s="134"/>
      <c r="J648" s="134"/>
      <c r="K648" s="134"/>
      <c r="L648" s="134"/>
      <c r="M648" s="134"/>
    </row>
    <row r="649" spans="3:13" ht="12.75">
      <c r="C649" s="134"/>
      <c r="D649" s="134"/>
      <c r="E649" s="134"/>
      <c r="F649" s="134"/>
      <c r="G649" s="134"/>
      <c r="H649" s="134"/>
      <c r="I649" s="134"/>
      <c r="J649" s="134"/>
      <c r="K649" s="134"/>
      <c r="L649" s="134"/>
      <c r="M649" s="134"/>
    </row>
    <row r="650" spans="3:13" ht="12.75">
      <c r="C650" s="134"/>
      <c r="D650" s="134"/>
      <c r="E650" s="134"/>
      <c r="F650" s="134"/>
      <c r="G650" s="134"/>
      <c r="H650" s="134"/>
      <c r="I650" s="134"/>
      <c r="J650" s="134"/>
      <c r="K650" s="134"/>
      <c r="L650" s="134"/>
      <c r="M650" s="134"/>
    </row>
    <row r="651" spans="3:13" ht="12.75">
      <c r="C651" s="134"/>
      <c r="D651" s="134"/>
      <c r="E651" s="134"/>
      <c r="F651" s="134"/>
      <c r="G651" s="134"/>
      <c r="H651" s="134"/>
      <c r="I651" s="134"/>
      <c r="J651" s="134"/>
      <c r="K651" s="134"/>
      <c r="L651" s="134"/>
      <c r="M651" s="134"/>
    </row>
    <row r="652" spans="3:13" ht="12.75">
      <c r="C652" s="134"/>
      <c r="D652" s="134"/>
      <c r="E652" s="134"/>
      <c r="F652" s="134"/>
      <c r="G652" s="134"/>
      <c r="H652" s="134"/>
      <c r="I652" s="134"/>
      <c r="J652" s="134"/>
      <c r="K652" s="134"/>
      <c r="L652" s="134"/>
      <c r="M652" s="134"/>
    </row>
    <row r="653" spans="3:13" ht="12.75">
      <c r="C653" s="134"/>
      <c r="D653" s="134"/>
      <c r="E653" s="134"/>
      <c r="F653" s="134"/>
      <c r="G653" s="134"/>
      <c r="H653" s="134"/>
      <c r="I653" s="134"/>
      <c r="J653" s="134"/>
      <c r="K653" s="134"/>
      <c r="L653" s="134"/>
      <c r="M653" s="134"/>
    </row>
    <row r="654" spans="3:13" ht="12.75">
      <c r="C654" s="134"/>
      <c r="D654" s="134"/>
      <c r="E654" s="134"/>
      <c r="F654" s="134"/>
      <c r="G654" s="134"/>
      <c r="H654" s="134"/>
      <c r="I654" s="134"/>
      <c r="J654" s="134"/>
      <c r="K654" s="134"/>
      <c r="L654" s="134"/>
      <c r="M654" s="134"/>
    </row>
    <row r="655" spans="3:13" ht="12.75">
      <c r="C655" s="134"/>
      <c r="D655" s="134"/>
      <c r="E655" s="134"/>
      <c r="F655" s="134"/>
      <c r="G655" s="134"/>
      <c r="H655" s="134"/>
      <c r="I655" s="134"/>
      <c r="J655" s="134"/>
      <c r="K655" s="134"/>
      <c r="L655" s="134"/>
      <c r="M655" s="134"/>
    </row>
    <row r="656" spans="3:13" ht="12.75">
      <c r="C656" s="134"/>
      <c r="D656" s="134"/>
      <c r="E656" s="134"/>
      <c r="F656" s="134"/>
      <c r="G656" s="134"/>
      <c r="H656" s="134"/>
      <c r="I656" s="134"/>
      <c r="J656" s="134"/>
      <c r="K656" s="134"/>
      <c r="L656" s="134"/>
      <c r="M656" s="134"/>
    </row>
    <row r="657" spans="3:13" ht="12.75">
      <c r="C657" s="134"/>
      <c r="D657" s="134"/>
      <c r="E657" s="134"/>
      <c r="F657" s="134"/>
      <c r="G657" s="134"/>
      <c r="H657" s="134"/>
      <c r="I657" s="134"/>
      <c r="J657" s="134"/>
      <c r="K657" s="134"/>
      <c r="L657" s="134"/>
      <c r="M657" s="134"/>
    </row>
    <row r="658" spans="3:13" ht="12.75">
      <c r="C658" s="134"/>
      <c r="D658" s="134"/>
      <c r="E658" s="134"/>
      <c r="F658" s="134"/>
      <c r="G658" s="134"/>
      <c r="H658" s="134"/>
      <c r="I658" s="134"/>
      <c r="J658" s="134"/>
      <c r="K658" s="134"/>
      <c r="L658" s="134"/>
      <c r="M658" s="134"/>
    </row>
    <row r="659" spans="3:13" ht="12.75">
      <c r="C659" s="134"/>
      <c r="D659" s="134"/>
      <c r="E659" s="134"/>
      <c r="F659" s="134"/>
      <c r="G659" s="134"/>
      <c r="H659" s="134"/>
      <c r="I659" s="134"/>
      <c r="J659" s="134"/>
      <c r="K659" s="134"/>
      <c r="L659" s="134"/>
      <c r="M659" s="134"/>
    </row>
    <row r="660" spans="3:13" ht="12.75">
      <c r="C660" s="134"/>
      <c r="D660" s="134"/>
      <c r="E660" s="134"/>
      <c r="F660" s="134"/>
      <c r="G660" s="134"/>
      <c r="H660" s="134"/>
      <c r="I660" s="134"/>
      <c r="J660" s="134"/>
      <c r="K660" s="134"/>
      <c r="L660" s="134"/>
      <c r="M660" s="134"/>
    </row>
    <row r="661" spans="3:13" ht="12.75">
      <c r="C661" s="134"/>
      <c r="D661" s="134"/>
      <c r="E661" s="134"/>
      <c r="F661" s="134"/>
      <c r="G661" s="134"/>
      <c r="H661" s="134"/>
      <c r="I661" s="134"/>
      <c r="J661" s="134"/>
      <c r="K661" s="134"/>
      <c r="L661" s="134"/>
      <c r="M661" s="134"/>
    </row>
    <row r="662" spans="3:13" ht="12.75">
      <c r="C662" s="134"/>
      <c r="D662" s="134"/>
      <c r="E662" s="134"/>
      <c r="F662" s="134"/>
      <c r="G662" s="134"/>
      <c r="H662" s="134"/>
      <c r="I662" s="134"/>
      <c r="J662" s="134"/>
      <c r="K662" s="134"/>
      <c r="L662" s="134"/>
      <c r="M662" s="134"/>
    </row>
    <row r="663" spans="3:13" ht="12.75">
      <c r="C663" s="134"/>
      <c r="D663" s="134"/>
      <c r="E663" s="134"/>
      <c r="F663" s="134"/>
      <c r="G663" s="134"/>
      <c r="H663" s="134"/>
      <c r="I663" s="134"/>
      <c r="J663" s="134"/>
      <c r="K663" s="134"/>
      <c r="L663" s="134"/>
      <c r="M663" s="134"/>
    </row>
    <row r="664" spans="3:13" ht="12.75">
      <c r="C664" s="134"/>
      <c r="D664" s="134"/>
      <c r="E664" s="134"/>
      <c r="F664" s="134"/>
      <c r="G664" s="134"/>
      <c r="H664" s="134"/>
      <c r="I664" s="134"/>
      <c r="J664" s="134"/>
      <c r="K664" s="134"/>
      <c r="L664" s="134"/>
      <c r="M664" s="134"/>
    </row>
    <row r="665" spans="3:13" ht="12.75">
      <c r="C665" s="134"/>
      <c r="D665" s="134"/>
      <c r="E665" s="134"/>
      <c r="F665" s="134"/>
      <c r="G665" s="134"/>
      <c r="H665" s="134"/>
      <c r="I665" s="134"/>
      <c r="J665" s="134"/>
      <c r="K665" s="134"/>
      <c r="L665" s="134"/>
      <c r="M665" s="134"/>
    </row>
    <row r="666" spans="3:13" ht="12.75">
      <c r="C666" s="134"/>
      <c r="D666" s="134"/>
      <c r="E666" s="134"/>
      <c r="F666" s="134"/>
      <c r="G666" s="134"/>
      <c r="H666" s="134"/>
      <c r="I666" s="134"/>
      <c r="J666" s="134"/>
      <c r="K666" s="134"/>
      <c r="L666" s="134"/>
      <c r="M666" s="134"/>
    </row>
    <row r="667" spans="3:13" ht="12.75">
      <c r="C667" s="134"/>
      <c r="D667" s="134"/>
      <c r="E667" s="134"/>
      <c r="F667" s="134"/>
      <c r="G667" s="134"/>
      <c r="H667" s="134"/>
      <c r="I667" s="134"/>
      <c r="J667" s="134"/>
      <c r="K667" s="134"/>
      <c r="L667" s="134"/>
      <c r="M667" s="134"/>
    </row>
    <row r="668" spans="3:13" ht="12.75">
      <c r="C668" s="134"/>
      <c r="D668" s="134"/>
      <c r="E668" s="134"/>
      <c r="F668" s="134"/>
      <c r="G668" s="134"/>
      <c r="H668" s="134"/>
      <c r="I668" s="134"/>
      <c r="J668" s="134"/>
      <c r="K668" s="134"/>
      <c r="L668" s="134"/>
      <c r="M668" s="134"/>
    </row>
    <row r="669" spans="3:13" ht="12.75">
      <c r="C669" s="134"/>
      <c r="D669" s="134"/>
      <c r="E669" s="134"/>
      <c r="F669" s="134"/>
      <c r="G669" s="134"/>
      <c r="H669" s="134"/>
      <c r="I669" s="134"/>
      <c r="J669" s="134"/>
      <c r="K669" s="134"/>
      <c r="L669" s="134"/>
      <c r="M669" s="134"/>
    </row>
    <row r="670" spans="3:13" ht="12.75">
      <c r="C670" s="134"/>
      <c r="D670" s="134"/>
      <c r="E670" s="134"/>
      <c r="F670" s="134"/>
      <c r="G670" s="134"/>
      <c r="H670" s="134"/>
      <c r="I670" s="134"/>
      <c r="J670" s="134"/>
      <c r="K670" s="134"/>
      <c r="L670" s="134"/>
      <c r="M670" s="134"/>
    </row>
    <row r="671" spans="3:13" ht="12.75">
      <c r="C671" s="134"/>
      <c r="D671" s="134"/>
      <c r="E671" s="134"/>
      <c r="F671" s="134"/>
      <c r="G671" s="134"/>
      <c r="H671" s="134"/>
      <c r="I671" s="134"/>
      <c r="J671" s="134"/>
      <c r="K671" s="134"/>
      <c r="L671" s="134"/>
      <c r="M671" s="134"/>
    </row>
    <row r="672" spans="3:13" ht="12.75">
      <c r="C672" s="134"/>
      <c r="D672" s="134"/>
      <c r="E672" s="134"/>
      <c r="F672" s="134"/>
      <c r="G672" s="134"/>
      <c r="H672" s="134"/>
      <c r="I672" s="134"/>
      <c r="J672" s="134"/>
      <c r="K672" s="134"/>
      <c r="L672" s="134"/>
      <c r="M672" s="134"/>
    </row>
    <row r="673" spans="3:13" ht="12.75">
      <c r="C673" s="134"/>
      <c r="D673" s="134"/>
      <c r="E673" s="134"/>
      <c r="F673" s="134"/>
      <c r="G673" s="134"/>
      <c r="H673" s="134"/>
      <c r="I673" s="134"/>
      <c r="J673" s="134"/>
      <c r="K673" s="134"/>
      <c r="L673" s="134"/>
      <c r="M673" s="134"/>
    </row>
    <row r="674" spans="3:13" ht="12.75">
      <c r="C674" s="134"/>
      <c r="D674" s="134"/>
      <c r="E674" s="134"/>
      <c r="F674" s="134"/>
      <c r="G674" s="134"/>
      <c r="H674" s="134"/>
      <c r="I674" s="134"/>
      <c r="J674" s="134"/>
      <c r="K674" s="134"/>
      <c r="L674" s="134"/>
      <c r="M674" s="134"/>
    </row>
    <row r="675" spans="3:13" ht="12.75">
      <c r="C675" s="134"/>
      <c r="D675" s="134"/>
      <c r="E675" s="134"/>
      <c r="F675" s="134"/>
      <c r="G675" s="134"/>
      <c r="H675" s="134"/>
      <c r="I675" s="134"/>
      <c r="J675" s="134"/>
      <c r="K675" s="134"/>
      <c r="L675" s="134"/>
      <c r="M675" s="134"/>
    </row>
    <row r="676" spans="3:13" ht="12.75">
      <c r="C676" s="134"/>
      <c r="D676" s="134"/>
      <c r="E676" s="134"/>
      <c r="F676" s="134"/>
      <c r="G676" s="134"/>
      <c r="H676" s="134"/>
      <c r="I676" s="134"/>
      <c r="J676" s="134"/>
      <c r="K676" s="134"/>
      <c r="L676" s="134"/>
      <c r="M676" s="134"/>
    </row>
    <row r="677" spans="3:13" ht="12.75">
      <c r="C677" s="134"/>
      <c r="D677" s="134"/>
      <c r="E677" s="134"/>
      <c r="F677" s="134"/>
      <c r="G677" s="134"/>
      <c r="H677" s="134"/>
      <c r="I677" s="134"/>
      <c r="J677" s="134"/>
      <c r="K677" s="134"/>
      <c r="L677" s="134"/>
      <c r="M677" s="134"/>
    </row>
    <row r="678" spans="3:13" ht="12.75">
      <c r="C678" s="134"/>
      <c r="D678" s="134"/>
      <c r="E678" s="134"/>
      <c r="F678" s="134"/>
      <c r="G678" s="134"/>
      <c r="H678" s="134"/>
      <c r="I678" s="134"/>
      <c r="J678" s="134"/>
      <c r="K678" s="134"/>
      <c r="L678" s="134"/>
      <c r="M678" s="134"/>
    </row>
    <row r="679" spans="3:13" ht="12.75">
      <c r="C679" s="134"/>
      <c r="D679" s="134"/>
      <c r="E679" s="134"/>
      <c r="F679" s="134"/>
      <c r="G679" s="134"/>
      <c r="H679" s="134"/>
      <c r="I679" s="134"/>
      <c r="J679" s="134"/>
      <c r="K679" s="134"/>
      <c r="L679" s="134"/>
      <c r="M679" s="134"/>
    </row>
    <row r="680" spans="3:13" ht="12.75">
      <c r="C680" s="134"/>
      <c r="D680" s="134"/>
      <c r="E680" s="134"/>
      <c r="F680" s="134"/>
      <c r="G680" s="134"/>
      <c r="H680" s="134"/>
      <c r="I680" s="134"/>
      <c r="J680" s="134"/>
      <c r="K680" s="134"/>
      <c r="L680" s="134"/>
      <c r="M680" s="134"/>
    </row>
    <row r="681" spans="3:13" ht="12.75">
      <c r="C681" s="134"/>
      <c r="D681" s="134"/>
      <c r="E681" s="134"/>
      <c r="F681" s="134"/>
      <c r="G681" s="134"/>
      <c r="H681" s="134"/>
      <c r="I681" s="134"/>
      <c r="J681" s="134"/>
      <c r="K681" s="134"/>
      <c r="L681" s="134"/>
      <c r="M681" s="134"/>
    </row>
    <row r="682" spans="3:13" ht="12.75">
      <c r="C682" s="134"/>
      <c r="D682" s="134"/>
      <c r="E682" s="134"/>
      <c r="F682" s="134"/>
      <c r="G682" s="134"/>
      <c r="H682" s="134"/>
      <c r="I682" s="134"/>
      <c r="J682" s="134"/>
      <c r="K682" s="134"/>
      <c r="L682" s="134"/>
      <c r="M682" s="134"/>
    </row>
    <row r="683" spans="3:13" ht="12.75">
      <c r="C683" s="134"/>
      <c r="D683" s="134"/>
      <c r="E683" s="134"/>
      <c r="F683" s="134"/>
      <c r="G683" s="134"/>
      <c r="H683" s="134"/>
      <c r="I683" s="134"/>
      <c r="J683" s="134"/>
      <c r="K683" s="134"/>
      <c r="L683" s="134"/>
      <c r="M683" s="134"/>
    </row>
    <row r="684" spans="3:13" ht="12.75">
      <c r="C684" s="134"/>
      <c r="D684" s="134"/>
      <c r="E684" s="134"/>
      <c r="F684" s="134"/>
      <c r="G684" s="134"/>
      <c r="H684" s="134"/>
      <c r="I684" s="134"/>
      <c r="J684" s="134"/>
      <c r="K684" s="134"/>
      <c r="L684" s="134"/>
      <c r="M684" s="134"/>
    </row>
    <row r="685" spans="3:13" ht="12.75">
      <c r="C685" s="134"/>
      <c r="D685" s="134"/>
      <c r="E685" s="134"/>
      <c r="F685" s="134"/>
      <c r="G685" s="134"/>
      <c r="H685" s="134"/>
      <c r="I685" s="134"/>
      <c r="J685" s="134"/>
      <c r="K685" s="134"/>
      <c r="L685" s="134"/>
      <c r="M685" s="134"/>
    </row>
    <row r="686" spans="3:13" ht="12.75">
      <c r="C686" s="134"/>
      <c r="D686" s="134"/>
      <c r="E686" s="134"/>
      <c r="F686" s="134"/>
      <c r="G686" s="134"/>
      <c r="H686" s="134"/>
      <c r="I686" s="134"/>
      <c r="J686" s="134"/>
      <c r="K686" s="134"/>
      <c r="L686" s="134"/>
      <c r="M686" s="134"/>
    </row>
    <row r="687" spans="3:13" ht="12.75">
      <c r="C687" s="134"/>
      <c r="D687" s="134"/>
      <c r="E687" s="134"/>
      <c r="F687" s="134"/>
      <c r="G687" s="134"/>
      <c r="H687" s="134"/>
      <c r="I687" s="134"/>
      <c r="J687" s="134"/>
      <c r="K687" s="134"/>
      <c r="L687" s="134"/>
      <c r="M687" s="134"/>
    </row>
    <row r="688" spans="3:13" ht="12.75">
      <c r="C688" s="134"/>
      <c r="D688" s="134"/>
      <c r="E688" s="134"/>
      <c r="F688" s="134"/>
      <c r="G688" s="134"/>
      <c r="H688" s="134"/>
      <c r="I688" s="134"/>
      <c r="J688" s="134"/>
      <c r="K688" s="134"/>
      <c r="L688" s="134"/>
      <c r="M688" s="134"/>
    </row>
    <row r="689" spans="3:13" ht="12.75">
      <c r="C689" s="134"/>
      <c r="D689" s="134"/>
      <c r="E689" s="134"/>
      <c r="F689" s="134"/>
      <c r="G689" s="134"/>
      <c r="H689" s="134"/>
      <c r="I689" s="134"/>
      <c r="J689" s="134"/>
      <c r="K689" s="134"/>
      <c r="L689" s="134"/>
      <c r="M689" s="134"/>
    </row>
    <row r="690" spans="3:13" ht="12.75">
      <c r="C690" s="134"/>
      <c r="D690" s="134"/>
      <c r="E690" s="134"/>
      <c r="F690" s="134"/>
      <c r="G690" s="134"/>
      <c r="H690" s="134"/>
      <c r="I690" s="134"/>
      <c r="J690" s="134"/>
      <c r="K690" s="134"/>
      <c r="L690" s="134"/>
      <c r="M690" s="134"/>
    </row>
    <row r="691" spans="3:13" ht="12.75">
      <c r="C691" s="134"/>
      <c r="D691" s="134"/>
      <c r="E691" s="134"/>
      <c r="F691" s="134"/>
      <c r="G691" s="134"/>
      <c r="H691" s="134"/>
      <c r="I691" s="134"/>
      <c r="J691" s="134"/>
      <c r="K691" s="134"/>
      <c r="L691" s="134"/>
      <c r="M691" s="134"/>
    </row>
    <row r="692" spans="3:13" ht="12.75">
      <c r="C692" s="134"/>
      <c r="D692" s="134"/>
      <c r="E692" s="134"/>
      <c r="F692" s="134"/>
      <c r="G692" s="134"/>
      <c r="H692" s="134"/>
      <c r="I692" s="134"/>
      <c r="J692" s="134"/>
      <c r="K692" s="134"/>
      <c r="L692" s="134"/>
      <c r="M692" s="134"/>
    </row>
    <row r="693" spans="3:13" ht="12.75">
      <c r="C693" s="134"/>
      <c r="D693" s="134"/>
      <c r="E693" s="134"/>
      <c r="F693" s="134"/>
      <c r="G693" s="134"/>
      <c r="H693" s="134"/>
      <c r="I693" s="134"/>
      <c r="J693" s="134"/>
      <c r="K693" s="134"/>
      <c r="L693" s="134"/>
      <c r="M693" s="134"/>
    </row>
    <row r="694" spans="3:13" ht="12.75">
      <c r="C694" s="134"/>
      <c r="D694" s="134"/>
      <c r="E694" s="134"/>
      <c r="F694" s="134"/>
      <c r="G694" s="134"/>
      <c r="H694" s="134"/>
      <c r="I694" s="134"/>
      <c r="J694" s="134"/>
      <c r="K694" s="134"/>
      <c r="L694" s="134"/>
      <c r="M694" s="134"/>
    </row>
    <row r="695" spans="3:13" ht="12.75">
      <c r="C695" s="134"/>
      <c r="D695" s="134"/>
      <c r="E695" s="134"/>
      <c r="F695" s="134"/>
      <c r="G695" s="134"/>
      <c r="H695" s="134"/>
      <c r="I695" s="134"/>
      <c r="J695" s="134"/>
      <c r="K695" s="134"/>
      <c r="L695" s="134"/>
      <c r="M695" s="134"/>
    </row>
    <row r="696" spans="3:13" ht="12.75">
      <c r="C696" s="134"/>
      <c r="D696" s="134"/>
      <c r="E696" s="134"/>
      <c r="F696" s="134"/>
      <c r="G696" s="134"/>
      <c r="H696" s="134"/>
      <c r="I696" s="134"/>
      <c r="J696" s="134"/>
      <c r="K696" s="134"/>
      <c r="L696" s="134"/>
      <c r="M696" s="134"/>
    </row>
    <row r="697" spans="3:13" ht="12.75">
      <c r="C697" s="134"/>
      <c r="D697" s="134"/>
      <c r="E697" s="134"/>
      <c r="F697" s="134"/>
      <c r="G697" s="134"/>
      <c r="H697" s="134"/>
      <c r="I697" s="134"/>
      <c r="J697" s="134"/>
      <c r="K697" s="134"/>
      <c r="L697" s="134"/>
      <c r="M697" s="134"/>
    </row>
    <row r="698" spans="3:13" ht="12.75">
      <c r="C698" s="134"/>
      <c r="D698" s="134"/>
      <c r="E698" s="134"/>
      <c r="F698" s="134"/>
      <c r="G698" s="134"/>
      <c r="H698" s="134"/>
      <c r="I698" s="134"/>
      <c r="J698" s="134"/>
      <c r="K698" s="134"/>
      <c r="L698" s="134"/>
      <c r="M698" s="134"/>
    </row>
    <row r="699" spans="3:13" ht="12.75">
      <c r="C699" s="134"/>
      <c r="D699" s="134"/>
      <c r="E699" s="134"/>
      <c r="F699" s="134"/>
      <c r="G699" s="134"/>
      <c r="H699" s="134"/>
      <c r="I699" s="134"/>
      <c r="J699" s="134"/>
      <c r="K699" s="134"/>
      <c r="L699" s="134"/>
      <c r="M699" s="134"/>
    </row>
    <row r="700" spans="3:13" ht="12.75">
      <c r="C700" s="134"/>
      <c r="D700" s="134"/>
      <c r="E700" s="134"/>
      <c r="F700" s="134"/>
      <c r="G700" s="134"/>
      <c r="H700" s="134"/>
      <c r="I700" s="134"/>
      <c r="J700" s="134"/>
      <c r="K700" s="134"/>
      <c r="L700" s="134"/>
      <c r="M700" s="134"/>
    </row>
    <row r="701" spans="3:13" ht="12.75">
      <c r="C701" s="134"/>
      <c r="D701" s="134"/>
      <c r="E701" s="134"/>
      <c r="F701" s="134"/>
      <c r="G701" s="134"/>
      <c r="H701" s="134"/>
      <c r="I701" s="134"/>
      <c r="J701" s="134"/>
      <c r="K701" s="134"/>
      <c r="L701" s="134"/>
      <c r="M701" s="134"/>
    </row>
    <row r="702" spans="3:13" ht="12.75">
      <c r="C702" s="134"/>
      <c r="D702" s="134"/>
      <c r="E702" s="134"/>
      <c r="F702" s="134"/>
      <c r="G702" s="134"/>
      <c r="H702" s="134"/>
      <c r="I702" s="134"/>
      <c r="J702" s="134"/>
      <c r="K702" s="134"/>
      <c r="L702" s="134"/>
      <c r="M702" s="134"/>
    </row>
    <row r="703" spans="3:13" ht="12.75">
      <c r="C703" s="134"/>
      <c r="D703" s="134"/>
      <c r="E703" s="134"/>
      <c r="F703" s="134"/>
      <c r="G703" s="134"/>
      <c r="H703" s="134"/>
      <c r="I703" s="134"/>
      <c r="J703" s="134"/>
      <c r="K703" s="134"/>
      <c r="L703" s="134"/>
      <c r="M703" s="134"/>
    </row>
    <row r="704" spans="3:13" ht="12.75">
      <c r="C704" s="134"/>
      <c r="D704" s="134"/>
      <c r="E704" s="134"/>
      <c r="F704" s="134"/>
      <c r="G704" s="134"/>
      <c r="H704" s="134"/>
      <c r="I704" s="134"/>
      <c r="J704" s="134"/>
      <c r="K704" s="134"/>
      <c r="L704" s="134"/>
      <c r="M704" s="134"/>
    </row>
    <row r="705" spans="3:13" ht="12.75">
      <c r="C705" s="134"/>
      <c r="D705" s="134"/>
      <c r="E705" s="134"/>
      <c r="F705" s="134"/>
      <c r="G705" s="134"/>
      <c r="H705" s="134"/>
      <c r="I705" s="134"/>
      <c r="J705" s="134"/>
      <c r="K705" s="134"/>
      <c r="L705" s="134"/>
      <c r="M705" s="134"/>
    </row>
    <row r="706" spans="3:13" ht="12.75">
      <c r="C706" s="134"/>
      <c r="D706" s="134"/>
      <c r="E706" s="134"/>
      <c r="F706" s="134"/>
      <c r="G706" s="134"/>
      <c r="H706" s="134"/>
      <c r="I706" s="134"/>
      <c r="J706" s="134"/>
      <c r="K706" s="134"/>
      <c r="L706" s="134"/>
      <c r="M706" s="134"/>
    </row>
    <row r="707" spans="3:13" ht="12.75">
      <c r="C707" s="134"/>
      <c r="D707" s="134"/>
      <c r="E707" s="134"/>
      <c r="F707" s="134"/>
      <c r="G707" s="134"/>
      <c r="H707" s="134"/>
      <c r="I707" s="134"/>
      <c r="J707" s="134"/>
      <c r="K707" s="134"/>
      <c r="L707" s="134"/>
      <c r="M707" s="134"/>
    </row>
    <row r="708" spans="3:13" ht="12.75">
      <c r="C708" s="134"/>
      <c r="D708" s="134"/>
      <c r="E708" s="134"/>
      <c r="F708" s="134"/>
      <c r="G708" s="134"/>
      <c r="H708" s="134"/>
      <c r="I708" s="134"/>
      <c r="J708" s="134"/>
      <c r="K708" s="134"/>
      <c r="L708" s="134"/>
      <c r="M708" s="134"/>
    </row>
    <row r="709" spans="3:13" ht="12.75">
      <c r="C709" s="134"/>
      <c r="D709" s="134"/>
      <c r="E709" s="134"/>
      <c r="F709" s="134"/>
      <c r="G709" s="134"/>
      <c r="H709" s="134"/>
      <c r="I709" s="134"/>
      <c r="J709" s="134"/>
      <c r="K709" s="134"/>
      <c r="L709" s="134"/>
      <c r="M709" s="134"/>
    </row>
    <row r="710" spans="3:13" ht="12.75">
      <c r="C710" s="134"/>
      <c r="D710" s="134"/>
      <c r="E710" s="134"/>
      <c r="F710" s="134"/>
      <c r="G710" s="134"/>
      <c r="H710" s="134"/>
      <c r="I710" s="134"/>
      <c r="J710" s="134"/>
      <c r="K710" s="134"/>
      <c r="L710" s="134"/>
      <c r="M710" s="134"/>
    </row>
    <row r="711" spans="3:13" ht="12.75">
      <c r="C711" s="134"/>
      <c r="D711" s="134"/>
      <c r="E711" s="134"/>
      <c r="F711" s="134"/>
      <c r="G711" s="134"/>
      <c r="H711" s="134"/>
      <c r="I711" s="134"/>
      <c r="J711" s="134"/>
      <c r="K711" s="134"/>
      <c r="L711" s="134"/>
      <c r="M711" s="134"/>
    </row>
    <row r="712" spans="3:13" ht="12.75">
      <c r="C712" s="134"/>
      <c r="D712" s="134"/>
      <c r="E712" s="134"/>
      <c r="F712" s="134"/>
      <c r="G712" s="134"/>
      <c r="H712" s="134"/>
      <c r="I712" s="134"/>
      <c r="J712" s="134"/>
      <c r="K712" s="134"/>
      <c r="L712" s="134"/>
      <c r="M712" s="134"/>
    </row>
    <row r="713" spans="3:13" ht="12.75">
      <c r="C713" s="134"/>
      <c r="D713" s="134"/>
      <c r="E713" s="134"/>
      <c r="F713" s="134"/>
      <c r="G713" s="134"/>
      <c r="H713" s="134"/>
      <c r="I713" s="134"/>
      <c r="J713" s="134"/>
      <c r="K713" s="134"/>
      <c r="L713" s="134"/>
      <c r="M713" s="134"/>
    </row>
    <row r="714" spans="3:13" ht="12.75">
      <c r="C714" s="134"/>
      <c r="D714" s="134"/>
      <c r="E714" s="134"/>
      <c r="F714" s="134"/>
      <c r="G714" s="134"/>
      <c r="H714" s="134"/>
      <c r="I714" s="134"/>
      <c r="J714" s="134"/>
      <c r="K714" s="134"/>
      <c r="L714" s="134"/>
      <c r="M714" s="134"/>
    </row>
    <row r="715" spans="3:13" ht="12.75">
      <c r="C715" s="134"/>
      <c r="D715" s="134"/>
      <c r="E715" s="134"/>
      <c r="F715" s="134"/>
      <c r="G715" s="134"/>
      <c r="H715" s="134"/>
      <c r="I715" s="134"/>
      <c r="J715" s="134"/>
      <c r="K715" s="134"/>
      <c r="L715" s="134"/>
      <c r="M715" s="134"/>
    </row>
    <row r="716" spans="3:13" ht="12.75">
      <c r="C716" s="134"/>
      <c r="D716" s="134"/>
      <c r="E716" s="134"/>
      <c r="F716" s="134"/>
      <c r="G716" s="134"/>
      <c r="H716" s="134"/>
      <c r="I716" s="134"/>
      <c r="J716" s="134"/>
      <c r="K716" s="134"/>
      <c r="L716" s="134"/>
      <c r="M716" s="134"/>
    </row>
    <row r="717" spans="3:13" ht="12.75">
      <c r="C717" s="134"/>
      <c r="D717" s="134"/>
      <c r="E717" s="134"/>
      <c r="F717" s="134"/>
      <c r="G717" s="134"/>
      <c r="H717" s="134"/>
      <c r="I717" s="134"/>
      <c r="J717" s="134"/>
      <c r="K717" s="134"/>
      <c r="L717" s="134"/>
      <c r="M717" s="134"/>
    </row>
    <row r="718" spans="3:13" ht="12.75">
      <c r="C718" s="134"/>
      <c r="D718" s="134"/>
      <c r="E718" s="134"/>
      <c r="F718" s="134"/>
      <c r="G718" s="134"/>
      <c r="H718" s="134"/>
      <c r="I718" s="134"/>
      <c r="J718" s="134"/>
      <c r="K718" s="134"/>
      <c r="L718" s="134"/>
      <c r="M718" s="134"/>
    </row>
    <row r="719" spans="3:13" ht="12.75">
      <c r="C719" s="134"/>
      <c r="D719" s="134"/>
      <c r="E719" s="134"/>
      <c r="F719" s="134"/>
      <c r="G719" s="134"/>
      <c r="H719" s="134"/>
      <c r="I719" s="134"/>
      <c r="J719" s="134"/>
      <c r="K719" s="134"/>
      <c r="L719" s="134"/>
      <c r="M719" s="134"/>
    </row>
    <row r="720" spans="3:13" ht="12.75">
      <c r="C720" s="134"/>
      <c r="D720" s="134"/>
      <c r="E720" s="134"/>
      <c r="F720" s="134"/>
      <c r="G720" s="134"/>
      <c r="H720" s="134"/>
      <c r="I720" s="134"/>
      <c r="J720" s="134"/>
      <c r="K720" s="134"/>
      <c r="L720" s="134"/>
      <c r="M720" s="134"/>
    </row>
    <row r="721" spans="3:13" ht="12.75">
      <c r="C721" s="134"/>
      <c r="D721" s="134"/>
      <c r="E721" s="134"/>
      <c r="F721" s="134"/>
      <c r="G721" s="134"/>
      <c r="H721" s="134"/>
      <c r="I721" s="134"/>
      <c r="J721" s="134"/>
      <c r="K721" s="134"/>
      <c r="L721" s="134"/>
      <c r="M721" s="134"/>
    </row>
    <row r="722" spans="3:13" ht="12.75">
      <c r="C722" s="134"/>
      <c r="D722" s="134"/>
      <c r="E722" s="134"/>
      <c r="F722" s="134"/>
      <c r="G722" s="134"/>
      <c r="H722" s="134"/>
      <c r="I722" s="134"/>
      <c r="J722" s="134"/>
      <c r="K722" s="134"/>
      <c r="L722" s="134"/>
      <c r="M722" s="134"/>
    </row>
    <row r="723" spans="3:13" ht="12.75">
      <c r="C723" s="134"/>
      <c r="D723" s="134"/>
      <c r="E723" s="134"/>
      <c r="F723" s="134"/>
      <c r="G723" s="134"/>
      <c r="H723" s="134"/>
      <c r="I723" s="134"/>
      <c r="J723" s="134"/>
      <c r="K723" s="134"/>
      <c r="L723" s="134"/>
      <c r="M723" s="134"/>
    </row>
    <row r="724" spans="3:13" ht="12.75">
      <c r="C724" s="134"/>
      <c r="D724" s="134"/>
      <c r="E724" s="134"/>
      <c r="F724" s="134"/>
      <c r="G724" s="134"/>
      <c r="H724" s="134"/>
      <c r="I724" s="134"/>
      <c r="J724" s="134"/>
      <c r="K724" s="134"/>
      <c r="L724" s="134"/>
      <c r="M724" s="134"/>
    </row>
    <row r="725" spans="3:13" ht="12.75">
      <c r="C725" s="134"/>
      <c r="D725" s="134"/>
      <c r="E725" s="134"/>
      <c r="F725" s="134"/>
      <c r="G725" s="134"/>
      <c r="H725" s="134"/>
      <c r="I725" s="134"/>
      <c r="J725" s="134"/>
      <c r="K725" s="134"/>
      <c r="L725" s="134"/>
      <c r="M725" s="134"/>
    </row>
    <row r="726" spans="3:13" ht="12.75">
      <c r="C726" s="134"/>
      <c r="D726" s="134"/>
      <c r="E726" s="134"/>
      <c r="F726" s="134"/>
      <c r="G726" s="134"/>
      <c r="H726" s="134"/>
      <c r="I726" s="134"/>
      <c r="J726" s="134"/>
      <c r="K726" s="134"/>
      <c r="L726" s="134"/>
      <c r="M726" s="134"/>
    </row>
    <row r="727" spans="3:13" ht="12.75">
      <c r="C727" s="134"/>
      <c r="D727" s="134"/>
      <c r="E727" s="134"/>
      <c r="F727" s="134"/>
      <c r="G727" s="134"/>
      <c r="H727" s="134"/>
      <c r="I727" s="134"/>
      <c r="J727" s="134"/>
      <c r="K727" s="134"/>
      <c r="L727" s="134"/>
      <c r="M727" s="134"/>
    </row>
    <row r="728" spans="3:13" ht="12.75">
      <c r="C728" s="134"/>
      <c r="D728" s="134"/>
      <c r="E728" s="134"/>
      <c r="F728" s="134"/>
      <c r="G728" s="134"/>
      <c r="H728" s="134"/>
      <c r="I728" s="134"/>
      <c r="J728" s="134"/>
      <c r="K728" s="134"/>
      <c r="L728" s="134"/>
      <c r="M728" s="134"/>
    </row>
    <row r="729" spans="3:13" ht="12.75">
      <c r="C729" s="134"/>
      <c r="D729" s="134"/>
      <c r="E729" s="134"/>
      <c r="F729" s="134"/>
      <c r="G729" s="134"/>
      <c r="H729" s="134"/>
      <c r="I729" s="134"/>
      <c r="J729" s="134"/>
      <c r="K729" s="134"/>
      <c r="L729" s="134"/>
      <c r="M729" s="134"/>
    </row>
    <row r="730" spans="3:13" ht="12.75">
      <c r="C730" s="134"/>
      <c r="D730" s="134"/>
      <c r="E730" s="134"/>
      <c r="F730" s="134"/>
      <c r="G730" s="134"/>
      <c r="H730" s="134"/>
      <c r="I730" s="134"/>
      <c r="J730" s="134"/>
      <c r="K730" s="134"/>
      <c r="L730" s="134"/>
      <c r="M730" s="134"/>
    </row>
    <row r="731" spans="3:13" ht="12.75">
      <c r="C731" s="134"/>
      <c r="D731" s="134"/>
      <c r="E731" s="134"/>
      <c r="F731" s="134"/>
      <c r="G731" s="134"/>
      <c r="H731" s="134"/>
      <c r="I731" s="134"/>
      <c r="J731" s="134"/>
      <c r="K731" s="134"/>
      <c r="L731" s="134"/>
      <c r="M731" s="134"/>
    </row>
    <row r="732" spans="3:13" ht="12.75">
      <c r="C732" s="134"/>
      <c r="D732" s="134"/>
      <c r="E732" s="134"/>
      <c r="F732" s="134"/>
      <c r="G732" s="134"/>
      <c r="H732" s="134"/>
      <c r="I732" s="134"/>
      <c r="J732" s="134"/>
      <c r="K732" s="134"/>
      <c r="L732" s="134"/>
      <c r="M732" s="134"/>
    </row>
    <row r="733" spans="3:13" ht="12.75">
      <c r="C733" s="134"/>
      <c r="D733" s="134"/>
      <c r="E733" s="134"/>
      <c r="F733" s="134"/>
      <c r="G733" s="134"/>
      <c r="H733" s="134"/>
      <c r="I733" s="134"/>
      <c r="J733" s="134"/>
      <c r="K733" s="134"/>
      <c r="L733" s="134"/>
      <c r="M733" s="134"/>
    </row>
    <row r="734" spans="3:13" ht="12.75">
      <c r="C734" s="134"/>
      <c r="D734" s="134"/>
      <c r="E734" s="134"/>
      <c r="F734" s="134"/>
      <c r="G734" s="134"/>
      <c r="H734" s="134"/>
      <c r="I734" s="134"/>
      <c r="J734" s="134"/>
      <c r="K734" s="134"/>
      <c r="L734" s="134"/>
      <c r="M734" s="134"/>
    </row>
    <row r="735" spans="3:13" ht="12.75">
      <c r="C735" s="134"/>
      <c r="D735" s="134"/>
      <c r="E735" s="134"/>
      <c r="F735" s="134"/>
      <c r="G735" s="134"/>
      <c r="H735" s="134"/>
      <c r="I735" s="134"/>
      <c r="J735" s="134"/>
      <c r="K735" s="134"/>
      <c r="L735" s="134"/>
      <c r="M735" s="134"/>
    </row>
    <row r="736" spans="3:13" ht="12.75">
      <c r="C736" s="134"/>
      <c r="D736" s="134"/>
      <c r="E736" s="134"/>
      <c r="F736" s="134"/>
      <c r="G736" s="134"/>
      <c r="H736" s="134"/>
      <c r="I736" s="134"/>
      <c r="J736" s="134"/>
      <c r="K736" s="134"/>
      <c r="L736" s="134"/>
      <c r="M736" s="134"/>
    </row>
    <row r="737" spans="3:13" ht="12.75">
      <c r="C737" s="134"/>
      <c r="D737" s="134"/>
      <c r="E737" s="134"/>
      <c r="F737" s="134"/>
      <c r="G737" s="134"/>
      <c r="H737" s="134"/>
      <c r="I737" s="134"/>
      <c r="J737" s="134"/>
      <c r="K737" s="134"/>
      <c r="L737" s="134"/>
      <c r="M737" s="134"/>
    </row>
    <row r="738" spans="3:13" ht="12.75">
      <c r="C738" s="134"/>
      <c r="D738" s="134"/>
      <c r="E738" s="134"/>
      <c r="F738" s="134"/>
      <c r="G738" s="134"/>
      <c r="H738" s="134"/>
      <c r="I738" s="134"/>
      <c r="J738" s="134"/>
      <c r="K738" s="134"/>
      <c r="L738" s="134"/>
      <c r="M738" s="134"/>
    </row>
    <row r="739" spans="3:13" ht="12.75">
      <c r="C739" s="134"/>
      <c r="D739" s="134"/>
      <c r="E739" s="134"/>
      <c r="F739" s="134"/>
      <c r="G739" s="134"/>
      <c r="H739" s="134"/>
      <c r="I739" s="134"/>
      <c r="J739" s="134"/>
      <c r="K739" s="134"/>
      <c r="L739" s="134"/>
      <c r="M739" s="134"/>
    </row>
    <row r="740" spans="3:13" ht="12.75">
      <c r="C740" s="134"/>
      <c r="D740" s="134"/>
      <c r="E740" s="134"/>
      <c r="F740" s="134"/>
      <c r="G740" s="134"/>
      <c r="H740" s="134"/>
      <c r="I740" s="134"/>
      <c r="J740" s="134"/>
      <c r="K740" s="134"/>
      <c r="L740" s="134"/>
      <c r="M740" s="134"/>
    </row>
    <row r="741" spans="3:13" ht="12.75">
      <c r="C741" s="134"/>
      <c r="D741" s="134"/>
      <c r="E741" s="134"/>
      <c r="F741" s="134"/>
      <c r="G741" s="134"/>
      <c r="H741" s="134"/>
      <c r="I741" s="134"/>
      <c r="J741" s="134"/>
      <c r="K741" s="134"/>
      <c r="L741" s="134"/>
      <c r="M741" s="134"/>
    </row>
    <row r="742" spans="3:13" ht="12.75">
      <c r="C742" s="134"/>
      <c r="D742" s="134"/>
      <c r="E742" s="134"/>
      <c r="F742" s="134"/>
      <c r="G742" s="134"/>
      <c r="H742" s="134"/>
      <c r="I742" s="134"/>
      <c r="J742" s="134"/>
      <c r="K742" s="134"/>
      <c r="L742" s="134"/>
      <c r="M742" s="134"/>
    </row>
    <row r="743" spans="3:13" ht="12.75">
      <c r="C743" s="134"/>
      <c r="D743" s="134"/>
      <c r="E743" s="134"/>
      <c r="F743" s="134"/>
      <c r="G743" s="134"/>
      <c r="H743" s="134"/>
      <c r="I743" s="134"/>
      <c r="J743" s="134"/>
      <c r="K743" s="134"/>
      <c r="L743" s="134"/>
      <c r="M743" s="134"/>
    </row>
    <row r="744" spans="3:13" ht="12.75">
      <c r="C744" s="134"/>
      <c r="D744" s="134"/>
      <c r="E744" s="134"/>
      <c r="F744" s="134"/>
      <c r="G744" s="134"/>
      <c r="H744" s="134"/>
      <c r="I744" s="134"/>
      <c r="J744" s="134"/>
      <c r="K744" s="134"/>
      <c r="L744" s="134"/>
      <c r="M744" s="134"/>
    </row>
    <row r="745" spans="3:13" ht="12.75">
      <c r="C745" s="134"/>
      <c r="D745" s="134"/>
      <c r="E745" s="134"/>
      <c r="F745" s="134"/>
      <c r="G745" s="134"/>
      <c r="H745" s="134"/>
      <c r="I745" s="134"/>
      <c r="J745" s="134"/>
      <c r="K745" s="134"/>
      <c r="L745" s="134"/>
      <c r="M745" s="134"/>
    </row>
    <row r="746" spans="3:13" ht="12.75">
      <c r="C746" s="134"/>
      <c r="D746" s="134"/>
      <c r="E746" s="134"/>
      <c r="F746" s="134"/>
      <c r="G746" s="134"/>
      <c r="H746" s="134"/>
      <c r="I746" s="134"/>
      <c r="J746" s="134"/>
      <c r="K746" s="134"/>
      <c r="L746" s="134"/>
      <c r="M746" s="134"/>
    </row>
    <row r="747" spans="3:13" ht="12.75">
      <c r="C747" s="134"/>
      <c r="D747" s="134"/>
      <c r="E747" s="134"/>
      <c r="F747" s="134"/>
      <c r="G747" s="134"/>
      <c r="H747" s="134"/>
      <c r="I747" s="134"/>
      <c r="J747" s="134"/>
      <c r="K747" s="134"/>
      <c r="L747" s="134"/>
      <c r="M747" s="134"/>
    </row>
    <row r="748" spans="3:13" ht="12.75">
      <c r="C748" s="134"/>
      <c r="D748" s="134"/>
      <c r="E748" s="134"/>
      <c r="F748" s="134"/>
      <c r="G748" s="134"/>
      <c r="H748" s="134"/>
      <c r="I748" s="134"/>
      <c r="J748" s="134"/>
      <c r="K748" s="134"/>
      <c r="L748" s="134"/>
      <c r="M748" s="134"/>
    </row>
    <row r="749" spans="3:13" ht="12.75">
      <c r="C749" s="134"/>
      <c r="D749" s="134"/>
      <c r="E749" s="134"/>
      <c r="F749" s="134"/>
      <c r="G749" s="134"/>
      <c r="H749" s="134"/>
      <c r="I749" s="134"/>
      <c r="J749" s="134"/>
      <c r="K749" s="134"/>
      <c r="L749" s="134"/>
      <c r="M749" s="134"/>
    </row>
    <row r="750" spans="3:13" ht="12.75">
      <c r="C750" s="134"/>
      <c r="D750" s="134"/>
      <c r="E750" s="134"/>
      <c r="F750" s="134"/>
      <c r="G750" s="134"/>
      <c r="H750" s="134"/>
      <c r="I750" s="134"/>
      <c r="J750" s="134"/>
      <c r="K750" s="134"/>
      <c r="L750" s="134"/>
      <c r="M750" s="134"/>
    </row>
    <row r="751" spans="3:13" ht="12.75">
      <c r="C751" s="134"/>
      <c r="D751" s="134"/>
      <c r="E751" s="134"/>
      <c r="F751" s="134"/>
      <c r="G751" s="134"/>
      <c r="H751" s="134"/>
      <c r="I751" s="134"/>
      <c r="J751" s="134"/>
      <c r="K751" s="134"/>
      <c r="L751" s="134"/>
      <c r="M751" s="134"/>
    </row>
    <row r="752" spans="3:13" ht="12.75">
      <c r="C752" s="134"/>
      <c r="D752" s="134"/>
      <c r="E752" s="134"/>
      <c r="F752" s="134"/>
      <c r="G752" s="134"/>
      <c r="H752" s="134"/>
      <c r="I752" s="134"/>
      <c r="J752" s="134"/>
      <c r="K752" s="134"/>
      <c r="L752" s="134"/>
      <c r="M752" s="134"/>
    </row>
    <row r="753" spans="3:13" ht="12.75">
      <c r="C753" s="134"/>
      <c r="D753" s="134"/>
      <c r="E753" s="134"/>
      <c r="F753" s="134"/>
      <c r="G753" s="134"/>
      <c r="H753" s="134"/>
      <c r="I753" s="134"/>
      <c r="J753" s="134"/>
      <c r="K753" s="134"/>
      <c r="L753" s="134"/>
      <c r="M753" s="134"/>
    </row>
    <row r="754" spans="3:13" ht="12.75">
      <c r="C754" s="134"/>
      <c r="D754" s="134"/>
      <c r="E754" s="134"/>
      <c r="F754" s="134"/>
      <c r="G754" s="134"/>
      <c r="H754" s="134"/>
      <c r="I754" s="134"/>
      <c r="J754" s="134"/>
      <c r="K754" s="134"/>
      <c r="L754" s="134"/>
      <c r="M754" s="134"/>
    </row>
    <row r="755" spans="3:13" ht="12.75">
      <c r="C755" s="134"/>
      <c r="D755" s="134"/>
      <c r="E755" s="134"/>
      <c r="F755" s="134"/>
      <c r="G755" s="134"/>
      <c r="H755" s="134"/>
      <c r="I755" s="134"/>
      <c r="J755" s="134"/>
      <c r="K755" s="134"/>
      <c r="L755" s="134"/>
      <c r="M755" s="134"/>
    </row>
    <row r="756" spans="3:13" ht="12.75">
      <c r="C756" s="134"/>
      <c r="D756" s="134"/>
      <c r="E756" s="134"/>
      <c r="F756" s="134"/>
      <c r="G756" s="134"/>
      <c r="H756" s="134"/>
      <c r="I756" s="134"/>
      <c r="J756" s="134"/>
      <c r="K756" s="134"/>
      <c r="L756" s="134"/>
      <c r="M756" s="134"/>
    </row>
    <row r="757" spans="3:13" ht="12.75">
      <c r="C757" s="134"/>
      <c r="D757" s="134"/>
      <c r="E757" s="134"/>
      <c r="F757" s="134"/>
      <c r="G757" s="134"/>
      <c r="H757" s="134"/>
      <c r="I757" s="134"/>
      <c r="J757" s="134"/>
      <c r="K757" s="134"/>
      <c r="L757" s="134"/>
      <c r="M757" s="134"/>
    </row>
    <row r="758" spans="3:13" ht="12.75">
      <c r="C758" s="134"/>
      <c r="D758" s="134"/>
      <c r="E758" s="134"/>
      <c r="F758" s="134"/>
      <c r="G758" s="134"/>
      <c r="H758" s="134"/>
      <c r="I758" s="134"/>
      <c r="J758" s="134"/>
      <c r="K758" s="134"/>
      <c r="L758" s="134"/>
      <c r="M758" s="134"/>
    </row>
    <row r="759" spans="3:13" ht="12.75">
      <c r="C759" s="134"/>
      <c r="D759" s="134"/>
      <c r="E759" s="134"/>
      <c r="F759" s="134"/>
      <c r="G759" s="134"/>
      <c r="H759" s="134"/>
      <c r="I759" s="134"/>
      <c r="J759" s="134"/>
      <c r="K759" s="134"/>
      <c r="L759" s="134"/>
      <c r="M759" s="134"/>
    </row>
    <row r="760" spans="3:13" ht="12.75">
      <c r="C760" s="134"/>
      <c r="D760" s="134"/>
      <c r="E760" s="134"/>
      <c r="F760" s="134"/>
      <c r="G760" s="134"/>
      <c r="H760" s="134"/>
      <c r="I760" s="134"/>
      <c r="J760" s="134"/>
      <c r="K760" s="134"/>
      <c r="L760" s="134"/>
      <c r="M760" s="134"/>
    </row>
    <row r="761" spans="3:13" ht="12.75">
      <c r="C761" s="134"/>
      <c r="D761" s="134"/>
      <c r="E761" s="134"/>
      <c r="F761" s="134"/>
      <c r="G761" s="134"/>
      <c r="H761" s="134"/>
      <c r="I761" s="134"/>
      <c r="J761" s="134"/>
      <c r="K761" s="134"/>
      <c r="L761" s="134"/>
      <c r="M761" s="134"/>
    </row>
    <row r="762" spans="3:13" ht="12.75">
      <c r="C762" s="134"/>
      <c r="D762" s="134"/>
      <c r="E762" s="134"/>
      <c r="F762" s="134"/>
      <c r="G762" s="134"/>
      <c r="H762" s="134"/>
      <c r="I762" s="134"/>
      <c r="J762" s="134"/>
      <c r="K762" s="134"/>
      <c r="L762" s="134"/>
      <c r="M762" s="134"/>
    </row>
    <row r="763" spans="3:13" ht="12.75">
      <c r="C763" s="134"/>
      <c r="D763" s="134"/>
      <c r="E763" s="134"/>
      <c r="F763" s="134"/>
      <c r="G763" s="134"/>
      <c r="H763" s="134"/>
      <c r="I763" s="134"/>
      <c r="J763" s="134"/>
      <c r="K763" s="134"/>
      <c r="L763" s="134"/>
      <c r="M763" s="134"/>
    </row>
    <row r="764" spans="3:13" ht="12.75">
      <c r="C764" s="134"/>
      <c r="D764" s="134"/>
      <c r="E764" s="134"/>
      <c r="F764" s="134"/>
      <c r="G764" s="134"/>
      <c r="H764" s="134"/>
      <c r="I764" s="134"/>
      <c r="J764" s="134"/>
      <c r="K764" s="134"/>
      <c r="L764" s="134"/>
      <c r="M764" s="134"/>
    </row>
    <row r="765" spans="3:13" ht="12.75">
      <c r="C765" s="134"/>
      <c r="D765" s="134"/>
      <c r="E765" s="134"/>
      <c r="F765" s="134"/>
      <c r="G765" s="134"/>
      <c r="H765" s="134"/>
      <c r="I765" s="134"/>
      <c r="J765" s="134"/>
      <c r="K765" s="134"/>
      <c r="L765" s="134"/>
      <c r="M765" s="134"/>
    </row>
    <row r="766" spans="3:13" ht="12.75">
      <c r="C766" s="134"/>
      <c r="D766" s="134"/>
      <c r="E766" s="134"/>
      <c r="F766" s="134"/>
      <c r="G766" s="134"/>
      <c r="H766" s="134"/>
      <c r="I766" s="134"/>
      <c r="J766" s="134"/>
      <c r="K766" s="134"/>
      <c r="L766" s="134"/>
      <c r="M766" s="134"/>
    </row>
    <row r="767" spans="3:13" ht="12.75">
      <c r="C767" s="134"/>
      <c r="D767" s="134"/>
      <c r="E767" s="134"/>
      <c r="F767" s="134"/>
      <c r="G767" s="134"/>
      <c r="H767" s="134"/>
      <c r="I767" s="134"/>
      <c r="J767" s="134"/>
      <c r="K767" s="134"/>
      <c r="L767" s="134"/>
      <c r="M767" s="134"/>
    </row>
    <row r="768" spans="3:13" ht="12.75">
      <c r="C768" s="134"/>
      <c r="D768" s="134"/>
      <c r="E768" s="134"/>
      <c r="F768" s="134"/>
      <c r="G768" s="134"/>
      <c r="H768" s="134"/>
      <c r="I768" s="134"/>
      <c r="J768" s="134"/>
      <c r="K768" s="134"/>
      <c r="L768" s="134"/>
      <c r="M768" s="134"/>
    </row>
    <row r="769" spans="3:13" ht="12.75">
      <c r="C769" s="134"/>
      <c r="D769" s="134"/>
      <c r="E769" s="134"/>
      <c r="F769" s="134"/>
      <c r="G769" s="134"/>
      <c r="H769" s="134"/>
      <c r="I769" s="134"/>
      <c r="J769" s="134"/>
      <c r="K769" s="134"/>
      <c r="L769" s="134"/>
      <c r="M769" s="134"/>
    </row>
    <row r="770" spans="3:13" ht="12.75">
      <c r="C770" s="134"/>
      <c r="D770" s="134"/>
      <c r="E770" s="134"/>
      <c r="F770" s="134"/>
      <c r="G770" s="134"/>
      <c r="H770" s="134"/>
      <c r="I770" s="134"/>
      <c r="J770" s="134"/>
      <c r="K770" s="134"/>
      <c r="L770" s="134"/>
      <c r="M770" s="134"/>
    </row>
    <row r="771" spans="3:13" ht="12.75">
      <c r="C771" s="134"/>
      <c r="D771" s="134"/>
      <c r="E771" s="134"/>
      <c r="F771" s="134"/>
      <c r="G771" s="134"/>
      <c r="H771" s="134"/>
      <c r="I771" s="134"/>
      <c r="J771" s="134"/>
      <c r="K771" s="134"/>
      <c r="L771" s="134"/>
      <c r="M771" s="134"/>
    </row>
    <row r="772" spans="3:13" ht="12.75">
      <c r="C772" s="134"/>
      <c r="D772" s="134"/>
      <c r="E772" s="134"/>
      <c r="F772" s="134"/>
      <c r="G772" s="134"/>
      <c r="H772" s="134"/>
      <c r="I772" s="134"/>
      <c r="J772" s="134"/>
      <c r="K772" s="134"/>
      <c r="L772" s="134"/>
      <c r="M772" s="134"/>
    </row>
    <row r="773" spans="3:13" ht="12.75">
      <c r="C773" s="134"/>
      <c r="D773" s="134"/>
      <c r="E773" s="134"/>
      <c r="F773" s="134"/>
      <c r="G773" s="134"/>
      <c r="H773" s="134"/>
      <c r="I773" s="134"/>
      <c r="J773" s="134"/>
      <c r="K773" s="134"/>
      <c r="L773" s="134"/>
      <c r="M773" s="134"/>
    </row>
    <row r="774" spans="3:13" ht="12.75">
      <c r="C774" s="134"/>
      <c r="D774" s="134"/>
      <c r="E774" s="134"/>
      <c r="F774" s="134"/>
      <c r="G774" s="134"/>
      <c r="H774" s="134"/>
      <c r="I774" s="134"/>
      <c r="J774" s="134"/>
      <c r="K774" s="134"/>
      <c r="L774" s="134"/>
      <c r="M774" s="134"/>
    </row>
    <row r="775" spans="3:13" ht="12.75">
      <c r="C775" s="134"/>
      <c r="D775" s="134"/>
      <c r="E775" s="134"/>
      <c r="F775" s="134"/>
      <c r="G775" s="134"/>
      <c r="H775" s="134"/>
      <c r="I775" s="134"/>
      <c r="J775" s="134"/>
      <c r="K775" s="134"/>
      <c r="L775" s="134"/>
      <c r="M775" s="134"/>
    </row>
    <row r="776" spans="3:13" ht="12.75">
      <c r="C776" s="134"/>
      <c r="D776" s="134"/>
      <c r="E776" s="134"/>
      <c r="F776" s="134"/>
      <c r="G776" s="134"/>
      <c r="H776" s="134"/>
      <c r="I776" s="134"/>
      <c r="J776" s="134"/>
      <c r="K776" s="134"/>
      <c r="L776" s="134"/>
      <c r="M776" s="134"/>
    </row>
    <row r="777" spans="3:13" ht="12.75">
      <c r="C777" s="134"/>
      <c r="D777" s="134"/>
      <c r="E777" s="134"/>
      <c r="F777" s="134"/>
      <c r="G777" s="134"/>
      <c r="H777" s="134"/>
      <c r="I777" s="134"/>
      <c r="J777" s="134"/>
      <c r="K777" s="134"/>
      <c r="L777" s="134"/>
      <c r="M777" s="134"/>
    </row>
    <row r="778" spans="3:13" ht="12.75">
      <c r="C778" s="134"/>
      <c r="D778" s="134"/>
      <c r="E778" s="134"/>
      <c r="F778" s="134"/>
      <c r="G778" s="134"/>
      <c r="H778" s="134"/>
      <c r="I778" s="134"/>
      <c r="J778" s="134"/>
      <c r="K778" s="134"/>
      <c r="L778" s="134"/>
      <c r="M778" s="134"/>
    </row>
    <row r="779" spans="3:13" ht="12.75">
      <c r="C779" s="134"/>
      <c r="D779" s="134"/>
      <c r="E779" s="134"/>
      <c r="F779" s="134"/>
      <c r="G779" s="134"/>
      <c r="H779" s="134"/>
      <c r="I779" s="134"/>
      <c r="J779" s="134"/>
      <c r="K779" s="134"/>
      <c r="L779" s="134"/>
      <c r="M779" s="134"/>
    </row>
    <row r="780" spans="3:13" ht="12.75">
      <c r="C780" s="134"/>
      <c r="D780" s="134"/>
      <c r="E780" s="134"/>
      <c r="F780" s="134"/>
      <c r="G780" s="134"/>
      <c r="H780" s="134"/>
      <c r="I780" s="134"/>
      <c r="J780" s="134"/>
      <c r="K780" s="134"/>
      <c r="L780" s="134"/>
      <c r="M780" s="134"/>
    </row>
    <row r="781" spans="3:13" ht="12.75">
      <c r="C781" s="134"/>
      <c r="D781" s="134"/>
      <c r="E781" s="134"/>
      <c r="F781" s="134"/>
      <c r="G781" s="134"/>
      <c r="H781" s="134"/>
      <c r="I781" s="134"/>
      <c r="J781" s="134"/>
      <c r="K781" s="134"/>
      <c r="L781" s="134"/>
      <c r="M781" s="134"/>
    </row>
    <row r="782" spans="3:13" ht="12.75">
      <c r="C782" s="134"/>
      <c r="D782" s="134"/>
      <c r="E782" s="134"/>
      <c r="F782" s="134"/>
      <c r="G782" s="134"/>
      <c r="H782" s="134"/>
      <c r="I782" s="134"/>
      <c r="J782" s="134"/>
      <c r="K782" s="134"/>
      <c r="L782" s="134"/>
      <c r="M782" s="134"/>
    </row>
    <row r="783" spans="3:13" ht="12.75">
      <c r="C783" s="134"/>
      <c r="D783" s="134"/>
      <c r="E783" s="134"/>
      <c r="F783" s="134"/>
      <c r="G783" s="134"/>
      <c r="H783" s="134"/>
      <c r="I783" s="134"/>
      <c r="J783" s="134"/>
      <c r="K783" s="134"/>
      <c r="L783" s="134"/>
      <c r="M783" s="134"/>
    </row>
    <row r="784" spans="3:13" ht="12.75">
      <c r="C784" s="134"/>
      <c r="D784" s="134"/>
      <c r="E784" s="134"/>
      <c r="F784" s="134"/>
      <c r="G784" s="134"/>
      <c r="H784" s="134"/>
      <c r="I784" s="134"/>
      <c r="J784" s="134"/>
      <c r="K784" s="134"/>
      <c r="L784" s="134"/>
      <c r="M784" s="134"/>
    </row>
    <row r="785" spans="3:13" ht="12.75">
      <c r="C785" s="134"/>
      <c r="D785" s="134"/>
      <c r="E785" s="134"/>
      <c r="F785" s="134"/>
      <c r="G785" s="134"/>
      <c r="H785" s="134"/>
      <c r="I785" s="134"/>
      <c r="J785" s="134"/>
      <c r="K785" s="134"/>
      <c r="L785" s="134"/>
      <c r="M785" s="134"/>
    </row>
    <row r="786" spans="3:13" ht="12.75">
      <c r="C786" s="134"/>
      <c r="D786" s="134"/>
      <c r="E786" s="134"/>
      <c r="F786" s="134"/>
      <c r="G786" s="134"/>
      <c r="H786" s="134"/>
      <c r="I786" s="134"/>
      <c r="J786" s="134"/>
      <c r="K786" s="134"/>
      <c r="L786" s="134"/>
      <c r="M786" s="134"/>
    </row>
    <row r="787" spans="3:13" ht="12.75">
      <c r="C787" s="134"/>
      <c r="D787" s="134"/>
      <c r="E787" s="134"/>
      <c r="F787" s="134"/>
      <c r="G787" s="134"/>
      <c r="H787" s="134"/>
      <c r="I787" s="134"/>
      <c r="J787" s="134"/>
      <c r="K787" s="134"/>
      <c r="L787" s="134"/>
      <c r="M787" s="134"/>
    </row>
    <row r="788" spans="3:13" ht="12.75">
      <c r="C788" s="134"/>
      <c r="D788" s="134"/>
      <c r="E788" s="134"/>
      <c r="F788" s="134"/>
      <c r="G788" s="134"/>
      <c r="H788" s="134"/>
      <c r="I788" s="134"/>
      <c r="J788" s="134"/>
      <c r="K788" s="134"/>
      <c r="L788" s="134"/>
      <c r="M788" s="134"/>
    </row>
    <row r="789" spans="3:13" ht="12.75">
      <c r="C789" s="134"/>
      <c r="D789" s="134"/>
      <c r="E789" s="134"/>
      <c r="F789" s="134"/>
      <c r="G789" s="134"/>
      <c r="H789" s="134"/>
      <c r="I789" s="134"/>
      <c r="J789" s="134"/>
      <c r="K789" s="134"/>
      <c r="L789" s="134"/>
      <c r="M789" s="134"/>
    </row>
    <row r="790" spans="3:13" ht="12.75">
      <c r="C790" s="134"/>
      <c r="D790" s="134"/>
      <c r="E790" s="134"/>
      <c r="F790" s="134"/>
      <c r="G790" s="134"/>
      <c r="H790" s="134"/>
      <c r="I790" s="134"/>
      <c r="J790" s="134"/>
      <c r="K790" s="134"/>
      <c r="L790" s="134"/>
      <c r="M790" s="134"/>
    </row>
    <row r="791" spans="3:13" ht="12.75">
      <c r="C791" s="134"/>
      <c r="D791" s="134"/>
      <c r="E791" s="134"/>
      <c r="F791" s="134"/>
      <c r="G791" s="134"/>
      <c r="H791" s="134"/>
      <c r="I791" s="134"/>
      <c r="J791" s="134"/>
      <c r="K791" s="134"/>
      <c r="L791" s="134"/>
      <c r="M791" s="134"/>
    </row>
    <row r="792" spans="3:13" ht="12.75">
      <c r="C792" s="134"/>
      <c r="D792" s="134"/>
      <c r="E792" s="134"/>
      <c r="F792" s="134"/>
      <c r="G792" s="134"/>
      <c r="H792" s="134"/>
      <c r="I792" s="134"/>
      <c r="J792" s="134"/>
      <c r="K792" s="134"/>
      <c r="L792" s="134"/>
      <c r="M792" s="134"/>
    </row>
    <row r="793" spans="3:13" ht="12.75">
      <c r="C793" s="134"/>
      <c r="D793" s="134"/>
      <c r="E793" s="134"/>
      <c r="F793" s="134"/>
      <c r="G793" s="134"/>
      <c r="H793" s="134"/>
      <c r="I793" s="134"/>
      <c r="J793" s="134"/>
      <c r="K793" s="134"/>
      <c r="L793" s="134"/>
      <c r="M793" s="134"/>
    </row>
    <row r="794" spans="3:13" ht="12.75">
      <c r="C794" s="134"/>
      <c r="D794" s="134"/>
      <c r="E794" s="134"/>
      <c r="F794" s="134"/>
      <c r="G794" s="134"/>
      <c r="H794" s="134"/>
      <c r="I794" s="134"/>
      <c r="J794" s="134"/>
      <c r="K794" s="134"/>
      <c r="L794" s="134"/>
      <c r="M794" s="134"/>
    </row>
    <row r="795" spans="3:13" ht="12.75">
      <c r="C795" s="134"/>
      <c r="D795" s="134"/>
      <c r="E795" s="134"/>
      <c r="F795" s="134"/>
      <c r="G795" s="134"/>
      <c r="H795" s="134"/>
      <c r="I795" s="134"/>
      <c r="J795" s="134"/>
      <c r="K795" s="134"/>
      <c r="L795" s="134"/>
      <c r="M795" s="134"/>
    </row>
    <row r="796" spans="3:13" ht="12.75">
      <c r="C796" s="134"/>
      <c r="D796" s="134"/>
      <c r="E796" s="134"/>
      <c r="F796" s="134"/>
      <c r="G796" s="134"/>
      <c r="H796" s="134"/>
      <c r="I796" s="134"/>
      <c r="J796" s="134"/>
      <c r="K796" s="134"/>
      <c r="L796" s="134"/>
      <c r="M796" s="134"/>
    </row>
    <row r="797" spans="3:13" ht="12.75">
      <c r="C797" s="134"/>
      <c r="D797" s="134"/>
      <c r="E797" s="134"/>
      <c r="F797" s="134"/>
      <c r="G797" s="134"/>
      <c r="H797" s="134"/>
      <c r="I797" s="134"/>
      <c r="J797" s="134"/>
      <c r="K797" s="134"/>
      <c r="L797" s="134"/>
      <c r="M797" s="134"/>
    </row>
    <row r="798" spans="3:13" ht="12.75">
      <c r="C798" s="134"/>
      <c r="D798" s="134"/>
      <c r="E798" s="134"/>
      <c r="F798" s="134"/>
      <c r="G798" s="134"/>
      <c r="H798" s="134"/>
      <c r="I798" s="134"/>
      <c r="J798" s="134"/>
      <c r="K798" s="134"/>
      <c r="L798" s="134"/>
      <c r="M798" s="134"/>
    </row>
    <row r="799" spans="3:13" ht="12.75">
      <c r="C799" s="134"/>
      <c r="D799" s="134"/>
      <c r="E799" s="134"/>
      <c r="F799" s="134"/>
      <c r="G799" s="134"/>
      <c r="H799" s="134"/>
      <c r="I799" s="134"/>
      <c r="J799" s="134"/>
      <c r="K799" s="134"/>
      <c r="L799" s="134"/>
      <c r="M799" s="134"/>
    </row>
    <row r="800" spans="3:13" ht="12.75">
      <c r="C800" s="134"/>
      <c r="D800" s="134"/>
      <c r="E800" s="134"/>
      <c r="F800" s="134"/>
      <c r="G800" s="134"/>
      <c r="H800" s="134"/>
      <c r="I800" s="134"/>
      <c r="J800" s="134"/>
      <c r="K800" s="134"/>
      <c r="L800" s="134"/>
      <c r="M800" s="134"/>
    </row>
    <row r="801" spans="3:13" ht="12.75">
      <c r="C801" s="134"/>
      <c r="D801" s="134"/>
      <c r="E801" s="134"/>
      <c r="F801" s="134"/>
      <c r="G801" s="134"/>
      <c r="H801" s="134"/>
      <c r="I801" s="134"/>
      <c r="J801" s="134"/>
      <c r="K801" s="134"/>
      <c r="L801" s="134"/>
      <c r="M801" s="134"/>
    </row>
    <row r="802" spans="3:13" ht="12.75">
      <c r="C802" s="134"/>
      <c r="D802" s="134"/>
      <c r="E802" s="134"/>
      <c r="F802" s="134"/>
      <c r="G802" s="134"/>
      <c r="H802" s="134"/>
      <c r="I802" s="134"/>
      <c r="J802" s="134"/>
      <c r="K802" s="134"/>
      <c r="L802" s="134"/>
      <c r="M802" s="134"/>
    </row>
    <row r="803" spans="3:13" ht="12.75">
      <c r="C803" s="134"/>
      <c r="D803" s="134"/>
      <c r="E803" s="134"/>
      <c r="F803" s="134"/>
      <c r="G803" s="134"/>
      <c r="H803" s="134"/>
      <c r="I803" s="134"/>
      <c r="J803" s="134"/>
      <c r="K803" s="134"/>
      <c r="L803" s="134"/>
      <c r="M803" s="134"/>
    </row>
    <row r="804" spans="3:13" ht="12.75">
      <c r="C804" s="134"/>
      <c r="D804" s="134"/>
      <c r="E804" s="134"/>
      <c r="F804" s="134"/>
      <c r="G804" s="134"/>
      <c r="H804" s="134"/>
      <c r="I804" s="134"/>
      <c r="J804" s="134"/>
      <c r="K804" s="134"/>
      <c r="L804" s="134"/>
      <c r="M804" s="134"/>
    </row>
    <row r="805" spans="3:13" ht="12.75">
      <c r="C805" s="134"/>
      <c r="D805" s="134"/>
      <c r="E805" s="134"/>
      <c r="F805" s="134"/>
      <c r="G805" s="134"/>
      <c r="H805" s="134"/>
      <c r="I805" s="134"/>
      <c r="J805" s="134"/>
      <c r="K805" s="134"/>
      <c r="L805" s="134"/>
      <c r="M805" s="134"/>
    </row>
    <row r="806" spans="3:13" ht="12.75">
      <c r="C806" s="134"/>
      <c r="D806" s="134"/>
      <c r="E806" s="134"/>
      <c r="F806" s="134"/>
      <c r="G806" s="134"/>
      <c r="H806" s="134"/>
      <c r="I806" s="134"/>
      <c r="J806" s="134"/>
      <c r="K806" s="134"/>
      <c r="L806" s="134"/>
      <c r="M806" s="134"/>
    </row>
    <row r="807" spans="3:13" ht="12.75">
      <c r="C807" s="134"/>
      <c r="D807" s="134"/>
      <c r="E807" s="134"/>
      <c r="F807" s="134"/>
      <c r="G807" s="134"/>
      <c r="H807" s="134"/>
      <c r="I807" s="134"/>
      <c r="J807" s="134"/>
      <c r="K807" s="134"/>
      <c r="L807" s="134"/>
      <c r="M807" s="134"/>
    </row>
    <row r="808" spans="3:13" ht="12.75">
      <c r="C808" s="134"/>
      <c r="D808" s="134"/>
      <c r="E808" s="134"/>
      <c r="F808" s="134"/>
      <c r="G808" s="134"/>
      <c r="H808" s="134"/>
      <c r="I808" s="134"/>
      <c r="J808" s="134"/>
      <c r="K808" s="134"/>
      <c r="L808" s="134"/>
      <c r="M808" s="134"/>
    </row>
    <row r="809" spans="3:13" ht="12.75">
      <c r="C809" s="134"/>
      <c r="D809" s="134"/>
      <c r="E809" s="134"/>
      <c r="F809" s="134"/>
      <c r="G809" s="134"/>
      <c r="H809" s="134"/>
      <c r="I809" s="134"/>
      <c r="J809" s="134"/>
      <c r="K809" s="134"/>
      <c r="L809" s="134"/>
      <c r="M809" s="134"/>
    </row>
    <row r="810" spans="3:13" ht="12.75">
      <c r="C810" s="134"/>
      <c r="D810" s="134"/>
      <c r="E810" s="134"/>
      <c r="F810" s="134"/>
      <c r="G810" s="134"/>
      <c r="H810" s="134"/>
      <c r="I810" s="134"/>
      <c r="J810" s="134"/>
      <c r="K810" s="134"/>
      <c r="L810" s="134"/>
      <c r="M810" s="134"/>
    </row>
    <row r="811" spans="3:13" ht="12.75">
      <c r="C811" s="134"/>
      <c r="D811" s="134"/>
      <c r="E811" s="134"/>
      <c r="F811" s="134"/>
      <c r="G811" s="134"/>
      <c r="H811" s="134"/>
      <c r="I811" s="134"/>
      <c r="J811" s="134"/>
      <c r="K811" s="134"/>
      <c r="L811" s="134"/>
      <c r="M811" s="134"/>
    </row>
    <row r="812" spans="3:13" ht="12.75">
      <c r="C812" s="134"/>
      <c r="D812" s="134"/>
      <c r="E812" s="134"/>
      <c r="F812" s="134"/>
      <c r="G812" s="134"/>
      <c r="H812" s="134"/>
      <c r="I812" s="134"/>
      <c r="J812" s="134"/>
      <c r="K812" s="134"/>
      <c r="L812" s="134"/>
      <c r="M812" s="134"/>
    </row>
    <row r="813" spans="3:13" ht="12.75">
      <c r="C813" s="134"/>
      <c r="D813" s="134"/>
      <c r="E813" s="134"/>
      <c r="F813" s="134"/>
      <c r="G813" s="134"/>
      <c r="H813" s="134"/>
      <c r="I813" s="134"/>
      <c r="J813" s="134"/>
      <c r="K813" s="134"/>
      <c r="L813" s="134"/>
      <c r="M813" s="134"/>
    </row>
    <row r="814" spans="3:13" ht="12.75">
      <c r="C814" s="134"/>
      <c r="D814" s="134"/>
      <c r="E814" s="134"/>
      <c r="F814" s="134"/>
      <c r="G814" s="134"/>
      <c r="H814" s="134"/>
      <c r="I814" s="134"/>
      <c r="J814" s="134"/>
      <c r="K814" s="134"/>
      <c r="L814" s="134"/>
      <c r="M814" s="134"/>
    </row>
    <row r="815" spans="3:13" ht="12.75">
      <c r="C815" s="134"/>
      <c r="D815" s="134"/>
      <c r="E815" s="134"/>
      <c r="F815" s="134"/>
      <c r="G815" s="134"/>
      <c r="H815" s="134"/>
      <c r="I815" s="134"/>
      <c r="J815" s="134"/>
      <c r="K815" s="134"/>
      <c r="L815" s="134"/>
      <c r="M815" s="134"/>
    </row>
    <row r="816" spans="3:13" ht="12.75">
      <c r="C816" s="134"/>
      <c r="D816" s="134"/>
      <c r="E816" s="134"/>
      <c r="F816" s="134"/>
      <c r="G816" s="134"/>
      <c r="H816" s="134"/>
      <c r="I816" s="134"/>
      <c r="J816" s="134"/>
      <c r="K816" s="134"/>
      <c r="L816" s="134"/>
      <c r="M816" s="134"/>
    </row>
    <row r="817" spans="3:13" ht="12.75">
      <c r="C817" s="134"/>
      <c r="D817" s="134"/>
      <c r="E817" s="134"/>
      <c r="F817" s="134"/>
      <c r="G817" s="134"/>
      <c r="H817" s="134"/>
      <c r="I817" s="134"/>
      <c r="J817" s="134"/>
      <c r="K817" s="134"/>
      <c r="L817" s="134"/>
      <c r="M817" s="134"/>
    </row>
    <row r="818" spans="3:13" ht="12.75">
      <c r="C818" s="134"/>
      <c r="D818" s="134"/>
      <c r="E818" s="134"/>
      <c r="F818" s="134"/>
      <c r="G818" s="134"/>
      <c r="H818" s="134"/>
      <c r="I818" s="134"/>
      <c r="J818" s="134"/>
      <c r="K818" s="134"/>
      <c r="L818" s="134"/>
      <c r="M818" s="134"/>
    </row>
    <row r="819" spans="3:13" ht="12.75">
      <c r="C819" s="134"/>
      <c r="D819" s="134"/>
      <c r="E819" s="134"/>
      <c r="F819" s="134"/>
      <c r="G819" s="134"/>
      <c r="H819" s="134"/>
      <c r="I819" s="134"/>
      <c r="J819" s="134"/>
      <c r="K819" s="134"/>
      <c r="L819" s="134"/>
      <c r="M819" s="134"/>
    </row>
    <row r="820" spans="3:13" ht="12.75">
      <c r="C820" s="134"/>
      <c r="D820" s="134"/>
      <c r="E820" s="134"/>
      <c r="F820" s="134"/>
      <c r="G820" s="134"/>
      <c r="H820" s="134"/>
      <c r="I820" s="134"/>
      <c r="J820" s="134"/>
      <c r="K820" s="134"/>
      <c r="L820" s="134"/>
      <c r="M820" s="134"/>
    </row>
    <row r="821" spans="3:13" ht="12.75">
      <c r="C821" s="134"/>
      <c r="D821" s="134"/>
      <c r="E821" s="134"/>
      <c r="F821" s="134"/>
      <c r="G821" s="134"/>
      <c r="H821" s="134"/>
      <c r="I821" s="134"/>
      <c r="J821" s="134"/>
      <c r="K821" s="134"/>
      <c r="L821" s="134"/>
      <c r="M821" s="134"/>
    </row>
    <row r="822" spans="3:13" ht="12.75">
      <c r="C822" s="134"/>
      <c r="D822" s="134"/>
      <c r="E822" s="134"/>
      <c r="F822" s="134"/>
      <c r="G822" s="134"/>
      <c r="H822" s="134"/>
      <c r="I822" s="134"/>
      <c r="J822" s="134"/>
      <c r="K822" s="134"/>
      <c r="L822" s="134"/>
      <c r="M822" s="134"/>
    </row>
    <row r="823" spans="3:13" ht="12.75">
      <c r="C823" s="134"/>
      <c r="D823" s="134"/>
      <c r="E823" s="134"/>
      <c r="F823" s="134"/>
      <c r="G823" s="134"/>
      <c r="H823" s="134"/>
      <c r="I823" s="134"/>
      <c r="J823" s="134"/>
      <c r="K823" s="134"/>
      <c r="L823" s="134"/>
      <c r="M823" s="134"/>
    </row>
    <row r="824" spans="3:13" ht="12.75">
      <c r="C824" s="134"/>
      <c r="D824" s="134"/>
      <c r="E824" s="134"/>
      <c r="F824" s="134"/>
      <c r="G824" s="134"/>
      <c r="H824" s="134"/>
      <c r="I824" s="134"/>
      <c r="J824" s="134"/>
      <c r="K824" s="134"/>
      <c r="L824" s="134"/>
      <c r="M824" s="134"/>
    </row>
    <row r="825" spans="3:13" ht="12.75">
      <c r="C825" s="134"/>
      <c r="D825" s="134"/>
      <c r="E825" s="134"/>
      <c r="F825" s="134"/>
      <c r="G825" s="134"/>
      <c r="H825" s="134"/>
      <c r="I825" s="134"/>
      <c r="J825" s="134"/>
      <c r="K825" s="134"/>
      <c r="L825" s="134"/>
      <c r="M825" s="134"/>
    </row>
    <row r="826" spans="3:13" ht="12.75">
      <c r="C826" s="134"/>
      <c r="D826" s="134"/>
      <c r="E826" s="134"/>
      <c r="F826" s="134"/>
      <c r="G826" s="134"/>
      <c r="H826" s="134"/>
      <c r="I826" s="134"/>
      <c r="J826" s="134"/>
      <c r="K826" s="134"/>
      <c r="L826" s="134"/>
      <c r="M826" s="134"/>
    </row>
    <row r="827" spans="3:13" ht="12.75">
      <c r="C827" s="134"/>
      <c r="D827" s="134"/>
      <c r="E827" s="134"/>
      <c r="F827" s="134"/>
      <c r="G827" s="134"/>
      <c r="H827" s="134"/>
      <c r="I827" s="134"/>
      <c r="J827" s="134"/>
      <c r="K827" s="134"/>
      <c r="L827" s="134"/>
      <c r="M827" s="134"/>
    </row>
    <row r="828" spans="3:13" ht="12.75">
      <c r="C828" s="134"/>
      <c r="D828" s="134"/>
      <c r="E828" s="134"/>
      <c r="F828" s="134"/>
      <c r="G828" s="134"/>
      <c r="H828" s="134"/>
      <c r="I828" s="134"/>
      <c r="J828" s="134"/>
      <c r="K828" s="134"/>
      <c r="L828" s="134"/>
      <c r="M828" s="134"/>
    </row>
    <row r="829" spans="3:13" ht="12.75">
      <c r="C829" s="134"/>
      <c r="D829" s="134"/>
      <c r="E829" s="134"/>
      <c r="F829" s="134"/>
      <c r="G829" s="134"/>
      <c r="H829" s="134"/>
      <c r="I829" s="134"/>
      <c r="J829" s="134"/>
      <c r="K829" s="134"/>
      <c r="L829" s="134"/>
      <c r="M829" s="134"/>
    </row>
    <row r="830" spans="3:13" ht="12.75">
      <c r="C830" s="134"/>
      <c r="D830" s="134"/>
      <c r="E830" s="134"/>
      <c r="F830" s="134"/>
      <c r="G830" s="134"/>
      <c r="H830" s="134"/>
      <c r="I830" s="134"/>
      <c r="J830" s="134"/>
      <c r="K830" s="134"/>
      <c r="L830" s="134"/>
      <c r="M830" s="134"/>
    </row>
    <row r="831" spans="3:13" ht="12.75">
      <c r="C831" s="134"/>
      <c r="D831" s="134"/>
      <c r="E831" s="134"/>
      <c r="F831" s="134"/>
      <c r="G831" s="134"/>
      <c r="H831" s="134"/>
      <c r="I831" s="134"/>
      <c r="J831" s="134"/>
      <c r="K831" s="134"/>
      <c r="L831" s="134"/>
      <c r="M831" s="134"/>
    </row>
    <row r="832" spans="3:13" ht="12.75">
      <c r="C832" s="134"/>
      <c r="D832" s="134"/>
      <c r="E832" s="134"/>
      <c r="F832" s="134"/>
      <c r="G832" s="134"/>
      <c r="H832" s="134"/>
      <c r="I832" s="134"/>
      <c r="J832" s="134"/>
      <c r="K832" s="134"/>
      <c r="L832" s="134"/>
      <c r="M832" s="134"/>
    </row>
    <row r="833" spans="3:13" ht="12.75">
      <c r="C833" s="134"/>
      <c r="D833" s="134"/>
      <c r="E833" s="134"/>
      <c r="F833" s="134"/>
      <c r="G833" s="134"/>
      <c r="H833" s="134"/>
      <c r="I833" s="134"/>
      <c r="J833" s="134"/>
      <c r="K833" s="134"/>
      <c r="L833" s="134"/>
      <c r="M833" s="134"/>
    </row>
    <row r="834" spans="3:13" ht="12.75">
      <c r="C834" s="134"/>
      <c r="D834" s="134"/>
      <c r="E834" s="134"/>
      <c r="F834" s="134"/>
      <c r="G834" s="134"/>
      <c r="H834" s="134"/>
      <c r="I834" s="134"/>
      <c r="J834" s="134"/>
      <c r="K834" s="134"/>
      <c r="L834" s="134"/>
      <c r="M834" s="134"/>
    </row>
    <row r="835" spans="3:13" ht="12.75">
      <c r="C835" s="134"/>
      <c r="D835" s="134"/>
      <c r="E835" s="134"/>
      <c r="F835" s="134"/>
      <c r="G835" s="134"/>
      <c r="H835" s="134"/>
      <c r="I835" s="134"/>
      <c r="J835" s="134"/>
      <c r="K835" s="134"/>
      <c r="L835" s="134"/>
      <c r="M835" s="134"/>
    </row>
    <row r="836" spans="3:13" ht="12.75">
      <c r="C836" s="134"/>
      <c r="D836" s="134"/>
      <c r="E836" s="134"/>
      <c r="F836" s="134"/>
      <c r="G836" s="134"/>
      <c r="H836" s="134"/>
      <c r="I836" s="134"/>
      <c r="J836" s="134"/>
      <c r="K836" s="134"/>
      <c r="L836" s="134"/>
      <c r="M836" s="134"/>
    </row>
    <row r="837" spans="3:13" ht="12.75">
      <c r="C837" s="134"/>
      <c r="D837" s="134"/>
      <c r="E837" s="134"/>
      <c r="F837" s="134"/>
      <c r="G837" s="134"/>
      <c r="H837" s="134"/>
      <c r="I837" s="134"/>
      <c r="J837" s="134"/>
      <c r="K837" s="134"/>
      <c r="L837" s="134"/>
      <c r="M837" s="134"/>
    </row>
    <row r="838" spans="3:13" ht="12.75">
      <c r="C838" s="134"/>
      <c r="D838" s="134"/>
      <c r="E838" s="134"/>
      <c r="F838" s="134"/>
      <c r="G838" s="134"/>
      <c r="H838" s="134"/>
      <c r="I838" s="134"/>
      <c r="J838" s="134"/>
      <c r="K838" s="134"/>
      <c r="L838" s="134"/>
      <c r="M838" s="134"/>
    </row>
    <row r="839" spans="3:13" ht="12.75">
      <c r="C839" s="134"/>
      <c r="D839" s="134"/>
      <c r="E839" s="134"/>
      <c r="F839" s="134"/>
      <c r="G839" s="134"/>
      <c r="H839" s="134"/>
      <c r="I839" s="134"/>
      <c r="J839" s="134"/>
      <c r="K839" s="134"/>
      <c r="L839" s="134"/>
      <c r="M839" s="134"/>
    </row>
    <row r="840" spans="3:13" ht="12.75">
      <c r="C840" s="134"/>
      <c r="D840" s="134"/>
      <c r="E840" s="134"/>
      <c r="F840" s="134"/>
      <c r="G840" s="134"/>
      <c r="H840" s="134"/>
      <c r="I840" s="134"/>
      <c r="J840" s="134"/>
      <c r="K840" s="134"/>
      <c r="L840" s="134"/>
      <c r="M840" s="134"/>
    </row>
    <row r="841" spans="3:13" ht="12.75">
      <c r="C841" s="134"/>
      <c r="D841" s="134"/>
      <c r="E841" s="134"/>
      <c r="F841" s="134"/>
      <c r="G841" s="134"/>
      <c r="H841" s="134"/>
      <c r="I841" s="134"/>
      <c r="J841" s="134"/>
      <c r="K841" s="134"/>
      <c r="L841" s="134"/>
      <c r="M841" s="134"/>
    </row>
    <row r="842" spans="3:13" ht="12.75">
      <c r="C842" s="134"/>
      <c r="D842" s="134"/>
      <c r="E842" s="134"/>
      <c r="F842" s="134"/>
      <c r="G842" s="134"/>
      <c r="H842" s="134"/>
      <c r="I842" s="134"/>
      <c r="J842" s="134"/>
      <c r="K842" s="134"/>
      <c r="L842" s="134"/>
      <c r="M842" s="134"/>
    </row>
    <row r="843" spans="3:13" ht="12.75">
      <c r="C843" s="134"/>
      <c r="D843" s="134"/>
      <c r="E843" s="134"/>
      <c r="F843" s="134"/>
      <c r="G843" s="134"/>
      <c r="H843" s="134"/>
      <c r="I843" s="134"/>
      <c r="J843" s="134"/>
      <c r="K843" s="134"/>
      <c r="L843" s="134"/>
      <c r="M843" s="134"/>
    </row>
    <row r="844" spans="3:13" ht="12.75">
      <c r="C844" s="134"/>
      <c r="D844" s="134"/>
      <c r="E844" s="134"/>
      <c r="F844" s="134"/>
      <c r="G844" s="134"/>
      <c r="H844" s="134"/>
      <c r="I844" s="134"/>
      <c r="J844" s="134"/>
      <c r="K844" s="134"/>
      <c r="L844" s="134"/>
      <c r="M844" s="134"/>
    </row>
    <row r="845" spans="3:13" ht="12.75">
      <c r="C845" s="134"/>
      <c r="D845" s="134"/>
      <c r="E845" s="134"/>
      <c r="F845" s="134"/>
      <c r="G845" s="134"/>
      <c r="H845" s="134"/>
      <c r="I845" s="134"/>
      <c r="J845" s="134"/>
      <c r="K845" s="134"/>
      <c r="L845" s="134"/>
      <c r="M845" s="134"/>
    </row>
    <row r="846" spans="3:13" ht="12.75">
      <c r="C846" s="134"/>
      <c r="D846" s="134"/>
      <c r="E846" s="134"/>
      <c r="F846" s="134"/>
      <c r="G846" s="134"/>
      <c r="H846" s="134"/>
      <c r="I846" s="134"/>
      <c r="J846" s="134"/>
      <c r="K846" s="134"/>
      <c r="L846" s="134"/>
      <c r="M846" s="134"/>
    </row>
    <row r="847" spans="3:13" ht="12.75">
      <c r="C847" s="134"/>
      <c r="D847" s="134"/>
      <c r="E847" s="134"/>
      <c r="F847" s="134"/>
      <c r="G847" s="134"/>
      <c r="H847" s="134"/>
      <c r="I847" s="134"/>
      <c r="J847" s="134"/>
      <c r="K847" s="134"/>
      <c r="L847" s="134"/>
      <c r="M847" s="134"/>
    </row>
    <row r="848" spans="3:13" ht="12.75">
      <c r="C848" s="134"/>
      <c r="D848" s="134"/>
      <c r="E848" s="134"/>
      <c r="F848" s="134"/>
      <c r="G848" s="134"/>
      <c r="H848" s="134"/>
      <c r="I848" s="134"/>
      <c r="J848" s="134"/>
      <c r="K848" s="134"/>
      <c r="L848" s="134"/>
      <c r="M848" s="134"/>
    </row>
    <row r="849" spans="3:13" ht="12.75">
      <c r="C849" s="134"/>
      <c r="D849" s="134"/>
      <c r="E849" s="134"/>
      <c r="F849" s="134"/>
      <c r="G849" s="134"/>
      <c r="H849" s="134"/>
      <c r="I849" s="134"/>
      <c r="J849" s="134"/>
      <c r="K849" s="134"/>
      <c r="L849" s="134"/>
      <c r="M849" s="134"/>
    </row>
    <row r="850" spans="3:13" ht="12.75">
      <c r="C850" s="134"/>
      <c r="D850" s="134"/>
      <c r="E850" s="134"/>
      <c r="F850" s="134"/>
      <c r="G850" s="134"/>
      <c r="H850" s="134"/>
      <c r="I850" s="134"/>
      <c r="J850" s="134"/>
      <c r="K850" s="134"/>
      <c r="L850" s="134"/>
      <c r="M850" s="134"/>
    </row>
    <row r="851" spans="3:13" ht="12.75">
      <c r="C851" s="134"/>
      <c r="D851" s="134"/>
      <c r="E851" s="134"/>
      <c r="F851" s="134"/>
      <c r="G851" s="134"/>
      <c r="H851" s="134"/>
      <c r="I851" s="134"/>
      <c r="J851" s="134"/>
      <c r="K851" s="134"/>
      <c r="L851" s="134"/>
      <c r="M851" s="134"/>
    </row>
    <row r="852" spans="3:13" ht="12.75">
      <c r="C852" s="134"/>
      <c r="D852" s="134"/>
      <c r="E852" s="134"/>
      <c r="F852" s="134"/>
      <c r="G852" s="134"/>
      <c r="H852" s="134"/>
      <c r="I852" s="134"/>
      <c r="J852" s="134"/>
      <c r="K852" s="134"/>
      <c r="L852" s="134"/>
      <c r="M852" s="134"/>
    </row>
    <row r="853" spans="3:13" ht="12.75">
      <c r="C853" s="134"/>
      <c r="D853" s="134"/>
      <c r="E853" s="134"/>
      <c r="F853" s="134"/>
      <c r="G853" s="134"/>
      <c r="H853" s="134"/>
      <c r="I853" s="134"/>
      <c r="J853" s="134"/>
      <c r="K853" s="134"/>
      <c r="L853" s="134"/>
      <c r="M853" s="134"/>
    </row>
    <row r="854" spans="3:13" ht="12.75">
      <c r="C854" s="134"/>
      <c r="D854" s="134"/>
      <c r="E854" s="134"/>
      <c r="F854" s="134"/>
      <c r="G854" s="134"/>
      <c r="H854" s="134"/>
      <c r="I854" s="134"/>
      <c r="J854" s="134"/>
      <c r="K854" s="134"/>
      <c r="L854" s="134"/>
      <c r="M854" s="134"/>
    </row>
    <row r="855" spans="3:13" ht="12.75">
      <c r="C855" s="134"/>
      <c r="D855" s="134"/>
      <c r="E855" s="134"/>
      <c r="F855" s="134"/>
      <c r="G855" s="134"/>
      <c r="H855" s="134"/>
      <c r="I855" s="134"/>
      <c r="J855" s="134"/>
      <c r="K855" s="134"/>
      <c r="L855" s="134"/>
      <c r="M855" s="134"/>
    </row>
    <row r="856" spans="3:13" ht="12.75">
      <c r="C856" s="134"/>
      <c r="D856" s="134"/>
      <c r="E856" s="134"/>
      <c r="F856" s="134"/>
      <c r="G856" s="134"/>
      <c r="H856" s="134"/>
      <c r="I856" s="134"/>
      <c r="J856" s="134"/>
      <c r="K856" s="134"/>
      <c r="L856" s="134"/>
      <c r="M856" s="134"/>
    </row>
    <row r="857" spans="3:13" ht="12.75">
      <c r="C857" s="134"/>
      <c r="D857" s="134"/>
      <c r="E857" s="134"/>
      <c r="F857" s="134"/>
      <c r="G857" s="134"/>
      <c r="H857" s="134"/>
      <c r="I857" s="134"/>
      <c r="J857" s="134"/>
      <c r="K857" s="134"/>
      <c r="L857" s="134"/>
      <c r="M857" s="134"/>
    </row>
    <row r="858" spans="3:13" ht="12.75">
      <c r="C858" s="134"/>
      <c r="D858" s="134"/>
      <c r="E858" s="134"/>
      <c r="F858" s="134"/>
      <c r="G858" s="134"/>
      <c r="H858" s="134"/>
      <c r="I858" s="134"/>
      <c r="J858" s="134"/>
      <c r="K858" s="134"/>
      <c r="L858" s="134"/>
      <c r="M858" s="134"/>
    </row>
    <row r="859" spans="3:13" ht="12.75">
      <c r="C859" s="134"/>
      <c r="D859" s="134"/>
      <c r="E859" s="134"/>
      <c r="F859" s="134"/>
      <c r="G859" s="134"/>
      <c r="H859" s="134"/>
      <c r="I859" s="134"/>
      <c r="J859" s="134"/>
      <c r="K859" s="134"/>
      <c r="L859" s="134"/>
      <c r="M859" s="134"/>
    </row>
    <row r="860" spans="3:13" ht="12.75">
      <c r="C860" s="134"/>
      <c r="D860" s="134"/>
      <c r="E860" s="134"/>
      <c r="F860" s="134"/>
      <c r="G860" s="134"/>
      <c r="H860" s="134"/>
      <c r="I860" s="134"/>
      <c r="J860" s="134"/>
      <c r="K860" s="134"/>
      <c r="L860" s="134"/>
      <c r="M860" s="134"/>
    </row>
    <row r="861" spans="3:13" ht="12.75">
      <c r="C861" s="134"/>
      <c r="D861" s="134"/>
      <c r="E861" s="134"/>
      <c r="F861" s="134"/>
      <c r="G861" s="134"/>
      <c r="H861" s="134"/>
      <c r="I861" s="134"/>
      <c r="J861" s="134"/>
      <c r="K861" s="134"/>
      <c r="L861" s="134"/>
      <c r="M861" s="134"/>
    </row>
    <row r="862" spans="3:13" ht="12.75">
      <c r="C862" s="134"/>
      <c r="D862" s="134"/>
      <c r="E862" s="134"/>
      <c r="F862" s="134"/>
      <c r="G862" s="134"/>
      <c r="H862" s="134"/>
      <c r="I862" s="134"/>
      <c r="J862" s="134"/>
      <c r="K862" s="134"/>
      <c r="L862" s="134"/>
      <c r="M862" s="134"/>
    </row>
    <row r="863" spans="3:13" ht="12.75">
      <c r="C863" s="134"/>
      <c r="D863" s="134"/>
      <c r="E863" s="134"/>
      <c r="F863" s="134"/>
      <c r="G863" s="134"/>
      <c r="H863" s="134"/>
      <c r="I863" s="134"/>
      <c r="J863" s="134"/>
      <c r="K863" s="134"/>
      <c r="L863" s="134"/>
      <c r="M863" s="134"/>
    </row>
    <row r="864" spans="3:13" ht="12.75">
      <c r="C864" s="134"/>
      <c r="D864" s="134"/>
      <c r="E864" s="134"/>
      <c r="F864" s="134"/>
      <c r="G864" s="134"/>
      <c r="H864" s="134"/>
      <c r="I864" s="134"/>
      <c r="J864" s="134"/>
      <c r="K864" s="134"/>
      <c r="L864" s="134"/>
      <c r="M864" s="134"/>
    </row>
    <row r="865" spans="3:13" ht="12.75">
      <c r="C865" s="134"/>
      <c r="D865" s="134"/>
      <c r="E865" s="134"/>
      <c r="F865" s="134"/>
      <c r="G865" s="134"/>
      <c r="H865" s="134"/>
      <c r="I865" s="134"/>
      <c r="J865" s="134"/>
      <c r="K865" s="134"/>
      <c r="L865" s="134"/>
      <c r="M865" s="134"/>
    </row>
    <row r="866" spans="3:13" ht="12.75">
      <c r="C866" s="134"/>
      <c r="D866" s="134"/>
      <c r="E866" s="134"/>
      <c r="F866" s="134"/>
      <c r="G866" s="134"/>
      <c r="H866" s="134"/>
      <c r="I866" s="134"/>
      <c r="J866" s="134"/>
      <c r="K866" s="134"/>
      <c r="L866" s="134"/>
      <c r="M866" s="134"/>
    </row>
    <row r="867" spans="3:13" ht="12.75">
      <c r="C867" s="134"/>
      <c r="D867" s="134"/>
      <c r="E867" s="134"/>
      <c r="F867" s="134"/>
      <c r="G867" s="134"/>
      <c r="H867" s="134"/>
      <c r="I867" s="134"/>
      <c r="J867" s="134"/>
      <c r="K867" s="134"/>
      <c r="L867" s="134"/>
      <c r="M867" s="134"/>
    </row>
    <row r="868" spans="3:13" ht="12.75">
      <c r="C868" s="134"/>
      <c r="D868" s="134"/>
      <c r="E868" s="134"/>
      <c r="F868" s="134"/>
      <c r="G868" s="134"/>
      <c r="H868" s="134"/>
      <c r="I868" s="134"/>
      <c r="J868" s="134"/>
      <c r="K868" s="134"/>
      <c r="L868" s="134"/>
      <c r="M868" s="134"/>
    </row>
    <row r="869" spans="3:13" ht="12.75">
      <c r="C869" s="134"/>
      <c r="D869" s="134"/>
      <c r="E869" s="134"/>
      <c r="F869" s="134"/>
      <c r="G869" s="134"/>
      <c r="H869" s="134"/>
      <c r="I869" s="134"/>
      <c r="J869" s="134"/>
      <c r="K869" s="134"/>
      <c r="L869" s="134"/>
      <c r="M869" s="134"/>
    </row>
    <row r="870" spans="3:13" ht="12.75">
      <c r="C870" s="134"/>
      <c r="D870" s="134"/>
      <c r="E870" s="134"/>
      <c r="F870" s="134"/>
      <c r="G870" s="134"/>
      <c r="H870" s="134"/>
      <c r="I870" s="134"/>
      <c r="J870" s="134"/>
      <c r="K870" s="134"/>
      <c r="L870" s="134"/>
      <c r="M870" s="134"/>
    </row>
    <row r="871" spans="3:13" ht="12.75">
      <c r="C871" s="134"/>
      <c r="D871" s="134"/>
      <c r="E871" s="134"/>
      <c r="F871" s="134"/>
      <c r="G871" s="134"/>
      <c r="H871" s="134"/>
      <c r="I871" s="134"/>
      <c r="J871" s="134"/>
      <c r="K871" s="134"/>
      <c r="L871" s="134"/>
      <c r="M871" s="134"/>
    </row>
    <row r="872" spans="3:13" ht="12.75">
      <c r="C872" s="134"/>
      <c r="D872" s="134"/>
      <c r="E872" s="134"/>
      <c r="F872" s="134"/>
      <c r="G872" s="134"/>
      <c r="H872" s="134"/>
      <c r="I872" s="134"/>
      <c r="J872" s="134"/>
      <c r="K872" s="134"/>
      <c r="L872" s="134"/>
      <c r="M872" s="134"/>
    </row>
    <row r="873" spans="3:13" ht="12.75">
      <c r="C873" s="134"/>
      <c r="D873" s="134"/>
      <c r="E873" s="134"/>
      <c r="F873" s="134"/>
      <c r="G873" s="134"/>
      <c r="H873" s="134"/>
      <c r="I873" s="134"/>
      <c r="J873" s="134"/>
      <c r="K873" s="134"/>
      <c r="L873" s="134"/>
      <c r="M873" s="134"/>
    </row>
    <row r="874" spans="3:13" ht="12.75">
      <c r="C874" s="134"/>
      <c r="D874" s="134"/>
      <c r="E874" s="134"/>
      <c r="F874" s="134"/>
      <c r="G874" s="134"/>
      <c r="H874" s="134"/>
      <c r="I874" s="134"/>
      <c r="J874" s="134"/>
      <c r="K874" s="134"/>
      <c r="L874" s="134"/>
      <c r="M874" s="134"/>
    </row>
    <row r="875" spans="3:13" ht="12.75">
      <c r="C875" s="134"/>
      <c r="D875" s="134"/>
      <c r="E875" s="134"/>
      <c r="F875" s="134"/>
      <c r="G875" s="134"/>
      <c r="H875" s="134"/>
      <c r="I875" s="134"/>
      <c r="J875" s="134"/>
      <c r="K875" s="134"/>
      <c r="L875" s="134"/>
      <c r="M875" s="134"/>
    </row>
    <row r="876" spans="3:13" ht="12.75">
      <c r="C876" s="134"/>
      <c r="D876" s="134"/>
      <c r="E876" s="134"/>
      <c r="F876" s="134"/>
      <c r="G876" s="134"/>
      <c r="H876" s="134"/>
      <c r="I876" s="134"/>
      <c r="J876" s="134"/>
      <c r="K876" s="134"/>
      <c r="L876" s="134"/>
      <c r="M876" s="134"/>
    </row>
    <row r="877" spans="3:13" ht="12.75">
      <c r="C877" s="134"/>
      <c r="D877" s="134"/>
      <c r="E877" s="134"/>
      <c r="F877" s="134"/>
      <c r="G877" s="134"/>
      <c r="H877" s="134"/>
      <c r="I877" s="134"/>
      <c r="J877" s="134"/>
      <c r="K877" s="134"/>
      <c r="L877" s="134"/>
      <c r="M877" s="134"/>
    </row>
    <row r="878" spans="3:13" ht="12.75">
      <c r="C878" s="134"/>
      <c r="D878" s="134"/>
      <c r="E878" s="134"/>
      <c r="F878" s="134"/>
      <c r="G878" s="134"/>
      <c r="H878" s="134"/>
      <c r="I878" s="134"/>
      <c r="J878" s="134"/>
      <c r="K878" s="134"/>
      <c r="L878" s="134"/>
      <c r="M878" s="134"/>
    </row>
    <row r="879" spans="3:13" ht="12.75">
      <c r="C879" s="134"/>
      <c r="D879" s="134"/>
      <c r="E879" s="134"/>
      <c r="F879" s="134"/>
      <c r="G879" s="134"/>
      <c r="H879" s="134"/>
      <c r="I879" s="134"/>
      <c r="J879" s="134"/>
      <c r="K879" s="134"/>
      <c r="L879" s="134"/>
      <c r="M879" s="134"/>
    </row>
    <row r="880" spans="3:13" ht="12.75">
      <c r="C880" s="134"/>
      <c r="D880" s="134"/>
      <c r="E880" s="134"/>
      <c r="F880" s="134"/>
      <c r="G880" s="134"/>
      <c r="H880" s="134"/>
      <c r="I880" s="134"/>
      <c r="J880" s="134"/>
      <c r="K880" s="134"/>
      <c r="L880" s="134"/>
      <c r="M880" s="134"/>
    </row>
    <row r="881" spans="3:13" ht="12.75">
      <c r="C881" s="134"/>
      <c r="D881" s="134"/>
      <c r="E881" s="134"/>
      <c r="F881" s="134"/>
      <c r="G881" s="134"/>
      <c r="H881" s="134"/>
      <c r="I881" s="134"/>
      <c r="J881" s="134"/>
      <c r="K881" s="134"/>
      <c r="L881" s="134"/>
      <c r="M881" s="134"/>
    </row>
    <row r="882" spans="3:13" ht="12.75">
      <c r="C882" s="134"/>
      <c r="D882" s="134"/>
      <c r="E882" s="134"/>
      <c r="F882" s="134"/>
      <c r="G882" s="134"/>
      <c r="H882" s="134"/>
      <c r="I882" s="134"/>
      <c r="J882" s="134"/>
      <c r="K882" s="134"/>
      <c r="L882" s="134"/>
      <c r="M882" s="134"/>
    </row>
    <row r="883" spans="3:13" ht="12.75">
      <c r="C883" s="134"/>
      <c r="D883" s="134"/>
      <c r="E883" s="134"/>
      <c r="F883" s="134"/>
      <c r="G883" s="134"/>
      <c r="H883" s="134"/>
      <c r="I883" s="134"/>
      <c r="J883" s="134"/>
      <c r="K883" s="134"/>
      <c r="L883" s="134"/>
      <c r="M883" s="134"/>
    </row>
    <row r="884" spans="3:13" ht="12.75">
      <c r="C884" s="134"/>
      <c r="D884" s="134"/>
      <c r="E884" s="134"/>
      <c r="F884" s="134"/>
      <c r="G884" s="134"/>
      <c r="H884" s="134"/>
      <c r="I884" s="134"/>
      <c r="J884" s="134"/>
      <c r="K884" s="134"/>
      <c r="L884" s="134"/>
      <c r="M884" s="134"/>
    </row>
    <row r="885" spans="3:13" ht="12.75">
      <c r="C885" s="134"/>
      <c r="D885" s="134"/>
      <c r="E885" s="134"/>
      <c r="F885" s="134"/>
      <c r="G885" s="134"/>
      <c r="H885" s="134"/>
      <c r="I885" s="134"/>
      <c r="J885" s="134"/>
      <c r="K885" s="134"/>
      <c r="L885" s="134"/>
      <c r="M885" s="134"/>
    </row>
    <row r="886" spans="3:13" ht="12.75">
      <c r="C886" s="134"/>
      <c r="D886" s="134"/>
      <c r="E886" s="134"/>
      <c r="F886" s="134"/>
      <c r="G886" s="134"/>
      <c r="H886" s="134"/>
      <c r="I886" s="134"/>
      <c r="J886" s="134"/>
      <c r="K886" s="134"/>
      <c r="L886" s="134"/>
      <c r="M886" s="134"/>
    </row>
    <row r="887" spans="3:13" ht="12.75">
      <c r="C887" s="134"/>
      <c r="D887" s="134"/>
      <c r="E887" s="134"/>
      <c r="F887" s="134"/>
      <c r="G887" s="134"/>
      <c r="H887" s="134"/>
      <c r="I887" s="134"/>
      <c r="J887" s="134"/>
      <c r="K887" s="134"/>
      <c r="L887" s="134"/>
      <c r="M887" s="134"/>
    </row>
    <row r="888" spans="3:13" ht="12.75">
      <c r="C888" s="134"/>
      <c r="D888" s="134"/>
      <c r="E888" s="134"/>
      <c r="F888" s="134"/>
      <c r="G888" s="134"/>
      <c r="H888" s="134"/>
      <c r="I888" s="134"/>
      <c r="J888" s="134"/>
      <c r="K888" s="134"/>
      <c r="L888" s="134"/>
      <c r="M888" s="134"/>
    </row>
    <row r="889" spans="3:13" ht="12.75">
      <c r="C889" s="134"/>
      <c r="D889" s="134"/>
      <c r="E889" s="134"/>
      <c r="F889" s="134"/>
      <c r="G889" s="134"/>
      <c r="H889" s="134"/>
      <c r="I889" s="134"/>
      <c r="J889" s="134"/>
      <c r="K889" s="134"/>
      <c r="L889" s="134"/>
      <c r="M889" s="134"/>
    </row>
    <row r="890" spans="3:13" ht="12.75">
      <c r="C890" s="134"/>
      <c r="D890" s="134"/>
      <c r="E890" s="134"/>
      <c r="F890" s="134"/>
      <c r="G890" s="134"/>
      <c r="H890" s="134"/>
      <c r="I890" s="134"/>
      <c r="J890" s="134"/>
      <c r="K890" s="134"/>
      <c r="L890" s="134"/>
      <c r="M890" s="134"/>
    </row>
    <row r="891" spans="3:13" ht="12.75">
      <c r="C891" s="134"/>
      <c r="D891" s="134"/>
      <c r="E891" s="134"/>
      <c r="F891" s="134"/>
      <c r="G891" s="134"/>
      <c r="H891" s="134"/>
      <c r="I891" s="134"/>
      <c r="J891" s="134"/>
      <c r="K891" s="134"/>
      <c r="L891" s="134"/>
      <c r="M891" s="134"/>
    </row>
    <row r="892" spans="3:13" ht="12.75">
      <c r="C892" s="134"/>
      <c r="D892" s="134"/>
      <c r="E892" s="134"/>
      <c r="F892" s="134"/>
      <c r="G892" s="134"/>
      <c r="H892" s="134"/>
      <c r="I892" s="134"/>
      <c r="J892" s="134"/>
      <c r="K892" s="134"/>
      <c r="L892" s="134"/>
      <c r="M892" s="134"/>
    </row>
    <row r="893" spans="3:13" ht="12.75">
      <c r="C893" s="134"/>
      <c r="D893" s="134"/>
      <c r="E893" s="134"/>
      <c r="F893" s="134"/>
      <c r="G893" s="134"/>
      <c r="H893" s="134"/>
      <c r="I893" s="134"/>
      <c r="J893" s="134"/>
      <c r="K893" s="134"/>
      <c r="L893" s="134"/>
      <c r="M893" s="134"/>
    </row>
    <row r="894" spans="3:13" ht="12.75">
      <c r="C894" s="134"/>
      <c r="D894" s="134"/>
      <c r="E894" s="134"/>
      <c r="F894" s="134"/>
      <c r="G894" s="134"/>
      <c r="H894" s="134"/>
      <c r="I894" s="134"/>
      <c r="J894" s="134"/>
      <c r="K894" s="134"/>
      <c r="L894" s="134"/>
      <c r="M894" s="134"/>
    </row>
    <row r="895" spans="3:13" ht="12.75">
      <c r="C895" s="134"/>
      <c r="D895" s="134"/>
      <c r="E895" s="134"/>
      <c r="F895" s="134"/>
      <c r="G895" s="134"/>
      <c r="H895" s="134"/>
      <c r="I895" s="134"/>
      <c r="J895" s="134"/>
      <c r="K895" s="134"/>
      <c r="L895" s="134"/>
      <c r="M895" s="134"/>
    </row>
    <row r="896" spans="3:13" ht="12.75">
      <c r="C896" s="134"/>
      <c r="D896" s="134"/>
      <c r="E896" s="134"/>
      <c r="F896" s="134"/>
      <c r="G896" s="134"/>
      <c r="H896" s="134"/>
      <c r="I896" s="134"/>
      <c r="J896" s="134"/>
      <c r="K896" s="134"/>
      <c r="L896" s="134"/>
      <c r="M896" s="134"/>
    </row>
    <row r="897" spans="3:13" ht="12.75">
      <c r="C897" s="134"/>
      <c r="D897" s="134"/>
      <c r="E897" s="134"/>
      <c r="F897" s="134"/>
      <c r="G897" s="134"/>
      <c r="H897" s="134"/>
      <c r="I897" s="134"/>
      <c r="J897" s="134"/>
      <c r="K897" s="134"/>
      <c r="L897" s="134"/>
      <c r="M897" s="134"/>
    </row>
    <row r="898" spans="3:13" ht="12.75">
      <c r="C898" s="134"/>
      <c r="D898" s="134"/>
      <c r="E898" s="134"/>
      <c r="F898" s="134"/>
      <c r="G898" s="134"/>
      <c r="H898" s="134"/>
      <c r="I898" s="134"/>
      <c r="J898" s="134"/>
      <c r="K898" s="134"/>
      <c r="L898" s="134"/>
      <c r="M898" s="134"/>
    </row>
    <row r="899" spans="3:13" ht="12.75">
      <c r="C899" s="134"/>
      <c r="D899" s="134"/>
      <c r="E899" s="134"/>
      <c r="F899" s="134"/>
      <c r="G899" s="134"/>
      <c r="H899" s="134"/>
      <c r="I899" s="134"/>
      <c r="J899" s="134"/>
      <c r="K899" s="134"/>
      <c r="L899" s="134"/>
      <c r="M899" s="134"/>
    </row>
    <row r="900" spans="3:13" ht="12.75">
      <c r="C900" s="134"/>
      <c r="D900" s="134"/>
      <c r="E900" s="134"/>
      <c r="F900" s="134"/>
      <c r="G900" s="134"/>
      <c r="H900" s="134"/>
      <c r="I900" s="134"/>
      <c r="J900" s="134"/>
      <c r="K900" s="134"/>
      <c r="L900" s="134"/>
      <c r="M900" s="134"/>
    </row>
    <row r="901" spans="3:13" ht="12.75">
      <c r="C901" s="134"/>
      <c r="D901" s="134"/>
      <c r="E901" s="134"/>
      <c r="F901" s="134"/>
      <c r="G901" s="134"/>
      <c r="H901" s="134"/>
      <c r="I901" s="134"/>
      <c r="J901" s="134"/>
      <c r="K901" s="134"/>
      <c r="L901" s="134"/>
      <c r="M901" s="134"/>
    </row>
    <row r="902" spans="3:13" ht="12.75">
      <c r="C902" s="134"/>
      <c r="D902" s="134"/>
      <c r="E902" s="134"/>
      <c r="F902" s="134"/>
      <c r="G902" s="134"/>
      <c r="H902" s="134"/>
      <c r="I902" s="134"/>
      <c r="J902" s="134"/>
      <c r="K902" s="134"/>
      <c r="L902" s="134"/>
      <c r="M902" s="134"/>
    </row>
    <row r="903" spans="3:13" ht="12.75">
      <c r="C903" s="134"/>
      <c r="D903" s="134"/>
      <c r="E903" s="134"/>
      <c r="F903" s="134"/>
      <c r="G903" s="134"/>
      <c r="H903" s="134"/>
      <c r="I903" s="134"/>
      <c r="J903" s="134"/>
      <c r="K903" s="134"/>
      <c r="L903" s="134"/>
      <c r="M903" s="134"/>
    </row>
    <row r="904" spans="3:13" ht="12.75">
      <c r="C904" s="134"/>
      <c r="D904" s="134"/>
      <c r="E904" s="134"/>
      <c r="F904" s="134"/>
      <c r="G904" s="134"/>
      <c r="H904" s="134"/>
      <c r="I904" s="134"/>
      <c r="J904" s="134"/>
      <c r="K904" s="134"/>
      <c r="L904" s="134"/>
      <c r="M904" s="134"/>
    </row>
    <row r="905" spans="3:13" ht="12.75">
      <c r="C905" s="134"/>
      <c r="D905" s="134"/>
      <c r="E905" s="134"/>
      <c r="F905" s="134"/>
      <c r="G905" s="134"/>
      <c r="H905" s="134"/>
      <c r="I905" s="134"/>
      <c r="J905" s="134"/>
      <c r="K905" s="134"/>
      <c r="L905" s="134"/>
      <c r="M905" s="134"/>
    </row>
    <row r="906" spans="3:13" ht="12.75">
      <c r="C906" s="134"/>
      <c r="D906" s="134"/>
      <c r="E906" s="134"/>
      <c r="F906" s="134"/>
      <c r="G906" s="134"/>
      <c r="H906" s="134"/>
      <c r="I906" s="134"/>
      <c r="J906" s="134"/>
      <c r="K906" s="134"/>
      <c r="L906" s="134"/>
      <c r="M906" s="134"/>
    </row>
    <row r="907" spans="3:13" ht="12.75">
      <c r="C907" s="134"/>
      <c r="D907" s="134"/>
      <c r="E907" s="134"/>
      <c r="F907" s="134"/>
      <c r="G907" s="134"/>
      <c r="H907" s="134"/>
      <c r="I907" s="134"/>
      <c r="J907" s="134"/>
      <c r="K907" s="134"/>
      <c r="L907" s="134"/>
      <c r="M907" s="134"/>
    </row>
    <row r="908" spans="3:13" ht="12.75">
      <c r="C908" s="134"/>
      <c r="D908" s="134"/>
      <c r="E908" s="134"/>
      <c r="F908" s="134"/>
      <c r="G908" s="134"/>
      <c r="H908" s="134"/>
      <c r="I908" s="134"/>
      <c r="J908" s="134"/>
      <c r="K908" s="134"/>
      <c r="L908" s="134"/>
      <c r="M908" s="134"/>
    </row>
    <row r="909" spans="3:13" ht="12.75">
      <c r="C909" s="134"/>
      <c r="D909" s="134"/>
      <c r="E909" s="134"/>
      <c r="F909" s="134"/>
      <c r="G909" s="134"/>
      <c r="H909" s="134"/>
      <c r="I909" s="134"/>
      <c r="J909" s="134"/>
      <c r="K909" s="134"/>
      <c r="L909" s="134"/>
      <c r="M909" s="134"/>
    </row>
    <row r="910" spans="3:13" ht="12.75">
      <c r="C910" s="134"/>
      <c r="D910" s="134"/>
      <c r="E910" s="134"/>
      <c r="F910" s="134"/>
      <c r="G910" s="134"/>
      <c r="H910" s="134"/>
      <c r="I910" s="134"/>
      <c r="J910" s="134"/>
      <c r="K910" s="134"/>
      <c r="L910" s="134"/>
      <c r="M910" s="134"/>
    </row>
    <row r="911" spans="3:13" ht="12.75">
      <c r="C911" s="134"/>
      <c r="D911" s="134"/>
      <c r="E911" s="134"/>
      <c r="F911" s="134"/>
      <c r="G911" s="134"/>
      <c r="H911" s="134"/>
      <c r="I911" s="134"/>
      <c r="J911" s="134"/>
      <c r="K911" s="134"/>
      <c r="L911" s="134"/>
      <c r="M911" s="134"/>
    </row>
    <row r="912" spans="3:13" ht="12.75">
      <c r="C912" s="134"/>
      <c r="D912" s="134"/>
      <c r="E912" s="134"/>
      <c r="F912" s="134"/>
      <c r="G912" s="134"/>
      <c r="H912" s="134"/>
      <c r="I912" s="134"/>
      <c r="J912" s="134"/>
      <c r="K912" s="134"/>
      <c r="L912" s="134"/>
      <c r="M912" s="134"/>
    </row>
    <row r="913" spans="3:13" ht="12.75">
      <c r="C913" s="134"/>
      <c r="D913" s="134"/>
      <c r="E913" s="134"/>
      <c r="F913" s="134"/>
      <c r="G913" s="134"/>
      <c r="H913" s="134"/>
      <c r="I913" s="134"/>
      <c r="J913" s="134"/>
      <c r="K913" s="134"/>
      <c r="L913" s="134"/>
      <c r="M913" s="134"/>
    </row>
    <row r="914" spans="3:13" ht="12.75">
      <c r="C914" s="134"/>
      <c r="D914" s="134"/>
      <c r="E914" s="134"/>
      <c r="F914" s="134"/>
      <c r="G914" s="134"/>
      <c r="H914" s="134"/>
      <c r="I914" s="134"/>
      <c r="J914" s="134"/>
      <c r="K914" s="134"/>
      <c r="L914" s="134"/>
      <c r="M914" s="134"/>
    </row>
    <row r="915" spans="3:13" ht="12.75">
      <c r="C915" s="134"/>
      <c r="D915" s="134"/>
      <c r="E915" s="134"/>
      <c r="F915" s="134"/>
      <c r="G915" s="134"/>
      <c r="H915" s="134"/>
      <c r="I915" s="134"/>
      <c r="J915" s="134"/>
      <c r="K915" s="134"/>
      <c r="L915" s="134"/>
      <c r="M915" s="134"/>
    </row>
    <row r="916" spans="3:13" ht="12.75">
      <c r="C916" s="134"/>
      <c r="D916" s="134"/>
      <c r="E916" s="134"/>
      <c r="F916" s="134"/>
      <c r="G916" s="134"/>
      <c r="H916" s="134"/>
      <c r="I916" s="134"/>
      <c r="J916" s="134"/>
      <c r="K916" s="134"/>
      <c r="L916" s="134"/>
      <c r="M916" s="134"/>
    </row>
    <row r="917" spans="3:13" ht="12.75">
      <c r="C917" s="134"/>
      <c r="D917" s="134"/>
      <c r="E917" s="134"/>
      <c r="F917" s="134"/>
      <c r="G917" s="134"/>
      <c r="H917" s="134"/>
      <c r="I917" s="134"/>
      <c r="J917" s="134"/>
      <c r="K917" s="134"/>
      <c r="L917" s="134"/>
      <c r="M917" s="134"/>
    </row>
    <row r="918" spans="3:13" ht="12.75">
      <c r="C918" s="134"/>
      <c r="D918" s="134"/>
      <c r="E918" s="134"/>
      <c r="F918" s="134"/>
      <c r="G918" s="134"/>
      <c r="H918" s="134"/>
      <c r="I918" s="134"/>
      <c r="J918" s="134"/>
      <c r="K918" s="134"/>
      <c r="L918" s="134"/>
      <c r="M918" s="134"/>
    </row>
    <row r="919" spans="3:13" ht="12.75">
      <c r="C919" s="134"/>
      <c r="D919" s="134"/>
      <c r="E919" s="134"/>
      <c r="F919" s="134"/>
      <c r="G919" s="134"/>
      <c r="H919" s="134"/>
      <c r="I919" s="134"/>
      <c r="J919" s="134"/>
      <c r="K919" s="134"/>
      <c r="L919" s="134"/>
      <c r="M919" s="134"/>
    </row>
    <row r="920" spans="3:13" ht="12.75">
      <c r="C920" s="134"/>
      <c r="D920" s="134"/>
      <c r="E920" s="134"/>
      <c r="F920" s="134"/>
      <c r="G920" s="134"/>
      <c r="H920" s="134"/>
      <c r="I920" s="134"/>
      <c r="J920" s="134"/>
      <c r="K920" s="134"/>
      <c r="L920" s="134"/>
      <c r="M920" s="134"/>
    </row>
    <row r="921" spans="3:13" ht="12.75">
      <c r="C921" s="134"/>
      <c r="D921" s="134"/>
      <c r="E921" s="134"/>
      <c r="F921" s="134"/>
      <c r="G921" s="134"/>
      <c r="H921" s="134"/>
      <c r="I921" s="134"/>
      <c r="J921" s="134"/>
      <c r="K921" s="134"/>
      <c r="L921" s="134"/>
      <c r="M921" s="134"/>
    </row>
    <row r="922" spans="3:13" ht="12.75">
      <c r="C922" s="134"/>
      <c r="D922" s="134"/>
      <c r="E922" s="134"/>
      <c r="F922" s="134"/>
      <c r="G922" s="134"/>
      <c r="H922" s="134"/>
      <c r="I922" s="134"/>
      <c r="J922" s="134"/>
      <c r="K922" s="134"/>
      <c r="L922" s="134"/>
      <c r="M922" s="134"/>
    </row>
    <row r="923" spans="3:13" ht="12.75">
      <c r="C923" s="134"/>
      <c r="D923" s="134"/>
      <c r="E923" s="134"/>
      <c r="F923" s="134"/>
      <c r="G923" s="134"/>
      <c r="H923" s="134"/>
      <c r="I923" s="134"/>
      <c r="J923" s="134"/>
      <c r="K923" s="134"/>
      <c r="L923" s="134"/>
      <c r="M923" s="134"/>
    </row>
    <row r="924" spans="3:13" ht="12.75">
      <c r="C924" s="134"/>
      <c r="D924" s="134"/>
      <c r="E924" s="134"/>
      <c r="F924" s="134"/>
      <c r="G924" s="134"/>
      <c r="H924" s="134"/>
      <c r="I924" s="134"/>
      <c r="J924" s="134"/>
      <c r="K924" s="134"/>
      <c r="L924" s="134"/>
      <c r="M924" s="134"/>
    </row>
    <row r="925" spans="3:13" ht="12.75">
      <c r="C925" s="134"/>
      <c r="D925" s="134"/>
      <c r="E925" s="134"/>
      <c r="F925" s="134"/>
      <c r="G925" s="134"/>
      <c r="H925" s="134"/>
      <c r="I925" s="134"/>
      <c r="J925" s="134"/>
      <c r="K925" s="134"/>
      <c r="L925" s="134"/>
      <c r="M925" s="134"/>
    </row>
    <row r="926" spans="3:13" ht="12.75">
      <c r="C926" s="134"/>
      <c r="D926" s="134"/>
      <c r="E926" s="134"/>
      <c r="F926" s="134"/>
      <c r="G926" s="134"/>
      <c r="H926" s="134"/>
      <c r="I926" s="134"/>
      <c r="J926" s="134"/>
      <c r="K926" s="134"/>
      <c r="L926" s="134"/>
      <c r="M926" s="134"/>
    </row>
    <row r="927" spans="3:13" ht="12.75">
      <c r="C927" s="134"/>
      <c r="D927" s="134"/>
      <c r="E927" s="134"/>
      <c r="F927" s="134"/>
      <c r="G927" s="134"/>
      <c r="H927" s="134"/>
      <c r="I927" s="134"/>
      <c r="J927" s="134"/>
      <c r="K927" s="134"/>
      <c r="L927" s="134"/>
      <c r="M927" s="134"/>
    </row>
    <row r="928" spans="3:13" ht="12.75">
      <c r="C928" s="134"/>
      <c r="D928" s="134"/>
      <c r="E928" s="134"/>
      <c r="F928" s="134"/>
      <c r="G928" s="134"/>
      <c r="H928" s="134"/>
      <c r="I928" s="134"/>
      <c r="J928" s="134"/>
      <c r="K928" s="134"/>
      <c r="L928" s="134"/>
      <c r="M928" s="134"/>
    </row>
    <row r="929" spans="3:13" ht="12.75">
      <c r="C929" s="134"/>
      <c r="D929" s="134"/>
      <c r="E929" s="134"/>
      <c r="F929" s="134"/>
      <c r="G929" s="134"/>
      <c r="H929" s="134"/>
      <c r="I929" s="134"/>
      <c r="J929" s="134"/>
      <c r="K929" s="134"/>
      <c r="L929" s="134"/>
      <c r="M929" s="134"/>
    </row>
    <row r="930" spans="3:13" ht="12.75">
      <c r="C930" s="134"/>
      <c r="D930" s="134"/>
      <c r="E930" s="134"/>
      <c r="F930" s="134"/>
      <c r="G930" s="134"/>
      <c r="H930" s="134"/>
      <c r="I930" s="134"/>
      <c r="J930" s="134"/>
      <c r="K930" s="134"/>
      <c r="L930" s="134"/>
      <c r="M930" s="134"/>
    </row>
    <row r="931" spans="3:13" ht="12.75">
      <c r="C931" s="134"/>
      <c r="D931" s="134"/>
      <c r="E931" s="134"/>
      <c r="F931" s="134"/>
      <c r="G931" s="134"/>
      <c r="H931" s="134"/>
      <c r="I931" s="134"/>
      <c r="J931" s="134"/>
      <c r="K931" s="134"/>
      <c r="L931" s="134"/>
      <c r="M931" s="134"/>
    </row>
    <row r="932" spans="3:13" ht="12.75">
      <c r="C932" s="134"/>
      <c r="D932" s="134"/>
      <c r="E932" s="134"/>
      <c r="F932" s="134"/>
      <c r="G932" s="134"/>
      <c r="H932" s="134"/>
      <c r="I932" s="134"/>
      <c r="J932" s="134"/>
      <c r="K932" s="134"/>
      <c r="L932" s="134"/>
      <c r="M932" s="134"/>
    </row>
    <row r="933" spans="3:13" ht="12.75">
      <c r="C933" s="134"/>
      <c r="D933" s="134"/>
      <c r="E933" s="134"/>
      <c r="F933" s="134"/>
      <c r="G933" s="134"/>
      <c r="H933" s="134"/>
      <c r="I933" s="134"/>
      <c r="J933" s="134"/>
      <c r="K933" s="134"/>
      <c r="L933" s="134"/>
      <c r="M933" s="134"/>
    </row>
    <row r="934" spans="3:13" ht="12.75">
      <c r="C934" s="134"/>
      <c r="D934" s="134"/>
      <c r="E934" s="134"/>
      <c r="F934" s="134"/>
      <c r="G934" s="134"/>
      <c r="H934" s="134"/>
      <c r="I934" s="134"/>
      <c r="J934" s="134"/>
      <c r="K934" s="134"/>
      <c r="L934" s="134"/>
      <c r="M934" s="134"/>
    </row>
    <row r="935" spans="3:13" ht="12.75">
      <c r="C935" s="134"/>
      <c r="D935" s="134"/>
      <c r="E935" s="134"/>
      <c r="F935" s="134"/>
      <c r="G935" s="134"/>
      <c r="H935" s="134"/>
      <c r="I935" s="134"/>
      <c r="J935" s="134"/>
      <c r="K935" s="134"/>
      <c r="L935" s="134"/>
      <c r="M935" s="134"/>
    </row>
    <row r="936" spans="3:13" ht="12.75">
      <c r="C936" s="134"/>
      <c r="D936" s="134"/>
      <c r="E936" s="134"/>
      <c r="F936" s="134"/>
      <c r="G936" s="134"/>
      <c r="H936" s="134"/>
      <c r="I936" s="134"/>
      <c r="J936" s="134"/>
      <c r="K936" s="134"/>
      <c r="L936" s="134"/>
      <c r="M936" s="134"/>
    </row>
    <row r="937" spans="3:13" ht="12.75">
      <c r="C937" s="134"/>
      <c r="D937" s="134"/>
      <c r="E937" s="134"/>
      <c r="F937" s="134"/>
      <c r="G937" s="134"/>
      <c r="H937" s="134"/>
      <c r="I937" s="134"/>
      <c r="J937" s="134"/>
      <c r="K937" s="134"/>
      <c r="L937" s="134"/>
      <c r="M937" s="134"/>
    </row>
    <row r="938" spans="3:13" ht="12.75">
      <c r="C938" s="134"/>
      <c r="D938" s="134"/>
      <c r="E938" s="134"/>
      <c r="F938" s="134"/>
      <c r="G938" s="134"/>
      <c r="H938" s="134"/>
      <c r="I938" s="134"/>
      <c r="J938" s="134"/>
      <c r="K938" s="134"/>
      <c r="L938" s="134"/>
      <c r="M938" s="134"/>
    </row>
    <row r="939" spans="3:13" ht="12.75">
      <c r="C939" s="134"/>
      <c r="D939" s="134"/>
      <c r="E939" s="134"/>
      <c r="F939" s="134"/>
      <c r="G939" s="134"/>
      <c r="H939" s="134"/>
      <c r="I939" s="134"/>
      <c r="J939" s="134"/>
      <c r="K939" s="134"/>
      <c r="L939" s="134"/>
      <c r="M939" s="134"/>
    </row>
    <row r="940" spans="3:13" ht="12.75">
      <c r="C940" s="134"/>
      <c r="D940" s="134"/>
      <c r="E940" s="134"/>
      <c r="F940" s="134"/>
      <c r="G940" s="134"/>
      <c r="H940" s="134"/>
      <c r="I940" s="134"/>
      <c r="J940" s="134"/>
      <c r="K940" s="134"/>
      <c r="L940" s="134"/>
      <c r="M940" s="134"/>
    </row>
    <row r="941" spans="3:13" ht="12.75">
      <c r="C941" s="134"/>
      <c r="D941" s="134"/>
      <c r="E941" s="134"/>
      <c r="F941" s="134"/>
      <c r="G941" s="134"/>
      <c r="H941" s="134"/>
      <c r="I941" s="134"/>
      <c r="J941" s="134"/>
      <c r="K941" s="134"/>
      <c r="L941" s="134"/>
      <c r="M941" s="134"/>
    </row>
    <row r="942" spans="3:13" ht="12.75">
      <c r="C942" s="134"/>
      <c r="D942" s="134"/>
      <c r="E942" s="134"/>
      <c r="F942" s="134"/>
      <c r="G942" s="134"/>
      <c r="H942" s="134"/>
      <c r="I942" s="134"/>
      <c r="J942" s="134"/>
      <c r="K942" s="134"/>
      <c r="L942" s="134"/>
      <c r="M942" s="134"/>
    </row>
    <row r="943" spans="3:13" ht="12.75">
      <c r="C943" s="134"/>
      <c r="D943" s="134"/>
      <c r="E943" s="134"/>
      <c r="F943" s="134"/>
      <c r="G943" s="134"/>
      <c r="H943" s="134"/>
      <c r="I943" s="134"/>
      <c r="J943" s="134"/>
      <c r="K943" s="134"/>
      <c r="L943" s="134"/>
      <c r="M943" s="134"/>
    </row>
    <row r="944" spans="3:13" ht="12.75">
      <c r="C944" s="134"/>
      <c r="D944" s="134"/>
      <c r="E944" s="134"/>
      <c r="F944" s="134"/>
      <c r="G944" s="134"/>
      <c r="H944" s="134"/>
      <c r="I944" s="134"/>
      <c r="J944" s="134"/>
      <c r="K944" s="134"/>
      <c r="L944" s="134"/>
      <c r="M944" s="134"/>
    </row>
    <row r="945" spans="3:13" ht="12.75">
      <c r="C945" s="134"/>
      <c r="D945" s="134"/>
      <c r="E945" s="134"/>
      <c r="F945" s="134"/>
      <c r="G945" s="134"/>
      <c r="H945" s="134"/>
      <c r="I945" s="134"/>
      <c r="J945" s="134"/>
      <c r="K945" s="134"/>
      <c r="L945" s="134"/>
      <c r="M945" s="134"/>
    </row>
    <row r="946" spans="3:13" ht="12.75">
      <c r="C946" s="134"/>
      <c r="D946" s="134"/>
      <c r="E946" s="134"/>
      <c r="F946" s="134"/>
      <c r="G946" s="134"/>
      <c r="H946" s="134"/>
      <c r="I946" s="134"/>
      <c r="J946" s="134"/>
      <c r="K946" s="134"/>
      <c r="L946" s="134"/>
      <c r="M946" s="134"/>
    </row>
    <row r="947" spans="3:13" ht="12.75">
      <c r="C947" s="134"/>
      <c r="D947" s="134"/>
      <c r="E947" s="134"/>
      <c r="F947" s="134"/>
      <c r="G947" s="134"/>
      <c r="H947" s="134"/>
      <c r="I947" s="134"/>
      <c r="J947" s="134"/>
      <c r="K947" s="134"/>
      <c r="L947" s="134"/>
      <c r="M947" s="134"/>
    </row>
    <row r="948" spans="3:13" ht="12.75">
      <c r="C948" s="134"/>
      <c r="D948" s="134"/>
      <c r="E948" s="134"/>
      <c r="F948" s="134"/>
      <c r="G948" s="134"/>
      <c r="H948" s="134"/>
      <c r="I948" s="134"/>
      <c r="J948" s="134"/>
      <c r="K948" s="134"/>
      <c r="L948" s="134"/>
      <c r="M948" s="134"/>
    </row>
    <row r="949" spans="3:13" ht="12.75">
      <c r="C949" s="134"/>
      <c r="D949" s="134"/>
      <c r="E949" s="134"/>
      <c r="F949" s="134"/>
      <c r="G949" s="134"/>
      <c r="H949" s="134"/>
      <c r="I949" s="134"/>
      <c r="J949" s="134"/>
      <c r="K949" s="134"/>
      <c r="L949" s="134"/>
      <c r="M949" s="134"/>
    </row>
    <row r="950" spans="3:13" ht="12.75">
      <c r="C950" s="134"/>
      <c r="D950" s="134"/>
      <c r="E950" s="134"/>
      <c r="F950" s="134"/>
      <c r="G950" s="134"/>
      <c r="H950" s="134"/>
      <c r="I950" s="134"/>
      <c r="J950" s="134"/>
      <c r="K950" s="134"/>
      <c r="L950" s="134"/>
      <c r="M950" s="134"/>
    </row>
    <row r="951" spans="3:13" ht="12.75">
      <c r="C951" s="134"/>
      <c r="D951" s="134"/>
      <c r="E951" s="134"/>
      <c r="F951" s="134"/>
      <c r="G951" s="134"/>
      <c r="H951" s="134"/>
      <c r="I951" s="134"/>
      <c r="J951" s="134"/>
      <c r="K951" s="134"/>
      <c r="L951" s="134"/>
      <c r="M951" s="134"/>
    </row>
    <row r="952" spans="3:13" ht="12.75">
      <c r="C952" s="134"/>
      <c r="D952" s="134"/>
      <c r="E952" s="134"/>
      <c r="F952" s="134"/>
      <c r="G952" s="134"/>
      <c r="H952" s="134"/>
      <c r="I952" s="134"/>
      <c r="J952" s="134"/>
      <c r="K952" s="134"/>
      <c r="L952" s="134"/>
      <c r="M952" s="134"/>
    </row>
    <row r="953" spans="3:13" ht="12.75">
      <c r="C953" s="134"/>
      <c r="D953" s="134"/>
      <c r="E953" s="134"/>
      <c r="F953" s="134"/>
      <c r="G953" s="134"/>
      <c r="H953" s="134"/>
      <c r="I953" s="134"/>
      <c r="J953" s="134"/>
      <c r="K953" s="134"/>
      <c r="L953" s="134"/>
      <c r="M953" s="134"/>
    </row>
    <row r="954" spans="3:13" ht="12.75">
      <c r="C954" s="134"/>
      <c r="D954" s="134"/>
      <c r="E954" s="134"/>
      <c r="F954" s="134"/>
      <c r="G954" s="134"/>
      <c r="H954" s="134"/>
      <c r="I954" s="134"/>
      <c r="J954" s="134"/>
      <c r="K954" s="134"/>
      <c r="L954" s="134"/>
      <c r="M954" s="134"/>
    </row>
    <row r="955" spans="3:13" ht="12.75">
      <c r="C955" s="134"/>
      <c r="D955" s="134"/>
      <c r="E955" s="134"/>
      <c r="F955" s="134"/>
      <c r="G955" s="134"/>
      <c r="H955" s="134"/>
      <c r="I955" s="134"/>
      <c r="J955" s="134"/>
      <c r="K955" s="134"/>
      <c r="L955" s="134"/>
      <c r="M955" s="134"/>
    </row>
    <row r="956" spans="3:13" ht="12.75">
      <c r="C956" s="134"/>
      <c r="D956" s="134"/>
      <c r="E956" s="134"/>
      <c r="F956" s="134"/>
      <c r="G956" s="134"/>
      <c r="H956" s="134"/>
      <c r="I956" s="134"/>
      <c r="J956" s="134"/>
      <c r="K956" s="134"/>
      <c r="L956" s="134"/>
      <c r="M956" s="134"/>
    </row>
    <row r="957" spans="3:13" ht="12.75">
      <c r="C957" s="134"/>
      <c r="D957" s="134"/>
      <c r="E957" s="134"/>
      <c r="F957" s="134"/>
      <c r="G957" s="134"/>
      <c r="H957" s="134"/>
      <c r="I957" s="134"/>
      <c r="J957" s="134"/>
      <c r="K957" s="134"/>
      <c r="L957" s="134"/>
      <c r="M957" s="134"/>
    </row>
    <row r="958" spans="3:13" ht="12.75">
      <c r="C958" s="134"/>
      <c r="D958" s="134"/>
      <c r="E958" s="134"/>
      <c r="F958" s="134"/>
      <c r="G958" s="134"/>
      <c r="H958" s="134"/>
      <c r="I958" s="134"/>
      <c r="J958" s="134"/>
      <c r="K958" s="134"/>
      <c r="L958" s="134"/>
      <c r="M958" s="134"/>
    </row>
    <row r="959" spans="3:13" ht="12.75">
      <c r="C959" s="134"/>
      <c r="D959" s="134"/>
      <c r="E959" s="134"/>
      <c r="F959" s="134"/>
      <c r="G959" s="134"/>
      <c r="H959" s="134"/>
      <c r="I959" s="134"/>
      <c r="J959" s="134"/>
      <c r="K959" s="134"/>
      <c r="L959" s="134"/>
      <c r="M959" s="134"/>
    </row>
    <row r="960" spans="3:13" ht="12.75">
      <c r="C960" s="134"/>
      <c r="D960" s="134"/>
      <c r="E960" s="134"/>
      <c r="F960" s="134"/>
      <c r="G960" s="134"/>
      <c r="H960" s="134"/>
      <c r="I960" s="134"/>
      <c r="J960" s="134"/>
      <c r="K960" s="134"/>
      <c r="L960" s="134"/>
      <c r="M960" s="134"/>
    </row>
    <row r="961" spans="3:13" ht="12.75">
      <c r="C961" s="134"/>
      <c r="D961" s="134"/>
      <c r="E961" s="134"/>
      <c r="F961" s="134"/>
      <c r="G961" s="134"/>
      <c r="H961" s="134"/>
      <c r="I961" s="134"/>
      <c r="J961" s="134"/>
      <c r="K961" s="134"/>
      <c r="L961" s="134"/>
      <c r="M961" s="134"/>
    </row>
    <row r="962" spans="3:13" ht="12.75">
      <c r="C962" s="134"/>
      <c r="D962" s="134"/>
      <c r="E962" s="134"/>
      <c r="F962" s="134"/>
      <c r="G962" s="134"/>
      <c r="H962" s="134"/>
      <c r="I962" s="134"/>
      <c r="J962" s="134"/>
      <c r="K962" s="134"/>
      <c r="L962" s="134"/>
      <c r="M962" s="134"/>
    </row>
    <row r="963" spans="3:13" ht="12.75">
      <c r="C963" s="134"/>
      <c r="D963" s="134"/>
      <c r="E963" s="134"/>
      <c r="F963" s="134"/>
      <c r="G963" s="134"/>
      <c r="H963" s="134"/>
      <c r="I963" s="134"/>
      <c r="J963" s="134"/>
      <c r="K963" s="134"/>
      <c r="L963" s="134"/>
      <c r="M963" s="134"/>
    </row>
    <row r="964" spans="3:13" ht="12.75">
      <c r="C964" s="134"/>
      <c r="D964" s="134"/>
      <c r="E964" s="134"/>
      <c r="F964" s="134"/>
      <c r="G964" s="134"/>
      <c r="H964" s="134"/>
      <c r="I964" s="134"/>
      <c r="J964" s="134"/>
      <c r="K964" s="134"/>
      <c r="L964" s="134"/>
      <c r="M964" s="134"/>
    </row>
    <row r="965" spans="3:13" ht="12.75">
      <c r="C965" s="134"/>
      <c r="D965" s="134"/>
      <c r="E965" s="134"/>
      <c r="F965" s="134"/>
      <c r="G965" s="134"/>
      <c r="H965" s="134"/>
      <c r="I965" s="134"/>
      <c r="J965" s="134"/>
      <c r="K965" s="134"/>
      <c r="L965" s="134"/>
      <c r="M965" s="134"/>
    </row>
    <row r="966" spans="3:13" ht="12.75">
      <c r="C966" s="134"/>
      <c r="D966" s="134"/>
      <c r="E966" s="134"/>
      <c r="F966" s="134"/>
      <c r="G966" s="134"/>
      <c r="H966" s="134"/>
      <c r="I966" s="134"/>
      <c r="J966" s="134"/>
      <c r="K966" s="134"/>
      <c r="L966" s="134"/>
      <c r="M966" s="134"/>
    </row>
    <row r="967" spans="3:13" ht="12.75">
      <c r="C967" s="134"/>
      <c r="D967" s="134"/>
      <c r="E967" s="134"/>
      <c r="F967" s="134"/>
      <c r="G967" s="134"/>
      <c r="H967" s="134"/>
      <c r="I967" s="134"/>
      <c r="J967" s="134"/>
      <c r="K967" s="134"/>
      <c r="L967" s="134"/>
      <c r="M967" s="134"/>
    </row>
    <row r="968" spans="3:13" ht="12.75">
      <c r="C968" s="134"/>
      <c r="D968" s="134"/>
      <c r="E968" s="134"/>
      <c r="F968" s="134"/>
      <c r="G968" s="134"/>
      <c r="H968" s="134"/>
      <c r="I968" s="134"/>
      <c r="J968" s="134"/>
      <c r="K968" s="134"/>
      <c r="L968" s="134"/>
      <c r="M968" s="134"/>
    </row>
    <row r="969" spans="3:13" ht="12.75">
      <c r="C969" s="134"/>
      <c r="D969" s="134"/>
      <c r="E969" s="134"/>
      <c r="F969" s="134"/>
      <c r="G969" s="134"/>
      <c r="H969" s="134"/>
      <c r="I969" s="134"/>
      <c r="J969" s="134"/>
      <c r="K969" s="134"/>
      <c r="L969" s="134"/>
      <c r="M969" s="134"/>
    </row>
    <row r="970" spans="3:13" ht="12.75">
      <c r="C970" s="134"/>
      <c r="D970" s="134"/>
      <c r="E970" s="134"/>
      <c r="F970" s="134"/>
      <c r="G970" s="134"/>
      <c r="H970" s="134"/>
      <c r="I970" s="134"/>
      <c r="J970" s="134"/>
      <c r="K970" s="134"/>
      <c r="L970" s="134"/>
      <c r="M970" s="134"/>
    </row>
    <row r="971" spans="3:13" ht="12.75">
      <c r="C971" s="134"/>
      <c r="D971" s="134"/>
      <c r="E971" s="134"/>
      <c r="F971" s="134"/>
      <c r="G971" s="134"/>
      <c r="H971" s="134"/>
      <c r="I971" s="134"/>
      <c r="J971" s="134"/>
      <c r="K971" s="134"/>
      <c r="L971" s="134"/>
      <c r="M971" s="134"/>
    </row>
    <row r="972" spans="3:13" ht="12.75">
      <c r="C972" s="134"/>
      <c r="D972" s="134"/>
      <c r="E972" s="134"/>
      <c r="F972" s="134"/>
      <c r="G972" s="134"/>
      <c r="H972" s="134"/>
      <c r="I972" s="134"/>
      <c r="J972" s="134"/>
      <c r="K972" s="134"/>
      <c r="L972" s="134"/>
      <c r="M972" s="134"/>
    </row>
    <row r="973" spans="3:13" ht="12.75">
      <c r="C973" s="134"/>
      <c r="D973" s="134"/>
      <c r="E973" s="134"/>
      <c r="F973" s="134"/>
      <c r="G973" s="134"/>
      <c r="H973" s="134"/>
      <c r="I973" s="134"/>
      <c r="J973" s="134"/>
      <c r="K973" s="134"/>
      <c r="L973" s="134"/>
      <c r="M973" s="134"/>
    </row>
    <row r="974" spans="3:13" ht="12.75">
      <c r="C974" s="134"/>
      <c r="D974" s="134"/>
      <c r="E974" s="134"/>
      <c r="F974" s="134"/>
      <c r="G974" s="134"/>
      <c r="H974" s="134"/>
      <c r="I974" s="134"/>
      <c r="J974" s="134"/>
      <c r="K974" s="134"/>
      <c r="L974" s="134"/>
      <c r="M974" s="134"/>
    </row>
    <row r="975" spans="3:13" ht="12.75">
      <c r="C975" s="134"/>
      <c r="D975" s="134"/>
      <c r="E975" s="134"/>
      <c r="F975" s="134"/>
      <c r="G975" s="134"/>
      <c r="H975" s="134"/>
      <c r="I975" s="134"/>
      <c r="J975" s="134"/>
      <c r="K975" s="134"/>
      <c r="L975" s="134"/>
      <c r="M975" s="134"/>
    </row>
    <row r="976" spans="3:13" ht="12.75">
      <c r="C976" s="134"/>
      <c r="D976" s="134"/>
      <c r="E976" s="134"/>
      <c r="F976" s="134"/>
      <c r="G976" s="134"/>
      <c r="H976" s="134"/>
      <c r="I976" s="134"/>
      <c r="J976" s="134"/>
      <c r="K976" s="134"/>
      <c r="L976" s="134"/>
      <c r="M976" s="134"/>
    </row>
    <row r="977" spans="3:13" ht="12.75">
      <c r="C977" s="134"/>
      <c r="D977" s="134"/>
      <c r="E977" s="134"/>
      <c r="F977" s="134"/>
      <c r="G977" s="134"/>
      <c r="H977" s="134"/>
      <c r="I977" s="134"/>
      <c r="J977" s="134"/>
      <c r="K977" s="134"/>
      <c r="L977" s="134"/>
      <c r="M977" s="134"/>
    </row>
    <row r="978" spans="3:13" ht="12.75">
      <c r="C978" s="134"/>
      <c r="D978" s="134"/>
      <c r="E978" s="134"/>
      <c r="F978" s="134"/>
      <c r="G978" s="134"/>
      <c r="H978" s="134"/>
      <c r="I978" s="134"/>
      <c r="J978" s="134"/>
      <c r="K978" s="134"/>
      <c r="L978" s="134"/>
      <c r="M978" s="134"/>
    </row>
    <row r="979" spans="3:13" ht="12.75">
      <c r="C979" s="134"/>
      <c r="D979" s="134"/>
      <c r="E979" s="134"/>
      <c r="F979" s="134"/>
      <c r="G979" s="134"/>
      <c r="H979" s="134"/>
      <c r="I979" s="134"/>
      <c r="J979" s="134"/>
      <c r="K979" s="134"/>
      <c r="L979" s="134"/>
      <c r="M979" s="134"/>
    </row>
    <row r="980" spans="3:13" ht="12.75">
      <c r="C980" s="134"/>
      <c r="D980" s="134"/>
      <c r="E980" s="134"/>
      <c r="F980" s="134"/>
      <c r="G980" s="134"/>
      <c r="H980" s="134"/>
      <c r="I980" s="134"/>
      <c r="J980" s="134"/>
      <c r="K980" s="134"/>
      <c r="L980" s="134"/>
      <c r="M980" s="134"/>
    </row>
    <row r="981" spans="3:13" ht="12.75">
      <c r="C981" s="134"/>
      <c r="D981" s="134"/>
      <c r="E981" s="134"/>
      <c r="F981" s="134"/>
      <c r="G981" s="134"/>
      <c r="H981" s="134"/>
      <c r="I981" s="134"/>
      <c r="J981" s="134"/>
      <c r="K981" s="134"/>
      <c r="L981" s="134"/>
      <c r="M981" s="134"/>
    </row>
    <row r="982" spans="3:13" ht="12.75">
      <c r="C982" s="134"/>
      <c r="D982" s="134"/>
      <c r="E982" s="134"/>
      <c r="F982" s="134"/>
      <c r="G982" s="134"/>
      <c r="H982" s="134"/>
      <c r="I982" s="134"/>
      <c r="J982" s="134"/>
      <c r="K982" s="134"/>
      <c r="L982" s="134"/>
      <c r="M982" s="134"/>
    </row>
    <row r="983" spans="3:13" ht="12.75">
      <c r="C983" s="134"/>
      <c r="D983" s="134"/>
      <c r="E983" s="134"/>
      <c r="F983" s="134"/>
      <c r="G983" s="134"/>
      <c r="H983" s="134"/>
      <c r="I983" s="134"/>
      <c r="J983" s="134"/>
      <c r="K983" s="134"/>
      <c r="L983" s="134"/>
      <c r="M983" s="134"/>
    </row>
    <row r="984" spans="3:13" ht="12.75">
      <c r="C984" s="134"/>
      <c r="D984" s="134"/>
      <c r="E984" s="134"/>
      <c r="F984" s="134"/>
      <c r="G984" s="134"/>
      <c r="H984" s="134"/>
      <c r="I984" s="134"/>
      <c r="J984" s="134"/>
      <c r="K984" s="134"/>
      <c r="L984" s="134"/>
      <c r="M984" s="134"/>
    </row>
    <row r="985" spans="3:13" ht="12.75">
      <c r="C985" s="134"/>
      <c r="D985" s="134"/>
      <c r="E985" s="134"/>
      <c r="F985" s="134"/>
      <c r="G985" s="134"/>
      <c r="H985" s="134"/>
      <c r="I985" s="134"/>
      <c r="J985" s="134"/>
      <c r="K985" s="134"/>
      <c r="L985" s="134"/>
      <c r="M985" s="134"/>
    </row>
    <row r="986" spans="3:13" ht="12.75">
      <c r="C986" s="134"/>
      <c r="D986" s="134"/>
      <c r="E986" s="134"/>
      <c r="F986" s="134"/>
      <c r="G986" s="134"/>
      <c r="H986" s="134"/>
      <c r="I986" s="134"/>
      <c r="J986" s="134"/>
      <c r="K986" s="134"/>
      <c r="L986" s="134"/>
      <c r="M986" s="134"/>
    </row>
    <row r="987" spans="3:13" ht="12.75">
      <c r="C987" s="134"/>
      <c r="D987" s="134"/>
      <c r="E987" s="134"/>
      <c r="F987" s="134"/>
      <c r="G987" s="134"/>
      <c r="H987" s="134"/>
      <c r="I987" s="134"/>
      <c r="J987" s="134"/>
      <c r="K987" s="134"/>
      <c r="L987" s="134"/>
      <c r="M987" s="134"/>
    </row>
    <row r="988" spans="3:13" ht="12.75">
      <c r="C988" s="134"/>
      <c r="D988" s="134"/>
      <c r="E988" s="134"/>
      <c r="F988" s="134"/>
      <c r="G988" s="134"/>
      <c r="H988" s="134"/>
      <c r="I988" s="134"/>
      <c r="J988" s="134"/>
      <c r="K988" s="134"/>
      <c r="L988" s="134"/>
      <c r="M988" s="134"/>
    </row>
    <row r="989" spans="3:13" ht="12.75">
      <c r="C989" s="134"/>
      <c r="D989" s="134"/>
      <c r="E989" s="134"/>
      <c r="F989" s="134"/>
      <c r="G989" s="134"/>
      <c r="H989" s="134"/>
      <c r="I989" s="134"/>
      <c r="J989" s="134"/>
      <c r="K989" s="134"/>
      <c r="L989" s="134"/>
      <c r="M989" s="134"/>
    </row>
    <row r="990" spans="3:13" ht="12.75">
      <c r="C990" s="134"/>
      <c r="D990" s="134"/>
      <c r="E990" s="134"/>
      <c r="F990" s="134"/>
      <c r="G990" s="134"/>
      <c r="H990" s="134"/>
      <c r="I990" s="134"/>
      <c r="J990" s="134"/>
      <c r="K990" s="134"/>
      <c r="L990" s="134"/>
      <c r="M990" s="134"/>
    </row>
    <row r="991" spans="3:13" ht="12.75">
      <c r="C991" s="134"/>
      <c r="D991" s="134"/>
      <c r="E991" s="134"/>
      <c r="F991" s="134"/>
      <c r="G991" s="134"/>
      <c r="H991" s="134"/>
      <c r="I991" s="134"/>
      <c r="J991" s="134"/>
      <c r="K991" s="134"/>
      <c r="L991" s="134"/>
      <c r="M991" s="134"/>
    </row>
    <row r="992" spans="3:13" ht="12.75">
      <c r="C992" s="134"/>
      <c r="D992" s="134"/>
      <c r="E992" s="134"/>
      <c r="F992" s="134"/>
      <c r="G992" s="134"/>
      <c r="H992" s="134"/>
      <c r="I992" s="134"/>
      <c r="J992" s="134"/>
      <c r="K992" s="134"/>
      <c r="L992" s="134"/>
      <c r="M992" s="134"/>
    </row>
    <row r="993" spans="3:13" ht="12.75">
      <c r="C993" s="134"/>
      <c r="D993" s="134"/>
      <c r="E993" s="134"/>
      <c r="F993" s="134"/>
      <c r="G993" s="134"/>
      <c r="H993" s="134"/>
      <c r="I993" s="134"/>
      <c r="J993" s="134"/>
      <c r="K993" s="134"/>
      <c r="L993" s="134"/>
      <c r="M993" s="134"/>
    </row>
    <row r="994" spans="3:13" ht="12.75">
      <c r="C994" s="134"/>
      <c r="D994" s="134"/>
      <c r="E994" s="134"/>
      <c r="F994" s="134"/>
      <c r="G994" s="134"/>
      <c r="H994" s="134"/>
      <c r="I994" s="134"/>
      <c r="J994" s="134"/>
      <c r="K994" s="134"/>
      <c r="L994" s="134"/>
      <c r="M994" s="134"/>
    </row>
    <row r="995" spans="3:13" ht="12.75">
      <c r="C995" s="134"/>
      <c r="D995" s="134"/>
      <c r="E995" s="134"/>
      <c r="F995" s="134"/>
      <c r="G995" s="134"/>
      <c r="H995" s="134"/>
      <c r="I995" s="134"/>
      <c r="J995" s="134"/>
      <c r="K995" s="134"/>
      <c r="L995" s="134"/>
      <c r="M995" s="134"/>
    </row>
    <row r="996" spans="3:13" ht="12.75">
      <c r="C996" s="134"/>
      <c r="D996" s="134"/>
      <c r="E996" s="134"/>
      <c r="F996" s="134"/>
      <c r="G996" s="134"/>
      <c r="H996" s="134"/>
      <c r="I996" s="134"/>
      <c r="J996" s="134"/>
      <c r="K996" s="134"/>
      <c r="L996" s="134"/>
      <c r="M996" s="134"/>
    </row>
    <row r="997" spans="3:13" ht="12.75">
      <c r="C997" s="134"/>
      <c r="D997" s="134"/>
      <c r="E997" s="134"/>
      <c r="F997" s="134"/>
      <c r="G997" s="134"/>
      <c r="H997" s="134"/>
      <c r="I997" s="134"/>
      <c r="J997" s="134"/>
      <c r="K997" s="134"/>
      <c r="L997" s="134"/>
      <c r="M997" s="134"/>
    </row>
    <row r="998" spans="3:13" ht="12.75">
      <c r="C998" s="134"/>
      <c r="D998" s="134"/>
      <c r="E998" s="134"/>
      <c r="F998" s="134"/>
      <c r="G998" s="134"/>
      <c r="H998" s="134"/>
      <c r="I998" s="134"/>
      <c r="J998" s="134"/>
      <c r="K998" s="134"/>
      <c r="L998" s="134"/>
      <c r="M998" s="134"/>
    </row>
    <row r="999" spans="3:13" ht="12.75">
      <c r="C999" s="134"/>
      <c r="D999" s="134"/>
      <c r="E999" s="134"/>
      <c r="F999" s="134"/>
      <c r="G999" s="134"/>
      <c r="H999" s="134"/>
      <c r="I999" s="134"/>
      <c r="J999" s="134"/>
      <c r="K999" s="134"/>
      <c r="L999" s="134"/>
      <c r="M999" s="134"/>
    </row>
    <row r="1000" spans="3:13" ht="12.75">
      <c r="C1000" s="134"/>
      <c r="D1000" s="134"/>
      <c r="E1000" s="134"/>
      <c r="F1000" s="134"/>
      <c r="G1000" s="134"/>
      <c r="H1000" s="134"/>
      <c r="I1000" s="134"/>
      <c r="J1000" s="134"/>
      <c r="K1000" s="134"/>
      <c r="L1000" s="134"/>
      <c r="M1000" s="134"/>
    </row>
    <row r="1001" spans="3:13" ht="12.75">
      <c r="C1001" s="134"/>
      <c r="D1001" s="134"/>
      <c r="E1001" s="134"/>
      <c r="F1001" s="134"/>
      <c r="G1001" s="134"/>
      <c r="H1001" s="134"/>
      <c r="I1001" s="134"/>
      <c r="J1001" s="134"/>
      <c r="K1001" s="134"/>
      <c r="L1001" s="134"/>
      <c r="M1001" s="134"/>
    </row>
    <row r="1002" spans="3:13" ht="12.75">
      <c r="C1002" s="134"/>
      <c r="D1002" s="134"/>
      <c r="E1002" s="134"/>
      <c r="F1002" s="134"/>
      <c r="G1002" s="134"/>
      <c r="H1002" s="134"/>
      <c r="I1002" s="134"/>
      <c r="J1002" s="134"/>
      <c r="K1002" s="134"/>
      <c r="L1002" s="134"/>
      <c r="M1002" s="134"/>
    </row>
    <row r="1003" spans="3:13" ht="12.75">
      <c r="C1003" s="134"/>
      <c r="D1003" s="134"/>
      <c r="E1003" s="134"/>
      <c r="F1003" s="134"/>
      <c r="G1003" s="134"/>
      <c r="H1003" s="134"/>
      <c r="I1003" s="134"/>
      <c r="J1003" s="134"/>
      <c r="K1003" s="134"/>
      <c r="L1003" s="134"/>
      <c r="M1003" s="134"/>
    </row>
    <row r="1004" spans="3:13" ht="12.75">
      <c r="C1004" s="134"/>
      <c r="D1004" s="134"/>
      <c r="E1004" s="134"/>
      <c r="F1004" s="134"/>
      <c r="G1004" s="134"/>
      <c r="H1004" s="134"/>
      <c r="I1004" s="134"/>
      <c r="J1004" s="134"/>
      <c r="K1004" s="134"/>
      <c r="L1004" s="134"/>
      <c r="M1004" s="134"/>
    </row>
    <row r="1005" spans="3:13" ht="12.75">
      <c r="C1005" s="134"/>
      <c r="D1005" s="134"/>
      <c r="E1005" s="134"/>
      <c r="F1005" s="134"/>
      <c r="G1005" s="134"/>
      <c r="H1005" s="134"/>
      <c r="I1005" s="134"/>
      <c r="J1005" s="134"/>
      <c r="K1005" s="134"/>
      <c r="L1005" s="134"/>
      <c r="M1005" s="134"/>
    </row>
    <row r="1006" spans="3:13" ht="12.75">
      <c r="C1006" s="134"/>
      <c r="D1006" s="134"/>
      <c r="E1006" s="134"/>
      <c r="F1006" s="134"/>
      <c r="G1006" s="134"/>
      <c r="H1006" s="134"/>
      <c r="I1006" s="134"/>
      <c r="J1006" s="134"/>
      <c r="K1006" s="134"/>
      <c r="L1006" s="134"/>
      <c r="M1006" s="134"/>
    </row>
    <row r="1007" spans="3:13" ht="12.75">
      <c r="C1007" s="134"/>
      <c r="D1007" s="134"/>
      <c r="E1007" s="134"/>
      <c r="F1007" s="134"/>
      <c r="G1007" s="134"/>
      <c r="H1007" s="134"/>
      <c r="I1007" s="134"/>
      <c r="J1007" s="134"/>
      <c r="K1007" s="134"/>
      <c r="L1007" s="134"/>
      <c r="M1007" s="134"/>
    </row>
    <row r="1008" spans="3:13" ht="12.75">
      <c r="C1008" s="134"/>
      <c r="D1008" s="134"/>
      <c r="E1008" s="134"/>
      <c r="F1008" s="134"/>
      <c r="G1008" s="134"/>
      <c r="H1008" s="134"/>
      <c r="I1008" s="134"/>
      <c r="J1008" s="134"/>
      <c r="K1008" s="134"/>
      <c r="L1008" s="134"/>
      <c r="M1008" s="134"/>
    </row>
    <row r="1009" spans="3:13" ht="12.75">
      <c r="C1009" s="134"/>
      <c r="D1009" s="134"/>
      <c r="E1009" s="134"/>
      <c r="F1009" s="134"/>
      <c r="G1009" s="134"/>
      <c r="H1009" s="134"/>
      <c r="I1009" s="134"/>
      <c r="J1009" s="134"/>
      <c r="K1009" s="134"/>
      <c r="L1009" s="134"/>
      <c r="M1009" s="134"/>
    </row>
    <row r="1010" spans="3:13" ht="12.75">
      <c r="C1010" s="134"/>
      <c r="D1010" s="134"/>
      <c r="E1010" s="134"/>
      <c r="F1010" s="134"/>
      <c r="G1010" s="134"/>
      <c r="H1010" s="134"/>
      <c r="I1010" s="134"/>
      <c r="J1010" s="134"/>
      <c r="K1010" s="134"/>
      <c r="L1010" s="134"/>
      <c r="M1010" s="134"/>
    </row>
    <row r="1011" spans="3:13" ht="12.75">
      <c r="C1011" s="134"/>
      <c r="D1011" s="134"/>
      <c r="E1011" s="134"/>
      <c r="F1011" s="134"/>
      <c r="G1011" s="134"/>
      <c r="H1011" s="134"/>
      <c r="I1011" s="134"/>
      <c r="J1011" s="134"/>
      <c r="K1011" s="134"/>
      <c r="L1011" s="134"/>
      <c r="M1011" s="134"/>
    </row>
    <row r="1012" spans="3:13" ht="12.75">
      <c r="C1012" s="134"/>
      <c r="D1012" s="134"/>
      <c r="E1012" s="134"/>
      <c r="F1012" s="134"/>
      <c r="G1012" s="134"/>
      <c r="H1012" s="134"/>
      <c r="I1012" s="134"/>
      <c r="J1012" s="134"/>
      <c r="K1012" s="134"/>
      <c r="L1012" s="134"/>
      <c r="M1012" s="134"/>
    </row>
    <row r="1013" spans="3:13" ht="12.75">
      <c r="C1013" s="134"/>
      <c r="D1013" s="134"/>
      <c r="E1013" s="134"/>
      <c r="F1013" s="134"/>
      <c r="G1013" s="134"/>
      <c r="H1013" s="134"/>
      <c r="I1013" s="134"/>
      <c r="J1013" s="134"/>
      <c r="K1013" s="134"/>
      <c r="L1013" s="134"/>
      <c r="M1013" s="134"/>
    </row>
    <row r="1014" spans="3:13" ht="12.75">
      <c r="C1014" s="134"/>
      <c r="D1014" s="134"/>
      <c r="E1014" s="134"/>
      <c r="F1014" s="134"/>
      <c r="G1014" s="134"/>
      <c r="H1014" s="134"/>
      <c r="I1014" s="134"/>
      <c r="J1014" s="134"/>
      <c r="K1014" s="134"/>
      <c r="L1014" s="134"/>
      <c r="M1014" s="134"/>
    </row>
    <row r="1015" spans="3:13" ht="12.75">
      <c r="C1015" s="134"/>
      <c r="D1015" s="134"/>
      <c r="E1015" s="134"/>
      <c r="F1015" s="134"/>
      <c r="G1015" s="134"/>
      <c r="H1015" s="134"/>
      <c r="I1015" s="134"/>
      <c r="J1015" s="134"/>
      <c r="K1015" s="134"/>
      <c r="L1015" s="134"/>
      <c r="M1015" s="134"/>
    </row>
    <row r="1016" spans="3:13" ht="12.75">
      <c r="C1016" s="134"/>
      <c r="D1016" s="134"/>
      <c r="E1016" s="134"/>
      <c r="F1016" s="134"/>
      <c r="G1016" s="134"/>
      <c r="H1016" s="134"/>
      <c r="I1016" s="134"/>
      <c r="J1016" s="134"/>
      <c r="K1016" s="134"/>
      <c r="L1016" s="134"/>
      <c r="M1016" s="134"/>
    </row>
    <row r="1017" spans="3:13" ht="12.75">
      <c r="C1017" s="134"/>
      <c r="D1017" s="134"/>
      <c r="E1017" s="134"/>
      <c r="F1017" s="134"/>
      <c r="G1017" s="134"/>
      <c r="H1017" s="134"/>
      <c r="I1017" s="134"/>
      <c r="J1017" s="134"/>
      <c r="K1017" s="134"/>
      <c r="L1017" s="134"/>
      <c r="M1017" s="134"/>
    </row>
    <row r="1018" spans="3:13" ht="12.75">
      <c r="C1018" s="134"/>
      <c r="D1018" s="134"/>
      <c r="E1018" s="134"/>
      <c r="F1018" s="134"/>
      <c r="G1018" s="134"/>
      <c r="H1018" s="134"/>
      <c r="I1018" s="134"/>
      <c r="J1018" s="134"/>
      <c r="K1018" s="134"/>
      <c r="L1018" s="134"/>
      <c r="M1018" s="134"/>
    </row>
    <row r="1019" spans="3:13" ht="12.75">
      <c r="C1019" s="134"/>
      <c r="D1019" s="134"/>
      <c r="E1019" s="134"/>
      <c r="F1019" s="134"/>
      <c r="G1019" s="134"/>
      <c r="H1019" s="134"/>
      <c r="I1019" s="134"/>
      <c r="J1019" s="134"/>
      <c r="K1019" s="134"/>
      <c r="L1019" s="134"/>
      <c r="M1019" s="134"/>
    </row>
    <row r="1020" spans="3:13" ht="12.75">
      <c r="C1020" s="134"/>
      <c r="D1020" s="134"/>
      <c r="E1020" s="134"/>
      <c r="F1020" s="134"/>
      <c r="G1020" s="134"/>
      <c r="H1020" s="134"/>
      <c r="I1020" s="134"/>
      <c r="J1020" s="134"/>
      <c r="K1020" s="134"/>
      <c r="L1020" s="134"/>
      <c r="M1020" s="134"/>
    </row>
    <row r="1021" spans="3:13" ht="12.75">
      <c r="C1021" s="134"/>
      <c r="D1021" s="134"/>
      <c r="E1021" s="134"/>
      <c r="F1021" s="134"/>
      <c r="G1021" s="134"/>
      <c r="H1021" s="134"/>
      <c r="I1021" s="134"/>
      <c r="J1021" s="134"/>
      <c r="K1021" s="134"/>
      <c r="L1021" s="134"/>
      <c r="M1021" s="134"/>
    </row>
    <row r="1022" spans="3:13" ht="12.75">
      <c r="C1022" s="134"/>
      <c r="D1022" s="134"/>
      <c r="E1022" s="134"/>
      <c r="F1022" s="134"/>
      <c r="G1022" s="134"/>
      <c r="H1022" s="134"/>
      <c r="I1022" s="134"/>
      <c r="J1022" s="134"/>
      <c r="K1022" s="134"/>
      <c r="L1022" s="134"/>
      <c r="M1022" s="134"/>
    </row>
    <row r="1023" spans="3:13" ht="12.75">
      <c r="C1023" s="134"/>
      <c r="D1023" s="134"/>
      <c r="E1023" s="134"/>
      <c r="F1023" s="134"/>
      <c r="G1023" s="134"/>
      <c r="H1023" s="134"/>
      <c r="I1023" s="134"/>
      <c r="J1023" s="134"/>
      <c r="K1023" s="134"/>
      <c r="L1023" s="134"/>
      <c r="M1023" s="134"/>
    </row>
    <row r="1024" spans="3:13" ht="12.75">
      <c r="C1024" s="134"/>
      <c r="D1024" s="134"/>
      <c r="E1024" s="134"/>
      <c r="F1024" s="134"/>
      <c r="G1024" s="134"/>
      <c r="H1024" s="134"/>
      <c r="I1024" s="134"/>
      <c r="J1024" s="134"/>
      <c r="K1024" s="134"/>
      <c r="L1024" s="134"/>
      <c r="M1024" s="134"/>
    </row>
    <row r="1025" spans="3:13" ht="12.75">
      <c r="C1025" s="134"/>
      <c r="D1025" s="134"/>
      <c r="E1025" s="134"/>
      <c r="F1025" s="134"/>
      <c r="G1025" s="134"/>
      <c r="H1025" s="134"/>
      <c r="I1025" s="134"/>
      <c r="J1025" s="134"/>
      <c r="K1025" s="134"/>
      <c r="L1025" s="134"/>
      <c r="M1025" s="134"/>
    </row>
    <row r="1026" spans="3:13" ht="12.75">
      <c r="C1026" s="134"/>
      <c r="D1026" s="134"/>
      <c r="E1026" s="134"/>
      <c r="F1026" s="134"/>
      <c r="G1026" s="134"/>
      <c r="H1026" s="134"/>
      <c r="I1026" s="134"/>
      <c r="J1026" s="134"/>
      <c r="K1026" s="134"/>
      <c r="L1026" s="134"/>
      <c r="M1026" s="134"/>
    </row>
    <row r="1027" spans="3:13" ht="12.75">
      <c r="C1027" s="134"/>
      <c r="D1027" s="134"/>
      <c r="E1027" s="134"/>
      <c r="F1027" s="134"/>
      <c r="G1027" s="134"/>
      <c r="H1027" s="134"/>
      <c r="I1027" s="134"/>
      <c r="J1027" s="134"/>
      <c r="K1027" s="134"/>
      <c r="L1027" s="134"/>
      <c r="M1027" s="134"/>
    </row>
    <row r="1028" spans="3:13" ht="12.75">
      <c r="C1028" s="134"/>
      <c r="D1028" s="134"/>
      <c r="E1028" s="134"/>
      <c r="F1028" s="134"/>
      <c r="G1028" s="134"/>
      <c r="H1028" s="134"/>
      <c r="I1028" s="134"/>
      <c r="J1028" s="134"/>
      <c r="K1028" s="134"/>
      <c r="L1028" s="134"/>
      <c r="M1028" s="134"/>
    </row>
    <row r="1029" spans="3:13" ht="12.75">
      <c r="C1029" s="134"/>
      <c r="D1029" s="134"/>
      <c r="E1029" s="134"/>
      <c r="F1029" s="134"/>
      <c r="G1029" s="134"/>
      <c r="H1029" s="134"/>
      <c r="I1029" s="134"/>
      <c r="J1029" s="134"/>
      <c r="K1029" s="134"/>
      <c r="L1029" s="134"/>
      <c r="M1029" s="134"/>
    </row>
    <row r="1030" spans="3:13" ht="12.75">
      <c r="C1030" s="134"/>
      <c r="D1030" s="134"/>
      <c r="E1030" s="134"/>
      <c r="F1030" s="134"/>
      <c r="G1030" s="134"/>
      <c r="H1030" s="134"/>
      <c r="I1030" s="134"/>
      <c r="J1030" s="134"/>
      <c r="K1030" s="134"/>
      <c r="L1030" s="134"/>
      <c r="M1030" s="134"/>
    </row>
    <row r="1031" spans="3:13" ht="12.75">
      <c r="C1031" s="134"/>
      <c r="D1031" s="134"/>
      <c r="E1031" s="134"/>
      <c r="F1031" s="134"/>
      <c r="G1031" s="134"/>
      <c r="H1031" s="134"/>
      <c r="I1031" s="134"/>
      <c r="J1031" s="134"/>
      <c r="K1031" s="134"/>
      <c r="L1031" s="134"/>
      <c r="M1031" s="134"/>
    </row>
    <row r="1032" spans="3:13" ht="12.75">
      <c r="C1032" s="134"/>
      <c r="D1032" s="134"/>
      <c r="E1032" s="134"/>
      <c r="F1032" s="134"/>
      <c r="G1032" s="134"/>
      <c r="H1032" s="134"/>
      <c r="I1032" s="134"/>
      <c r="J1032" s="134"/>
      <c r="K1032" s="134"/>
      <c r="L1032" s="134"/>
      <c r="M1032" s="134"/>
    </row>
    <row r="1033" spans="3:13" ht="12.75">
      <c r="C1033" s="134"/>
      <c r="D1033" s="134"/>
      <c r="E1033" s="134"/>
      <c r="F1033" s="134"/>
      <c r="G1033" s="134"/>
      <c r="H1033" s="134"/>
      <c r="I1033" s="134"/>
      <c r="J1033" s="134"/>
      <c r="K1033" s="134"/>
      <c r="L1033" s="134"/>
      <c r="M1033" s="134"/>
    </row>
    <row r="1034" spans="3:13" ht="12.75">
      <c r="C1034" s="134"/>
      <c r="D1034" s="134"/>
      <c r="E1034" s="134"/>
      <c r="F1034" s="134"/>
      <c r="G1034" s="134"/>
      <c r="H1034" s="134"/>
      <c r="I1034" s="134"/>
      <c r="J1034" s="134"/>
      <c r="K1034" s="134"/>
      <c r="L1034" s="134"/>
      <c r="M1034" s="134"/>
    </row>
    <row r="1035" spans="3:13" ht="12.75">
      <c r="C1035" s="134"/>
      <c r="D1035" s="134"/>
      <c r="E1035" s="134"/>
      <c r="F1035" s="134"/>
      <c r="G1035" s="134"/>
      <c r="H1035" s="134"/>
      <c r="I1035" s="134"/>
      <c r="J1035" s="134"/>
      <c r="K1035" s="134"/>
      <c r="L1035" s="134"/>
      <c r="M1035" s="134"/>
    </row>
    <row r="1036" spans="3:13" ht="12.75">
      <c r="C1036" s="134"/>
      <c r="D1036" s="134"/>
      <c r="E1036" s="134"/>
      <c r="F1036" s="134"/>
      <c r="G1036" s="134"/>
      <c r="H1036" s="134"/>
      <c r="I1036" s="134"/>
      <c r="J1036" s="134"/>
      <c r="K1036" s="134"/>
      <c r="L1036" s="134"/>
      <c r="M1036" s="134"/>
    </row>
    <row r="1037" spans="3:13" ht="12.75">
      <c r="C1037" s="134"/>
      <c r="D1037" s="134"/>
      <c r="E1037" s="134"/>
      <c r="F1037" s="134"/>
      <c r="G1037" s="134"/>
      <c r="H1037" s="134"/>
      <c r="I1037" s="134"/>
      <c r="J1037" s="134"/>
      <c r="K1037" s="134"/>
      <c r="L1037" s="134"/>
      <c r="M1037" s="134"/>
    </row>
    <row r="1038" spans="3:13" ht="12.75">
      <c r="C1038" s="134"/>
      <c r="D1038" s="134"/>
      <c r="E1038" s="134"/>
      <c r="F1038" s="134"/>
      <c r="G1038" s="134"/>
      <c r="H1038" s="134"/>
      <c r="I1038" s="134"/>
      <c r="J1038" s="134"/>
      <c r="K1038" s="134"/>
      <c r="L1038" s="134"/>
      <c r="M1038" s="134"/>
    </row>
    <row r="1039" spans="3:13" ht="12.75">
      <c r="C1039" s="134"/>
      <c r="D1039" s="134"/>
      <c r="E1039" s="134"/>
      <c r="F1039" s="134"/>
      <c r="G1039" s="134"/>
      <c r="H1039" s="134"/>
      <c r="I1039" s="134"/>
      <c r="J1039" s="134"/>
      <c r="K1039" s="134"/>
      <c r="L1039" s="134"/>
      <c r="M1039" s="134"/>
    </row>
    <row r="1040" spans="3:13" ht="12.75">
      <c r="C1040" s="134"/>
      <c r="D1040" s="134"/>
      <c r="E1040" s="134"/>
      <c r="F1040" s="134"/>
      <c r="G1040" s="134"/>
      <c r="H1040" s="134"/>
      <c r="I1040" s="134"/>
      <c r="J1040" s="134"/>
      <c r="K1040" s="134"/>
      <c r="L1040" s="134"/>
      <c r="M1040" s="134"/>
    </row>
    <row r="1041" spans="3:13" ht="12.75">
      <c r="C1041" s="134"/>
      <c r="D1041" s="134"/>
      <c r="E1041" s="134"/>
      <c r="F1041" s="134"/>
      <c r="G1041" s="134"/>
      <c r="H1041" s="134"/>
      <c r="I1041" s="134"/>
      <c r="J1041" s="134"/>
      <c r="K1041" s="134"/>
      <c r="L1041" s="134"/>
      <c r="M1041" s="134"/>
    </row>
    <row r="1042" spans="3:13" ht="12.75">
      <c r="C1042" s="134"/>
      <c r="D1042" s="134"/>
      <c r="E1042" s="134"/>
      <c r="F1042" s="134"/>
      <c r="G1042" s="134"/>
      <c r="H1042" s="134"/>
      <c r="I1042" s="134"/>
      <c r="J1042" s="134"/>
      <c r="K1042" s="134"/>
      <c r="L1042" s="134"/>
      <c r="M1042" s="134"/>
    </row>
    <row r="1043" spans="3:13" ht="12.75">
      <c r="C1043" s="134"/>
      <c r="D1043" s="134"/>
      <c r="E1043" s="134"/>
      <c r="F1043" s="134"/>
      <c r="G1043" s="134"/>
      <c r="H1043" s="134"/>
      <c r="I1043" s="134"/>
      <c r="J1043" s="134"/>
      <c r="K1043" s="134"/>
      <c r="L1043" s="134"/>
      <c r="M1043" s="134"/>
    </row>
    <row r="1044" spans="3:13" ht="12.75">
      <c r="C1044" s="134"/>
      <c r="D1044" s="134"/>
      <c r="E1044" s="134"/>
      <c r="F1044" s="134"/>
      <c r="G1044" s="134"/>
      <c r="H1044" s="134"/>
      <c r="I1044" s="134"/>
      <c r="J1044" s="134"/>
      <c r="K1044" s="134"/>
      <c r="L1044" s="134"/>
      <c r="M1044" s="134"/>
    </row>
    <row r="1045" spans="3:13" ht="12.75">
      <c r="C1045" s="134"/>
      <c r="D1045" s="134"/>
      <c r="E1045" s="134"/>
      <c r="F1045" s="134"/>
      <c r="G1045" s="134"/>
      <c r="H1045" s="134"/>
      <c r="I1045" s="134"/>
      <c r="J1045" s="134"/>
      <c r="K1045" s="134"/>
      <c r="L1045" s="134"/>
      <c r="M1045" s="134"/>
    </row>
    <row r="1046" spans="3:13" ht="12.75">
      <c r="C1046" s="134"/>
      <c r="D1046" s="134"/>
      <c r="E1046" s="134"/>
      <c r="F1046" s="134"/>
      <c r="G1046" s="134"/>
      <c r="H1046" s="134"/>
      <c r="I1046" s="134"/>
      <c r="J1046" s="134"/>
      <c r="K1046" s="134"/>
      <c r="L1046" s="134"/>
      <c r="M1046" s="134"/>
    </row>
    <row r="1047" spans="3:13" ht="12.75">
      <c r="C1047" s="134"/>
      <c r="D1047" s="134"/>
      <c r="E1047" s="134"/>
      <c r="F1047" s="134"/>
      <c r="G1047" s="134"/>
      <c r="H1047" s="134"/>
      <c r="I1047" s="134"/>
      <c r="J1047" s="134"/>
      <c r="K1047" s="134"/>
      <c r="L1047" s="134"/>
      <c r="M1047" s="134"/>
    </row>
    <row r="1048" spans="3:13" ht="12.75">
      <c r="C1048" s="134"/>
      <c r="D1048" s="134"/>
      <c r="E1048" s="134"/>
      <c r="F1048" s="134"/>
      <c r="G1048" s="134"/>
      <c r="H1048" s="134"/>
      <c r="I1048" s="134"/>
      <c r="J1048" s="134"/>
      <c r="K1048" s="134"/>
      <c r="L1048" s="134"/>
      <c r="M1048" s="134"/>
    </row>
    <row r="1049" spans="3:13" ht="12.75">
      <c r="C1049" s="134"/>
      <c r="D1049" s="134"/>
      <c r="E1049" s="134"/>
      <c r="F1049" s="134"/>
      <c r="G1049" s="134"/>
      <c r="H1049" s="134"/>
      <c r="I1049" s="134"/>
      <c r="J1049" s="134"/>
      <c r="K1049" s="134"/>
      <c r="L1049" s="134"/>
      <c r="M1049" s="134"/>
    </row>
    <row r="1050" spans="3:13" ht="12.75">
      <c r="C1050" s="134"/>
      <c r="D1050" s="134"/>
      <c r="E1050" s="134"/>
      <c r="F1050" s="134"/>
      <c r="G1050" s="134"/>
      <c r="H1050" s="134"/>
      <c r="I1050" s="134"/>
      <c r="J1050" s="134"/>
      <c r="K1050" s="134"/>
      <c r="L1050" s="134"/>
      <c r="M1050" s="134"/>
    </row>
    <row r="1051" spans="3:13" ht="12.75">
      <c r="C1051" s="134"/>
      <c r="D1051" s="134"/>
      <c r="E1051" s="134"/>
      <c r="F1051" s="134"/>
      <c r="G1051" s="134"/>
      <c r="H1051" s="134"/>
      <c r="I1051" s="134"/>
      <c r="J1051" s="134"/>
      <c r="K1051" s="134"/>
      <c r="L1051" s="134"/>
      <c r="M1051" s="134"/>
    </row>
    <row r="1052" spans="3:13" ht="12.75">
      <c r="C1052" s="134"/>
      <c r="D1052" s="134"/>
      <c r="E1052" s="134"/>
      <c r="F1052" s="134"/>
      <c r="G1052" s="134"/>
      <c r="H1052" s="134"/>
      <c r="I1052" s="134"/>
      <c r="J1052" s="134"/>
      <c r="K1052" s="134"/>
      <c r="L1052" s="134"/>
      <c r="M1052" s="134"/>
    </row>
    <row r="1053" spans="3:13" ht="12.75">
      <c r="C1053" s="134"/>
      <c r="D1053" s="134"/>
      <c r="E1053" s="134"/>
      <c r="F1053" s="134"/>
      <c r="G1053" s="134"/>
      <c r="H1053" s="134"/>
      <c r="I1053" s="134"/>
      <c r="J1053" s="134"/>
      <c r="K1053" s="134"/>
      <c r="L1053" s="134"/>
      <c r="M1053" s="134"/>
    </row>
    <row r="1054" spans="3:13" ht="12.75">
      <c r="C1054" s="134"/>
      <c r="D1054" s="134"/>
      <c r="E1054" s="134"/>
      <c r="F1054" s="134"/>
      <c r="G1054" s="134"/>
      <c r="H1054" s="134"/>
      <c r="I1054" s="134"/>
      <c r="J1054" s="134"/>
      <c r="K1054" s="134"/>
      <c r="L1054" s="134"/>
      <c r="M1054" s="134"/>
    </row>
    <row r="1055" spans="3:13" ht="12.75">
      <c r="C1055" s="134"/>
      <c r="D1055" s="134"/>
      <c r="E1055" s="134"/>
      <c r="F1055" s="134"/>
      <c r="G1055" s="134"/>
      <c r="H1055" s="134"/>
      <c r="I1055" s="134"/>
      <c r="J1055" s="134"/>
      <c r="K1055" s="134"/>
      <c r="L1055" s="134"/>
      <c r="M1055" s="134"/>
    </row>
    <row r="1056" spans="3:13" ht="12.75">
      <c r="C1056" s="134"/>
      <c r="D1056" s="134"/>
      <c r="E1056" s="134"/>
      <c r="F1056" s="134"/>
      <c r="G1056" s="134"/>
      <c r="H1056" s="134"/>
      <c r="I1056" s="134"/>
      <c r="J1056" s="134"/>
      <c r="K1056" s="134"/>
      <c r="L1056" s="134"/>
      <c r="M1056" s="134"/>
    </row>
    <row r="1057" spans="3:13" ht="12.75">
      <c r="C1057" s="134"/>
      <c r="D1057" s="134"/>
      <c r="E1057" s="134"/>
      <c r="F1057" s="134"/>
      <c r="G1057" s="134"/>
      <c r="H1057" s="134"/>
      <c r="I1057" s="134"/>
      <c r="J1057" s="134"/>
      <c r="K1057" s="134"/>
      <c r="L1057" s="134"/>
      <c r="M1057" s="134"/>
    </row>
    <row r="1058" spans="3:13" ht="12.75">
      <c r="C1058" s="134"/>
      <c r="D1058" s="134"/>
      <c r="E1058" s="134"/>
      <c r="F1058" s="134"/>
      <c r="G1058" s="134"/>
      <c r="H1058" s="134"/>
      <c r="I1058" s="134"/>
      <c r="J1058" s="134"/>
      <c r="K1058" s="134"/>
      <c r="L1058" s="134"/>
      <c r="M1058" s="134"/>
    </row>
    <row r="1059" spans="3:13" ht="12.75">
      <c r="C1059" s="134"/>
      <c r="D1059" s="134"/>
      <c r="E1059" s="134"/>
      <c r="F1059" s="134"/>
      <c r="G1059" s="134"/>
      <c r="H1059" s="134"/>
      <c r="I1059" s="134"/>
      <c r="J1059" s="134"/>
      <c r="K1059" s="134"/>
      <c r="L1059" s="134"/>
      <c r="M1059" s="134"/>
    </row>
    <row r="1060" spans="3:13" ht="12.75">
      <c r="C1060" s="134"/>
      <c r="D1060" s="134"/>
      <c r="E1060" s="134"/>
      <c r="F1060" s="134"/>
      <c r="G1060" s="134"/>
      <c r="H1060" s="134"/>
      <c r="I1060" s="134"/>
      <c r="J1060" s="134"/>
      <c r="K1060" s="134"/>
      <c r="L1060" s="134"/>
      <c r="M1060" s="134"/>
    </row>
    <row r="1061" spans="3:13" ht="12.75">
      <c r="C1061" s="134"/>
      <c r="D1061" s="134"/>
      <c r="E1061" s="134"/>
      <c r="F1061" s="134"/>
      <c r="G1061" s="134"/>
      <c r="H1061" s="134"/>
      <c r="I1061" s="134"/>
      <c r="J1061" s="134"/>
      <c r="K1061" s="134"/>
      <c r="L1061" s="134"/>
      <c r="M1061" s="134"/>
    </row>
    <row r="1062" spans="3:13" ht="12.75">
      <c r="C1062" s="134"/>
      <c r="D1062" s="134"/>
      <c r="E1062" s="134"/>
      <c r="F1062" s="134"/>
      <c r="G1062" s="134"/>
      <c r="H1062" s="134"/>
      <c r="I1062" s="134"/>
      <c r="J1062" s="134"/>
      <c r="K1062" s="134"/>
      <c r="L1062" s="134"/>
      <c r="M1062" s="134"/>
    </row>
    <row r="1063" spans="3:13" ht="12.75">
      <c r="C1063" s="134"/>
      <c r="D1063" s="134"/>
      <c r="E1063" s="134"/>
      <c r="F1063" s="134"/>
      <c r="G1063" s="134"/>
      <c r="H1063" s="134"/>
      <c r="I1063" s="134"/>
      <c r="J1063" s="134"/>
      <c r="K1063" s="134"/>
      <c r="L1063" s="134"/>
      <c r="M1063" s="134"/>
    </row>
    <row r="1064" spans="3:13" ht="12.75">
      <c r="C1064" s="134"/>
      <c r="D1064" s="134"/>
      <c r="E1064" s="134"/>
      <c r="F1064" s="134"/>
      <c r="G1064" s="134"/>
      <c r="H1064" s="134"/>
      <c r="I1064" s="134"/>
      <c r="J1064" s="134"/>
      <c r="K1064" s="134"/>
      <c r="L1064" s="134"/>
      <c r="M1064" s="134"/>
    </row>
    <row r="1065" spans="3:13" ht="12.75">
      <c r="C1065" s="134"/>
      <c r="D1065" s="134"/>
      <c r="E1065" s="134"/>
      <c r="F1065" s="134"/>
      <c r="G1065" s="134"/>
      <c r="H1065" s="134"/>
      <c r="I1065" s="134"/>
      <c r="J1065" s="134"/>
      <c r="K1065" s="134"/>
      <c r="L1065" s="134"/>
      <c r="M1065" s="134"/>
    </row>
    <row r="1066" spans="3:13" ht="12.75">
      <c r="C1066" s="134"/>
      <c r="D1066" s="134"/>
      <c r="E1066" s="134"/>
      <c r="F1066" s="134"/>
      <c r="G1066" s="134"/>
      <c r="H1066" s="134"/>
      <c r="I1066" s="134"/>
      <c r="J1066" s="134"/>
      <c r="K1066" s="134"/>
      <c r="L1066" s="134"/>
      <c r="M1066" s="134"/>
    </row>
    <row r="1067" spans="3:13" ht="12.75">
      <c r="C1067" s="134"/>
      <c r="D1067" s="134"/>
      <c r="E1067" s="134"/>
      <c r="F1067" s="134"/>
      <c r="G1067" s="134"/>
      <c r="H1067" s="134"/>
      <c r="I1067" s="134"/>
      <c r="J1067" s="134"/>
      <c r="K1067" s="134"/>
      <c r="L1067" s="134"/>
      <c r="M1067" s="134"/>
    </row>
    <row r="1068" spans="3:13" ht="12.75">
      <c r="C1068" s="134"/>
      <c r="D1068" s="134"/>
      <c r="E1068" s="134"/>
      <c r="F1068" s="134"/>
      <c r="G1068" s="134"/>
      <c r="H1068" s="134"/>
      <c r="I1068" s="134"/>
      <c r="J1068" s="134"/>
      <c r="K1068" s="134"/>
      <c r="L1068" s="134"/>
      <c r="M1068" s="134"/>
    </row>
    <row r="1069" spans="3:13" ht="12.75">
      <c r="C1069" s="134"/>
      <c r="D1069" s="134"/>
      <c r="E1069" s="134"/>
      <c r="F1069" s="134"/>
      <c r="G1069" s="134"/>
      <c r="H1069" s="134"/>
      <c r="I1069" s="134"/>
      <c r="J1069" s="134"/>
      <c r="K1069" s="134"/>
      <c r="L1069" s="134"/>
      <c r="M1069" s="134"/>
    </row>
    <row r="1070" spans="3:13" ht="12.75">
      <c r="C1070" s="134"/>
      <c r="D1070" s="134"/>
      <c r="E1070" s="134"/>
      <c r="F1070" s="134"/>
      <c r="G1070" s="134"/>
      <c r="H1070" s="134"/>
      <c r="I1070" s="134"/>
      <c r="J1070" s="134"/>
      <c r="K1070" s="134"/>
      <c r="L1070" s="134"/>
      <c r="M1070" s="134"/>
    </row>
    <row r="1071" spans="3:13" ht="12.75">
      <c r="C1071" s="134"/>
      <c r="D1071" s="134"/>
      <c r="E1071" s="134"/>
      <c r="F1071" s="134"/>
      <c r="G1071" s="134"/>
      <c r="H1071" s="134"/>
      <c r="I1071" s="134"/>
      <c r="J1071" s="134"/>
      <c r="K1071" s="134"/>
      <c r="L1071" s="134"/>
      <c r="M1071" s="134"/>
    </row>
    <row r="1072" spans="3:13" ht="12.75">
      <c r="C1072" s="134"/>
      <c r="D1072" s="134"/>
      <c r="E1072" s="134"/>
      <c r="F1072" s="134"/>
      <c r="G1072" s="134"/>
      <c r="H1072" s="134"/>
      <c r="I1072" s="134"/>
      <c r="J1072" s="134"/>
      <c r="K1072" s="134"/>
      <c r="L1072" s="134"/>
      <c r="M1072" s="134"/>
    </row>
    <row r="1073" spans="3:13" ht="12.75">
      <c r="C1073" s="134"/>
      <c r="D1073" s="134"/>
      <c r="E1073" s="134"/>
      <c r="F1073" s="134"/>
      <c r="G1073" s="134"/>
      <c r="H1073" s="134"/>
      <c r="I1073" s="134"/>
      <c r="J1073" s="134"/>
      <c r="K1073" s="134"/>
      <c r="L1073" s="134"/>
      <c r="M1073" s="134"/>
    </row>
    <row r="1074" spans="3:13" ht="12.75">
      <c r="C1074" s="134"/>
      <c r="D1074" s="134"/>
      <c r="E1074" s="134"/>
      <c r="F1074" s="134"/>
      <c r="G1074" s="134"/>
      <c r="H1074" s="134"/>
      <c r="I1074" s="134"/>
      <c r="J1074" s="134"/>
      <c r="K1074" s="134"/>
      <c r="L1074" s="134"/>
      <c r="M1074" s="134"/>
    </row>
    <row r="1075" spans="3:13" ht="12.75">
      <c r="C1075" s="134"/>
      <c r="D1075" s="134"/>
      <c r="E1075" s="134"/>
      <c r="F1075" s="134"/>
      <c r="G1075" s="134"/>
      <c r="H1075" s="134"/>
      <c r="I1075" s="134"/>
      <c r="J1075" s="134"/>
      <c r="K1075" s="134"/>
      <c r="L1075" s="134"/>
      <c r="M1075" s="134"/>
    </row>
    <row r="1076" spans="3:13" ht="12.75">
      <c r="C1076" s="134"/>
      <c r="D1076" s="134"/>
      <c r="E1076" s="134"/>
      <c r="F1076" s="134"/>
      <c r="G1076" s="134"/>
      <c r="H1076" s="134"/>
      <c r="I1076" s="134"/>
      <c r="J1076" s="134"/>
      <c r="K1076" s="134"/>
      <c r="L1076" s="134"/>
      <c r="M1076" s="134"/>
    </row>
    <row r="1077" spans="3:13" ht="12.75">
      <c r="C1077" s="134"/>
      <c r="D1077" s="134"/>
      <c r="E1077" s="134"/>
      <c r="F1077" s="134"/>
      <c r="G1077" s="134"/>
      <c r="H1077" s="134"/>
      <c r="I1077" s="134"/>
      <c r="J1077" s="134"/>
      <c r="K1077" s="134"/>
      <c r="L1077" s="134"/>
      <c r="M1077" s="134"/>
    </row>
    <row r="1078" spans="3:13" ht="12.75">
      <c r="C1078" s="134"/>
      <c r="D1078" s="134"/>
      <c r="E1078" s="134"/>
      <c r="F1078" s="134"/>
      <c r="G1078" s="134"/>
      <c r="H1078" s="134"/>
      <c r="I1078" s="134"/>
      <c r="J1078" s="134"/>
      <c r="K1078" s="134"/>
      <c r="L1078" s="134"/>
      <c r="M1078" s="134"/>
    </row>
    <row r="1079" spans="3:13" ht="12.75">
      <c r="C1079" s="134"/>
      <c r="D1079" s="134"/>
      <c r="E1079" s="134"/>
      <c r="F1079" s="134"/>
      <c r="G1079" s="134"/>
      <c r="H1079" s="134"/>
      <c r="I1079" s="134"/>
      <c r="J1079" s="134"/>
      <c r="K1079" s="134"/>
      <c r="L1079" s="134"/>
      <c r="M1079" s="134"/>
    </row>
    <row r="1080" spans="3:13" ht="12.75">
      <c r="C1080" s="134"/>
      <c r="D1080" s="134"/>
      <c r="E1080" s="134"/>
      <c r="F1080" s="134"/>
      <c r="G1080" s="134"/>
      <c r="H1080" s="134"/>
      <c r="I1080" s="134"/>
      <c r="J1080" s="134"/>
      <c r="K1080" s="134"/>
      <c r="L1080" s="134"/>
      <c r="M1080" s="134"/>
    </row>
    <row r="1081" spans="3:13" ht="12.75">
      <c r="C1081" s="134"/>
      <c r="D1081" s="134"/>
      <c r="E1081" s="134"/>
      <c r="F1081" s="134"/>
      <c r="G1081" s="134"/>
      <c r="H1081" s="134"/>
      <c r="I1081" s="134"/>
      <c r="J1081" s="134"/>
      <c r="K1081" s="134"/>
      <c r="L1081" s="134"/>
      <c r="M1081" s="134"/>
    </row>
    <row r="1082" spans="3:13" ht="12.75">
      <c r="C1082" s="134"/>
      <c r="D1082" s="134"/>
      <c r="E1082" s="134"/>
      <c r="F1082" s="134"/>
      <c r="G1082" s="134"/>
      <c r="H1082" s="134"/>
      <c r="I1082" s="134"/>
      <c r="J1082" s="134"/>
      <c r="K1082" s="134"/>
      <c r="L1082" s="134"/>
      <c r="M1082" s="134"/>
    </row>
    <row r="1083" spans="3:13" ht="12.75">
      <c r="C1083" s="134"/>
      <c r="D1083" s="134"/>
      <c r="E1083" s="134"/>
      <c r="F1083" s="134"/>
      <c r="G1083" s="134"/>
      <c r="H1083" s="134"/>
      <c r="I1083" s="134"/>
      <c r="J1083" s="134"/>
      <c r="K1083" s="134"/>
      <c r="L1083" s="134"/>
      <c r="M1083" s="134"/>
    </row>
    <row r="1084" spans="3:13" ht="12.75">
      <c r="C1084" s="134"/>
      <c r="D1084" s="134"/>
      <c r="E1084" s="134"/>
      <c r="F1084" s="134"/>
      <c r="G1084" s="134"/>
      <c r="H1084" s="134"/>
      <c r="I1084" s="134"/>
      <c r="J1084" s="134"/>
      <c r="K1084" s="134"/>
      <c r="L1084" s="134"/>
      <c r="M1084" s="134"/>
    </row>
    <row r="1085" spans="3:13" ht="12.75">
      <c r="C1085" s="134"/>
      <c r="D1085" s="134"/>
      <c r="E1085" s="134"/>
      <c r="F1085" s="134"/>
      <c r="G1085" s="134"/>
      <c r="H1085" s="134"/>
      <c r="I1085" s="134"/>
      <c r="J1085" s="134"/>
      <c r="K1085" s="134"/>
      <c r="L1085" s="134"/>
      <c r="M1085" s="134"/>
    </row>
    <row r="1086" spans="3:13" ht="12.75">
      <c r="C1086" s="134"/>
      <c r="D1086" s="134"/>
      <c r="E1086" s="134"/>
      <c r="F1086" s="134"/>
      <c r="G1086" s="134"/>
      <c r="H1086" s="134"/>
      <c r="I1086" s="134"/>
      <c r="J1086" s="134"/>
      <c r="K1086" s="134"/>
      <c r="L1086" s="134"/>
      <c r="M1086" s="134"/>
    </row>
    <row r="1087" spans="3:13" ht="12.75">
      <c r="C1087" s="134"/>
      <c r="D1087" s="134"/>
      <c r="E1087" s="134"/>
      <c r="F1087" s="134"/>
      <c r="G1087" s="134"/>
      <c r="H1087" s="134"/>
      <c r="I1087" s="134"/>
      <c r="J1087" s="134"/>
      <c r="K1087" s="134"/>
      <c r="L1087" s="134"/>
      <c r="M1087" s="134"/>
    </row>
    <row r="1088" spans="3:13" ht="12.75">
      <c r="C1088" s="134"/>
      <c r="D1088" s="134"/>
      <c r="E1088" s="134"/>
      <c r="F1088" s="134"/>
      <c r="G1088" s="134"/>
      <c r="H1088" s="134"/>
      <c r="I1088" s="134"/>
      <c r="J1088" s="134"/>
      <c r="K1088" s="134"/>
      <c r="L1088" s="134"/>
      <c r="M1088" s="134"/>
    </row>
    <row r="1089" spans="3:13" ht="12.75">
      <c r="C1089" s="134"/>
      <c r="D1089" s="134"/>
      <c r="E1089" s="134"/>
      <c r="F1089" s="134"/>
      <c r="G1089" s="134"/>
      <c r="H1089" s="134"/>
      <c r="I1089" s="134"/>
      <c r="J1089" s="134"/>
      <c r="K1089" s="134"/>
      <c r="L1089" s="134"/>
      <c r="M1089" s="134"/>
    </row>
    <row r="1090" spans="3:13" ht="12.75">
      <c r="C1090" s="134"/>
      <c r="D1090" s="134"/>
      <c r="E1090" s="134"/>
      <c r="F1090" s="134"/>
      <c r="G1090" s="134"/>
      <c r="H1090" s="134"/>
      <c r="I1090" s="134"/>
      <c r="J1090" s="134"/>
      <c r="K1090" s="134"/>
      <c r="L1090" s="134"/>
      <c r="M1090" s="134"/>
    </row>
    <row r="1091" spans="3:13" ht="12.75">
      <c r="C1091" s="134"/>
      <c r="D1091" s="134"/>
      <c r="E1091" s="134"/>
      <c r="F1091" s="134"/>
      <c r="G1091" s="134"/>
      <c r="H1091" s="134"/>
      <c r="I1091" s="134"/>
      <c r="J1091" s="134"/>
      <c r="K1091" s="134"/>
      <c r="L1091" s="134"/>
      <c r="M1091" s="134"/>
    </row>
    <row r="1092" spans="3:13" ht="12.75">
      <c r="C1092" s="134"/>
      <c r="D1092" s="134"/>
      <c r="E1092" s="134"/>
      <c r="F1092" s="134"/>
      <c r="G1092" s="134"/>
      <c r="H1092" s="134"/>
      <c r="I1092" s="134"/>
      <c r="J1092" s="134"/>
      <c r="K1092" s="134"/>
      <c r="L1092" s="134"/>
      <c r="M1092" s="134"/>
    </row>
    <row r="1093" spans="3:13" ht="12.75">
      <c r="C1093" s="134"/>
      <c r="D1093" s="134"/>
      <c r="E1093" s="134"/>
      <c r="F1093" s="134"/>
      <c r="G1093" s="134"/>
      <c r="H1093" s="134"/>
      <c r="I1093" s="134"/>
      <c r="J1093" s="134"/>
      <c r="K1093" s="134"/>
      <c r="L1093" s="134"/>
      <c r="M1093" s="134"/>
    </row>
    <row r="1094" spans="3:13" ht="12.75">
      <c r="C1094" s="134"/>
      <c r="D1094" s="134"/>
      <c r="E1094" s="134"/>
      <c r="F1094" s="134"/>
      <c r="G1094" s="134"/>
      <c r="H1094" s="134"/>
      <c r="I1094" s="134"/>
      <c r="J1094" s="134"/>
      <c r="K1094" s="134"/>
      <c r="L1094" s="134"/>
      <c r="M1094" s="134"/>
    </row>
    <row r="1095" spans="3:13" ht="12.75">
      <c r="C1095" s="134"/>
      <c r="D1095" s="134"/>
      <c r="E1095" s="134"/>
      <c r="F1095" s="134"/>
      <c r="G1095" s="134"/>
      <c r="H1095" s="134"/>
      <c r="I1095" s="134"/>
      <c r="J1095" s="134"/>
      <c r="K1095" s="134"/>
      <c r="L1095" s="134"/>
      <c r="M1095" s="134"/>
    </row>
    <row r="1096" spans="3:13" ht="12.75">
      <c r="C1096" s="134"/>
      <c r="D1096" s="134"/>
      <c r="E1096" s="134"/>
      <c r="F1096" s="134"/>
      <c r="G1096" s="134"/>
      <c r="H1096" s="134"/>
      <c r="I1096" s="134"/>
      <c r="J1096" s="134"/>
      <c r="K1096" s="134"/>
      <c r="L1096" s="134"/>
      <c r="M1096" s="134"/>
    </row>
    <row r="1097" spans="3:13" ht="12.75">
      <c r="C1097" s="134"/>
      <c r="D1097" s="134"/>
      <c r="E1097" s="134"/>
      <c r="F1097" s="134"/>
      <c r="G1097" s="134"/>
      <c r="H1097" s="134"/>
      <c r="I1097" s="134"/>
      <c r="J1097" s="134"/>
      <c r="K1097" s="134"/>
      <c r="L1097" s="134"/>
      <c r="M1097" s="134"/>
    </row>
    <row r="1098" spans="3:13" ht="12.75">
      <c r="C1098" s="134"/>
      <c r="D1098" s="134"/>
      <c r="E1098" s="134"/>
      <c r="F1098" s="134"/>
      <c r="G1098" s="134"/>
      <c r="H1098" s="134"/>
      <c r="I1098" s="134"/>
      <c r="J1098" s="134"/>
      <c r="K1098" s="134"/>
      <c r="L1098" s="134"/>
      <c r="M1098" s="134"/>
    </row>
    <row r="1099" spans="3:13" ht="12.75">
      <c r="C1099" s="134"/>
      <c r="D1099" s="134"/>
      <c r="E1099" s="134"/>
      <c r="F1099" s="134"/>
      <c r="G1099" s="134"/>
      <c r="H1099" s="134"/>
      <c r="I1099" s="134"/>
      <c r="J1099" s="134"/>
      <c r="K1099" s="134"/>
      <c r="L1099" s="134"/>
      <c r="M1099" s="134"/>
    </row>
    <row r="1100" spans="3:13" ht="12.75">
      <c r="C1100" s="134"/>
      <c r="D1100" s="134"/>
      <c r="E1100" s="134"/>
      <c r="F1100" s="134"/>
      <c r="G1100" s="134"/>
      <c r="H1100" s="134"/>
      <c r="I1100" s="134"/>
      <c r="J1100" s="134"/>
      <c r="K1100" s="134"/>
      <c r="L1100" s="134"/>
      <c r="M1100" s="134"/>
    </row>
    <row r="1101" spans="3:13" ht="12.75">
      <c r="C1101" s="134"/>
      <c r="D1101" s="134"/>
      <c r="E1101" s="134"/>
      <c r="F1101" s="134"/>
      <c r="G1101" s="134"/>
      <c r="H1101" s="134"/>
      <c r="I1101" s="134"/>
      <c r="J1101" s="134"/>
      <c r="K1101" s="134"/>
      <c r="L1101" s="134"/>
      <c r="M1101" s="134"/>
    </row>
    <row r="1102" spans="3:13" ht="12.75">
      <c r="C1102" s="134"/>
      <c r="D1102" s="134"/>
      <c r="E1102" s="134"/>
      <c r="F1102" s="134"/>
      <c r="G1102" s="134"/>
      <c r="H1102" s="134"/>
      <c r="I1102" s="134"/>
      <c r="J1102" s="134"/>
      <c r="K1102" s="134"/>
      <c r="L1102" s="134"/>
      <c r="M1102" s="134"/>
    </row>
    <row r="1103" spans="3:13" ht="12.75">
      <c r="C1103" s="134"/>
      <c r="D1103" s="134"/>
      <c r="E1103" s="134"/>
      <c r="F1103" s="134"/>
      <c r="G1103" s="134"/>
      <c r="H1103" s="134"/>
      <c r="I1103" s="134"/>
      <c r="J1103" s="134"/>
      <c r="K1103" s="134"/>
      <c r="L1103" s="134"/>
      <c r="M1103" s="134"/>
    </row>
    <row r="1104" spans="3:13" ht="12.75">
      <c r="C1104" s="134"/>
      <c r="D1104" s="134"/>
      <c r="E1104" s="134"/>
      <c r="F1104" s="134"/>
      <c r="G1104" s="134"/>
      <c r="H1104" s="134"/>
      <c r="I1104" s="134"/>
      <c r="J1104" s="134"/>
      <c r="K1104" s="134"/>
      <c r="L1104" s="134"/>
      <c r="M1104" s="134"/>
    </row>
    <row r="1105" spans="3:13" ht="12.75">
      <c r="C1105" s="134"/>
      <c r="D1105" s="134"/>
      <c r="E1105" s="134"/>
      <c r="F1105" s="134"/>
      <c r="G1105" s="134"/>
      <c r="H1105" s="134"/>
      <c r="I1105" s="134"/>
      <c r="J1105" s="134"/>
      <c r="K1105" s="134"/>
      <c r="L1105" s="134"/>
      <c r="M1105" s="134"/>
    </row>
    <row r="1106" spans="3:13" ht="12.75">
      <c r="C1106" s="134"/>
      <c r="D1106" s="134"/>
      <c r="E1106" s="134"/>
      <c r="F1106" s="134"/>
      <c r="G1106" s="134"/>
      <c r="H1106" s="134"/>
      <c r="I1106" s="134"/>
      <c r="J1106" s="134"/>
      <c r="K1106" s="134"/>
      <c r="L1106" s="134"/>
      <c r="M1106" s="134"/>
    </row>
    <row r="1107" spans="3:13" ht="12.75">
      <c r="C1107" s="134"/>
      <c r="D1107" s="134"/>
      <c r="E1107" s="134"/>
      <c r="F1107" s="134"/>
      <c r="G1107" s="134"/>
      <c r="H1107" s="134"/>
      <c r="I1107" s="134"/>
      <c r="J1107" s="134"/>
      <c r="K1107" s="134"/>
      <c r="L1107" s="134"/>
      <c r="M1107" s="134"/>
    </row>
    <row r="1108" spans="3:13" ht="12.75">
      <c r="C1108" s="134"/>
      <c r="D1108" s="134"/>
      <c r="E1108" s="134"/>
      <c r="F1108" s="134"/>
      <c r="G1108" s="134"/>
      <c r="H1108" s="134"/>
      <c r="I1108" s="134"/>
      <c r="J1108" s="134"/>
      <c r="K1108" s="134"/>
      <c r="L1108" s="134"/>
      <c r="M1108" s="134"/>
    </row>
    <row r="1109" spans="3:13" ht="12.75">
      <c r="C1109" s="134"/>
      <c r="D1109" s="134"/>
      <c r="E1109" s="134"/>
      <c r="F1109" s="134"/>
      <c r="G1109" s="134"/>
      <c r="H1109" s="134"/>
      <c r="I1109" s="134"/>
      <c r="J1109" s="134"/>
      <c r="K1109" s="134"/>
      <c r="L1109" s="134"/>
      <c r="M1109" s="134"/>
    </row>
    <row r="1110" spans="3:13" ht="12.75">
      <c r="C1110" s="134"/>
      <c r="D1110" s="134"/>
      <c r="E1110" s="134"/>
      <c r="F1110" s="134"/>
      <c r="G1110" s="134"/>
      <c r="H1110" s="134"/>
      <c r="I1110" s="134"/>
      <c r="J1110" s="134"/>
      <c r="K1110" s="134"/>
      <c r="L1110" s="134"/>
      <c r="M1110" s="134"/>
    </row>
    <row r="1111" spans="3:13" ht="12.75">
      <c r="C1111" s="134"/>
      <c r="D1111" s="134"/>
      <c r="E1111" s="134"/>
      <c r="F1111" s="134"/>
      <c r="G1111" s="134"/>
      <c r="H1111" s="134"/>
      <c r="I1111" s="134"/>
      <c r="J1111" s="134"/>
      <c r="K1111" s="134"/>
      <c r="L1111" s="134"/>
      <c r="M1111" s="134"/>
    </row>
    <row r="1112" spans="3:13" ht="12.75">
      <c r="C1112" s="134"/>
      <c r="D1112" s="134"/>
      <c r="E1112" s="134"/>
      <c r="F1112" s="134"/>
      <c r="G1112" s="134"/>
      <c r="H1112" s="134"/>
      <c r="I1112" s="134"/>
      <c r="J1112" s="134"/>
      <c r="K1112" s="134"/>
      <c r="L1112" s="134"/>
      <c r="M1112" s="134"/>
    </row>
    <row r="1113" spans="3:13" ht="12.75">
      <c r="C1113" s="134"/>
      <c r="D1113" s="134"/>
      <c r="E1113" s="134"/>
      <c r="F1113" s="134"/>
      <c r="G1113" s="134"/>
      <c r="H1113" s="134"/>
      <c r="I1113" s="134"/>
      <c r="J1113" s="134"/>
      <c r="K1113" s="134"/>
      <c r="L1113" s="134"/>
      <c r="M1113" s="134"/>
    </row>
    <row r="1114" spans="3:13" ht="12.75">
      <c r="C1114" s="134"/>
      <c r="D1114" s="134"/>
      <c r="E1114" s="134"/>
      <c r="F1114" s="134"/>
      <c r="G1114" s="134"/>
      <c r="H1114" s="134"/>
      <c r="I1114" s="134"/>
      <c r="J1114" s="134"/>
      <c r="K1114" s="134"/>
      <c r="L1114" s="134"/>
      <c r="M1114" s="134"/>
    </row>
    <row r="1115" spans="3:13" ht="12.75">
      <c r="C1115" s="134"/>
      <c r="D1115" s="134"/>
      <c r="E1115" s="134"/>
      <c r="F1115" s="134"/>
      <c r="G1115" s="134"/>
      <c r="H1115" s="134"/>
      <c r="I1115" s="134"/>
      <c r="J1115" s="134"/>
      <c r="K1115" s="134"/>
      <c r="L1115" s="134"/>
      <c r="M1115" s="134"/>
    </row>
    <row r="1116" spans="3:13" ht="12.75">
      <c r="C1116" s="134"/>
      <c r="D1116" s="134"/>
      <c r="E1116" s="134"/>
      <c r="F1116" s="134"/>
      <c r="G1116" s="134"/>
      <c r="H1116" s="134"/>
      <c r="I1116" s="134"/>
      <c r="J1116" s="134"/>
      <c r="K1116" s="134"/>
      <c r="L1116" s="134"/>
      <c r="M1116" s="134"/>
    </row>
    <row r="1117" spans="3:13" ht="12.75">
      <c r="C1117" s="134"/>
      <c r="D1117" s="134"/>
      <c r="E1117" s="134"/>
      <c r="F1117" s="134"/>
      <c r="G1117" s="134"/>
      <c r="H1117" s="134"/>
      <c r="I1117" s="134"/>
      <c r="J1117" s="134"/>
      <c r="K1117" s="134"/>
      <c r="L1117" s="134"/>
      <c r="M1117" s="134"/>
    </row>
    <row r="1118" spans="3:13" ht="12.75">
      <c r="C1118" s="134"/>
      <c r="D1118" s="134"/>
      <c r="E1118" s="134"/>
      <c r="F1118" s="134"/>
      <c r="G1118" s="134"/>
      <c r="H1118" s="134"/>
      <c r="I1118" s="134"/>
      <c r="J1118" s="134"/>
      <c r="K1118" s="134"/>
      <c r="L1118" s="134"/>
      <c r="M1118" s="134"/>
    </row>
    <row r="1119" spans="3:13" ht="12.75">
      <c r="C1119" s="134"/>
      <c r="D1119" s="134"/>
      <c r="E1119" s="134"/>
      <c r="F1119" s="134"/>
      <c r="G1119" s="134"/>
      <c r="H1119" s="134"/>
      <c r="I1119" s="134"/>
      <c r="J1119" s="134"/>
      <c r="K1119" s="134"/>
      <c r="L1119" s="134"/>
      <c r="M1119" s="134"/>
    </row>
    <row r="1120" spans="3:13" ht="12.75">
      <c r="C1120" s="134"/>
      <c r="D1120" s="134"/>
      <c r="E1120" s="134"/>
      <c r="F1120" s="134"/>
      <c r="G1120" s="134"/>
      <c r="H1120" s="134"/>
      <c r="I1120" s="134"/>
      <c r="J1120" s="134"/>
      <c r="K1120" s="134"/>
      <c r="L1120" s="134"/>
      <c r="M1120" s="134"/>
    </row>
    <row r="1121" spans="3:13" ht="12.75">
      <c r="C1121" s="134"/>
      <c r="D1121" s="134"/>
      <c r="E1121" s="134"/>
      <c r="F1121" s="134"/>
      <c r="G1121" s="134"/>
      <c r="H1121" s="134"/>
      <c r="I1121" s="134"/>
      <c r="J1121" s="134"/>
      <c r="K1121" s="134"/>
      <c r="L1121" s="134"/>
      <c r="M1121" s="134"/>
    </row>
    <row r="1122" spans="3:13" ht="12.75">
      <c r="C1122" s="134"/>
      <c r="D1122" s="134"/>
      <c r="E1122" s="134"/>
      <c r="F1122" s="134"/>
      <c r="G1122" s="134"/>
      <c r="H1122" s="134"/>
      <c r="I1122" s="134"/>
      <c r="J1122" s="134"/>
      <c r="K1122" s="134"/>
      <c r="L1122" s="134"/>
      <c r="M1122" s="134"/>
    </row>
    <row r="1123" spans="3:13" ht="12.75">
      <c r="C1123" s="134"/>
      <c r="D1123" s="134"/>
      <c r="E1123" s="134"/>
      <c r="F1123" s="134"/>
      <c r="G1123" s="134"/>
      <c r="H1123" s="134"/>
      <c r="I1123" s="134"/>
      <c r="J1123" s="134"/>
      <c r="K1123" s="134"/>
      <c r="L1123" s="134"/>
      <c r="M1123" s="134"/>
    </row>
    <row r="1124" spans="3:13" ht="12.75">
      <c r="C1124" s="134"/>
      <c r="D1124" s="134"/>
      <c r="E1124" s="134"/>
      <c r="F1124" s="134"/>
      <c r="G1124" s="134"/>
      <c r="H1124" s="134"/>
      <c r="I1124" s="134"/>
      <c r="J1124" s="134"/>
      <c r="K1124" s="134"/>
      <c r="L1124" s="134"/>
      <c r="M1124" s="134"/>
    </row>
    <row r="1125" spans="3:13" ht="12.75">
      <c r="C1125" s="134"/>
      <c r="D1125" s="134"/>
      <c r="E1125" s="134"/>
      <c r="F1125" s="134"/>
      <c r="G1125" s="134"/>
      <c r="H1125" s="134"/>
      <c r="I1125" s="134"/>
      <c r="J1125" s="134"/>
      <c r="K1125" s="134"/>
      <c r="L1125" s="134"/>
      <c r="M1125" s="134"/>
    </row>
    <row r="1126" spans="3:13" ht="12.75">
      <c r="C1126" s="134"/>
      <c r="D1126" s="134"/>
      <c r="E1126" s="134"/>
      <c r="F1126" s="134"/>
      <c r="G1126" s="134"/>
      <c r="H1126" s="134"/>
      <c r="I1126" s="134"/>
      <c r="J1126" s="134"/>
      <c r="K1126" s="134"/>
      <c r="L1126" s="134"/>
      <c r="M1126" s="134"/>
    </row>
    <row r="1127" spans="3:13" ht="12.75">
      <c r="C1127" s="134"/>
      <c r="D1127" s="134"/>
      <c r="E1127" s="134"/>
      <c r="F1127" s="134"/>
      <c r="G1127" s="134"/>
      <c r="H1127" s="134"/>
      <c r="I1127" s="134"/>
      <c r="J1127" s="134"/>
      <c r="K1127" s="134"/>
      <c r="L1127" s="134"/>
      <c r="M1127" s="134"/>
    </row>
    <row r="1128" spans="3:13" ht="12.75">
      <c r="C1128" s="134"/>
      <c r="D1128" s="134"/>
      <c r="E1128" s="134"/>
      <c r="F1128" s="134"/>
      <c r="G1128" s="134"/>
      <c r="H1128" s="134"/>
      <c r="I1128" s="134"/>
      <c r="J1128" s="134"/>
      <c r="K1128" s="134"/>
      <c r="L1128" s="134"/>
      <c r="M1128" s="134"/>
    </row>
    <row r="1129" spans="3:13" ht="12.75">
      <c r="C1129" s="134"/>
      <c r="D1129" s="134"/>
      <c r="E1129" s="134"/>
      <c r="F1129" s="134"/>
      <c r="G1129" s="134"/>
      <c r="H1129" s="134"/>
      <c r="I1129" s="134"/>
      <c r="J1129" s="134"/>
      <c r="K1129" s="134"/>
      <c r="L1129" s="134"/>
      <c r="M1129" s="134"/>
    </row>
    <row r="1130" spans="3:13" ht="12.75">
      <c r="C1130" s="134"/>
      <c r="D1130" s="134"/>
      <c r="E1130" s="134"/>
      <c r="F1130" s="134"/>
      <c r="G1130" s="134"/>
      <c r="H1130" s="134"/>
      <c r="I1130" s="134"/>
      <c r="J1130" s="134"/>
      <c r="K1130" s="134"/>
      <c r="L1130" s="134"/>
      <c r="M1130" s="134"/>
    </row>
    <row r="1131" spans="3:13" ht="12.75">
      <c r="C1131" s="134"/>
      <c r="D1131" s="134"/>
      <c r="E1131" s="134"/>
      <c r="F1131" s="134"/>
      <c r="G1131" s="134"/>
      <c r="H1131" s="134"/>
      <c r="I1131" s="134"/>
      <c r="J1131" s="134"/>
      <c r="K1131" s="134"/>
      <c r="L1131" s="134"/>
      <c r="M1131" s="134"/>
    </row>
    <row r="1132" spans="3:13" ht="12.75">
      <c r="C1132" s="134"/>
      <c r="D1132" s="134"/>
      <c r="E1132" s="134"/>
      <c r="F1132" s="134"/>
      <c r="G1132" s="134"/>
      <c r="H1132" s="134"/>
      <c r="I1132" s="134"/>
      <c r="J1132" s="134"/>
      <c r="K1132" s="134"/>
      <c r="L1132" s="134"/>
      <c r="M1132" s="134"/>
    </row>
    <row r="1133" spans="3:13" ht="12.75">
      <c r="C1133" s="134"/>
      <c r="D1133" s="134"/>
      <c r="E1133" s="134"/>
      <c r="F1133" s="134"/>
      <c r="G1133" s="134"/>
      <c r="H1133" s="134"/>
      <c r="I1133" s="134"/>
      <c r="J1133" s="134"/>
      <c r="K1133" s="134"/>
      <c r="L1133" s="134"/>
      <c r="M1133" s="134"/>
    </row>
    <row r="1134" spans="3:13" ht="12.75">
      <c r="C1134" s="134"/>
      <c r="D1134" s="134"/>
      <c r="E1134" s="134"/>
      <c r="F1134" s="134"/>
      <c r="G1134" s="134"/>
      <c r="H1134" s="134"/>
      <c r="I1134" s="134"/>
      <c r="J1134" s="134"/>
      <c r="K1134" s="134"/>
      <c r="L1134" s="134"/>
      <c r="M1134" s="134"/>
    </row>
    <row r="1135" spans="3:13" ht="12.75">
      <c r="C1135" s="134"/>
      <c r="D1135" s="134"/>
      <c r="E1135" s="134"/>
      <c r="F1135" s="134"/>
      <c r="G1135" s="134"/>
      <c r="H1135" s="134"/>
      <c r="I1135" s="134"/>
      <c r="J1135" s="134"/>
      <c r="K1135" s="134"/>
      <c r="L1135" s="134"/>
      <c r="M1135" s="134"/>
    </row>
    <row r="1136" spans="3:13" ht="12.75">
      <c r="C1136" s="134"/>
      <c r="D1136" s="134"/>
      <c r="E1136" s="134"/>
      <c r="F1136" s="134"/>
      <c r="G1136" s="134"/>
      <c r="H1136" s="134"/>
      <c r="I1136" s="134"/>
      <c r="J1136" s="134"/>
      <c r="K1136" s="134"/>
      <c r="L1136" s="134"/>
      <c r="M1136" s="134"/>
    </row>
    <row r="1137" spans="3:13" ht="12.75">
      <c r="C1137" s="134"/>
      <c r="D1137" s="134"/>
      <c r="E1137" s="134"/>
      <c r="F1137" s="134"/>
      <c r="G1137" s="134"/>
      <c r="H1137" s="134"/>
      <c r="I1137" s="134"/>
      <c r="J1137" s="134"/>
      <c r="K1137" s="134"/>
      <c r="L1137" s="134"/>
      <c r="M1137" s="134"/>
    </row>
    <row r="1138" spans="3:13" ht="12.75">
      <c r="C1138" s="134"/>
      <c r="D1138" s="134"/>
      <c r="E1138" s="134"/>
      <c r="F1138" s="134"/>
      <c r="G1138" s="134"/>
      <c r="H1138" s="134"/>
      <c r="I1138" s="134"/>
      <c r="J1138" s="134"/>
      <c r="K1138" s="134"/>
      <c r="L1138" s="134"/>
      <c r="M1138" s="134"/>
    </row>
    <row r="1139" spans="3:13" ht="12.75">
      <c r="C1139" s="134"/>
      <c r="D1139" s="134"/>
      <c r="E1139" s="134"/>
      <c r="F1139" s="134"/>
      <c r="G1139" s="134"/>
      <c r="H1139" s="134"/>
      <c r="I1139" s="134"/>
      <c r="J1139" s="134"/>
      <c r="K1139" s="134"/>
      <c r="L1139" s="134"/>
      <c r="M1139" s="134"/>
    </row>
    <row r="1140" spans="3:13" ht="12.75">
      <c r="C1140" s="134"/>
      <c r="D1140" s="134"/>
      <c r="E1140" s="134"/>
      <c r="F1140" s="134"/>
      <c r="G1140" s="134"/>
      <c r="H1140" s="134"/>
      <c r="I1140" s="134"/>
      <c r="J1140" s="134"/>
      <c r="K1140" s="134"/>
      <c r="L1140" s="134"/>
      <c r="M1140" s="134"/>
    </row>
    <row r="1141" spans="3:13" ht="12.75">
      <c r="C1141" s="134"/>
      <c r="D1141" s="134"/>
      <c r="E1141" s="134"/>
      <c r="F1141" s="134"/>
      <c r="G1141" s="134"/>
      <c r="H1141" s="134"/>
      <c r="I1141" s="134"/>
      <c r="J1141" s="134"/>
      <c r="K1141" s="134"/>
      <c r="L1141" s="134"/>
      <c r="M1141" s="134"/>
    </row>
    <row r="1142" spans="3:13" ht="12.75">
      <c r="C1142" s="134"/>
      <c r="D1142" s="134"/>
      <c r="E1142" s="134"/>
      <c r="F1142" s="134"/>
      <c r="G1142" s="134"/>
      <c r="H1142" s="134"/>
      <c r="I1142" s="134"/>
      <c r="J1142" s="134"/>
      <c r="K1142" s="134"/>
      <c r="L1142" s="134"/>
      <c r="M1142" s="134"/>
    </row>
    <row r="1143" spans="3:13" ht="12.75">
      <c r="C1143" s="134"/>
      <c r="D1143" s="134"/>
      <c r="E1143" s="134"/>
      <c r="F1143" s="134"/>
      <c r="G1143" s="134"/>
      <c r="H1143" s="134"/>
      <c r="I1143" s="134"/>
      <c r="J1143" s="134"/>
      <c r="K1143" s="134"/>
      <c r="L1143" s="134"/>
      <c r="M1143" s="134"/>
    </row>
    <row r="1144" spans="3:13" ht="12.75">
      <c r="C1144" s="134"/>
      <c r="D1144" s="134"/>
      <c r="E1144" s="134"/>
      <c r="F1144" s="134"/>
      <c r="G1144" s="134"/>
      <c r="H1144" s="134"/>
      <c r="I1144" s="134"/>
      <c r="J1144" s="134"/>
      <c r="K1144" s="134"/>
      <c r="L1144" s="134"/>
      <c r="M1144" s="134"/>
    </row>
    <row r="1145" spans="3:13" ht="12.75">
      <c r="C1145" s="134"/>
      <c r="D1145" s="134"/>
      <c r="E1145" s="134"/>
      <c r="F1145" s="134"/>
      <c r="G1145" s="134"/>
      <c r="H1145" s="134"/>
      <c r="I1145" s="134"/>
      <c r="J1145" s="134"/>
      <c r="K1145" s="134"/>
      <c r="L1145" s="134"/>
      <c r="M1145" s="134"/>
    </row>
    <row r="1146" spans="3:13" ht="12.75">
      <c r="C1146" s="134"/>
      <c r="D1146" s="134"/>
      <c r="E1146" s="134"/>
      <c r="F1146" s="134"/>
      <c r="G1146" s="134"/>
      <c r="H1146" s="134"/>
      <c r="I1146" s="134"/>
      <c r="J1146" s="134"/>
      <c r="K1146" s="134"/>
      <c r="L1146" s="134"/>
      <c r="M1146" s="134"/>
    </row>
    <row r="1147" spans="3:13" ht="12.75">
      <c r="C1147" s="134"/>
      <c r="D1147" s="134"/>
      <c r="E1147" s="134"/>
      <c r="F1147" s="134"/>
      <c r="G1147" s="134"/>
      <c r="H1147" s="134"/>
      <c r="I1147" s="134"/>
      <c r="J1147" s="134"/>
      <c r="K1147" s="134"/>
      <c r="L1147" s="134"/>
      <c r="M1147" s="134"/>
    </row>
    <row r="1148" spans="3:13" ht="12.75">
      <c r="C1148" s="134"/>
      <c r="D1148" s="134"/>
      <c r="E1148" s="134"/>
      <c r="F1148" s="134"/>
      <c r="G1148" s="134"/>
      <c r="H1148" s="134"/>
      <c r="I1148" s="134"/>
      <c r="J1148" s="134"/>
      <c r="K1148" s="134"/>
      <c r="L1148" s="134"/>
      <c r="M1148" s="134"/>
    </row>
    <row r="1149" spans="3:13" ht="12.75">
      <c r="C1149" s="134"/>
      <c r="D1149" s="134"/>
      <c r="E1149" s="134"/>
      <c r="F1149" s="134"/>
      <c r="G1149" s="134"/>
      <c r="H1149" s="134"/>
      <c r="I1149" s="134"/>
      <c r="J1149" s="134"/>
      <c r="K1149" s="134"/>
      <c r="L1149" s="134"/>
      <c r="M1149" s="134"/>
    </row>
    <row r="1150" spans="3:13" ht="12.75">
      <c r="C1150" s="134"/>
      <c r="D1150" s="134"/>
      <c r="E1150" s="134"/>
      <c r="F1150" s="134"/>
      <c r="G1150" s="134"/>
      <c r="H1150" s="134"/>
      <c r="I1150" s="134"/>
      <c r="J1150" s="134"/>
      <c r="K1150" s="134"/>
      <c r="L1150" s="134"/>
      <c r="M1150" s="134"/>
    </row>
    <row r="1151" spans="3:13" ht="12.75">
      <c r="C1151" s="134"/>
      <c r="D1151" s="134"/>
      <c r="E1151" s="134"/>
      <c r="F1151" s="134"/>
      <c r="G1151" s="134"/>
      <c r="H1151" s="134"/>
      <c r="I1151" s="134"/>
      <c r="J1151" s="134"/>
      <c r="K1151" s="134"/>
      <c r="L1151" s="134"/>
      <c r="M1151" s="134"/>
    </row>
    <row r="1152" spans="3:13" ht="12.75">
      <c r="C1152" s="134"/>
      <c r="D1152" s="134"/>
      <c r="E1152" s="134"/>
      <c r="F1152" s="134"/>
      <c r="G1152" s="134"/>
      <c r="H1152" s="134"/>
      <c r="I1152" s="134"/>
      <c r="J1152" s="134"/>
      <c r="K1152" s="134"/>
      <c r="L1152" s="134"/>
      <c r="M1152" s="134"/>
    </row>
    <row r="1153" spans="3:13" ht="12.75">
      <c r="C1153" s="134"/>
      <c r="D1153" s="134"/>
      <c r="E1153" s="134"/>
      <c r="F1153" s="134"/>
      <c r="G1153" s="134"/>
      <c r="H1153" s="134"/>
      <c r="I1153" s="134"/>
      <c r="J1153" s="134"/>
      <c r="K1153" s="134"/>
      <c r="L1153" s="134"/>
      <c r="M1153" s="134"/>
    </row>
    <row r="1154" spans="3:13" ht="12.75">
      <c r="C1154" s="134"/>
      <c r="D1154" s="134"/>
      <c r="E1154" s="134"/>
      <c r="F1154" s="134"/>
      <c r="G1154" s="134"/>
      <c r="H1154" s="134"/>
      <c r="I1154" s="134"/>
      <c r="J1154" s="134"/>
      <c r="K1154" s="134"/>
      <c r="L1154" s="134"/>
      <c r="M1154" s="134"/>
    </row>
    <row r="1155" spans="3:13" ht="12.75">
      <c r="C1155" s="134"/>
      <c r="D1155" s="134"/>
      <c r="E1155" s="134"/>
      <c r="F1155" s="134"/>
      <c r="G1155" s="134"/>
      <c r="H1155" s="134"/>
      <c r="I1155" s="134"/>
      <c r="J1155" s="134"/>
      <c r="K1155" s="134"/>
      <c r="L1155" s="134"/>
      <c r="M1155" s="134"/>
    </row>
    <row r="1156" spans="3:13" ht="12.75">
      <c r="C1156" s="134"/>
      <c r="D1156" s="134"/>
      <c r="E1156" s="134"/>
      <c r="F1156" s="134"/>
      <c r="G1156" s="134"/>
      <c r="H1156" s="134"/>
      <c r="I1156" s="134"/>
      <c r="J1156" s="134"/>
      <c r="K1156" s="134"/>
      <c r="L1156" s="134"/>
      <c r="M1156" s="134"/>
    </row>
    <row r="1157" spans="3:13" ht="12.75">
      <c r="C1157" s="134"/>
      <c r="D1157" s="134"/>
      <c r="E1157" s="134"/>
      <c r="F1157" s="134"/>
      <c r="G1157" s="134"/>
      <c r="H1157" s="134"/>
      <c r="I1157" s="134"/>
      <c r="J1157" s="134"/>
      <c r="K1157" s="134"/>
      <c r="L1157" s="134"/>
      <c r="M1157" s="134"/>
    </row>
    <row r="1158" spans="3:13" ht="12.75">
      <c r="C1158" s="134"/>
      <c r="D1158" s="134"/>
      <c r="E1158" s="134"/>
      <c r="F1158" s="134"/>
      <c r="G1158" s="134"/>
      <c r="H1158" s="134"/>
      <c r="I1158" s="134"/>
      <c r="J1158" s="134"/>
      <c r="K1158" s="134"/>
      <c r="L1158" s="134"/>
      <c r="M1158" s="134"/>
    </row>
    <row r="1159" spans="3:13" ht="12.75">
      <c r="C1159" s="134"/>
      <c r="D1159" s="134"/>
      <c r="E1159" s="134"/>
      <c r="F1159" s="134"/>
      <c r="G1159" s="134"/>
      <c r="H1159" s="134"/>
      <c r="I1159" s="134"/>
      <c r="J1159" s="134"/>
      <c r="K1159" s="134"/>
      <c r="L1159" s="134"/>
      <c r="M1159" s="134"/>
    </row>
    <row r="1160" spans="3:13" ht="12.75">
      <c r="C1160" s="134"/>
      <c r="D1160" s="134"/>
      <c r="E1160" s="134"/>
      <c r="F1160" s="134"/>
      <c r="G1160" s="134"/>
      <c r="H1160" s="134"/>
      <c r="I1160" s="134"/>
      <c r="J1160" s="134"/>
      <c r="K1160" s="134"/>
      <c r="L1160" s="134"/>
      <c r="M1160" s="134"/>
    </row>
    <row r="1161" spans="3:13" ht="12.75">
      <c r="C1161" s="134"/>
      <c r="D1161" s="134"/>
      <c r="E1161" s="134"/>
      <c r="F1161" s="134"/>
      <c r="G1161" s="134"/>
      <c r="H1161" s="134"/>
      <c r="I1161" s="134"/>
      <c r="J1161" s="134"/>
      <c r="K1161" s="134"/>
      <c r="L1161" s="134"/>
      <c r="M1161" s="134"/>
    </row>
    <row r="1162" spans="3:13" ht="12.75">
      <c r="C1162" s="134"/>
      <c r="D1162" s="134"/>
      <c r="E1162" s="134"/>
      <c r="F1162" s="134"/>
      <c r="G1162" s="134"/>
      <c r="H1162" s="134"/>
      <c r="I1162" s="134"/>
      <c r="J1162" s="134"/>
      <c r="K1162" s="134"/>
      <c r="L1162" s="134"/>
      <c r="M1162" s="134"/>
    </row>
    <row r="1163" spans="3:13" ht="12.75">
      <c r="C1163" s="134"/>
      <c r="D1163" s="134"/>
      <c r="E1163" s="134"/>
      <c r="F1163" s="134"/>
      <c r="G1163" s="134"/>
      <c r="H1163" s="134"/>
      <c r="I1163" s="134"/>
      <c r="J1163" s="134"/>
      <c r="K1163" s="134"/>
      <c r="L1163" s="134"/>
      <c r="M1163" s="134"/>
    </row>
    <row r="1164" spans="3:13" ht="12.75">
      <c r="C1164" s="134"/>
      <c r="D1164" s="134"/>
      <c r="E1164" s="134"/>
      <c r="F1164" s="134"/>
      <c r="G1164" s="134"/>
      <c r="H1164" s="134"/>
      <c r="I1164" s="134"/>
      <c r="J1164" s="134"/>
      <c r="K1164" s="134"/>
      <c r="L1164" s="134"/>
      <c r="M1164" s="134"/>
    </row>
    <row r="1165" spans="3:13" ht="12.75">
      <c r="C1165" s="134"/>
      <c r="D1165" s="134"/>
      <c r="E1165" s="134"/>
      <c r="F1165" s="134"/>
      <c r="G1165" s="134"/>
      <c r="H1165" s="134"/>
      <c r="I1165" s="134"/>
      <c r="J1165" s="134"/>
      <c r="K1165" s="134"/>
      <c r="L1165" s="134"/>
      <c r="M1165" s="134"/>
    </row>
    <row r="1166" spans="3:13" ht="12.75">
      <c r="C1166" s="134"/>
      <c r="D1166" s="134"/>
      <c r="E1166" s="134"/>
      <c r="F1166" s="134"/>
      <c r="G1166" s="134"/>
      <c r="H1166" s="134"/>
      <c r="I1166" s="134"/>
      <c r="J1166" s="134"/>
      <c r="K1166" s="134"/>
      <c r="L1166" s="134"/>
      <c r="M1166" s="134"/>
    </row>
    <row r="1167" spans="3:13" ht="12.75">
      <c r="C1167" s="134"/>
      <c r="D1167" s="134"/>
      <c r="E1167" s="134"/>
      <c r="F1167" s="134"/>
      <c r="G1167" s="134"/>
      <c r="H1167" s="134"/>
      <c r="I1167" s="134"/>
      <c r="J1167" s="134"/>
      <c r="K1167" s="134"/>
      <c r="L1167" s="134"/>
      <c r="M1167" s="134"/>
    </row>
    <row r="1168" spans="3:13" ht="12.75">
      <c r="C1168" s="134"/>
      <c r="D1168" s="134"/>
      <c r="E1168" s="134"/>
      <c r="F1168" s="134"/>
      <c r="G1168" s="134"/>
      <c r="H1168" s="134"/>
      <c r="I1168" s="134"/>
      <c r="J1168" s="134"/>
      <c r="K1168" s="134"/>
      <c r="L1168" s="134"/>
      <c r="M1168" s="134"/>
    </row>
    <row r="1169" spans="3:13" ht="12.75">
      <c r="C1169" s="134"/>
      <c r="D1169" s="134"/>
      <c r="E1169" s="134"/>
      <c r="F1169" s="134"/>
      <c r="G1169" s="134"/>
      <c r="H1169" s="134"/>
      <c r="I1169" s="134"/>
      <c r="J1169" s="134"/>
      <c r="K1169" s="134"/>
      <c r="L1169" s="134"/>
      <c r="M1169" s="134"/>
    </row>
    <row r="1170" spans="3:13" ht="12.75">
      <c r="C1170" s="134"/>
      <c r="D1170" s="134"/>
      <c r="E1170" s="134"/>
      <c r="F1170" s="134"/>
      <c r="G1170" s="134"/>
      <c r="H1170" s="134"/>
      <c r="I1170" s="134"/>
      <c r="J1170" s="134"/>
      <c r="K1170" s="134"/>
      <c r="L1170" s="134"/>
      <c r="M1170" s="134"/>
    </row>
    <row r="1171" spans="3:13" ht="12.75">
      <c r="C1171" s="134"/>
      <c r="D1171" s="134"/>
      <c r="E1171" s="134"/>
      <c r="F1171" s="134"/>
      <c r="G1171" s="134"/>
      <c r="H1171" s="134"/>
      <c r="I1171" s="134"/>
      <c r="J1171" s="134"/>
      <c r="K1171" s="134"/>
      <c r="L1171" s="134"/>
      <c r="M1171" s="134"/>
    </row>
    <row r="1172" spans="3:13" ht="12.75">
      <c r="C1172" s="134"/>
      <c r="D1172" s="134"/>
      <c r="E1172" s="134"/>
      <c r="F1172" s="134"/>
      <c r="G1172" s="134"/>
      <c r="H1172" s="134"/>
      <c r="I1172" s="134"/>
      <c r="J1172" s="134"/>
      <c r="K1172" s="134"/>
      <c r="L1172" s="134"/>
      <c r="M1172" s="134"/>
    </row>
    <row r="1173" spans="3:13" ht="12.75">
      <c r="C1173" s="134"/>
      <c r="D1173" s="134"/>
      <c r="E1173" s="134"/>
      <c r="F1173" s="134"/>
      <c r="G1173" s="134"/>
      <c r="H1173" s="134"/>
      <c r="I1173" s="134"/>
      <c r="J1173" s="134"/>
      <c r="K1173" s="134"/>
      <c r="L1173" s="134"/>
      <c r="M1173" s="134"/>
    </row>
    <row r="1174" spans="3:13" ht="12.75">
      <c r="C1174" s="134"/>
      <c r="D1174" s="134"/>
      <c r="E1174" s="134"/>
      <c r="F1174" s="134"/>
      <c r="G1174" s="134"/>
      <c r="H1174" s="134"/>
      <c r="I1174" s="134"/>
      <c r="J1174" s="134"/>
      <c r="K1174" s="134"/>
      <c r="L1174" s="134"/>
      <c r="M1174" s="134"/>
    </row>
    <row r="1175" spans="3:13" ht="12.75">
      <c r="C1175" s="134"/>
      <c r="D1175" s="134"/>
      <c r="E1175" s="134"/>
      <c r="F1175" s="134"/>
      <c r="G1175" s="134"/>
      <c r="H1175" s="134"/>
      <c r="I1175" s="134"/>
      <c r="J1175" s="134"/>
      <c r="K1175" s="134"/>
      <c r="L1175" s="134"/>
      <c r="M1175" s="134"/>
    </row>
    <row r="1176" spans="3:13" ht="12.75">
      <c r="C1176" s="134"/>
      <c r="D1176" s="134"/>
      <c r="E1176" s="134"/>
      <c r="F1176" s="134"/>
      <c r="G1176" s="134"/>
      <c r="H1176" s="134"/>
      <c r="I1176" s="134"/>
      <c r="J1176" s="134"/>
      <c r="K1176" s="134"/>
      <c r="L1176" s="134"/>
      <c r="M1176" s="134"/>
    </row>
    <row r="1177" spans="3:13" ht="12.75">
      <c r="C1177" s="134"/>
      <c r="D1177" s="134"/>
      <c r="E1177" s="134"/>
      <c r="F1177" s="134"/>
      <c r="G1177" s="134"/>
      <c r="H1177" s="134"/>
      <c r="I1177" s="134"/>
      <c r="J1177" s="134"/>
      <c r="K1177" s="134"/>
      <c r="L1177" s="134"/>
      <c r="M1177" s="134"/>
    </row>
    <row r="1178" spans="3:13" ht="12.75">
      <c r="C1178" s="134"/>
      <c r="D1178" s="134"/>
      <c r="E1178" s="134"/>
      <c r="F1178" s="134"/>
      <c r="G1178" s="134"/>
      <c r="H1178" s="134"/>
      <c r="I1178" s="134"/>
      <c r="J1178" s="134"/>
      <c r="K1178" s="134"/>
      <c r="L1178" s="134"/>
      <c r="M1178" s="134"/>
    </row>
    <row r="1179" spans="3:13" ht="12.75">
      <c r="C1179" s="134"/>
      <c r="D1179" s="134"/>
      <c r="E1179" s="134"/>
      <c r="F1179" s="134"/>
      <c r="G1179" s="134"/>
      <c r="H1179" s="134"/>
      <c r="I1179" s="134"/>
      <c r="J1179" s="134"/>
      <c r="K1179" s="134"/>
      <c r="L1179" s="134"/>
      <c r="M1179" s="134"/>
    </row>
    <row r="1180" spans="3:13" ht="12.75">
      <c r="C1180" s="134"/>
      <c r="D1180" s="134"/>
      <c r="E1180" s="134"/>
      <c r="F1180" s="134"/>
      <c r="G1180" s="134"/>
      <c r="H1180" s="134"/>
      <c r="I1180" s="134"/>
      <c r="J1180" s="134"/>
      <c r="K1180" s="134"/>
      <c r="L1180" s="134"/>
      <c r="M1180" s="134"/>
    </row>
    <row r="1181" spans="3:13" ht="12.75">
      <c r="C1181" s="134"/>
      <c r="D1181" s="134"/>
      <c r="E1181" s="134"/>
      <c r="F1181" s="134"/>
      <c r="G1181" s="134"/>
      <c r="H1181" s="134"/>
      <c r="I1181" s="134"/>
      <c r="J1181" s="134"/>
      <c r="K1181" s="134"/>
      <c r="L1181" s="134"/>
      <c r="M1181" s="134"/>
    </row>
    <row r="1182" spans="3:13" ht="12.75">
      <c r="C1182" s="134"/>
      <c r="D1182" s="134"/>
      <c r="E1182" s="134"/>
      <c r="F1182" s="134"/>
      <c r="G1182" s="134"/>
      <c r="H1182" s="134"/>
      <c r="I1182" s="134"/>
      <c r="J1182" s="134"/>
      <c r="K1182" s="134"/>
      <c r="L1182" s="134"/>
      <c r="M1182" s="134"/>
    </row>
    <row r="1183" spans="3:13" ht="12.75">
      <c r="C1183" s="134"/>
      <c r="D1183" s="134"/>
      <c r="E1183" s="134"/>
      <c r="F1183" s="134"/>
      <c r="G1183" s="134"/>
      <c r="H1183" s="134"/>
      <c r="I1183" s="134"/>
      <c r="J1183" s="134"/>
      <c r="K1183" s="134"/>
      <c r="L1183" s="134"/>
      <c r="M1183" s="134"/>
    </row>
    <row r="1184" spans="3:13" ht="12.75">
      <c r="C1184" s="134"/>
      <c r="D1184" s="134"/>
      <c r="E1184" s="134"/>
      <c r="F1184" s="134"/>
      <c r="G1184" s="134"/>
      <c r="H1184" s="134"/>
      <c r="I1184" s="134"/>
      <c r="J1184" s="134"/>
      <c r="K1184" s="134"/>
      <c r="L1184" s="134"/>
      <c r="M1184" s="134"/>
    </row>
    <row r="1185" spans="3:13" ht="12.75">
      <c r="C1185" s="134"/>
      <c r="D1185" s="134"/>
      <c r="E1185" s="134"/>
      <c r="F1185" s="134"/>
      <c r="G1185" s="134"/>
      <c r="H1185" s="134"/>
      <c r="I1185" s="134"/>
      <c r="J1185" s="134"/>
      <c r="K1185" s="134"/>
      <c r="L1185" s="134"/>
      <c r="M1185" s="134"/>
    </row>
    <row r="1186" spans="3:13" ht="12.75">
      <c r="C1186" s="134"/>
      <c r="D1186" s="134"/>
      <c r="E1186" s="134"/>
      <c r="F1186" s="134"/>
      <c r="G1186" s="134"/>
      <c r="H1186" s="134"/>
      <c r="I1186" s="134"/>
      <c r="J1186" s="134"/>
      <c r="K1186" s="134"/>
      <c r="L1186" s="134"/>
      <c r="M1186" s="134"/>
    </row>
    <row r="1187" spans="3:13" ht="12.75">
      <c r="C1187" s="134"/>
      <c r="D1187" s="134"/>
      <c r="E1187" s="134"/>
      <c r="F1187" s="134"/>
      <c r="G1187" s="134"/>
      <c r="H1187" s="134"/>
      <c r="I1187" s="134"/>
      <c r="J1187" s="134"/>
      <c r="K1187" s="134"/>
      <c r="L1187" s="134"/>
      <c r="M1187" s="134"/>
    </row>
    <row r="1188" spans="3:13" ht="12.75">
      <c r="C1188" s="134"/>
      <c r="D1188" s="134"/>
      <c r="E1188" s="134"/>
      <c r="F1188" s="134"/>
      <c r="G1188" s="134"/>
      <c r="H1188" s="134"/>
      <c r="I1188" s="134"/>
      <c r="J1188" s="134"/>
      <c r="K1188" s="134"/>
      <c r="L1188" s="134"/>
      <c r="M1188" s="134"/>
    </row>
    <row r="1189" spans="3:13" ht="12.75">
      <c r="C1189" s="134"/>
      <c r="D1189" s="134"/>
      <c r="E1189" s="134"/>
      <c r="F1189" s="134"/>
      <c r="G1189" s="134"/>
      <c r="H1189" s="134"/>
      <c r="I1189" s="134"/>
      <c r="J1189" s="134"/>
      <c r="K1189" s="134"/>
      <c r="L1189" s="134"/>
      <c r="M1189" s="134"/>
    </row>
    <row r="1190" spans="3:13" ht="12.75">
      <c r="C1190" s="134"/>
      <c r="D1190" s="134"/>
      <c r="E1190" s="134"/>
      <c r="F1190" s="134"/>
      <c r="G1190" s="134"/>
      <c r="H1190" s="134"/>
      <c r="I1190" s="134"/>
      <c r="J1190" s="134"/>
      <c r="K1190" s="134"/>
      <c r="L1190" s="134"/>
      <c r="M1190" s="134"/>
    </row>
    <row r="1191" spans="3:13" ht="12.75">
      <c r="C1191" s="134"/>
      <c r="D1191" s="134"/>
      <c r="E1191" s="134"/>
      <c r="F1191" s="134"/>
      <c r="G1191" s="134"/>
      <c r="H1191" s="134"/>
      <c r="I1191" s="134"/>
      <c r="J1191" s="134"/>
      <c r="K1191" s="134"/>
      <c r="L1191" s="134"/>
      <c r="M1191" s="134"/>
    </row>
    <row r="1192" spans="3:13" ht="12.75">
      <c r="C1192" s="134"/>
      <c r="D1192" s="134"/>
      <c r="E1192" s="134"/>
      <c r="F1192" s="134"/>
      <c r="G1192" s="134"/>
      <c r="H1192" s="134"/>
      <c r="I1192" s="134"/>
      <c r="J1192" s="134"/>
      <c r="K1192" s="134"/>
      <c r="L1192" s="134"/>
      <c r="M1192" s="134"/>
    </row>
    <row r="1193" spans="3:13" ht="12.75">
      <c r="C1193" s="134"/>
      <c r="D1193" s="134"/>
      <c r="E1193" s="134"/>
      <c r="F1193" s="134"/>
      <c r="G1193" s="134"/>
      <c r="H1193" s="134"/>
      <c r="I1193" s="134"/>
      <c r="J1193" s="134"/>
      <c r="K1193" s="134"/>
      <c r="L1193" s="134"/>
      <c r="M1193" s="134"/>
    </row>
    <row r="1194" spans="3:13" ht="12.75">
      <c r="C1194" s="134"/>
      <c r="D1194" s="134"/>
      <c r="E1194" s="134"/>
      <c r="F1194" s="134"/>
      <c r="G1194" s="134"/>
      <c r="H1194" s="134"/>
      <c r="I1194" s="134"/>
      <c r="J1194" s="134"/>
      <c r="K1194" s="134"/>
      <c r="L1194" s="134"/>
      <c r="M1194" s="134"/>
    </row>
    <row r="1195" spans="3:13" ht="12.75">
      <c r="C1195" s="134"/>
      <c r="D1195" s="134"/>
      <c r="E1195" s="134"/>
      <c r="F1195" s="134"/>
      <c r="G1195" s="134"/>
      <c r="H1195" s="134"/>
      <c r="I1195" s="134"/>
      <c r="J1195" s="134"/>
      <c r="K1195" s="134"/>
      <c r="L1195" s="134"/>
      <c r="M1195" s="134"/>
    </row>
    <row r="1196" spans="3:13" ht="12.75">
      <c r="C1196" s="134"/>
      <c r="D1196" s="134"/>
      <c r="E1196" s="134"/>
      <c r="F1196" s="134"/>
      <c r="G1196" s="134"/>
      <c r="H1196" s="134"/>
      <c r="I1196" s="134"/>
      <c r="J1196" s="134"/>
      <c r="K1196" s="134"/>
      <c r="L1196" s="134"/>
      <c r="M1196" s="134"/>
    </row>
    <row r="1197" spans="3:13" ht="12.75">
      <c r="C1197" s="134"/>
      <c r="D1197" s="134"/>
      <c r="E1197" s="134"/>
      <c r="F1197" s="134"/>
      <c r="G1197" s="134"/>
      <c r="H1197" s="134"/>
      <c r="I1197" s="134"/>
      <c r="J1197" s="134"/>
      <c r="K1197" s="134"/>
      <c r="L1197" s="134"/>
      <c r="M1197" s="134"/>
    </row>
    <row r="1198" spans="3:13" ht="12.75">
      <c r="C1198" s="134"/>
      <c r="D1198" s="134"/>
      <c r="E1198" s="134"/>
      <c r="F1198" s="134"/>
      <c r="G1198" s="134"/>
      <c r="H1198" s="134"/>
      <c r="I1198" s="134"/>
      <c r="J1198" s="134"/>
      <c r="K1198" s="134"/>
      <c r="L1198" s="134"/>
      <c r="M1198" s="134"/>
    </row>
    <row r="1199" spans="3:13" ht="12.75">
      <c r="C1199" s="134"/>
      <c r="D1199" s="134"/>
      <c r="E1199" s="134"/>
      <c r="F1199" s="134"/>
      <c r="G1199" s="134"/>
      <c r="H1199" s="134"/>
      <c r="I1199" s="134"/>
      <c r="J1199" s="134"/>
      <c r="K1199" s="134"/>
      <c r="L1199" s="134"/>
      <c r="M1199" s="134"/>
    </row>
    <row r="1200" spans="3:13" ht="12.75">
      <c r="C1200" s="134"/>
      <c r="D1200" s="134"/>
      <c r="E1200" s="134"/>
      <c r="F1200" s="134"/>
      <c r="G1200" s="134"/>
      <c r="H1200" s="134"/>
      <c r="I1200" s="134"/>
      <c r="J1200" s="134"/>
      <c r="K1200" s="134"/>
      <c r="L1200" s="134"/>
      <c r="M1200" s="134"/>
    </row>
    <row r="1201" spans="3:13" ht="12.75">
      <c r="C1201" s="134"/>
      <c r="D1201" s="134"/>
      <c r="E1201" s="134"/>
      <c r="F1201" s="134"/>
      <c r="G1201" s="134"/>
      <c r="H1201" s="134"/>
      <c r="I1201" s="134"/>
      <c r="J1201" s="134"/>
      <c r="K1201" s="134"/>
      <c r="L1201" s="134"/>
      <c r="M1201" s="134"/>
    </row>
    <row r="1202" spans="3:13" ht="12.75">
      <c r="C1202" s="134"/>
      <c r="D1202" s="134"/>
      <c r="E1202" s="134"/>
      <c r="F1202" s="134"/>
      <c r="G1202" s="134"/>
      <c r="H1202" s="134"/>
      <c r="I1202" s="134"/>
      <c r="J1202" s="134"/>
      <c r="K1202" s="134"/>
      <c r="L1202" s="134"/>
      <c r="M1202" s="134"/>
    </row>
    <row r="1203" spans="3:13" ht="12.75">
      <c r="C1203" s="134"/>
      <c r="D1203" s="134"/>
      <c r="E1203" s="134"/>
      <c r="F1203" s="134"/>
      <c r="G1203" s="134"/>
      <c r="H1203" s="134"/>
      <c r="I1203" s="134"/>
      <c r="J1203" s="134"/>
      <c r="K1203" s="134"/>
      <c r="L1203" s="134"/>
      <c r="M1203" s="134"/>
    </row>
    <row r="1204" spans="3:13" ht="12.75">
      <c r="C1204" s="134"/>
      <c r="D1204" s="134"/>
      <c r="E1204" s="134"/>
      <c r="F1204" s="134"/>
      <c r="G1204" s="134"/>
      <c r="H1204" s="134"/>
      <c r="I1204" s="134"/>
      <c r="J1204" s="134"/>
      <c r="K1204" s="134"/>
      <c r="L1204" s="134"/>
      <c r="M1204" s="134"/>
    </row>
    <row r="1205" spans="3:13" ht="12.75">
      <c r="C1205" s="134"/>
      <c r="D1205" s="134"/>
      <c r="E1205" s="134"/>
      <c r="F1205" s="134"/>
      <c r="G1205" s="134"/>
      <c r="H1205" s="134"/>
      <c r="I1205" s="134"/>
      <c r="J1205" s="134"/>
      <c r="K1205" s="134"/>
      <c r="L1205" s="134"/>
      <c r="M1205" s="134"/>
    </row>
    <row r="1206" spans="3:13" ht="12.75">
      <c r="C1206" s="134"/>
      <c r="D1206" s="134"/>
      <c r="E1206" s="134"/>
      <c r="F1206" s="134"/>
      <c r="G1206" s="134"/>
      <c r="H1206" s="134"/>
      <c r="I1206" s="134"/>
      <c r="J1206" s="134"/>
      <c r="K1206" s="134"/>
      <c r="L1206" s="134"/>
      <c r="M1206" s="134"/>
    </row>
    <row r="1207" spans="3:13" ht="12.75">
      <c r="C1207" s="134"/>
      <c r="D1207" s="134"/>
      <c r="E1207" s="134"/>
      <c r="F1207" s="134"/>
      <c r="G1207" s="134"/>
      <c r="H1207" s="134"/>
      <c r="I1207" s="134"/>
      <c r="J1207" s="134"/>
      <c r="K1207" s="134"/>
      <c r="L1207" s="134"/>
      <c r="M1207" s="134"/>
    </row>
    <row r="1208" spans="3:13" ht="12.75">
      <c r="C1208" s="134"/>
      <c r="D1208" s="134"/>
      <c r="E1208" s="134"/>
      <c r="F1208" s="134"/>
      <c r="G1208" s="134"/>
      <c r="H1208" s="134"/>
      <c r="I1208" s="134"/>
      <c r="J1208" s="134"/>
      <c r="K1208" s="134"/>
      <c r="L1208" s="134"/>
      <c r="M1208" s="134"/>
    </row>
    <row r="1209" spans="3:13" ht="12.75">
      <c r="C1209" s="134"/>
      <c r="D1209" s="134"/>
      <c r="E1209" s="134"/>
      <c r="F1209" s="134"/>
      <c r="G1209" s="134"/>
      <c r="H1209" s="134"/>
      <c r="I1209" s="134"/>
      <c r="J1209" s="134"/>
      <c r="K1209" s="134"/>
      <c r="L1209" s="134"/>
      <c r="M1209" s="134"/>
    </row>
    <row r="1210" spans="3:13" ht="12.75">
      <c r="C1210" s="134"/>
      <c r="D1210" s="134"/>
      <c r="E1210" s="134"/>
      <c r="F1210" s="134"/>
      <c r="G1210" s="134"/>
      <c r="H1210" s="134"/>
      <c r="I1210" s="134"/>
      <c r="J1210" s="134"/>
      <c r="K1210" s="134"/>
      <c r="L1210" s="134"/>
      <c r="M1210" s="134"/>
    </row>
    <row r="1211" spans="3:13" ht="12.75">
      <c r="C1211" s="134"/>
      <c r="D1211" s="134"/>
      <c r="E1211" s="134"/>
      <c r="F1211" s="134"/>
      <c r="G1211" s="134"/>
      <c r="H1211" s="134"/>
      <c r="I1211" s="134"/>
      <c r="J1211" s="134"/>
      <c r="K1211" s="134"/>
      <c r="L1211" s="134"/>
      <c r="M1211" s="134"/>
    </row>
    <row r="1212" spans="3:13" ht="12.75">
      <c r="C1212" s="134"/>
      <c r="D1212" s="134"/>
      <c r="E1212" s="134"/>
      <c r="F1212" s="134"/>
      <c r="G1212" s="134"/>
      <c r="H1212" s="134"/>
      <c r="I1212" s="134"/>
      <c r="J1212" s="134"/>
      <c r="K1212" s="134"/>
      <c r="L1212" s="134"/>
      <c r="M1212" s="134"/>
    </row>
    <row r="1213" spans="3:13" ht="12.75">
      <c r="C1213" s="134"/>
      <c r="D1213" s="134"/>
      <c r="E1213" s="134"/>
      <c r="F1213" s="134"/>
      <c r="G1213" s="134"/>
      <c r="H1213" s="134"/>
      <c r="I1213" s="134"/>
      <c r="J1213" s="134"/>
      <c r="K1213" s="134"/>
      <c r="L1213" s="134"/>
      <c r="M1213" s="134"/>
    </row>
    <row r="1214" spans="3:13" ht="12.75">
      <c r="C1214" s="134"/>
      <c r="D1214" s="134"/>
      <c r="E1214" s="134"/>
      <c r="F1214" s="134"/>
      <c r="G1214" s="134"/>
      <c r="H1214" s="134"/>
      <c r="I1214" s="134"/>
      <c r="J1214" s="134"/>
      <c r="K1214" s="134"/>
      <c r="L1214" s="134"/>
      <c r="M1214" s="134"/>
    </row>
    <row r="1215" spans="3:13" ht="12.75">
      <c r="C1215" s="134"/>
      <c r="D1215" s="134"/>
      <c r="E1215" s="134"/>
      <c r="F1215" s="134"/>
      <c r="G1215" s="134"/>
      <c r="H1215" s="134"/>
      <c r="I1215" s="134"/>
      <c r="J1215" s="134"/>
      <c r="K1215" s="134"/>
      <c r="L1215" s="134"/>
      <c r="M1215" s="134"/>
    </row>
    <row r="1216" spans="3:13" ht="12.75">
      <c r="C1216" s="134"/>
      <c r="D1216" s="134"/>
      <c r="E1216" s="134"/>
      <c r="F1216" s="134"/>
      <c r="G1216" s="134"/>
      <c r="H1216" s="134"/>
      <c r="I1216" s="134"/>
      <c r="J1216" s="134"/>
      <c r="K1216" s="134"/>
      <c r="L1216" s="134"/>
      <c r="M1216" s="134"/>
    </row>
    <row r="1217" spans="3:13" ht="12.75">
      <c r="C1217" s="134"/>
      <c r="D1217" s="134"/>
      <c r="E1217" s="134"/>
      <c r="F1217" s="134"/>
      <c r="G1217" s="134"/>
      <c r="H1217" s="134"/>
      <c r="I1217" s="134"/>
      <c r="J1217" s="134"/>
      <c r="K1217" s="134"/>
      <c r="L1217" s="134"/>
      <c r="M1217" s="134"/>
    </row>
    <row r="1218" spans="3:13" ht="12.75">
      <c r="C1218" s="134"/>
      <c r="D1218" s="134"/>
      <c r="E1218" s="134"/>
      <c r="F1218" s="134"/>
      <c r="G1218" s="134"/>
      <c r="H1218" s="134"/>
      <c r="I1218" s="134"/>
      <c r="J1218" s="134"/>
      <c r="K1218" s="134"/>
      <c r="L1218" s="134"/>
      <c r="M1218" s="134"/>
    </row>
    <row r="1219" spans="3:13" ht="12.75">
      <c r="C1219" s="134"/>
      <c r="D1219" s="134"/>
      <c r="E1219" s="134"/>
      <c r="F1219" s="134"/>
      <c r="G1219" s="134"/>
      <c r="H1219" s="134"/>
      <c r="I1219" s="134"/>
      <c r="J1219" s="134"/>
      <c r="K1219" s="134"/>
      <c r="L1219" s="134"/>
      <c r="M1219" s="134"/>
    </row>
    <row r="1220" spans="3:13" ht="12.75">
      <c r="C1220" s="134"/>
      <c r="D1220" s="134"/>
      <c r="E1220" s="134"/>
      <c r="F1220" s="134"/>
      <c r="G1220" s="134"/>
      <c r="H1220" s="134"/>
      <c r="I1220" s="134"/>
      <c r="J1220" s="134"/>
      <c r="K1220" s="134"/>
      <c r="L1220" s="134"/>
      <c r="M1220" s="134"/>
    </row>
    <row r="1221" spans="3:13" ht="12.75">
      <c r="C1221" s="134"/>
      <c r="D1221" s="134"/>
      <c r="E1221" s="134"/>
      <c r="F1221" s="134"/>
      <c r="G1221" s="134"/>
      <c r="H1221" s="134"/>
      <c r="I1221" s="134"/>
      <c r="J1221" s="134"/>
      <c r="K1221" s="134"/>
      <c r="L1221" s="134"/>
      <c r="M1221" s="134"/>
    </row>
    <row r="1222" spans="3:13" ht="12.75">
      <c r="C1222" s="134"/>
      <c r="D1222" s="134"/>
      <c r="E1222" s="134"/>
      <c r="F1222" s="134"/>
      <c r="G1222" s="134"/>
      <c r="H1222" s="134"/>
      <c r="I1222" s="134"/>
      <c r="J1222" s="134"/>
      <c r="K1222" s="134"/>
      <c r="L1222" s="134"/>
      <c r="M1222" s="134"/>
    </row>
    <row r="1223" spans="3:13" ht="12.75">
      <c r="C1223" s="134"/>
      <c r="D1223" s="134"/>
      <c r="E1223" s="134"/>
      <c r="F1223" s="134"/>
      <c r="G1223" s="134"/>
      <c r="H1223" s="134"/>
      <c r="I1223" s="134"/>
      <c r="J1223" s="134"/>
      <c r="K1223" s="134"/>
      <c r="L1223" s="134"/>
      <c r="M1223" s="134"/>
    </row>
    <row r="1224" spans="3:13" ht="12.75">
      <c r="C1224" s="134"/>
      <c r="D1224" s="134"/>
      <c r="E1224" s="134"/>
      <c r="F1224" s="134"/>
      <c r="G1224" s="134"/>
      <c r="H1224" s="134"/>
      <c r="I1224" s="134"/>
      <c r="J1224" s="134"/>
      <c r="K1224" s="134"/>
      <c r="L1224" s="134"/>
      <c r="M1224" s="134"/>
    </row>
    <row r="1225" spans="3:13" ht="12.75">
      <c r="C1225" s="134"/>
      <c r="D1225" s="134"/>
      <c r="E1225" s="134"/>
      <c r="F1225" s="134"/>
      <c r="G1225" s="134"/>
      <c r="H1225" s="134"/>
      <c r="I1225" s="134"/>
      <c r="J1225" s="134"/>
      <c r="K1225" s="134"/>
      <c r="L1225" s="134"/>
      <c r="M1225" s="134"/>
    </row>
    <row r="1226" spans="3:13" ht="12.75">
      <c r="C1226" s="134"/>
      <c r="D1226" s="134"/>
      <c r="E1226" s="134"/>
      <c r="F1226" s="134"/>
      <c r="G1226" s="134"/>
      <c r="H1226" s="134"/>
      <c r="I1226" s="134"/>
      <c r="J1226" s="134"/>
      <c r="K1226" s="134"/>
      <c r="L1226" s="134"/>
      <c r="M1226" s="134"/>
    </row>
    <row r="1227" spans="3:13" ht="12.75">
      <c r="C1227" s="134"/>
      <c r="D1227" s="134"/>
      <c r="E1227" s="134"/>
      <c r="F1227" s="134"/>
      <c r="G1227" s="134"/>
      <c r="H1227" s="134"/>
      <c r="I1227" s="134"/>
      <c r="J1227" s="134"/>
      <c r="K1227" s="134"/>
      <c r="L1227" s="134"/>
      <c r="M1227" s="134"/>
    </row>
    <row r="1228" spans="3:13" ht="12.75">
      <c r="C1228" s="134"/>
      <c r="D1228" s="134"/>
      <c r="E1228" s="134"/>
      <c r="F1228" s="134"/>
      <c r="G1228" s="134"/>
      <c r="H1228" s="134"/>
      <c r="I1228" s="134"/>
      <c r="J1228" s="134"/>
      <c r="K1228" s="134"/>
      <c r="L1228" s="134"/>
      <c r="M1228" s="134"/>
    </row>
    <row r="1229" spans="3:13" ht="12.75">
      <c r="C1229" s="134"/>
      <c r="D1229" s="134"/>
      <c r="E1229" s="134"/>
      <c r="F1229" s="134"/>
      <c r="G1229" s="134"/>
      <c r="H1229" s="134"/>
      <c r="I1229" s="134"/>
      <c r="J1229" s="134"/>
      <c r="K1229" s="134"/>
      <c r="L1229" s="134"/>
      <c r="M1229" s="134"/>
    </row>
    <row r="1230" spans="3:13" ht="12.75">
      <c r="C1230" s="134"/>
      <c r="D1230" s="134"/>
      <c r="E1230" s="134"/>
      <c r="F1230" s="134"/>
      <c r="G1230" s="134"/>
      <c r="H1230" s="134"/>
      <c r="I1230" s="134"/>
      <c r="J1230" s="134"/>
      <c r="K1230" s="134"/>
      <c r="L1230" s="134"/>
      <c r="M1230" s="134"/>
    </row>
    <row r="1231" spans="3:13" ht="12.75">
      <c r="C1231" s="134"/>
      <c r="D1231" s="134"/>
      <c r="E1231" s="134"/>
      <c r="F1231" s="134"/>
      <c r="G1231" s="134"/>
      <c r="H1231" s="134"/>
      <c r="I1231" s="134"/>
      <c r="J1231" s="134"/>
      <c r="K1231" s="134"/>
      <c r="L1231" s="134"/>
      <c r="M1231" s="134"/>
    </row>
    <row r="1232" spans="3:13" ht="12.75">
      <c r="C1232" s="134"/>
      <c r="D1232" s="134"/>
      <c r="E1232" s="134"/>
      <c r="F1232" s="134"/>
      <c r="G1232" s="134"/>
      <c r="H1232" s="134"/>
      <c r="I1232" s="134"/>
      <c r="J1232" s="134"/>
      <c r="K1232" s="134"/>
      <c r="L1232" s="134"/>
      <c r="M1232" s="134"/>
    </row>
    <row r="1233" spans="3:13" ht="12.75">
      <c r="C1233" s="134"/>
      <c r="D1233" s="134"/>
      <c r="E1233" s="134"/>
      <c r="F1233" s="134"/>
      <c r="G1233" s="134"/>
      <c r="H1233" s="134"/>
      <c r="I1233" s="134"/>
      <c r="J1233" s="134"/>
      <c r="K1233" s="134"/>
      <c r="L1233" s="134"/>
      <c r="M1233" s="134"/>
    </row>
    <row r="1234" spans="3:13" ht="12.75">
      <c r="C1234" s="134"/>
      <c r="D1234" s="134"/>
      <c r="E1234" s="134"/>
      <c r="F1234" s="134"/>
      <c r="G1234" s="134"/>
      <c r="H1234" s="134"/>
      <c r="I1234" s="134"/>
      <c r="J1234" s="134"/>
      <c r="K1234" s="134"/>
      <c r="L1234" s="134"/>
      <c r="M1234" s="134"/>
    </row>
    <row r="1235" spans="3:13" ht="12.75">
      <c r="C1235" s="134"/>
      <c r="D1235" s="134"/>
      <c r="E1235" s="134"/>
      <c r="F1235" s="134"/>
      <c r="G1235" s="134"/>
      <c r="H1235" s="134"/>
      <c r="I1235" s="134"/>
      <c r="J1235" s="134"/>
      <c r="K1235" s="134"/>
      <c r="L1235" s="134"/>
      <c r="M1235" s="134"/>
    </row>
    <row r="1236" spans="3:13" ht="12.75">
      <c r="C1236" s="134"/>
      <c r="D1236" s="134"/>
      <c r="E1236" s="134"/>
      <c r="F1236" s="134"/>
      <c r="G1236" s="134"/>
      <c r="H1236" s="134"/>
      <c r="I1236" s="134"/>
      <c r="J1236" s="134"/>
      <c r="K1236" s="134"/>
      <c r="L1236" s="134"/>
      <c r="M1236" s="134"/>
    </row>
    <row r="1237" spans="3:13" ht="12.75">
      <c r="C1237" s="134"/>
      <c r="D1237" s="134"/>
      <c r="E1237" s="134"/>
      <c r="F1237" s="134"/>
      <c r="G1237" s="134"/>
      <c r="H1237" s="134"/>
      <c r="I1237" s="134"/>
      <c r="J1237" s="134"/>
      <c r="K1237" s="134"/>
      <c r="L1237" s="134"/>
      <c r="M1237" s="134"/>
    </row>
    <row r="1238" spans="3:13" ht="12.75">
      <c r="C1238" s="134"/>
      <c r="D1238" s="134"/>
      <c r="E1238" s="134"/>
      <c r="F1238" s="134"/>
      <c r="G1238" s="134"/>
      <c r="H1238" s="134"/>
      <c r="I1238" s="134"/>
      <c r="J1238" s="134"/>
      <c r="K1238" s="134"/>
      <c r="L1238" s="134"/>
      <c r="M1238" s="134"/>
    </row>
    <row r="1239" spans="3:13" ht="12.75">
      <c r="C1239" s="134"/>
      <c r="D1239" s="134"/>
      <c r="E1239" s="134"/>
      <c r="F1239" s="134"/>
      <c r="G1239" s="134"/>
      <c r="H1239" s="134"/>
      <c r="I1239" s="134"/>
      <c r="J1239" s="134"/>
      <c r="K1239" s="134"/>
      <c r="L1239" s="134"/>
      <c r="M1239" s="134"/>
    </row>
    <row r="1240" spans="3:13" ht="12.75">
      <c r="C1240" s="134"/>
      <c r="D1240" s="134"/>
      <c r="E1240" s="134"/>
      <c r="F1240" s="134"/>
      <c r="G1240" s="134"/>
      <c r="H1240" s="134"/>
      <c r="I1240" s="134"/>
      <c r="J1240" s="134"/>
      <c r="K1240" s="134"/>
      <c r="L1240" s="134"/>
      <c r="M1240" s="134"/>
    </row>
    <row r="1241" spans="3:13" ht="12.75">
      <c r="C1241" s="134"/>
      <c r="D1241" s="134"/>
      <c r="E1241" s="134"/>
      <c r="F1241" s="134"/>
      <c r="G1241" s="134"/>
      <c r="H1241" s="134"/>
      <c r="I1241" s="134"/>
      <c r="J1241" s="134"/>
      <c r="K1241" s="134"/>
      <c r="L1241" s="134"/>
      <c r="M1241" s="134"/>
    </row>
    <row r="1242" spans="3:13" ht="12.75">
      <c r="C1242" s="134"/>
      <c r="D1242" s="134"/>
      <c r="E1242" s="134"/>
      <c r="F1242" s="134"/>
      <c r="G1242" s="134"/>
      <c r="H1242" s="134"/>
      <c r="I1242" s="134"/>
      <c r="J1242" s="134"/>
      <c r="K1242" s="134"/>
      <c r="L1242" s="134"/>
      <c r="M1242" s="134"/>
    </row>
    <row r="1243" spans="3:13" ht="12.75">
      <c r="C1243" s="134"/>
      <c r="D1243" s="134"/>
      <c r="E1243" s="134"/>
      <c r="F1243" s="134"/>
      <c r="G1243" s="134"/>
      <c r="H1243" s="134"/>
      <c r="I1243" s="134"/>
      <c r="J1243" s="134"/>
      <c r="K1243" s="134"/>
      <c r="L1243" s="134"/>
      <c r="M1243" s="134"/>
    </row>
    <row r="1244" spans="3:13" ht="12.75">
      <c r="C1244" s="134"/>
      <c r="D1244" s="134"/>
      <c r="E1244" s="134"/>
      <c r="F1244" s="134"/>
      <c r="G1244" s="134"/>
      <c r="H1244" s="134"/>
      <c r="I1244" s="134"/>
      <c r="J1244" s="134"/>
      <c r="K1244" s="134"/>
      <c r="L1244" s="134"/>
      <c r="M1244" s="134"/>
    </row>
    <row r="1245" spans="3:13" ht="12.75">
      <c r="C1245" s="134"/>
      <c r="D1245" s="134"/>
      <c r="E1245" s="134"/>
      <c r="F1245" s="134"/>
      <c r="G1245" s="134"/>
      <c r="H1245" s="134"/>
      <c r="I1245" s="134"/>
      <c r="J1245" s="134"/>
      <c r="K1245" s="134"/>
      <c r="L1245" s="134"/>
      <c r="M1245" s="134"/>
    </row>
    <row r="1246" spans="3:13" ht="12.75">
      <c r="C1246" s="134"/>
      <c r="D1246" s="134"/>
      <c r="E1246" s="134"/>
      <c r="F1246" s="134"/>
      <c r="G1246" s="134"/>
      <c r="H1246" s="134"/>
      <c r="I1246" s="134"/>
      <c r="J1246" s="134"/>
      <c r="K1246" s="134"/>
      <c r="L1246" s="134"/>
      <c r="M1246" s="134"/>
    </row>
    <row r="1247" spans="3:13" ht="12.75">
      <c r="C1247" s="134"/>
      <c r="D1247" s="134"/>
      <c r="E1247" s="134"/>
      <c r="F1247" s="134"/>
      <c r="G1247" s="134"/>
      <c r="H1247" s="134"/>
      <c r="I1247" s="134"/>
      <c r="J1247" s="134"/>
      <c r="K1247" s="134"/>
      <c r="L1247" s="134"/>
      <c r="M1247" s="134"/>
    </row>
    <row r="1248" spans="3:13" ht="12.75">
      <c r="C1248" s="134"/>
      <c r="D1248" s="134"/>
      <c r="E1248" s="134"/>
      <c r="F1248" s="134"/>
      <c r="G1248" s="134"/>
      <c r="H1248" s="134"/>
      <c r="I1248" s="134"/>
      <c r="J1248" s="134"/>
      <c r="K1248" s="134"/>
      <c r="L1248" s="134"/>
      <c r="M1248" s="134"/>
    </row>
    <row r="1249" spans="3:13" ht="12.75">
      <c r="C1249" s="134"/>
      <c r="D1249" s="134"/>
      <c r="E1249" s="134"/>
      <c r="F1249" s="134"/>
      <c r="G1249" s="134"/>
      <c r="H1249" s="134"/>
      <c r="I1249" s="134"/>
      <c r="J1249" s="134"/>
      <c r="K1249" s="134"/>
      <c r="L1249" s="134"/>
      <c r="M1249" s="134"/>
    </row>
    <row r="1250" spans="3:13" ht="12.75">
      <c r="C1250" s="134"/>
      <c r="D1250" s="134"/>
      <c r="E1250" s="134"/>
      <c r="F1250" s="134"/>
      <c r="G1250" s="134"/>
      <c r="H1250" s="134"/>
      <c r="I1250" s="134"/>
      <c r="J1250" s="134"/>
      <c r="K1250" s="134"/>
      <c r="L1250" s="134"/>
      <c r="M1250" s="134"/>
    </row>
    <row r="1251" spans="3:13" ht="12.75">
      <c r="C1251" s="134"/>
      <c r="D1251" s="134"/>
      <c r="E1251" s="134"/>
      <c r="F1251" s="134"/>
      <c r="G1251" s="134"/>
      <c r="H1251" s="134"/>
      <c r="I1251" s="134"/>
      <c r="J1251" s="134"/>
      <c r="K1251" s="134"/>
      <c r="L1251" s="134"/>
      <c r="M1251" s="134"/>
    </row>
    <row r="1252" spans="3:13" ht="12.75">
      <c r="C1252" s="134"/>
      <c r="D1252" s="134"/>
      <c r="E1252" s="134"/>
      <c r="F1252" s="134"/>
      <c r="G1252" s="134"/>
      <c r="H1252" s="134"/>
      <c r="I1252" s="134"/>
      <c r="J1252" s="134"/>
      <c r="K1252" s="134"/>
      <c r="L1252" s="134"/>
      <c r="M1252" s="134"/>
    </row>
    <row r="1253" spans="3:13" ht="12.75">
      <c r="C1253" s="134"/>
      <c r="D1253" s="134"/>
      <c r="E1253" s="134"/>
      <c r="F1253" s="134"/>
      <c r="G1253" s="134"/>
      <c r="H1253" s="134"/>
      <c r="I1253" s="134"/>
      <c r="J1253" s="134"/>
      <c r="K1253" s="134"/>
      <c r="L1253" s="134"/>
      <c r="M1253" s="134"/>
    </row>
    <row r="1254" spans="3:13" ht="12.75">
      <c r="C1254" s="134"/>
      <c r="D1254" s="134"/>
      <c r="E1254" s="134"/>
      <c r="F1254" s="134"/>
      <c r="G1254" s="134"/>
      <c r="H1254" s="134"/>
      <c r="I1254" s="134"/>
      <c r="J1254" s="134"/>
      <c r="K1254" s="134"/>
      <c r="L1254" s="134"/>
      <c r="M1254" s="134"/>
    </row>
    <row r="1255" spans="3:13" ht="12.75">
      <c r="C1255" s="134"/>
      <c r="D1255" s="134"/>
      <c r="E1255" s="134"/>
      <c r="F1255" s="134"/>
      <c r="G1255" s="134"/>
      <c r="H1255" s="134"/>
      <c r="I1255" s="134"/>
      <c r="J1255" s="134"/>
      <c r="K1255" s="134"/>
      <c r="L1255" s="134"/>
      <c r="M1255" s="134"/>
    </row>
    <row r="1256" spans="3:13" ht="12.75">
      <c r="C1256" s="134"/>
      <c r="D1256" s="134"/>
      <c r="E1256" s="134"/>
      <c r="F1256" s="134"/>
      <c r="G1256" s="134"/>
      <c r="H1256" s="134"/>
      <c r="I1256" s="134"/>
      <c r="J1256" s="134"/>
      <c r="K1256" s="134"/>
      <c r="L1256" s="134"/>
      <c r="M1256" s="134"/>
    </row>
    <row r="1257" spans="3:13" ht="12.75">
      <c r="C1257" s="134"/>
      <c r="D1257" s="134"/>
      <c r="E1257" s="134"/>
      <c r="F1257" s="134"/>
      <c r="G1257" s="134"/>
      <c r="H1257" s="134"/>
      <c r="I1257" s="134"/>
      <c r="J1257" s="134"/>
      <c r="K1257" s="134"/>
      <c r="L1257" s="134"/>
      <c r="M1257" s="134"/>
    </row>
    <row r="1258" spans="3:13" ht="12.75">
      <c r="C1258" s="134"/>
      <c r="D1258" s="134"/>
      <c r="E1258" s="134"/>
      <c r="F1258" s="134"/>
      <c r="G1258" s="134"/>
      <c r="H1258" s="134"/>
      <c r="I1258" s="134"/>
      <c r="J1258" s="134"/>
      <c r="K1258" s="134"/>
      <c r="L1258" s="134"/>
      <c r="M1258" s="134"/>
    </row>
    <row r="1259" spans="3:13" ht="12.75">
      <c r="C1259" s="134"/>
      <c r="D1259" s="134"/>
      <c r="E1259" s="134"/>
      <c r="F1259" s="134"/>
      <c r="G1259" s="134"/>
      <c r="H1259" s="134"/>
      <c r="I1259" s="134"/>
      <c r="J1259" s="134"/>
      <c r="K1259" s="134"/>
      <c r="L1259" s="134"/>
      <c r="M1259" s="134"/>
    </row>
    <row r="1260" spans="3:13" ht="12.75">
      <c r="C1260" s="134"/>
      <c r="D1260" s="134"/>
      <c r="E1260" s="134"/>
      <c r="F1260" s="134"/>
      <c r="G1260" s="134"/>
      <c r="H1260" s="134"/>
      <c r="I1260" s="134"/>
      <c r="J1260" s="134"/>
      <c r="K1260" s="134"/>
      <c r="L1260" s="134"/>
      <c r="M1260" s="134"/>
    </row>
    <row r="1261" spans="3:13" ht="12.75">
      <c r="C1261" s="134"/>
      <c r="D1261" s="134"/>
      <c r="E1261" s="134"/>
      <c r="F1261" s="134"/>
      <c r="G1261" s="134"/>
      <c r="H1261" s="134"/>
      <c r="I1261" s="134"/>
      <c r="J1261" s="134"/>
      <c r="K1261" s="134"/>
      <c r="L1261" s="134"/>
      <c r="M1261" s="134"/>
    </row>
    <row r="1262" spans="3:13" ht="12.75">
      <c r="C1262" s="134"/>
      <c r="D1262" s="134"/>
      <c r="E1262" s="134"/>
      <c r="F1262" s="134"/>
      <c r="G1262" s="134"/>
      <c r="H1262" s="134"/>
      <c r="I1262" s="134"/>
      <c r="J1262" s="134"/>
      <c r="K1262" s="134"/>
      <c r="L1262" s="134"/>
      <c r="M1262" s="134"/>
    </row>
    <row r="1263" spans="3:13" ht="12.75">
      <c r="C1263" s="134"/>
      <c r="D1263" s="134"/>
      <c r="E1263" s="134"/>
      <c r="F1263" s="134"/>
      <c r="G1263" s="134"/>
      <c r="H1263" s="134"/>
      <c r="I1263" s="134"/>
      <c r="J1263" s="134"/>
      <c r="K1263" s="134"/>
      <c r="L1263" s="134"/>
      <c r="M1263" s="134"/>
    </row>
    <row r="1264" spans="3:13" ht="12.75">
      <c r="C1264" s="134"/>
      <c r="D1264" s="134"/>
      <c r="E1264" s="134"/>
      <c r="F1264" s="134"/>
      <c r="G1264" s="134"/>
      <c r="H1264" s="134"/>
      <c r="I1264" s="134"/>
      <c r="J1264" s="134"/>
      <c r="K1264" s="134"/>
      <c r="L1264" s="134"/>
      <c r="M1264" s="134"/>
    </row>
    <row r="1265" spans="3:13" ht="12.75">
      <c r="C1265" s="134"/>
      <c r="D1265" s="134"/>
      <c r="E1265" s="134"/>
      <c r="F1265" s="134"/>
      <c r="G1265" s="134"/>
      <c r="H1265" s="134"/>
      <c r="I1265" s="134"/>
      <c r="J1265" s="134"/>
      <c r="K1265" s="134"/>
      <c r="L1265" s="134"/>
      <c r="M1265" s="134"/>
    </row>
    <row r="1266" spans="3:13" ht="12.75">
      <c r="C1266" s="134"/>
      <c r="D1266" s="134"/>
      <c r="E1266" s="134"/>
      <c r="F1266" s="134"/>
      <c r="G1266" s="134"/>
      <c r="H1266" s="134"/>
      <c r="I1266" s="134"/>
      <c r="J1266" s="134"/>
      <c r="K1266" s="134"/>
      <c r="L1266" s="134"/>
      <c r="M1266" s="134"/>
    </row>
    <row r="1267" spans="3:13" ht="12.75">
      <c r="C1267" s="134"/>
      <c r="D1267" s="134"/>
      <c r="E1267" s="134"/>
      <c r="F1267" s="134"/>
      <c r="G1267" s="134"/>
      <c r="H1267" s="134"/>
      <c r="I1267" s="134"/>
      <c r="J1267" s="134"/>
      <c r="K1267" s="134"/>
      <c r="L1267" s="134"/>
      <c r="M1267" s="134"/>
    </row>
    <row r="1268" spans="3:13" ht="12.75">
      <c r="C1268" s="134"/>
      <c r="D1268" s="134"/>
      <c r="E1268" s="134"/>
      <c r="F1268" s="134"/>
      <c r="G1268" s="134"/>
      <c r="H1268" s="134"/>
      <c r="I1268" s="134"/>
      <c r="J1268" s="134"/>
      <c r="K1268" s="134"/>
      <c r="L1268" s="134"/>
      <c r="M1268" s="134"/>
    </row>
    <row r="1269" spans="3:13" ht="12.75">
      <c r="C1269" s="134"/>
      <c r="D1269" s="134"/>
      <c r="E1269" s="134"/>
      <c r="F1269" s="134"/>
      <c r="G1269" s="134"/>
      <c r="H1269" s="134"/>
      <c r="I1269" s="134"/>
      <c r="J1269" s="134"/>
      <c r="K1269" s="134"/>
      <c r="L1269" s="134"/>
      <c r="M1269" s="134"/>
    </row>
    <row r="1270" spans="3:13" ht="12.75">
      <c r="C1270" s="134"/>
      <c r="D1270" s="134"/>
      <c r="E1270" s="134"/>
      <c r="F1270" s="134"/>
      <c r="G1270" s="134"/>
      <c r="H1270" s="134"/>
      <c r="I1270" s="134"/>
      <c r="J1270" s="134"/>
      <c r="K1270" s="134"/>
      <c r="L1270" s="134"/>
      <c r="M1270" s="134"/>
    </row>
    <row r="1271" spans="3:13" ht="12.75">
      <c r="C1271" s="134"/>
      <c r="D1271" s="134"/>
      <c r="E1271" s="134"/>
      <c r="F1271" s="134"/>
      <c r="G1271" s="134"/>
      <c r="H1271" s="134"/>
      <c r="I1271" s="134"/>
      <c r="J1271" s="134"/>
      <c r="K1271" s="134"/>
      <c r="L1271" s="134"/>
      <c r="M1271" s="134"/>
    </row>
    <row r="1272" spans="3:13" ht="12.75">
      <c r="C1272" s="134"/>
      <c r="D1272" s="134"/>
      <c r="E1272" s="134"/>
      <c r="F1272" s="134"/>
      <c r="G1272" s="134"/>
      <c r="H1272" s="134"/>
      <c r="I1272" s="134"/>
      <c r="J1272" s="134"/>
      <c r="K1272" s="134"/>
      <c r="L1272" s="134"/>
      <c r="M1272" s="134"/>
    </row>
    <row r="1273" spans="3:13" ht="12.75">
      <c r="C1273" s="134"/>
      <c r="D1273" s="134"/>
      <c r="E1273" s="134"/>
      <c r="F1273" s="134"/>
      <c r="G1273" s="134"/>
      <c r="H1273" s="134"/>
      <c r="I1273" s="134"/>
      <c r="J1273" s="134"/>
      <c r="K1273" s="134"/>
      <c r="L1273" s="134"/>
      <c r="M1273" s="134"/>
    </row>
    <row r="1274" spans="3:13" ht="12.75">
      <c r="C1274" s="134"/>
      <c r="D1274" s="134"/>
      <c r="E1274" s="134"/>
      <c r="F1274" s="134"/>
      <c r="G1274" s="134"/>
      <c r="H1274" s="134"/>
      <c r="I1274" s="134"/>
      <c r="J1274" s="134"/>
      <c r="K1274" s="134"/>
      <c r="L1274" s="134"/>
      <c r="M1274" s="134"/>
    </row>
    <row r="1275" spans="3:13" ht="12.75">
      <c r="C1275" s="134"/>
      <c r="D1275" s="134"/>
      <c r="E1275" s="134"/>
      <c r="F1275" s="134"/>
      <c r="G1275" s="134"/>
      <c r="H1275" s="134"/>
      <c r="I1275" s="134"/>
      <c r="J1275" s="134"/>
      <c r="K1275" s="134"/>
      <c r="L1275" s="134"/>
      <c r="M1275" s="134"/>
    </row>
    <row r="1276" spans="3:13" ht="12.75">
      <c r="C1276" s="134"/>
      <c r="D1276" s="134"/>
      <c r="E1276" s="134"/>
      <c r="F1276" s="134"/>
      <c r="G1276" s="134"/>
      <c r="H1276" s="134"/>
      <c r="I1276" s="134"/>
      <c r="J1276" s="134"/>
      <c r="K1276" s="134"/>
      <c r="L1276" s="134"/>
      <c r="M1276" s="134"/>
    </row>
    <row r="1277" spans="3:13" ht="12.75">
      <c r="C1277" s="134"/>
      <c r="D1277" s="134"/>
      <c r="E1277" s="134"/>
      <c r="F1277" s="134"/>
      <c r="G1277" s="134"/>
      <c r="H1277" s="134"/>
      <c r="I1277" s="134"/>
      <c r="J1277" s="134"/>
      <c r="K1277" s="134"/>
      <c r="L1277" s="134"/>
      <c r="M1277" s="134"/>
    </row>
    <row r="1278" spans="3:13" ht="12.75">
      <c r="C1278" s="134"/>
      <c r="D1278" s="134"/>
      <c r="E1278" s="134"/>
      <c r="F1278" s="134"/>
      <c r="G1278" s="134"/>
      <c r="H1278" s="134"/>
      <c r="I1278" s="134"/>
      <c r="J1278" s="134"/>
      <c r="K1278" s="134"/>
      <c r="L1278" s="134"/>
      <c r="M1278" s="134"/>
    </row>
    <row r="1279" spans="3:13" ht="12.75">
      <c r="C1279" s="134"/>
      <c r="D1279" s="134"/>
      <c r="E1279" s="134"/>
      <c r="F1279" s="134"/>
      <c r="G1279" s="134"/>
      <c r="H1279" s="134"/>
      <c r="I1279" s="134"/>
      <c r="J1279" s="134"/>
      <c r="K1279" s="134"/>
      <c r="L1279" s="134"/>
      <c r="M1279" s="134"/>
    </row>
    <row r="1280" spans="3:13" ht="12.75">
      <c r="C1280" s="134"/>
      <c r="D1280" s="134"/>
      <c r="E1280" s="134"/>
      <c r="F1280" s="134"/>
      <c r="G1280" s="134"/>
      <c r="H1280" s="134"/>
      <c r="I1280" s="134"/>
      <c r="J1280" s="134"/>
      <c r="K1280" s="134"/>
      <c r="L1280" s="134"/>
      <c r="M1280" s="134"/>
    </row>
    <row r="1281" spans="3:13" ht="12.75">
      <c r="C1281" s="134"/>
      <c r="D1281" s="134"/>
      <c r="E1281" s="134"/>
      <c r="F1281" s="134"/>
      <c r="G1281" s="134"/>
      <c r="H1281" s="134"/>
      <c r="I1281" s="134"/>
      <c r="J1281" s="134"/>
      <c r="K1281" s="134"/>
      <c r="L1281" s="134"/>
      <c r="M1281" s="134"/>
    </row>
    <row r="1282" spans="3:13" ht="12.75">
      <c r="C1282" s="134"/>
      <c r="D1282" s="134"/>
      <c r="E1282" s="134"/>
      <c r="F1282" s="134"/>
      <c r="G1282" s="134"/>
      <c r="H1282" s="134"/>
      <c r="I1282" s="134"/>
      <c r="J1282" s="134"/>
      <c r="K1282" s="134"/>
      <c r="L1282" s="134"/>
      <c r="M1282" s="134"/>
    </row>
    <row r="1283" spans="3:13" ht="12.75">
      <c r="C1283" s="134"/>
      <c r="D1283" s="134"/>
      <c r="E1283" s="134"/>
      <c r="F1283" s="134"/>
      <c r="G1283" s="134"/>
      <c r="H1283" s="134"/>
      <c r="I1283" s="134"/>
      <c r="J1283" s="134"/>
      <c r="K1283" s="134"/>
      <c r="L1283" s="134"/>
      <c r="M1283" s="134"/>
    </row>
    <row r="1284" spans="3:13" ht="12.75">
      <c r="C1284" s="134"/>
      <c r="D1284" s="134"/>
      <c r="E1284" s="134"/>
      <c r="F1284" s="134"/>
      <c r="G1284" s="134"/>
      <c r="H1284" s="134"/>
      <c r="I1284" s="134"/>
      <c r="J1284" s="134"/>
      <c r="K1284" s="134"/>
      <c r="L1284" s="134"/>
      <c r="M1284" s="134"/>
    </row>
    <row r="1285" spans="3:13" ht="12.75">
      <c r="C1285" s="134"/>
      <c r="D1285" s="134"/>
      <c r="E1285" s="134"/>
      <c r="F1285" s="134"/>
      <c r="G1285" s="134"/>
      <c r="H1285" s="134"/>
      <c r="I1285" s="134"/>
      <c r="J1285" s="134"/>
      <c r="K1285" s="134"/>
      <c r="L1285" s="134"/>
      <c r="M1285" s="134"/>
    </row>
    <row r="1286" spans="3:13" ht="12.75">
      <c r="C1286" s="134"/>
      <c r="D1286" s="134"/>
      <c r="E1286" s="134"/>
      <c r="F1286" s="134"/>
      <c r="G1286" s="134"/>
      <c r="H1286" s="134"/>
      <c r="I1286" s="134"/>
      <c r="J1286" s="134"/>
      <c r="K1286" s="134"/>
      <c r="L1286" s="134"/>
      <c r="M1286" s="134"/>
    </row>
    <row r="1287" spans="3:13" ht="12.75">
      <c r="C1287" s="134"/>
      <c r="D1287" s="134"/>
      <c r="E1287" s="134"/>
      <c r="F1287" s="134"/>
      <c r="G1287" s="134"/>
      <c r="H1287" s="134"/>
      <c r="I1287" s="134"/>
      <c r="J1287" s="134"/>
      <c r="K1287" s="134"/>
      <c r="L1287" s="134"/>
      <c r="M1287" s="134"/>
    </row>
    <row r="1288" spans="3:13" ht="12.75">
      <c r="C1288" s="134"/>
      <c r="D1288" s="134"/>
      <c r="E1288" s="134"/>
      <c r="F1288" s="134"/>
      <c r="G1288" s="134"/>
      <c r="H1288" s="134"/>
      <c r="I1288" s="134"/>
      <c r="J1288" s="134"/>
      <c r="K1288" s="134"/>
      <c r="L1288" s="134"/>
      <c r="M1288" s="134"/>
    </row>
    <row r="1289" spans="3:13" ht="12.75">
      <c r="C1289" s="134"/>
      <c r="D1289" s="134"/>
      <c r="E1289" s="134"/>
      <c r="F1289" s="134"/>
      <c r="G1289" s="134"/>
      <c r="H1289" s="134"/>
      <c r="I1289" s="134"/>
      <c r="J1289" s="134"/>
      <c r="K1289" s="134"/>
      <c r="L1289" s="134"/>
      <c r="M1289" s="134"/>
    </row>
    <row r="1290" spans="3:13" ht="12.75">
      <c r="C1290" s="134"/>
      <c r="D1290" s="134"/>
      <c r="E1290" s="134"/>
      <c r="F1290" s="134"/>
      <c r="G1290" s="134"/>
      <c r="H1290" s="134"/>
      <c r="I1290" s="134"/>
      <c r="J1290" s="134"/>
      <c r="K1290" s="134"/>
      <c r="L1290" s="134"/>
      <c r="M1290" s="134"/>
    </row>
    <row r="1291" spans="3:13" ht="12.75">
      <c r="C1291" s="134"/>
      <c r="D1291" s="134"/>
      <c r="E1291" s="134"/>
      <c r="F1291" s="134"/>
      <c r="G1291" s="134"/>
      <c r="H1291" s="134"/>
      <c r="I1291" s="134"/>
      <c r="J1291" s="134"/>
      <c r="K1291" s="134"/>
      <c r="L1291" s="134"/>
      <c r="M1291" s="134"/>
    </row>
    <row r="1292" spans="3:13" ht="12.75">
      <c r="C1292" s="134"/>
      <c r="D1292" s="134"/>
      <c r="E1292" s="134"/>
      <c r="F1292" s="134"/>
      <c r="G1292" s="134"/>
      <c r="H1292" s="134"/>
      <c r="I1292" s="134"/>
      <c r="J1292" s="134"/>
      <c r="K1292" s="134"/>
      <c r="L1292" s="134"/>
      <c r="M1292" s="134"/>
    </row>
    <row r="1293" spans="3:13" ht="12.75">
      <c r="C1293" s="134"/>
      <c r="D1293" s="134"/>
      <c r="E1293" s="134"/>
      <c r="F1293" s="134"/>
      <c r="G1293" s="134"/>
      <c r="H1293" s="134"/>
      <c r="I1293" s="134"/>
      <c r="J1293" s="134"/>
      <c r="K1293" s="134"/>
      <c r="L1293" s="134"/>
      <c r="M1293" s="134"/>
    </row>
    <row r="1294" spans="3:13" ht="12.75">
      <c r="C1294" s="134"/>
      <c r="D1294" s="134"/>
      <c r="E1294" s="134"/>
      <c r="F1294" s="134"/>
      <c r="G1294" s="134"/>
      <c r="H1294" s="134"/>
      <c r="I1294" s="134"/>
      <c r="J1294" s="134"/>
      <c r="K1294" s="134"/>
      <c r="L1294" s="134"/>
      <c r="M1294" s="134"/>
    </row>
    <row r="1295" spans="3:13" ht="12.75">
      <c r="C1295" s="134"/>
      <c r="D1295" s="134"/>
      <c r="E1295" s="134"/>
      <c r="F1295" s="134"/>
      <c r="G1295" s="134"/>
      <c r="H1295" s="134"/>
      <c r="I1295" s="134"/>
      <c r="J1295" s="134"/>
      <c r="K1295" s="134"/>
      <c r="L1295" s="134"/>
      <c r="M1295" s="134"/>
    </row>
    <row r="1296" spans="3:13" ht="12.75">
      <c r="C1296" s="134"/>
      <c r="D1296" s="134"/>
      <c r="E1296" s="134"/>
      <c r="F1296" s="134"/>
      <c r="G1296" s="134"/>
      <c r="H1296" s="134"/>
      <c r="I1296" s="134"/>
      <c r="J1296" s="134"/>
      <c r="K1296" s="134"/>
      <c r="L1296" s="134"/>
      <c r="M1296" s="134"/>
    </row>
    <row r="1297" spans="3:13" ht="12.75">
      <c r="C1297" s="134"/>
      <c r="D1297" s="134"/>
      <c r="E1297" s="134"/>
      <c r="F1297" s="134"/>
      <c r="G1297" s="134"/>
      <c r="H1297" s="134"/>
      <c r="I1297" s="134"/>
      <c r="J1297" s="134"/>
      <c r="K1297" s="134"/>
      <c r="L1297" s="134"/>
      <c r="M1297" s="134"/>
    </row>
    <row r="1298" spans="3:13" ht="12.75">
      <c r="C1298" s="134"/>
      <c r="D1298" s="134"/>
      <c r="E1298" s="134"/>
      <c r="F1298" s="134"/>
      <c r="G1298" s="134"/>
      <c r="H1298" s="134"/>
      <c r="I1298" s="134"/>
      <c r="J1298" s="134"/>
      <c r="K1298" s="134"/>
      <c r="L1298" s="134"/>
      <c r="M1298" s="134"/>
    </row>
    <row r="1299" spans="3:13" ht="12.75">
      <c r="C1299" s="134"/>
      <c r="D1299" s="134"/>
      <c r="E1299" s="134"/>
      <c r="F1299" s="134"/>
      <c r="G1299" s="134"/>
      <c r="H1299" s="134"/>
      <c r="I1299" s="134"/>
      <c r="J1299" s="134"/>
      <c r="K1299" s="134"/>
      <c r="L1299" s="134"/>
      <c r="M1299" s="134"/>
    </row>
    <row r="1300" spans="3:13" ht="12.75">
      <c r="C1300" s="134"/>
      <c r="D1300" s="134"/>
      <c r="E1300" s="134"/>
      <c r="F1300" s="134"/>
      <c r="G1300" s="134"/>
      <c r="H1300" s="134"/>
      <c r="I1300" s="134"/>
      <c r="J1300" s="134"/>
      <c r="K1300" s="134"/>
      <c r="L1300" s="134"/>
      <c r="M1300" s="134"/>
    </row>
    <row r="1301" spans="3:13" ht="12.75">
      <c r="C1301" s="134"/>
      <c r="D1301" s="134"/>
      <c r="E1301" s="134"/>
      <c r="F1301" s="134"/>
      <c r="G1301" s="134"/>
      <c r="H1301" s="134"/>
      <c r="I1301" s="134"/>
      <c r="J1301" s="134"/>
      <c r="K1301" s="134"/>
      <c r="L1301" s="134"/>
      <c r="M1301" s="134"/>
    </row>
    <row r="1302" spans="3:13" ht="12.75">
      <c r="C1302" s="134"/>
      <c r="D1302" s="134"/>
      <c r="E1302" s="134"/>
      <c r="F1302" s="134"/>
      <c r="G1302" s="134"/>
      <c r="H1302" s="134"/>
      <c r="I1302" s="134"/>
      <c r="J1302" s="134"/>
      <c r="K1302" s="134"/>
      <c r="L1302" s="134"/>
      <c r="M1302" s="134"/>
    </row>
    <row r="1303" spans="3:13" ht="12.75">
      <c r="C1303" s="134"/>
      <c r="D1303" s="134"/>
      <c r="E1303" s="134"/>
      <c r="F1303" s="134"/>
      <c r="G1303" s="134"/>
      <c r="H1303" s="134"/>
      <c r="I1303" s="134"/>
      <c r="J1303" s="134"/>
      <c r="K1303" s="134"/>
      <c r="L1303" s="134"/>
      <c r="M1303" s="134"/>
    </row>
    <row r="1304" spans="3:13" ht="12.75">
      <c r="C1304" s="134"/>
      <c r="D1304" s="134"/>
      <c r="E1304" s="134"/>
      <c r="F1304" s="134"/>
      <c r="G1304" s="134"/>
      <c r="H1304" s="134"/>
      <c r="I1304" s="134"/>
      <c r="J1304" s="134"/>
      <c r="K1304" s="134"/>
      <c r="L1304" s="134"/>
      <c r="M1304" s="134"/>
    </row>
    <row r="1305" spans="3:13" ht="12.75">
      <c r="C1305" s="134"/>
      <c r="D1305" s="134"/>
      <c r="E1305" s="134"/>
      <c r="F1305" s="134"/>
      <c r="G1305" s="134"/>
      <c r="H1305" s="134"/>
      <c r="I1305" s="134"/>
      <c r="J1305" s="134"/>
      <c r="K1305" s="134"/>
      <c r="L1305" s="134"/>
      <c r="M1305" s="134"/>
    </row>
    <row r="1306" spans="3:13" ht="12.75">
      <c r="C1306" s="134"/>
      <c r="D1306" s="134"/>
      <c r="E1306" s="134"/>
      <c r="F1306" s="134"/>
      <c r="G1306" s="134"/>
      <c r="H1306" s="134"/>
      <c r="I1306" s="134"/>
      <c r="J1306" s="134"/>
      <c r="K1306" s="134"/>
      <c r="L1306" s="134"/>
      <c r="M1306" s="134"/>
    </row>
    <row r="1307" spans="3:13" ht="12.75">
      <c r="C1307" s="134"/>
      <c r="D1307" s="134"/>
      <c r="E1307" s="134"/>
      <c r="F1307" s="134"/>
      <c r="G1307" s="134"/>
      <c r="H1307" s="134"/>
      <c r="I1307" s="134"/>
      <c r="J1307" s="134"/>
      <c r="K1307" s="134"/>
      <c r="L1307" s="134"/>
      <c r="M1307" s="134"/>
    </row>
    <row r="1308" spans="3:13" ht="12.75">
      <c r="C1308" s="134"/>
      <c r="D1308" s="134"/>
      <c r="E1308" s="134"/>
      <c r="F1308" s="134"/>
      <c r="G1308" s="134"/>
      <c r="H1308" s="134"/>
      <c r="I1308" s="134"/>
      <c r="J1308" s="134"/>
      <c r="K1308" s="134"/>
      <c r="L1308" s="134"/>
      <c r="M1308" s="134"/>
    </row>
    <row r="1309" spans="3:13" ht="12.75">
      <c r="C1309" s="134"/>
      <c r="D1309" s="134"/>
      <c r="E1309" s="134"/>
      <c r="F1309" s="134"/>
      <c r="G1309" s="134"/>
      <c r="H1309" s="134"/>
      <c r="I1309" s="134"/>
      <c r="J1309" s="134"/>
      <c r="K1309" s="134"/>
      <c r="L1309" s="134"/>
      <c r="M1309" s="134"/>
    </row>
    <row r="1310" spans="3:13" ht="12.75">
      <c r="C1310" s="134"/>
      <c r="D1310" s="134"/>
      <c r="E1310" s="134"/>
      <c r="F1310" s="134"/>
      <c r="G1310" s="134"/>
      <c r="H1310" s="134"/>
      <c r="I1310" s="134"/>
      <c r="J1310" s="134"/>
      <c r="K1310" s="134"/>
      <c r="L1310" s="134"/>
      <c r="M1310" s="134"/>
    </row>
    <row r="1311" spans="3:13" ht="12.75">
      <c r="C1311" s="134"/>
      <c r="D1311" s="134"/>
      <c r="E1311" s="134"/>
      <c r="F1311" s="134"/>
      <c r="G1311" s="134"/>
      <c r="H1311" s="134"/>
      <c r="I1311" s="134"/>
      <c r="J1311" s="134"/>
      <c r="K1311" s="134"/>
      <c r="L1311" s="134"/>
      <c r="M1311" s="134"/>
    </row>
    <row r="1312" spans="3:13" ht="12.75">
      <c r="C1312" s="134"/>
      <c r="D1312" s="134"/>
      <c r="E1312" s="134"/>
      <c r="F1312" s="134"/>
      <c r="G1312" s="134"/>
      <c r="H1312" s="134"/>
      <c r="I1312" s="134"/>
      <c r="J1312" s="134"/>
      <c r="K1312" s="134"/>
      <c r="L1312" s="134"/>
      <c r="M1312" s="134"/>
    </row>
    <row r="1313" spans="3:13" ht="12.75">
      <c r="C1313" s="134"/>
      <c r="D1313" s="134"/>
      <c r="E1313" s="134"/>
      <c r="F1313" s="134"/>
      <c r="G1313" s="134"/>
      <c r="H1313" s="134"/>
      <c r="I1313" s="134"/>
      <c r="J1313" s="134"/>
      <c r="K1313" s="134"/>
      <c r="L1313" s="134"/>
      <c r="M1313" s="134"/>
    </row>
    <row r="1314" spans="3:13" ht="12.75">
      <c r="C1314" s="134"/>
      <c r="D1314" s="134"/>
      <c r="E1314" s="134"/>
      <c r="F1314" s="134"/>
      <c r="G1314" s="134"/>
      <c r="H1314" s="134"/>
      <c r="I1314" s="134"/>
      <c r="J1314" s="134"/>
      <c r="K1314" s="134"/>
      <c r="L1314" s="134"/>
      <c r="M1314" s="134"/>
    </row>
    <row r="1315" spans="3:13" ht="12.75">
      <c r="C1315" s="134"/>
      <c r="D1315" s="134"/>
      <c r="E1315" s="134"/>
      <c r="F1315" s="134"/>
      <c r="G1315" s="134"/>
      <c r="H1315" s="134"/>
      <c r="I1315" s="134"/>
      <c r="J1315" s="134"/>
      <c r="K1315" s="134"/>
      <c r="L1315" s="134"/>
      <c r="M1315" s="134"/>
    </row>
    <row r="1316" spans="3:13" ht="12.75">
      <c r="C1316" s="134"/>
      <c r="D1316" s="134"/>
      <c r="E1316" s="134"/>
      <c r="F1316" s="134"/>
      <c r="G1316" s="134"/>
      <c r="H1316" s="134"/>
      <c r="I1316" s="134"/>
      <c r="J1316" s="134"/>
      <c r="K1316" s="134"/>
      <c r="L1316" s="134"/>
      <c r="M1316" s="134"/>
    </row>
    <row r="1317" spans="3:13" ht="12.75">
      <c r="C1317" s="134"/>
      <c r="D1317" s="134"/>
      <c r="E1317" s="134"/>
      <c r="F1317" s="134"/>
      <c r="G1317" s="134"/>
      <c r="H1317" s="134"/>
      <c r="I1317" s="134"/>
      <c r="J1317" s="134"/>
      <c r="K1317" s="134"/>
      <c r="L1317" s="134"/>
      <c r="M1317" s="134"/>
    </row>
    <row r="1318" spans="3:13" ht="12.75">
      <c r="C1318" s="134"/>
      <c r="D1318" s="134"/>
      <c r="E1318" s="134"/>
      <c r="F1318" s="134"/>
      <c r="G1318" s="134"/>
      <c r="H1318" s="134"/>
      <c r="I1318" s="134"/>
      <c r="J1318" s="134"/>
      <c r="K1318" s="134"/>
      <c r="L1318" s="134"/>
      <c r="M1318" s="134"/>
    </row>
    <row r="1319" spans="3:13" ht="12.75">
      <c r="C1319" s="134"/>
      <c r="D1319" s="134"/>
      <c r="E1319" s="134"/>
      <c r="F1319" s="134"/>
      <c r="G1319" s="134"/>
      <c r="H1319" s="134"/>
      <c r="I1319" s="134"/>
      <c r="J1319" s="134"/>
      <c r="K1319" s="134"/>
      <c r="L1319" s="134"/>
      <c r="M1319" s="134"/>
    </row>
    <row r="1320" spans="3:13" ht="12.75">
      <c r="C1320" s="134"/>
      <c r="D1320" s="134"/>
      <c r="E1320" s="134"/>
      <c r="F1320" s="134"/>
      <c r="G1320" s="134"/>
      <c r="H1320" s="134"/>
      <c r="I1320" s="134"/>
      <c r="J1320" s="134"/>
      <c r="K1320" s="134"/>
      <c r="L1320" s="134"/>
      <c r="M1320" s="134"/>
    </row>
    <row r="1321" spans="3:13" ht="12.75">
      <c r="C1321" s="134"/>
      <c r="D1321" s="134"/>
      <c r="E1321" s="134"/>
      <c r="F1321" s="134"/>
      <c r="G1321" s="134"/>
      <c r="H1321" s="134"/>
      <c r="I1321" s="134"/>
      <c r="J1321" s="134"/>
      <c r="K1321" s="134"/>
      <c r="L1321" s="134"/>
      <c r="M1321" s="134"/>
    </row>
    <row r="1322" spans="3:13" ht="12.75">
      <c r="C1322" s="134"/>
      <c r="D1322" s="134"/>
      <c r="E1322" s="134"/>
      <c r="F1322" s="134"/>
      <c r="G1322" s="134"/>
      <c r="H1322" s="134"/>
      <c r="I1322" s="134"/>
      <c r="J1322" s="134"/>
      <c r="K1322" s="134"/>
      <c r="L1322" s="134"/>
      <c r="M1322" s="134"/>
    </row>
    <row r="1323" spans="3:13" ht="12.75">
      <c r="C1323" s="134"/>
      <c r="D1323" s="134"/>
      <c r="E1323" s="134"/>
      <c r="F1323" s="134"/>
      <c r="G1323" s="134"/>
      <c r="H1323" s="134"/>
      <c r="I1323" s="134"/>
      <c r="J1323" s="134"/>
      <c r="K1323" s="134"/>
      <c r="L1323" s="134"/>
      <c r="M1323" s="134"/>
    </row>
    <row r="1324" spans="3:13" ht="12.75">
      <c r="C1324" s="134"/>
      <c r="D1324" s="134"/>
      <c r="E1324" s="134"/>
      <c r="F1324" s="134"/>
      <c r="G1324" s="134"/>
      <c r="H1324" s="134"/>
      <c r="I1324" s="134"/>
      <c r="J1324" s="134"/>
      <c r="K1324" s="134"/>
      <c r="L1324" s="134"/>
      <c r="M1324" s="134"/>
    </row>
    <row r="1325" spans="3:13" ht="12.75">
      <c r="C1325" s="134"/>
      <c r="D1325" s="134"/>
      <c r="E1325" s="134"/>
      <c r="F1325" s="134"/>
      <c r="G1325" s="134"/>
      <c r="H1325" s="134"/>
      <c r="I1325" s="134"/>
      <c r="J1325" s="134"/>
      <c r="K1325" s="134"/>
      <c r="L1325" s="134"/>
      <c r="M1325" s="134"/>
    </row>
    <row r="1326" spans="3:13" ht="12.75">
      <c r="C1326" s="134"/>
      <c r="D1326" s="134"/>
      <c r="E1326" s="134"/>
      <c r="F1326" s="134"/>
      <c r="G1326" s="134"/>
      <c r="H1326" s="134"/>
      <c r="I1326" s="134"/>
      <c r="J1326" s="134"/>
      <c r="K1326" s="134"/>
      <c r="L1326" s="134"/>
      <c r="M1326" s="134"/>
    </row>
    <row r="1327" spans="3:13" ht="12.75">
      <c r="C1327" s="134"/>
      <c r="D1327" s="134"/>
      <c r="E1327" s="134"/>
      <c r="F1327" s="134"/>
      <c r="G1327" s="134"/>
      <c r="H1327" s="134"/>
      <c r="I1327" s="134"/>
      <c r="J1327" s="134"/>
      <c r="K1327" s="134"/>
      <c r="L1327" s="134"/>
      <c r="M1327" s="134"/>
    </row>
    <row r="1328" spans="3:13" ht="12.75">
      <c r="C1328" s="134"/>
      <c r="D1328" s="134"/>
      <c r="E1328" s="134"/>
      <c r="F1328" s="134"/>
      <c r="G1328" s="134"/>
      <c r="H1328" s="134"/>
      <c r="I1328" s="134"/>
      <c r="J1328" s="134"/>
      <c r="K1328" s="134"/>
      <c r="L1328" s="134"/>
      <c r="M1328" s="134"/>
    </row>
    <row r="1329" spans="3:13" ht="12.75">
      <c r="C1329" s="134"/>
      <c r="D1329" s="134"/>
      <c r="E1329" s="134"/>
      <c r="F1329" s="134"/>
      <c r="G1329" s="134"/>
      <c r="H1329" s="134"/>
      <c r="I1329" s="134"/>
      <c r="J1329" s="134"/>
      <c r="K1329" s="134"/>
      <c r="L1329" s="134"/>
      <c r="M1329" s="134"/>
    </row>
    <row r="1330" spans="3:13" ht="12.75">
      <c r="C1330" s="134"/>
      <c r="D1330" s="134"/>
      <c r="E1330" s="134"/>
      <c r="F1330" s="134"/>
      <c r="G1330" s="134"/>
      <c r="H1330" s="134"/>
      <c r="I1330" s="134"/>
      <c r="J1330" s="134"/>
      <c r="K1330" s="134"/>
      <c r="L1330" s="134"/>
      <c r="M1330" s="134"/>
    </row>
    <row r="1331" spans="3:13" ht="12.75">
      <c r="C1331" s="134"/>
      <c r="D1331" s="134"/>
      <c r="E1331" s="134"/>
      <c r="F1331" s="134"/>
      <c r="G1331" s="134"/>
      <c r="H1331" s="134"/>
      <c r="I1331" s="134"/>
      <c r="J1331" s="134"/>
      <c r="K1331" s="134"/>
      <c r="L1331" s="134"/>
      <c r="M1331" s="134"/>
    </row>
    <row r="1332" spans="3:13" ht="12.75">
      <c r="C1332" s="134"/>
      <c r="D1332" s="134"/>
      <c r="E1332" s="134"/>
      <c r="F1332" s="134"/>
      <c r="G1332" s="134"/>
      <c r="H1332" s="134"/>
      <c r="I1332" s="134"/>
      <c r="J1332" s="134"/>
      <c r="K1332" s="134"/>
      <c r="L1332" s="134"/>
      <c r="M1332" s="134"/>
    </row>
    <row r="1333" spans="3:13" ht="12.75">
      <c r="C1333" s="134"/>
      <c r="D1333" s="134"/>
      <c r="E1333" s="134"/>
      <c r="F1333" s="134"/>
      <c r="G1333" s="134"/>
      <c r="H1333" s="134"/>
      <c r="I1333" s="134"/>
      <c r="J1333" s="134"/>
      <c r="K1333" s="134"/>
      <c r="L1333" s="134"/>
      <c r="M1333" s="134"/>
    </row>
    <row r="1334" spans="3:13" ht="12.75">
      <c r="C1334" s="134"/>
      <c r="D1334" s="134"/>
      <c r="E1334" s="134"/>
      <c r="F1334" s="134"/>
      <c r="G1334" s="134"/>
      <c r="H1334" s="134"/>
      <c r="I1334" s="134"/>
      <c r="J1334" s="134"/>
      <c r="K1334" s="134"/>
      <c r="L1334" s="134"/>
      <c r="M1334" s="134"/>
    </row>
    <row r="1335" spans="3:13" ht="12.75">
      <c r="C1335" s="134"/>
      <c r="D1335" s="134"/>
      <c r="E1335" s="134"/>
      <c r="F1335" s="134"/>
      <c r="G1335" s="134"/>
      <c r="H1335" s="134"/>
      <c r="I1335" s="134"/>
      <c r="J1335" s="134"/>
      <c r="K1335" s="134"/>
      <c r="L1335" s="134"/>
      <c r="M1335" s="134"/>
    </row>
    <row r="1336" spans="3:13" ht="12.75">
      <c r="C1336" s="134"/>
      <c r="D1336" s="134"/>
      <c r="E1336" s="134"/>
      <c r="F1336" s="134"/>
      <c r="G1336" s="134"/>
      <c r="H1336" s="134"/>
      <c r="I1336" s="134"/>
      <c r="J1336" s="134"/>
      <c r="K1336" s="134"/>
      <c r="L1336" s="134"/>
      <c r="M1336" s="134"/>
    </row>
    <row r="1337" spans="3:13" ht="12.75">
      <c r="C1337" s="134"/>
      <c r="D1337" s="134"/>
      <c r="E1337" s="134"/>
      <c r="F1337" s="134"/>
      <c r="G1337" s="134"/>
      <c r="H1337" s="134"/>
      <c r="I1337" s="134"/>
      <c r="J1337" s="134"/>
      <c r="K1337" s="134"/>
      <c r="L1337" s="134"/>
      <c r="M1337" s="134"/>
    </row>
    <row r="1338" spans="3:13" ht="12.75">
      <c r="C1338" s="134"/>
      <c r="D1338" s="134"/>
      <c r="E1338" s="134"/>
      <c r="F1338" s="134"/>
      <c r="G1338" s="134"/>
      <c r="H1338" s="134"/>
      <c r="I1338" s="134"/>
      <c r="J1338" s="134"/>
      <c r="K1338" s="134"/>
      <c r="L1338" s="134"/>
      <c r="M1338" s="134"/>
    </row>
    <row r="1339" spans="3:13" ht="12.75">
      <c r="C1339" s="134"/>
      <c r="D1339" s="134"/>
      <c r="E1339" s="134"/>
      <c r="F1339" s="134"/>
      <c r="G1339" s="134"/>
      <c r="H1339" s="134"/>
      <c r="I1339" s="134"/>
      <c r="J1339" s="134"/>
      <c r="K1339" s="134"/>
      <c r="L1339" s="134"/>
      <c r="M1339" s="134"/>
    </row>
    <row r="1340" spans="3:13" ht="12.75">
      <c r="C1340" s="134"/>
      <c r="D1340" s="134"/>
      <c r="E1340" s="134"/>
      <c r="F1340" s="134"/>
      <c r="G1340" s="134"/>
      <c r="H1340" s="134"/>
      <c r="I1340" s="134"/>
      <c r="J1340" s="134"/>
      <c r="K1340" s="134"/>
      <c r="L1340" s="134"/>
      <c r="M1340" s="134"/>
    </row>
    <row r="1341" spans="3:13" ht="12.75">
      <c r="C1341" s="134"/>
      <c r="D1341" s="134"/>
      <c r="E1341" s="134"/>
      <c r="F1341" s="134"/>
      <c r="G1341" s="134"/>
      <c r="H1341" s="134"/>
      <c r="I1341" s="134"/>
      <c r="J1341" s="134"/>
      <c r="K1341" s="134"/>
      <c r="L1341" s="134"/>
      <c r="M1341" s="134"/>
    </row>
    <row r="1342" spans="3:13" ht="12.75">
      <c r="C1342" s="134"/>
      <c r="D1342" s="134"/>
      <c r="E1342" s="134"/>
      <c r="F1342" s="134"/>
      <c r="G1342" s="134"/>
      <c r="H1342" s="134"/>
      <c r="I1342" s="134"/>
      <c r="J1342" s="134"/>
      <c r="K1342" s="134"/>
      <c r="L1342" s="134"/>
      <c r="M1342" s="134"/>
    </row>
    <row r="1343" spans="3:13" ht="12.75">
      <c r="C1343" s="134"/>
      <c r="D1343" s="134"/>
      <c r="E1343" s="134"/>
      <c r="F1343" s="134"/>
      <c r="G1343" s="134"/>
      <c r="H1343" s="134"/>
      <c r="I1343" s="134"/>
      <c r="J1343" s="134"/>
      <c r="K1343" s="134"/>
      <c r="L1343" s="134"/>
      <c r="M1343" s="134"/>
    </row>
    <row r="1344" spans="3:13" ht="12.75">
      <c r="C1344" s="134"/>
      <c r="D1344" s="134"/>
      <c r="E1344" s="134"/>
      <c r="F1344" s="134"/>
      <c r="G1344" s="134"/>
      <c r="H1344" s="134"/>
      <c r="I1344" s="134"/>
      <c r="J1344" s="134"/>
      <c r="K1344" s="134"/>
      <c r="L1344" s="134"/>
      <c r="M1344" s="134"/>
    </row>
    <row r="1345" spans="3:13" ht="12.75">
      <c r="C1345" s="134"/>
      <c r="D1345" s="134"/>
      <c r="E1345" s="134"/>
      <c r="F1345" s="134"/>
      <c r="G1345" s="134"/>
      <c r="H1345" s="134"/>
      <c r="I1345" s="134"/>
      <c r="J1345" s="134"/>
      <c r="K1345" s="134"/>
      <c r="L1345" s="134"/>
      <c r="M1345" s="134"/>
    </row>
    <row r="1346" spans="3:13" ht="12.75">
      <c r="C1346" s="134"/>
      <c r="D1346" s="134"/>
      <c r="E1346" s="134"/>
      <c r="F1346" s="134"/>
      <c r="G1346" s="134"/>
      <c r="H1346" s="134"/>
      <c r="I1346" s="134"/>
      <c r="J1346" s="134"/>
      <c r="K1346" s="134"/>
      <c r="L1346" s="134"/>
      <c r="M1346" s="134"/>
    </row>
    <row r="1347" spans="3:13" ht="12.75">
      <c r="C1347" s="134"/>
      <c r="D1347" s="134"/>
      <c r="E1347" s="134"/>
      <c r="F1347" s="134"/>
      <c r="G1347" s="134"/>
      <c r="H1347" s="134"/>
      <c r="I1347" s="134"/>
      <c r="J1347" s="134"/>
      <c r="K1347" s="134"/>
      <c r="L1347" s="134"/>
      <c r="M1347" s="134"/>
    </row>
    <row r="1348" spans="3:13" ht="12.75">
      <c r="C1348" s="134"/>
      <c r="D1348" s="134"/>
      <c r="E1348" s="134"/>
      <c r="F1348" s="134"/>
      <c r="G1348" s="134"/>
      <c r="H1348" s="134"/>
      <c r="I1348" s="134"/>
      <c r="J1348" s="134"/>
      <c r="K1348" s="134"/>
      <c r="L1348" s="134"/>
      <c r="M1348" s="134"/>
    </row>
    <row r="1349" spans="3:13" ht="12.75">
      <c r="C1349" s="134"/>
      <c r="D1349" s="134"/>
      <c r="E1349" s="134"/>
      <c r="F1349" s="134"/>
      <c r="G1349" s="134"/>
      <c r="H1349" s="134"/>
      <c r="I1349" s="134"/>
      <c r="J1349" s="134"/>
      <c r="K1349" s="134"/>
      <c r="L1349" s="134"/>
      <c r="M1349" s="134"/>
    </row>
    <row r="1350" spans="3:13" ht="12.75">
      <c r="C1350" s="134"/>
      <c r="D1350" s="134"/>
      <c r="E1350" s="134"/>
      <c r="F1350" s="134"/>
      <c r="G1350" s="134"/>
      <c r="H1350" s="134"/>
      <c r="I1350" s="134"/>
      <c r="J1350" s="134"/>
      <c r="K1350" s="134"/>
      <c r="L1350" s="134"/>
      <c r="M1350" s="134"/>
    </row>
    <row r="1351" spans="3:13" ht="12.75">
      <c r="C1351" s="134"/>
      <c r="D1351" s="134"/>
      <c r="E1351" s="134"/>
      <c r="F1351" s="134"/>
      <c r="G1351" s="134"/>
      <c r="H1351" s="134"/>
      <c r="I1351" s="134"/>
      <c r="J1351" s="134"/>
      <c r="K1351" s="134"/>
      <c r="L1351" s="134"/>
      <c r="M1351" s="134"/>
    </row>
    <row r="1352" spans="3:13" ht="12.75">
      <c r="C1352" s="134"/>
      <c r="D1352" s="134"/>
      <c r="E1352" s="134"/>
      <c r="F1352" s="134"/>
      <c r="G1352" s="134"/>
      <c r="H1352" s="134"/>
      <c r="I1352" s="134"/>
      <c r="J1352" s="134"/>
      <c r="K1352" s="134"/>
      <c r="L1352" s="134"/>
      <c r="M1352" s="134"/>
    </row>
    <row r="1353" spans="3:13" ht="12.75">
      <c r="C1353" s="134"/>
      <c r="D1353" s="134"/>
      <c r="E1353" s="134"/>
      <c r="F1353" s="134"/>
      <c r="G1353" s="134"/>
      <c r="H1353" s="134"/>
      <c r="I1353" s="134"/>
      <c r="J1353" s="134"/>
      <c r="K1353" s="134"/>
      <c r="L1353" s="134"/>
      <c r="M1353" s="134"/>
    </row>
    <row r="1354" spans="3:13" ht="12.75">
      <c r="C1354" s="134"/>
      <c r="D1354" s="134"/>
      <c r="E1354" s="134"/>
      <c r="F1354" s="134"/>
      <c r="G1354" s="134"/>
      <c r="H1354" s="134"/>
      <c r="I1354" s="134"/>
      <c r="J1354" s="134"/>
      <c r="K1354" s="134"/>
      <c r="L1354" s="134"/>
      <c r="M1354" s="134"/>
    </row>
    <row r="1355" spans="3:13" ht="12.75">
      <c r="C1355" s="134"/>
      <c r="D1355" s="134"/>
      <c r="E1355" s="134"/>
      <c r="F1355" s="134"/>
      <c r="G1355" s="134"/>
      <c r="H1355" s="134"/>
      <c r="I1355" s="134"/>
      <c r="J1355" s="134"/>
      <c r="K1355" s="134"/>
      <c r="L1355" s="134"/>
      <c r="M1355" s="134"/>
    </row>
    <row r="1356" spans="3:13" ht="12.75">
      <c r="C1356" s="134"/>
      <c r="D1356" s="134"/>
      <c r="E1356" s="134"/>
      <c r="F1356" s="134"/>
      <c r="G1356" s="134"/>
      <c r="H1356" s="134"/>
      <c r="I1356" s="134"/>
      <c r="J1356" s="134"/>
      <c r="K1356" s="134"/>
      <c r="L1356" s="134"/>
      <c r="M1356" s="134"/>
    </row>
    <row r="1357" spans="3:13" ht="12.75">
      <c r="C1357" s="134"/>
      <c r="D1357" s="134"/>
      <c r="E1357" s="134"/>
      <c r="F1357" s="134"/>
      <c r="G1357" s="134"/>
      <c r="H1357" s="134"/>
      <c r="I1357" s="134"/>
      <c r="J1357" s="134"/>
      <c r="K1357" s="134"/>
      <c r="L1357" s="134"/>
      <c r="M1357" s="134"/>
    </row>
    <row r="1358" spans="3:13" ht="12.75">
      <c r="C1358" s="134"/>
      <c r="D1358" s="134"/>
      <c r="E1358" s="134"/>
      <c r="F1358" s="134"/>
      <c r="G1358" s="134"/>
      <c r="H1358" s="134"/>
      <c r="I1358" s="134"/>
      <c r="J1358" s="134"/>
      <c r="K1358" s="134"/>
      <c r="L1358" s="134"/>
      <c r="M1358" s="134"/>
    </row>
    <row r="1359" spans="3:13" ht="12.75">
      <c r="C1359" s="134"/>
      <c r="D1359" s="134"/>
      <c r="E1359" s="134"/>
      <c r="F1359" s="134"/>
      <c r="G1359" s="134"/>
      <c r="H1359" s="134"/>
      <c r="I1359" s="134"/>
      <c r="J1359" s="134"/>
      <c r="K1359" s="134"/>
      <c r="L1359" s="134"/>
      <c r="M1359" s="134"/>
    </row>
    <row r="1360" spans="3:13" ht="12.75">
      <c r="C1360" s="134"/>
      <c r="D1360" s="134"/>
      <c r="E1360" s="134"/>
      <c r="F1360" s="134"/>
      <c r="G1360" s="134"/>
      <c r="H1360" s="134"/>
      <c r="I1360" s="134"/>
      <c r="J1360" s="134"/>
      <c r="K1360" s="134"/>
      <c r="L1360" s="134"/>
      <c r="M1360" s="134"/>
    </row>
    <row r="1361" spans="3:13" ht="12.75">
      <c r="C1361" s="134"/>
      <c r="D1361" s="134"/>
      <c r="E1361" s="134"/>
      <c r="F1361" s="134"/>
      <c r="G1361" s="134"/>
      <c r="H1361" s="134"/>
      <c r="I1361" s="134"/>
      <c r="J1361" s="134"/>
      <c r="K1361" s="134"/>
      <c r="L1361" s="134"/>
      <c r="M1361" s="134"/>
    </row>
    <row r="1362" spans="3:13" ht="12.75">
      <c r="C1362" s="134"/>
      <c r="D1362" s="134"/>
      <c r="E1362" s="134"/>
      <c r="F1362" s="134"/>
      <c r="G1362" s="134"/>
      <c r="H1362" s="134"/>
      <c r="I1362" s="134"/>
      <c r="J1362" s="134"/>
      <c r="K1362" s="134"/>
      <c r="L1362" s="134"/>
      <c r="M1362" s="134"/>
    </row>
    <row r="1363" spans="3:13" ht="12.75">
      <c r="C1363" s="134"/>
      <c r="D1363" s="134"/>
      <c r="E1363" s="134"/>
      <c r="F1363" s="134"/>
      <c r="G1363" s="134"/>
      <c r="H1363" s="134"/>
      <c r="I1363" s="134"/>
      <c r="J1363" s="134"/>
      <c r="K1363" s="134"/>
      <c r="L1363" s="134"/>
      <c r="M1363" s="134"/>
    </row>
    <row r="1364" spans="3:13" ht="12.75">
      <c r="C1364" s="134"/>
      <c r="D1364" s="134"/>
      <c r="E1364" s="134"/>
      <c r="F1364" s="134"/>
      <c r="G1364" s="134"/>
      <c r="H1364" s="134"/>
      <c r="I1364" s="134"/>
      <c r="J1364" s="134"/>
      <c r="K1364" s="134"/>
      <c r="L1364" s="134"/>
      <c r="M1364" s="134"/>
    </row>
    <row r="1365" spans="3:13" ht="12.75">
      <c r="C1365" s="134"/>
      <c r="D1365" s="134"/>
      <c r="E1365" s="134"/>
      <c r="F1365" s="134"/>
      <c r="G1365" s="134"/>
      <c r="H1365" s="134"/>
      <c r="I1365" s="134"/>
      <c r="J1365" s="134"/>
      <c r="K1365" s="134"/>
      <c r="L1365" s="134"/>
      <c r="M1365" s="134"/>
    </row>
    <row r="1366" spans="3:13" ht="12.75">
      <c r="C1366" s="134"/>
      <c r="D1366" s="134"/>
      <c r="E1366" s="134"/>
      <c r="F1366" s="134"/>
      <c r="G1366" s="134"/>
      <c r="H1366" s="134"/>
      <c r="I1366" s="134"/>
      <c r="J1366" s="134"/>
      <c r="K1366" s="134"/>
      <c r="L1366" s="134"/>
      <c r="M1366" s="134"/>
    </row>
    <row r="1367" spans="3:13" ht="12.75">
      <c r="C1367" s="134"/>
      <c r="D1367" s="134"/>
      <c r="E1367" s="134"/>
      <c r="F1367" s="134"/>
      <c r="G1367" s="134"/>
      <c r="H1367" s="134"/>
      <c r="I1367" s="134"/>
      <c r="J1367" s="134"/>
      <c r="K1367" s="134"/>
      <c r="L1367" s="134"/>
      <c r="M1367" s="134"/>
    </row>
    <row r="1368" spans="3:13" ht="12.75">
      <c r="C1368" s="134"/>
      <c r="D1368" s="134"/>
      <c r="E1368" s="134"/>
      <c r="F1368" s="134"/>
      <c r="G1368" s="134"/>
      <c r="H1368" s="134"/>
      <c r="I1368" s="134"/>
      <c r="J1368" s="134"/>
      <c r="K1368" s="134"/>
      <c r="L1368" s="134"/>
      <c r="M1368" s="134"/>
    </row>
    <row r="1369" spans="3:13" ht="12.75">
      <c r="C1369" s="134"/>
      <c r="D1369" s="134"/>
      <c r="E1369" s="134"/>
      <c r="F1369" s="134"/>
      <c r="G1369" s="134"/>
      <c r="H1369" s="134"/>
      <c r="I1369" s="134"/>
      <c r="J1369" s="134"/>
      <c r="K1369" s="134"/>
      <c r="L1369" s="134"/>
      <c r="M1369" s="134"/>
    </row>
    <row r="1370" spans="3:13" ht="12.75">
      <c r="C1370" s="134"/>
      <c r="D1370" s="134"/>
      <c r="E1370" s="134"/>
      <c r="F1370" s="134"/>
      <c r="G1370" s="134"/>
      <c r="H1370" s="134"/>
      <c r="I1370" s="134"/>
      <c r="J1370" s="134"/>
      <c r="K1370" s="134"/>
      <c r="L1370" s="134"/>
      <c r="M1370" s="134"/>
    </row>
    <row r="1371" spans="3:13" ht="12.75">
      <c r="C1371" s="134"/>
      <c r="D1371" s="134"/>
      <c r="E1371" s="134"/>
      <c r="F1371" s="134"/>
      <c r="G1371" s="134"/>
      <c r="H1371" s="134"/>
      <c r="I1371" s="134"/>
      <c r="J1371" s="134"/>
      <c r="K1371" s="134"/>
      <c r="L1371" s="134"/>
      <c r="M1371" s="134"/>
    </row>
    <row r="1372" spans="3:13" ht="12.75">
      <c r="C1372" s="134"/>
      <c r="D1372" s="134"/>
      <c r="E1372" s="134"/>
      <c r="F1372" s="134"/>
      <c r="G1372" s="134"/>
      <c r="H1372" s="134"/>
      <c r="I1372" s="134"/>
      <c r="J1372" s="134"/>
      <c r="K1372" s="134"/>
      <c r="L1372" s="134"/>
      <c r="M1372" s="134"/>
    </row>
    <row r="1373" spans="3:13" ht="12.75">
      <c r="C1373" s="134"/>
      <c r="D1373" s="134"/>
      <c r="E1373" s="134"/>
      <c r="F1373" s="134"/>
      <c r="G1373" s="134"/>
      <c r="H1373" s="134"/>
      <c r="I1373" s="134"/>
      <c r="J1373" s="134"/>
      <c r="K1373" s="134"/>
      <c r="L1373" s="134"/>
      <c r="M1373" s="134"/>
    </row>
    <row r="1374" spans="3:13" ht="12.75">
      <c r="C1374" s="134"/>
      <c r="D1374" s="134"/>
      <c r="E1374" s="134"/>
      <c r="F1374" s="134"/>
      <c r="G1374" s="134"/>
      <c r="H1374" s="134"/>
      <c r="I1374" s="134"/>
      <c r="J1374" s="134"/>
      <c r="K1374" s="134"/>
      <c r="L1374" s="134"/>
      <c r="M1374" s="134"/>
    </row>
    <row r="1375" spans="3:13" ht="12.75">
      <c r="C1375" s="134"/>
      <c r="D1375" s="134"/>
      <c r="E1375" s="134"/>
      <c r="F1375" s="134"/>
      <c r="G1375" s="134"/>
      <c r="H1375" s="134"/>
      <c r="I1375" s="134"/>
      <c r="J1375" s="134"/>
      <c r="K1375" s="134"/>
      <c r="L1375" s="134"/>
      <c r="M1375" s="134"/>
    </row>
    <row r="1376" spans="3:13" ht="12.75">
      <c r="C1376" s="134"/>
      <c r="D1376" s="134"/>
      <c r="E1376" s="134"/>
      <c r="F1376" s="134"/>
      <c r="G1376" s="134"/>
      <c r="H1376" s="134"/>
      <c r="I1376" s="134"/>
      <c r="J1376" s="134"/>
      <c r="K1376" s="134"/>
      <c r="L1376" s="134"/>
      <c r="M1376" s="134"/>
    </row>
    <row r="1377" spans="3:13" ht="12.75">
      <c r="C1377" s="134"/>
      <c r="D1377" s="134"/>
      <c r="E1377" s="134"/>
      <c r="F1377" s="134"/>
      <c r="G1377" s="134"/>
      <c r="H1377" s="134"/>
      <c r="I1377" s="134"/>
      <c r="J1377" s="134"/>
      <c r="K1377" s="134"/>
      <c r="L1377" s="134"/>
      <c r="M1377" s="134"/>
    </row>
    <row r="1378" spans="3:13" ht="12.75">
      <c r="C1378" s="134"/>
      <c r="D1378" s="134"/>
      <c r="E1378" s="134"/>
      <c r="F1378" s="134"/>
      <c r="G1378" s="134"/>
      <c r="H1378" s="134"/>
      <c r="I1378" s="134"/>
      <c r="J1378" s="134"/>
      <c r="K1378" s="134"/>
      <c r="L1378" s="134"/>
      <c r="M1378" s="134"/>
    </row>
    <row r="1379" spans="3:13" ht="12.75">
      <c r="C1379" s="134"/>
      <c r="D1379" s="134"/>
      <c r="E1379" s="134"/>
      <c r="F1379" s="134"/>
      <c r="G1379" s="134"/>
      <c r="H1379" s="134"/>
      <c r="I1379" s="134"/>
      <c r="J1379" s="134"/>
      <c r="K1379" s="134"/>
      <c r="L1379" s="134"/>
      <c r="M1379" s="134"/>
    </row>
    <row r="1380" spans="3:13" ht="12.75">
      <c r="C1380" s="134"/>
      <c r="D1380" s="134"/>
      <c r="E1380" s="134"/>
      <c r="F1380" s="134"/>
      <c r="G1380" s="134"/>
      <c r="H1380" s="134"/>
      <c r="I1380" s="134"/>
      <c r="J1380" s="134"/>
      <c r="K1380" s="134"/>
      <c r="L1380" s="134"/>
      <c r="M1380" s="134"/>
    </row>
    <row r="1381" spans="3:13" ht="12.75">
      <c r="C1381" s="134"/>
      <c r="D1381" s="134"/>
      <c r="E1381" s="134"/>
      <c r="F1381" s="134"/>
      <c r="G1381" s="134"/>
      <c r="H1381" s="134"/>
      <c r="I1381" s="134"/>
      <c r="J1381" s="134"/>
      <c r="K1381" s="134"/>
      <c r="L1381" s="134"/>
      <c r="M1381" s="134"/>
    </row>
    <row r="1382" spans="3:13" ht="12.75">
      <c r="C1382" s="134"/>
      <c r="D1382" s="134"/>
      <c r="E1382" s="134"/>
      <c r="F1382" s="134"/>
      <c r="G1382" s="134"/>
      <c r="H1382" s="134"/>
      <c r="I1382" s="134"/>
      <c r="J1382" s="134"/>
      <c r="K1382" s="134"/>
      <c r="L1382" s="134"/>
      <c r="M1382" s="134"/>
    </row>
    <row r="1383" spans="3:13" ht="12.75">
      <c r="C1383" s="134"/>
      <c r="D1383" s="134"/>
      <c r="E1383" s="134"/>
      <c r="F1383" s="134"/>
      <c r="G1383" s="134"/>
      <c r="H1383" s="134"/>
      <c r="I1383" s="134"/>
      <c r="J1383" s="134"/>
      <c r="K1383" s="134"/>
      <c r="L1383" s="134"/>
      <c r="M1383" s="134"/>
    </row>
    <row r="1384" spans="3:13" ht="12.75">
      <c r="C1384" s="134"/>
      <c r="D1384" s="134"/>
      <c r="E1384" s="134"/>
      <c r="F1384" s="134"/>
      <c r="G1384" s="134"/>
      <c r="H1384" s="134"/>
      <c r="I1384" s="134"/>
      <c r="J1384" s="134"/>
      <c r="K1384" s="134"/>
      <c r="L1384" s="134"/>
      <c r="M1384" s="134"/>
    </row>
    <row r="1385" spans="3:13" ht="12.75">
      <c r="C1385" s="134"/>
      <c r="D1385" s="134"/>
      <c r="E1385" s="134"/>
      <c r="F1385" s="134"/>
      <c r="G1385" s="134"/>
      <c r="H1385" s="134"/>
      <c r="I1385" s="134"/>
      <c r="J1385" s="134"/>
      <c r="K1385" s="134"/>
      <c r="L1385" s="134"/>
      <c r="M1385" s="134"/>
    </row>
    <row r="1386" spans="3:13" ht="12.75">
      <c r="C1386" s="134"/>
      <c r="D1386" s="134"/>
      <c r="E1386" s="134"/>
      <c r="F1386" s="134"/>
      <c r="G1386" s="134"/>
      <c r="H1386" s="134"/>
      <c r="I1386" s="134"/>
      <c r="J1386" s="134"/>
      <c r="K1386" s="134"/>
      <c r="L1386" s="134"/>
      <c r="M1386" s="134"/>
    </row>
    <row r="1387" spans="3:13" ht="12.75">
      <c r="C1387" s="134"/>
      <c r="D1387" s="134"/>
      <c r="E1387" s="134"/>
      <c r="F1387" s="134"/>
      <c r="G1387" s="134"/>
      <c r="H1387" s="134"/>
      <c r="I1387" s="134"/>
      <c r="J1387" s="134"/>
      <c r="K1387" s="134"/>
      <c r="L1387" s="134"/>
      <c r="M1387" s="134"/>
    </row>
    <row r="1388" spans="3:13" ht="12.75">
      <c r="C1388" s="134"/>
      <c r="D1388" s="134"/>
      <c r="E1388" s="134"/>
      <c r="F1388" s="134"/>
      <c r="G1388" s="134"/>
      <c r="H1388" s="134"/>
      <c r="I1388" s="134"/>
      <c r="J1388" s="134"/>
      <c r="K1388" s="134"/>
      <c r="L1388" s="134"/>
      <c r="M1388" s="134"/>
    </row>
    <row r="1389" spans="3:13" ht="12.75">
      <c r="C1389" s="134"/>
      <c r="D1389" s="134"/>
      <c r="E1389" s="134"/>
      <c r="F1389" s="134"/>
      <c r="G1389" s="134"/>
      <c r="H1389" s="134"/>
      <c r="I1389" s="134"/>
      <c r="J1389" s="134"/>
      <c r="K1389" s="134"/>
      <c r="L1389" s="134"/>
      <c r="M1389" s="134"/>
    </row>
    <row r="1390" spans="3:13" ht="12.75">
      <c r="C1390" s="134"/>
      <c r="D1390" s="134"/>
      <c r="E1390" s="134"/>
      <c r="F1390" s="134"/>
      <c r="G1390" s="134"/>
      <c r="H1390" s="134"/>
      <c r="I1390" s="134"/>
      <c r="J1390" s="134"/>
      <c r="K1390" s="134"/>
      <c r="L1390" s="134"/>
      <c r="M1390" s="134"/>
    </row>
    <row r="1391" spans="3:13" ht="12.75">
      <c r="C1391" s="134"/>
      <c r="D1391" s="134"/>
      <c r="E1391" s="134"/>
      <c r="F1391" s="134"/>
      <c r="G1391" s="134"/>
      <c r="H1391" s="134"/>
      <c r="I1391" s="134"/>
      <c r="J1391" s="134"/>
      <c r="K1391" s="134"/>
      <c r="L1391" s="134"/>
      <c r="M1391" s="134"/>
    </row>
    <row r="1392" spans="3:13" ht="12.75">
      <c r="C1392" s="134"/>
      <c r="D1392" s="134"/>
      <c r="E1392" s="134"/>
      <c r="F1392" s="134"/>
      <c r="G1392" s="134"/>
      <c r="H1392" s="134"/>
      <c r="I1392" s="134"/>
      <c r="J1392" s="134"/>
      <c r="K1392" s="134"/>
      <c r="L1392" s="134"/>
      <c r="M1392" s="134"/>
    </row>
    <row r="1393" spans="3:13" ht="12.75">
      <c r="C1393" s="134"/>
      <c r="D1393" s="134"/>
      <c r="E1393" s="134"/>
      <c r="F1393" s="134"/>
      <c r="G1393" s="134"/>
      <c r="H1393" s="134"/>
      <c r="I1393" s="134"/>
      <c r="J1393" s="134"/>
      <c r="K1393" s="134"/>
      <c r="L1393" s="134"/>
      <c r="M1393" s="134"/>
    </row>
    <row r="1394" spans="3:13" ht="12.75">
      <c r="C1394" s="134"/>
      <c r="D1394" s="134"/>
      <c r="E1394" s="134"/>
      <c r="F1394" s="134"/>
      <c r="G1394" s="134"/>
      <c r="H1394" s="134"/>
      <c r="I1394" s="134"/>
      <c r="J1394" s="134"/>
      <c r="K1394" s="134"/>
      <c r="L1394" s="134"/>
      <c r="M1394" s="134"/>
    </row>
    <row r="1395" spans="3:13" ht="12.75">
      <c r="C1395" s="134"/>
      <c r="D1395" s="134"/>
      <c r="E1395" s="134"/>
      <c r="F1395" s="134"/>
      <c r="G1395" s="134"/>
      <c r="H1395" s="134"/>
      <c r="I1395" s="134"/>
      <c r="J1395" s="134"/>
      <c r="K1395" s="134"/>
      <c r="L1395" s="134"/>
      <c r="M1395" s="134"/>
    </row>
    <row r="1396" spans="3:13" ht="12.75">
      <c r="C1396" s="134"/>
      <c r="D1396" s="134"/>
      <c r="E1396" s="134"/>
      <c r="F1396" s="134"/>
      <c r="G1396" s="134"/>
      <c r="H1396" s="134"/>
      <c r="I1396" s="134"/>
      <c r="J1396" s="134"/>
      <c r="K1396" s="134"/>
      <c r="L1396" s="134"/>
      <c r="M1396" s="134"/>
    </row>
    <row r="1397" spans="3:13" ht="12.75">
      <c r="C1397" s="134"/>
      <c r="D1397" s="134"/>
      <c r="E1397" s="134"/>
      <c r="F1397" s="134"/>
      <c r="G1397" s="134"/>
      <c r="H1397" s="134"/>
      <c r="I1397" s="134"/>
      <c r="J1397" s="134"/>
      <c r="K1397" s="134"/>
      <c r="L1397" s="134"/>
      <c r="M1397" s="134"/>
    </row>
    <row r="1398" spans="3:13" ht="12.75">
      <c r="C1398" s="134"/>
      <c r="D1398" s="134"/>
      <c r="E1398" s="134"/>
      <c r="F1398" s="134"/>
      <c r="G1398" s="134"/>
      <c r="H1398" s="134"/>
      <c r="I1398" s="134"/>
      <c r="J1398" s="134"/>
      <c r="K1398" s="134"/>
      <c r="L1398" s="134"/>
      <c r="M1398" s="134"/>
    </row>
    <row r="1399" spans="3:13" ht="12.75">
      <c r="C1399" s="134"/>
      <c r="D1399" s="134"/>
      <c r="E1399" s="134"/>
      <c r="F1399" s="134"/>
      <c r="G1399" s="134"/>
      <c r="H1399" s="134"/>
      <c r="I1399" s="134"/>
      <c r="J1399" s="134"/>
      <c r="K1399" s="134"/>
      <c r="L1399" s="134"/>
      <c r="M1399" s="134"/>
    </row>
    <row r="1400" spans="3:13" ht="12.75">
      <c r="C1400" s="134"/>
      <c r="D1400" s="134"/>
      <c r="E1400" s="134"/>
      <c r="F1400" s="134"/>
      <c r="G1400" s="134"/>
      <c r="H1400" s="134"/>
      <c r="I1400" s="134"/>
      <c r="J1400" s="134"/>
      <c r="K1400" s="134"/>
      <c r="L1400" s="134"/>
      <c r="M1400" s="134"/>
    </row>
    <row r="1401" spans="3:13" ht="12.75">
      <c r="C1401" s="134"/>
      <c r="D1401" s="134"/>
      <c r="E1401" s="134"/>
      <c r="F1401" s="134"/>
      <c r="G1401" s="134"/>
      <c r="H1401" s="134"/>
      <c r="I1401" s="134"/>
      <c r="J1401" s="134"/>
      <c r="K1401" s="134"/>
      <c r="L1401" s="134"/>
      <c r="M1401" s="134"/>
    </row>
    <row r="1402" spans="3:13" ht="12.75">
      <c r="C1402" s="134"/>
      <c r="D1402" s="134"/>
      <c r="E1402" s="134"/>
      <c r="F1402" s="134"/>
      <c r="G1402" s="134"/>
      <c r="H1402" s="134"/>
      <c r="I1402" s="134"/>
      <c r="J1402" s="134"/>
      <c r="K1402" s="134"/>
      <c r="L1402" s="134"/>
      <c r="M1402" s="134"/>
    </row>
    <row r="1403" spans="3:13" ht="12.75">
      <c r="C1403" s="134"/>
      <c r="D1403" s="134"/>
      <c r="E1403" s="134"/>
      <c r="F1403" s="134"/>
      <c r="G1403" s="134"/>
      <c r="H1403" s="134"/>
      <c r="I1403" s="134"/>
      <c r="J1403" s="134"/>
      <c r="K1403" s="134"/>
      <c r="L1403" s="134"/>
      <c r="M1403" s="134"/>
    </row>
    <row r="1404" spans="3:13" ht="12.75">
      <c r="C1404" s="134"/>
      <c r="D1404" s="134"/>
      <c r="E1404" s="134"/>
      <c r="F1404" s="134"/>
      <c r="G1404" s="134"/>
      <c r="H1404" s="134"/>
      <c r="I1404" s="134"/>
      <c r="J1404" s="134"/>
      <c r="K1404" s="134"/>
      <c r="L1404" s="134"/>
      <c r="M1404" s="134"/>
    </row>
    <row r="1405" spans="3:13" ht="12.75">
      <c r="C1405" s="134"/>
      <c r="D1405" s="134"/>
      <c r="E1405" s="134"/>
      <c r="F1405" s="134"/>
      <c r="G1405" s="134"/>
      <c r="H1405" s="134"/>
      <c r="I1405" s="134"/>
      <c r="J1405" s="134"/>
      <c r="K1405" s="134"/>
      <c r="L1405" s="134"/>
      <c r="M1405" s="134"/>
    </row>
    <row r="1406" spans="3:13" ht="12.75">
      <c r="C1406" s="134"/>
      <c r="D1406" s="134"/>
      <c r="E1406" s="134"/>
      <c r="F1406" s="134"/>
      <c r="G1406" s="134"/>
      <c r="H1406" s="134"/>
      <c r="I1406" s="134"/>
      <c r="J1406" s="134"/>
      <c r="K1406" s="134"/>
      <c r="L1406" s="134"/>
      <c r="M1406" s="134"/>
    </row>
    <row r="1407" spans="3:13" ht="12.75">
      <c r="C1407" s="134"/>
      <c r="D1407" s="134"/>
      <c r="E1407" s="134"/>
      <c r="F1407" s="134"/>
      <c r="G1407" s="134"/>
      <c r="H1407" s="134"/>
      <c r="I1407" s="134"/>
      <c r="J1407" s="134"/>
      <c r="K1407" s="134"/>
      <c r="L1407" s="134"/>
      <c r="M1407" s="134"/>
    </row>
    <row r="1408" spans="3:13" ht="12.75">
      <c r="C1408" s="134"/>
      <c r="D1408" s="134"/>
      <c r="E1408" s="134"/>
      <c r="F1408" s="134"/>
      <c r="G1408" s="134"/>
      <c r="H1408" s="134"/>
      <c r="I1408" s="134"/>
      <c r="J1408" s="134"/>
      <c r="K1408" s="134"/>
      <c r="L1408" s="134"/>
      <c r="M1408" s="134"/>
    </row>
    <row r="1409" spans="3:13" ht="12.75">
      <c r="C1409" s="134"/>
      <c r="D1409" s="134"/>
      <c r="E1409" s="134"/>
      <c r="F1409" s="134"/>
      <c r="G1409" s="134"/>
      <c r="H1409" s="134"/>
      <c r="I1409" s="134"/>
      <c r="J1409" s="134"/>
      <c r="K1409" s="134"/>
      <c r="L1409" s="134"/>
      <c r="M1409" s="134"/>
    </row>
    <row r="1410" spans="3:13" ht="12.75">
      <c r="C1410" s="134"/>
      <c r="D1410" s="134"/>
      <c r="E1410" s="134"/>
      <c r="F1410" s="134"/>
      <c r="G1410" s="134"/>
      <c r="H1410" s="134"/>
      <c r="I1410" s="134"/>
      <c r="J1410" s="134"/>
      <c r="K1410" s="134"/>
      <c r="L1410" s="134"/>
      <c r="M1410" s="134"/>
    </row>
    <row r="1411" spans="3:13" ht="12.75">
      <c r="C1411" s="134"/>
      <c r="D1411" s="134"/>
      <c r="E1411" s="134"/>
      <c r="F1411" s="134"/>
      <c r="G1411" s="134"/>
      <c r="H1411" s="134"/>
      <c r="I1411" s="134"/>
      <c r="J1411" s="134"/>
      <c r="K1411" s="134"/>
      <c r="L1411" s="134"/>
      <c r="M1411" s="134"/>
    </row>
    <row r="1412" spans="3:13" ht="12.75">
      <c r="C1412" s="134"/>
      <c r="D1412" s="134"/>
      <c r="E1412" s="134"/>
      <c r="F1412" s="134"/>
      <c r="G1412" s="134"/>
      <c r="H1412" s="134"/>
      <c r="I1412" s="134"/>
      <c r="J1412" s="134"/>
      <c r="K1412" s="134"/>
      <c r="L1412" s="134"/>
      <c r="M1412" s="134"/>
    </row>
    <row r="1413" spans="3:13" ht="12.75">
      <c r="C1413" s="134"/>
      <c r="D1413" s="134"/>
      <c r="E1413" s="134"/>
      <c r="F1413" s="134"/>
      <c r="G1413" s="134"/>
      <c r="H1413" s="134"/>
      <c r="I1413" s="134"/>
      <c r="J1413" s="134"/>
      <c r="K1413" s="134"/>
      <c r="L1413" s="134"/>
      <c r="M1413" s="134"/>
    </row>
    <row r="1414" spans="3:13" ht="12.75">
      <c r="C1414" s="134"/>
      <c r="D1414" s="134"/>
      <c r="E1414" s="134"/>
      <c r="F1414" s="134"/>
      <c r="G1414" s="134"/>
      <c r="H1414" s="134"/>
      <c r="I1414" s="134"/>
      <c r="J1414" s="134"/>
      <c r="K1414" s="134"/>
      <c r="L1414" s="134"/>
      <c r="M1414" s="134"/>
    </row>
    <row r="1415" spans="3:13" ht="12.75">
      <c r="C1415" s="134"/>
      <c r="D1415" s="134"/>
      <c r="E1415" s="134"/>
      <c r="F1415" s="134"/>
      <c r="G1415" s="134"/>
      <c r="H1415" s="134"/>
      <c r="I1415" s="134"/>
      <c r="J1415" s="134"/>
      <c r="K1415" s="134"/>
      <c r="L1415" s="134"/>
      <c r="M1415" s="134"/>
    </row>
    <row r="1416" spans="3:13" ht="12.75">
      <c r="C1416" s="134"/>
      <c r="D1416" s="134"/>
      <c r="E1416" s="134"/>
      <c r="F1416" s="134"/>
      <c r="G1416" s="134"/>
      <c r="H1416" s="134"/>
      <c r="I1416" s="134"/>
      <c r="J1416" s="134"/>
      <c r="K1416" s="134"/>
      <c r="L1416" s="134"/>
      <c r="M1416" s="134"/>
    </row>
    <row r="1417" spans="3:13" ht="12.75">
      <c r="C1417" s="134"/>
      <c r="D1417" s="134"/>
      <c r="E1417" s="134"/>
      <c r="F1417" s="134"/>
      <c r="G1417" s="134"/>
      <c r="H1417" s="134"/>
      <c r="I1417" s="134"/>
      <c r="J1417" s="134"/>
      <c r="K1417" s="134"/>
      <c r="L1417" s="134"/>
      <c r="M1417" s="134"/>
    </row>
    <row r="1418" spans="3:13" ht="12.75">
      <c r="C1418" s="134"/>
      <c r="D1418" s="134"/>
      <c r="E1418" s="134"/>
      <c r="F1418" s="134"/>
      <c r="G1418" s="134"/>
      <c r="H1418" s="134"/>
      <c r="I1418" s="134"/>
      <c r="J1418" s="134"/>
      <c r="K1418" s="134"/>
      <c r="L1418" s="134"/>
      <c r="M1418" s="134"/>
    </row>
    <row r="1419" spans="3:13" ht="12.75">
      <c r="C1419" s="134"/>
      <c r="D1419" s="134"/>
      <c r="E1419" s="134"/>
      <c r="F1419" s="134"/>
      <c r="G1419" s="134"/>
      <c r="H1419" s="134"/>
      <c r="I1419" s="134"/>
      <c r="J1419" s="134"/>
      <c r="K1419" s="134"/>
      <c r="L1419" s="134"/>
      <c r="M1419" s="134"/>
    </row>
    <row r="1420" spans="3:13" ht="12.75">
      <c r="C1420" s="134"/>
      <c r="D1420" s="134"/>
      <c r="E1420" s="134"/>
      <c r="F1420" s="134"/>
      <c r="G1420" s="134"/>
      <c r="H1420" s="134"/>
      <c r="I1420" s="134"/>
      <c r="J1420" s="134"/>
      <c r="K1420" s="134"/>
      <c r="L1420" s="134"/>
      <c r="M1420" s="134"/>
    </row>
    <row r="1421" spans="3:13" ht="12.75">
      <c r="C1421" s="134"/>
      <c r="D1421" s="134"/>
      <c r="E1421" s="134"/>
      <c r="F1421" s="134"/>
      <c r="G1421" s="134"/>
      <c r="H1421" s="134"/>
      <c r="I1421" s="134"/>
      <c r="J1421" s="134"/>
      <c r="K1421" s="134"/>
      <c r="L1421" s="134"/>
      <c r="M1421" s="134"/>
    </row>
    <row r="1422" spans="3:13" ht="12.75">
      <c r="C1422" s="134"/>
      <c r="D1422" s="134"/>
      <c r="E1422" s="134"/>
      <c r="F1422" s="134"/>
      <c r="G1422" s="134"/>
      <c r="H1422" s="134"/>
      <c r="I1422" s="134"/>
      <c r="J1422" s="134"/>
      <c r="K1422" s="134"/>
      <c r="L1422" s="134"/>
      <c r="M1422" s="134"/>
    </row>
    <row r="1423" spans="3:13" ht="12.75">
      <c r="C1423" s="134"/>
      <c r="D1423" s="134"/>
      <c r="E1423" s="134"/>
      <c r="F1423" s="134"/>
      <c r="G1423" s="134"/>
      <c r="H1423" s="134"/>
      <c r="I1423" s="134"/>
      <c r="J1423" s="134"/>
      <c r="K1423" s="134"/>
      <c r="L1423" s="134"/>
      <c r="M1423" s="134"/>
    </row>
    <row r="1424" spans="3:13" ht="12.75">
      <c r="C1424" s="134"/>
      <c r="D1424" s="134"/>
      <c r="E1424" s="134"/>
      <c r="F1424" s="134"/>
      <c r="G1424" s="134"/>
      <c r="H1424" s="134"/>
      <c r="I1424" s="134"/>
      <c r="J1424" s="134"/>
      <c r="K1424" s="134"/>
      <c r="L1424" s="134"/>
      <c r="M1424" s="134"/>
    </row>
    <row r="1425" spans="3:13" ht="12.75">
      <c r="C1425" s="134"/>
      <c r="D1425" s="134"/>
      <c r="E1425" s="134"/>
      <c r="F1425" s="134"/>
      <c r="G1425" s="134"/>
      <c r="H1425" s="134"/>
      <c r="I1425" s="134"/>
      <c r="J1425" s="134"/>
      <c r="K1425" s="134"/>
      <c r="L1425" s="134"/>
      <c r="M1425" s="134"/>
    </row>
    <row r="1426" spans="3:13" ht="12.75">
      <c r="C1426" s="134"/>
      <c r="D1426" s="134"/>
      <c r="E1426" s="134"/>
      <c r="F1426" s="134"/>
      <c r="G1426" s="134"/>
      <c r="H1426" s="134"/>
      <c r="I1426" s="134"/>
      <c r="J1426" s="134"/>
      <c r="K1426" s="134"/>
      <c r="L1426" s="134"/>
      <c r="M1426" s="134"/>
    </row>
    <row r="1427" spans="3:13" ht="12.75">
      <c r="C1427" s="134"/>
      <c r="D1427" s="134"/>
      <c r="E1427" s="134"/>
      <c r="F1427" s="134"/>
      <c r="G1427" s="134"/>
      <c r="H1427" s="134"/>
      <c r="I1427" s="134"/>
      <c r="J1427" s="134"/>
      <c r="K1427" s="134"/>
      <c r="L1427" s="134"/>
      <c r="M1427" s="134"/>
    </row>
    <row r="1428" spans="3:13" ht="12.75">
      <c r="C1428" s="134"/>
      <c r="D1428" s="134"/>
      <c r="E1428" s="134"/>
      <c r="F1428" s="134"/>
      <c r="G1428" s="134"/>
      <c r="H1428" s="134"/>
      <c r="I1428" s="134"/>
      <c r="J1428" s="134"/>
      <c r="K1428" s="134"/>
      <c r="L1428" s="134"/>
      <c r="M1428" s="134"/>
    </row>
    <row r="1429" spans="3:13" ht="12.75">
      <c r="C1429" s="134"/>
      <c r="D1429" s="134"/>
      <c r="E1429" s="134"/>
      <c r="F1429" s="134"/>
      <c r="G1429" s="134"/>
      <c r="H1429" s="134"/>
      <c r="I1429" s="134"/>
      <c r="J1429" s="134"/>
      <c r="K1429" s="134"/>
      <c r="L1429" s="134"/>
      <c r="M1429" s="134"/>
    </row>
    <row r="1430" spans="3:13" ht="12.75">
      <c r="C1430" s="134"/>
      <c r="D1430" s="134"/>
      <c r="E1430" s="134"/>
      <c r="F1430" s="134"/>
      <c r="G1430" s="134"/>
      <c r="H1430" s="134"/>
      <c r="I1430" s="134"/>
      <c r="J1430" s="134"/>
      <c r="K1430" s="134"/>
      <c r="L1430" s="134"/>
      <c r="M1430" s="134"/>
    </row>
    <row r="1431" spans="3:13" ht="12.75">
      <c r="C1431" s="134"/>
      <c r="D1431" s="134"/>
      <c r="E1431" s="134"/>
      <c r="F1431" s="134"/>
      <c r="G1431" s="134"/>
      <c r="H1431" s="134"/>
      <c r="I1431" s="134"/>
      <c r="J1431" s="134"/>
      <c r="K1431" s="134"/>
      <c r="L1431" s="134"/>
      <c r="M1431" s="134"/>
    </row>
    <row r="1432" spans="3:13" ht="12.75">
      <c r="C1432" s="134"/>
      <c r="D1432" s="134"/>
      <c r="E1432" s="134"/>
      <c r="F1432" s="134"/>
      <c r="G1432" s="134"/>
      <c r="H1432" s="134"/>
      <c r="I1432" s="134"/>
      <c r="J1432" s="134"/>
      <c r="K1432" s="134"/>
      <c r="L1432" s="134"/>
      <c r="M1432" s="134"/>
    </row>
    <row r="1433" spans="3:13" ht="12.75">
      <c r="C1433" s="134"/>
      <c r="D1433" s="134"/>
      <c r="E1433" s="134"/>
      <c r="F1433" s="134"/>
      <c r="G1433" s="134"/>
      <c r="H1433" s="134"/>
      <c r="I1433" s="134"/>
      <c r="J1433" s="134"/>
      <c r="K1433" s="134"/>
      <c r="L1433" s="134"/>
      <c r="M1433" s="134"/>
    </row>
    <row r="1434" spans="3:13" ht="12.75">
      <c r="C1434" s="134"/>
      <c r="D1434" s="134"/>
      <c r="E1434" s="134"/>
      <c r="F1434" s="134"/>
      <c r="G1434" s="134"/>
      <c r="H1434" s="134"/>
      <c r="I1434" s="134"/>
      <c r="J1434" s="134"/>
      <c r="K1434" s="134"/>
      <c r="L1434" s="134"/>
      <c r="M1434" s="134"/>
    </row>
    <row r="1435" spans="3:13" ht="12.75">
      <c r="C1435" s="134"/>
      <c r="D1435" s="134"/>
      <c r="E1435" s="134"/>
      <c r="F1435" s="134"/>
      <c r="G1435" s="134"/>
      <c r="H1435" s="134"/>
      <c r="I1435" s="134"/>
      <c r="J1435" s="134"/>
      <c r="K1435" s="134"/>
      <c r="L1435" s="134"/>
      <c r="M1435" s="134"/>
    </row>
    <row r="1436" spans="3:13" ht="12.75">
      <c r="C1436" s="134"/>
      <c r="D1436" s="134"/>
      <c r="E1436" s="134"/>
      <c r="F1436" s="134"/>
      <c r="G1436" s="134"/>
      <c r="H1436" s="134"/>
      <c r="I1436" s="134"/>
      <c r="J1436" s="134"/>
      <c r="K1436" s="134"/>
      <c r="L1436" s="134"/>
      <c r="M1436" s="134"/>
    </row>
    <row r="1437" spans="3:13" ht="12.75">
      <c r="C1437" s="134"/>
      <c r="D1437" s="134"/>
      <c r="E1437" s="134"/>
      <c r="F1437" s="134"/>
      <c r="G1437" s="134"/>
      <c r="H1437" s="134"/>
      <c r="I1437" s="134"/>
      <c r="J1437" s="134"/>
      <c r="K1437" s="134"/>
      <c r="L1437" s="134"/>
      <c r="M1437" s="134"/>
    </row>
    <row r="1438" spans="3:13" ht="12.75">
      <c r="C1438" s="134"/>
      <c r="D1438" s="134"/>
      <c r="E1438" s="134"/>
      <c r="F1438" s="134"/>
      <c r="G1438" s="134"/>
      <c r="H1438" s="134"/>
      <c r="I1438" s="134"/>
      <c r="J1438" s="134"/>
      <c r="K1438" s="134"/>
      <c r="L1438" s="134"/>
      <c r="M1438" s="134"/>
    </row>
    <row r="1439" spans="3:13" ht="12.75">
      <c r="C1439" s="134"/>
      <c r="D1439" s="134"/>
      <c r="E1439" s="134"/>
      <c r="F1439" s="134"/>
      <c r="G1439" s="134"/>
      <c r="H1439" s="134"/>
      <c r="I1439" s="134"/>
      <c r="J1439" s="134"/>
      <c r="K1439" s="134"/>
      <c r="L1439" s="134"/>
      <c r="M1439" s="134"/>
    </row>
    <row r="1440" spans="3:13" ht="12.75">
      <c r="C1440" s="134"/>
      <c r="D1440" s="134"/>
      <c r="E1440" s="134"/>
      <c r="F1440" s="134"/>
      <c r="G1440" s="134"/>
      <c r="H1440" s="134"/>
      <c r="I1440" s="134"/>
      <c r="J1440" s="134"/>
      <c r="K1440" s="134"/>
      <c r="L1440" s="134"/>
      <c r="M1440" s="134"/>
    </row>
    <row r="1441" spans="3:13" ht="12.75">
      <c r="C1441" s="134"/>
      <c r="D1441" s="134"/>
      <c r="E1441" s="134"/>
      <c r="F1441" s="134"/>
      <c r="G1441" s="134"/>
      <c r="H1441" s="134"/>
      <c r="I1441" s="134"/>
      <c r="J1441" s="134"/>
      <c r="K1441" s="134"/>
      <c r="L1441" s="134"/>
      <c r="M1441" s="134"/>
    </row>
    <row r="1442" spans="3:13" ht="12.75">
      <c r="C1442" s="134"/>
      <c r="D1442" s="134"/>
      <c r="E1442" s="134"/>
      <c r="F1442" s="134"/>
      <c r="G1442" s="134"/>
      <c r="H1442" s="134"/>
      <c r="I1442" s="134"/>
      <c r="J1442" s="134"/>
      <c r="K1442" s="134"/>
      <c r="L1442" s="134"/>
      <c r="M1442" s="134"/>
    </row>
    <row r="1443" spans="3:13" ht="12.75">
      <c r="C1443" s="134"/>
      <c r="D1443" s="134"/>
      <c r="E1443" s="134"/>
      <c r="F1443" s="134"/>
      <c r="G1443" s="134"/>
      <c r="H1443" s="134"/>
      <c r="I1443" s="134"/>
      <c r="J1443" s="134"/>
      <c r="K1443" s="134"/>
      <c r="L1443" s="134"/>
      <c r="M1443" s="134"/>
    </row>
    <row r="1444" spans="3:13" ht="12.75">
      <c r="C1444" s="134"/>
      <c r="D1444" s="134"/>
      <c r="E1444" s="134"/>
      <c r="F1444" s="134"/>
      <c r="G1444" s="134"/>
      <c r="H1444" s="134"/>
      <c r="I1444" s="134"/>
      <c r="J1444" s="134"/>
      <c r="K1444" s="134"/>
      <c r="L1444" s="134"/>
      <c r="M1444" s="134"/>
    </row>
    <row r="1445" spans="3:13" ht="12.75">
      <c r="C1445" s="134"/>
      <c r="D1445" s="134"/>
      <c r="E1445" s="134"/>
      <c r="F1445" s="134"/>
      <c r="G1445" s="134"/>
      <c r="H1445" s="134"/>
      <c r="I1445" s="134"/>
      <c r="J1445" s="134"/>
      <c r="K1445" s="134"/>
      <c r="L1445" s="134"/>
      <c r="M1445" s="134"/>
    </row>
    <row r="1446" spans="3:13" ht="12.75">
      <c r="C1446" s="134"/>
      <c r="D1446" s="134"/>
      <c r="E1446" s="134"/>
      <c r="F1446" s="134"/>
      <c r="G1446" s="134"/>
      <c r="H1446" s="134"/>
      <c r="I1446" s="134"/>
      <c r="J1446" s="134"/>
      <c r="K1446" s="134"/>
      <c r="L1446" s="134"/>
      <c r="M1446" s="134"/>
    </row>
    <row r="1447" spans="3:13" ht="12.75">
      <c r="C1447" s="134"/>
      <c r="D1447" s="134"/>
      <c r="E1447" s="134"/>
      <c r="F1447" s="134"/>
      <c r="G1447" s="134"/>
      <c r="H1447" s="134"/>
      <c r="I1447" s="134"/>
      <c r="J1447" s="134"/>
      <c r="K1447" s="134"/>
      <c r="L1447" s="134"/>
      <c r="M1447" s="134"/>
    </row>
    <row r="1448" spans="3:13" ht="12.75">
      <c r="C1448" s="134"/>
      <c r="D1448" s="134"/>
      <c r="E1448" s="134"/>
      <c r="F1448" s="134"/>
      <c r="G1448" s="134"/>
      <c r="H1448" s="134"/>
      <c r="I1448" s="134"/>
      <c r="J1448" s="134"/>
      <c r="K1448" s="134"/>
      <c r="L1448" s="134"/>
      <c r="M1448" s="134"/>
    </row>
    <row r="1449" spans="3:13" ht="12.75">
      <c r="C1449" s="134"/>
      <c r="D1449" s="134"/>
      <c r="E1449" s="134"/>
      <c r="F1449" s="134"/>
      <c r="G1449" s="134"/>
      <c r="H1449" s="134"/>
      <c r="I1449" s="134"/>
      <c r="J1449" s="134"/>
      <c r="K1449" s="134"/>
      <c r="L1449" s="134"/>
      <c r="M1449" s="134"/>
    </row>
    <row r="1450" spans="3:13" ht="12.75">
      <c r="C1450" s="134"/>
      <c r="D1450" s="134"/>
      <c r="E1450" s="134"/>
      <c r="F1450" s="134"/>
      <c r="G1450" s="134"/>
      <c r="H1450" s="134"/>
      <c r="I1450" s="134"/>
      <c r="J1450" s="134"/>
      <c r="K1450" s="134"/>
      <c r="L1450" s="134"/>
      <c r="M1450" s="134"/>
    </row>
    <row r="1451" spans="3:13" ht="12.75">
      <c r="C1451" s="134"/>
      <c r="D1451" s="134"/>
      <c r="E1451" s="134"/>
      <c r="F1451" s="134"/>
      <c r="G1451" s="134"/>
      <c r="H1451" s="134"/>
      <c r="I1451" s="134"/>
      <c r="J1451" s="134"/>
      <c r="K1451" s="134"/>
      <c r="L1451" s="134"/>
      <c r="M1451" s="134"/>
    </row>
    <row r="1452" spans="3:13" ht="12.75">
      <c r="C1452" s="134"/>
      <c r="D1452" s="134"/>
      <c r="E1452" s="134"/>
      <c r="F1452" s="134"/>
      <c r="G1452" s="134"/>
      <c r="H1452" s="134"/>
      <c r="I1452" s="134"/>
      <c r="J1452" s="134"/>
      <c r="K1452" s="134"/>
      <c r="L1452" s="134"/>
      <c r="M1452" s="134"/>
    </row>
    <row r="1453" spans="3:13" ht="12.75">
      <c r="C1453" s="134"/>
      <c r="D1453" s="134"/>
      <c r="E1453" s="134"/>
      <c r="F1453" s="134"/>
      <c r="G1453" s="134"/>
      <c r="H1453" s="134"/>
      <c r="I1453" s="134"/>
      <c r="J1453" s="134"/>
      <c r="K1453" s="134"/>
      <c r="L1453" s="134"/>
      <c r="M1453" s="134"/>
    </row>
    <row r="1454" spans="3:13" ht="12.75">
      <c r="C1454" s="134"/>
      <c r="D1454" s="134"/>
      <c r="E1454" s="134"/>
      <c r="F1454" s="134"/>
      <c r="G1454" s="134"/>
      <c r="H1454" s="134"/>
      <c r="I1454" s="134"/>
      <c r="J1454" s="134"/>
      <c r="K1454" s="134"/>
      <c r="L1454" s="134"/>
      <c r="M1454" s="134"/>
    </row>
    <row r="1455" spans="3:13" ht="12.75">
      <c r="C1455" s="134"/>
      <c r="D1455" s="134"/>
      <c r="E1455" s="134"/>
      <c r="F1455" s="134"/>
      <c r="G1455" s="134"/>
      <c r="H1455" s="134"/>
      <c r="I1455" s="134"/>
      <c r="J1455" s="134"/>
      <c r="K1455" s="134"/>
      <c r="L1455" s="134"/>
      <c r="M1455" s="134"/>
    </row>
    <row r="1456" spans="3:13" ht="12.75">
      <c r="C1456" s="134"/>
      <c r="D1456" s="134"/>
      <c r="E1456" s="134"/>
      <c r="F1456" s="134"/>
      <c r="G1456" s="134"/>
      <c r="H1456" s="134"/>
      <c r="I1456" s="134"/>
      <c r="J1456" s="134"/>
      <c r="K1456" s="134"/>
      <c r="L1456" s="134"/>
      <c r="M1456" s="134"/>
    </row>
    <row r="1457" spans="3:13" ht="12.75">
      <c r="C1457" s="134"/>
      <c r="D1457" s="134"/>
      <c r="E1457" s="134"/>
      <c r="F1457" s="134"/>
      <c r="G1457" s="134"/>
      <c r="H1457" s="134"/>
      <c r="I1457" s="134"/>
      <c r="J1457" s="134"/>
      <c r="K1457" s="134"/>
      <c r="L1457" s="134"/>
      <c r="M1457" s="134"/>
    </row>
    <row r="1458" spans="3:13" ht="12.75">
      <c r="C1458" s="134"/>
      <c r="D1458" s="134"/>
      <c r="E1458" s="134"/>
      <c r="F1458" s="134"/>
      <c r="G1458" s="134"/>
      <c r="H1458" s="134"/>
      <c r="I1458" s="134"/>
      <c r="J1458" s="134"/>
      <c r="K1458" s="134"/>
      <c r="L1458" s="134"/>
      <c r="M1458" s="134"/>
    </row>
    <row r="1459" spans="3:13" ht="12.75">
      <c r="C1459" s="134"/>
      <c r="D1459" s="134"/>
      <c r="E1459" s="134"/>
      <c r="F1459" s="134"/>
      <c r="G1459" s="134"/>
      <c r="H1459" s="134"/>
      <c r="I1459" s="134"/>
      <c r="J1459" s="134"/>
      <c r="K1459" s="134"/>
      <c r="L1459" s="134"/>
      <c r="M1459" s="134"/>
    </row>
    <row r="1460" spans="3:13" ht="12.75">
      <c r="C1460" s="134"/>
      <c r="D1460" s="134"/>
      <c r="E1460" s="134"/>
      <c r="F1460" s="134"/>
      <c r="G1460" s="134"/>
      <c r="H1460" s="134"/>
      <c r="I1460" s="134"/>
      <c r="J1460" s="134"/>
      <c r="K1460" s="134"/>
      <c r="L1460" s="134"/>
      <c r="M1460" s="134"/>
    </row>
    <row r="1461" spans="3:13" ht="12.75">
      <c r="C1461" s="134"/>
      <c r="D1461" s="134"/>
      <c r="E1461" s="134"/>
      <c r="F1461" s="134"/>
      <c r="G1461" s="134"/>
      <c r="H1461" s="134"/>
      <c r="I1461" s="134"/>
      <c r="J1461" s="134"/>
      <c r="K1461" s="134"/>
      <c r="L1461" s="134"/>
      <c r="M1461" s="134"/>
    </row>
    <row r="1462" spans="3:13" ht="12.75">
      <c r="C1462" s="134"/>
      <c r="D1462" s="134"/>
      <c r="E1462" s="134"/>
      <c r="F1462" s="134"/>
      <c r="G1462" s="134"/>
      <c r="H1462" s="134"/>
      <c r="I1462" s="134"/>
      <c r="J1462" s="134"/>
      <c r="K1462" s="134"/>
      <c r="L1462" s="134"/>
      <c r="M1462" s="134"/>
    </row>
    <row r="1463" spans="3:13" ht="12.75">
      <c r="C1463" s="134"/>
      <c r="D1463" s="134"/>
      <c r="E1463" s="134"/>
      <c r="F1463" s="134"/>
      <c r="G1463" s="134"/>
      <c r="H1463" s="134"/>
      <c r="I1463" s="134"/>
      <c r="J1463" s="134"/>
      <c r="K1463" s="134"/>
      <c r="L1463" s="134"/>
      <c r="M1463" s="134"/>
    </row>
    <row r="1464" spans="3:13" ht="12.75">
      <c r="C1464" s="134"/>
      <c r="D1464" s="134"/>
      <c r="E1464" s="134"/>
      <c r="F1464" s="134"/>
      <c r="G1464" s="134"/>
      <c r="H1464" s="134"/>
      <c r="I1464" s="134"/>
      <c r="J1464" s="134"/>
      <c r="K1464" s="134"/>
      <c r="L1464" s="134"/>
      <c r="M1464" s="134"/>
    </row>
    <row r="1465" spans="3:13" ht="12.75">
      <c r="C1465" s="134"/>
      <c r="D1465" s="134"/>
      <c r="E1465" s="134"/>
      <c r="F1465" s="134"/>
      <c r="G1465" s="134"/>
      <c r="H1465" s="134"/>
      <c r="I1465" s="134"/>
      <c r="J1465" s="134"/>
      <c r="K1465" s="134"/>
      <c r="L1465" s="134"/>
      <c r="M1465" s="134"/>
    </row>
    <row r="1466" spans="3:13" ht="12.75">
      <c r="C1466" s="134"/>
      <c r="D1466" s="134"/>
      <c r="E1466" s="134"/>
      <c r="F1466" s="134"/>
      <c r="G1466" s="134"/>
      <c r="H1466" s="134"/>
      <c r="I1466" s="134"/>
      <c r="J1466" s="134"/>
      <c r="K1466" s="134"/>
      <c r="L1466" s="134"/>
      <c r="M1466" s="134"/>
    </row>
    <row r="1467" spans="3:13" ht="12.75">
      <c r="C1467" s="134"/>
      <c r="D1467" s="134"/>
      <c r="E1467" s="134"/>
      <c r="F1467" s="134"/>
      <c r="G1467" s="134"/>
      <c r="H1467" s="134"/>
      <c r="I1467" s="134"/>
      <c r="J1467" s="134"/>
      <c r="K1467" s="134"/>
      <c r="L1467" s="134"/>
      <c r="M1467" s="134"/>
    </row>
    <row r="1468" spans="3:13" ht="12.75">
      <c r="C1468" s="134"/>
      <c r="D1468" s="134"/>
      <c r="E1468" s="134"/>
      <c r="F1468" s="134"/>
      <c r="G1468" s="134"/>
      <c r="H1468" s="134"/>
      <c r="I1468" s="134"/>
      <c r="J1468" s="134"/>
      <c r="K1468" s="134"/>
      <c r="L1468" s="134"/>
      <c r="M1468" s="134"/>
    </row>
    <row r="1469" spans="3:13" ht="12.75">
      <c r="C1469" s="134"/>
      <c r="D1469" s="134"/>
      <c r="E1469" s="134"/>
      <c r="F1469" s="134"/>
      <c r="G1469" s="134"/>
      <c r="H1469" s="134"/>
      <c r="I1469" s="134"/>
      <c r="J1469" s="134"/>
      <c r="K1469" s="134"/>
      <c r="L1469" s="134"/>
      <c r="M1469" s="134"/>
    </row>
    <row r="1470" spans="3:13" ht="12.75">
      <c r="C1470" s="134"/>
      <c r="D1470" s="134"/>
      <c r="E1470" s="134"/>
      <c r="F1470" s="134"/>
      <c r="G1470" s="134"/>
      <c r="H1470" s="134"/>
      <c r="I1470" s="134"/>
      <c r="J1470" s="134"/>
      <c r="K1470" s="134"/>
      <c r="L1470" s="134"/>
      <c r="M1470" s="134"/>
    </row>
    <row r="1471" spans="3:13" ht="12.75">
      <c r="C1471" s="134"/>
      <c r="D1471" s="134"/>
      <c r="E1471" s="134"/>
      <c r="F1471" s="134"/>
      <c r="G1471" s="134"/>
      <c r="H1471" s="134"/>
      <c r="I1471" s="134"/>
      <c r="J1471" s="134"/>
      <c r="K1471" s="134"/>
      <c r="L1471" s="134"/>
      <c r="M1471" s="134"/>
    </row>
    <row r="1472" spans="3:13" ht="12.75">
      <c r="C1472" s="134"/>
      <c r="D1472" s="134"/>
      <c r="E1472" s="134"/>
      <c r="F1472" s="134"/>
      <c r="G1472" s="134"/>
      <c r="H1472" s="134"/>
      <c r="I1472" s="134"/>
      <c r="J1472" s="134"/>
      <c r="K1472" s="134"/>
      <c r="L1472" s="134"/>
      <c r="M1472" s="134"/>
    </row>
    <row r="1473" spans="3:13" ht="12.75">
      <c r="C1473" s="134"/>
      <c r="D1473" s="134"/>
      <c r="E1473" s="134"/>
      <c r="F1473" s="134"/>
      <c r="G1473" s="134"/>
      <c r="H1473" s="134"/>
      <c r="I1473" s="134"/>
      <c r="J1473" s="134"/>
      <c r="K1473" s="134"/>
      <c r="L1473" s="134"/>
      <c r="M1473" s="134"/>
    </row>
    <row r="1474" spans="3:13" ht="12.75">
      <c r="C1474" s="134"/>
      <c r="D1474" s="134"/>
      <c r="E1474" s="134"/>
      <c r="F1474" s="134"/>
      <c r="G1474" s="134"/>
      <c r="H1474" s="134"/>
      <c r="I1474" s="134"/>
      <c r="J1474" s="134"/>
      <c r="K1474" s="134"/>
      <c r="L1474" s="134"/>
      <c r="M1474" s="134"/>
    </row>
    <row r="1475" spans="3:13" ht="12.75">
      <c r="C1475" s="134"/>
      <c r="D1475" s="134"/>
      <c r="E1475" s="134"/>
      <c r="F1475" s="134"/>
      <c r="G1475" s="134"/>
      <c r="H1475" s="134"/>
      <c r="I1475" s="134"/>
      <c r="J1475" s="134"/>
      <c r="K1475" s="134"/>
      <c r="L1475" s="134"/>
      <c r="M1475" s="134"/>
    </row>
    <row r="1476" spans="3:13" ht="12.75">
      <c r="C1476" s="134"/>
      <c r="D1476" s="134"/>
      <c r="E1476" s="134"/>
      <c r="F1476" s="134"/>
      <c r="G1476" s="134"/>
      <c r="H1476" s="134"/>
      <c r="I1476" s="134"/>
      <c r="J1476" s="134"/>
      <c r="K1476" s="134"/>
      <c r="L1476" s="134"/>
      <c r="M1476" s="134"/>
    </row>
    <row r="1477" spans="3:13" ht="12.75">
      <c r="C1477" s="134"/>
      <c r="D1477" s="134"/>
      <c r="E1477" s="134"/>
      <c r="F1477" s="134"/>
      <c r="G1477" s="134"/>
      <c r="H1477" s="134"/>
      <c r="I1477" s="134"/>
      <c r="J1477" s="134"/>
      <c r="K1477" s="134"/>
      <c r="L1477" s="134"/>
      <c r="M1477" s="134"/>
    </row>
    <row r="1478" spans="3:13" ht="12.75">
      <c r="C1478" s="134"/>
      <c r="D1478" s="134"/>
      <c r="E1478" s="134"/>
      <c r="F1478" s="134"/>
      <c r="G1478" s="134"/>
      <c r="H1478" s="134"/>
      <c r="I1478" s="134"/>
      <c r="J1478" s="134"/>
      <c r="K1478" s="134"/>
      <c r="L1478" s="134"/>
      <c r="M1478" s="134"/>
    </row>
    <row r="1479" spans="3:13" ht="12.75">
      <c r="C1479" s="134"/>
      <c r="D1479" s="134"/>
      <c r="E1479" s="134"/>
      <c r="F1479" s="134"/>
      <c r="G1479" s="134"/>
      <c r="H1479" s="134"/>
      <c r="I1479" s="134"/>
      <c r="J1479" s="134"/>
      <c r="K1479" s="134"/>
      <c r="L1479" s="134"/>
      <c r="M1479" s="134"/>
    </row>
    <row r="1480" spans="3:13" ht="12.75">
      <c r="C1480" s="134"/>
      <c r="D1480" s="134"/>
      <c r="E1480" s="134"/>
      <c r="F1480" s="134"/>
      <c r="G1480" s="134"/>
      <c r="H1480" s="134"/>
      <c r="I1480" s="134"/>
      <c r="J1480" s="134"/>
      <c r="K1480" s="134"/>
      <c r="L1480" s="134"/>
      <c r="M1480" s="134"/>
    </row>
    <row r="1481" spans="3:13" ht="12.75">
      <c r="C1481" s="134"/>
      <c r="D1481" s="134"/>
      <c r="E1481" s="134"/>
      <c r="F1481" s="134"/>
      <c r="G1481" s="134"/>
      <c r="H1481" s="134"/>
      <c r="I1481" s="134"/>
      <c r="J1481" s="134"/>
      <c r="K1481" s="134"/>
      <c r="L1481" s="134"/>
      <c r="M1481" s="134"/>
    </row>
    <row r="1482" spans="3:13" ht="12.75">
      <c r="C1482" s="134"/>
      <c r="D1482" s="134"/>
      <c r="E1482" s="134"/>
      <c r="F1482" s="134"/>
      <c r="G1482" s="134"/>
      <c r="H1482" s="134"/>
      <c r="I1482" s="134"/>
      <c r="J1482" s="134"/>
      <c r="K1482" s="134"/>
      <c r="L1482" s="134"/>
      <c r="M1482" s="134"/>
    </row>
    <row r="1483" spans="3:13" ht="12.75">
      <c r="C1483" s="134"/>
      <c r="D1483" s="134"/>
      <c r="E1483" s="134"/>
      <c r="F1483" s="134"/>
      <c r="G1483" s="134"/>
      <c r="H1483" s="134"/>
      <c r="I1483" s="134"/>
      <c r="J1483" s="134"/>
      <c r="K1483" s="134"/>
      <c r="L1483" s="134"/>
      <c r="M1483" s="134"/>
    </row>
    <row r="1484" spans="3:13" ht="12.75">
      <c r="C1484" s="134"/>
      <c r="D1484" s="134"/>
      <c r="E1484" s="134"/>
      <c r="F1484" s="134"/>
      <c r="G1484" s="134"/>
      <c r="H1484" s="134"/>
      <c r="I1484" s="134"/>
      <c r="J1484" s="134"/>
      <c r="K1484" s="134"/>
      <c r="L1484" s="134"/>
      <c r="M1484" s="134"/>
    </row>
    <row r="1485" spans="3:13" ht="12.75">
      <c r="C1485" s="134"/>
      <c r="D1485" s="134"/>
      <c r="E1485" s="134"/>
      <c r="F1485" s="134"/>
      <c r="G1485" s="134"/>
      <c r="H1485" s="134"/>
      <c r="I1485" s="134"/>
      <c r="J1485" s="134"/>
      <c r="K1485" s="134"/>
      <c r="L1485" s="134"/>
      <c r="M1485" s="134"/>
    </row>
    <row r="1486" spans="3:13" ht="12.75">
      <c r="C1486" s="134"/>
      <c r="D1486" s="134"/>
      <c r="E1486" s="134"/>
      <c r="F1486" s="134"/>
      <c r="G1486" s="134"/>
      <c r="H1486" s="134"/>
      <c r="I1486" s="134"/>
      <c r="J1486" s="134"/>
      <c r="K1486" s="134"/>
      <c r="L1486" s="134"/>
      <c r="M1486" s="134"/>
    </row>
    <row r="1487" spans="3:13" ht="12.75">
      <c r="C1487" s="134"/>
      <c r="D1487" s="134"/>
      <c r="E1487" s="134"/>
      <c r="F1487" s="134"/>
      <c r="G1487" s="134"/>
      <c r="H1487" s="134"/>
      <c r="I1487" s="134"/>
      <c r="J1487" s="134"/>
      <c r="K1487" s="134"/>
      <c r="L1487" s="134"/>
      <c r="M1487" s="134"/>
    </row>
    <row r="1488" spans="3:13" ht="12.75">
      <c r="C1488" s="134"/>
      <c r="D1488" s="134"/>
      <c r="E1488" s="134"/>
      <c r="F1488" s="134"/>
      <c r="G1488" s="134"/>
      <c r="H1488" s="134"/>
      <c r="I1488" s="134"/>
      <c r="J1488" s="134"/>
      <c r="K1488" s="134"/>
      <c r="L1488" s="134"/>
      <c r="M1488" s="134"/>
    </row>
    <row r="1489" spans="3:13" ht="12.75">
      <c r="C1489" s="134"/>
      <c r="D1489" s="134"/>
      <c r="E1489" s="134"/>
      <c r="F1489" s="134"/>
      <c r="G1489" s="134"/>
      <c r="H1489" s="134"/>
      <c r="I1489" s="134"/>
      <c r="J1489" s="134"/>
      <c r="K1489" s="134"/>
      <c r="L1489" s="134"/>
      <c r="M1489" s="134"/>
    </row>
    <row r="1490" spans="3:13" ht="12.75">
      <c r="C1490" s="134"/>
      <c r="D1490" s="134"/>
      <c r="E1490" s="134"/>
      <c r="F1490" s="134"/>
      <c r="G1490" s="134"/>
      <c r="H1490" s="134"/>
      <c r="I1490" s="134"/>
      <c r="J1490" s="134"/>
      <c r="K1490" s="134"/>
      <c r="L1490" s="134"/>
      <c r="M1490" s="134"/>
    </row>
    <row r="1491" spans="3:13" ht="12.75">
      <c r="C1491" s="134"/>
      <c r="D1491" s="134"/>
      <c r="E1491" s="134"/>
      <c r="F1491" s="134"/>
      <c r="G1491" s="134"/>
      <c r="H1491" s="134"/>
      <c r="I1491" s="134"/>
      <c r="J1491" s="134"/>
      <c r="K1491" s="134"/>
      <c r="L1491" s="134"/>
      <c r="M1491" s="134"/>
    </row>
    <row r="1492" spans="3:13" ht="12.75">
      <c r="C1492" s="134"/>
      <c r="D1492" s="134"/>
      <c r="E1492" s="134"/>
      <c r="F1492" s="134"/>
      <c r="G1492" s="134"/>
      <c r="H1492" s="134"/>
      <c r="I1492" s="134"/>
      <c r="J1492" s="134"/>
      <c r="K1492" s="134"/>
      <c r="L1492" s="134"/>
      <c r="M1492" s="134"/>
    </row>
    <row r="1493" spans="3:13" ht="12.75">
      <c r="C1493" s="134"/>
      <c r="D1493" s="134"/>
      <c r="E1493" s="134"/>
      <c r="F1493" s="134"/>
      <c r="G1493" s="134"/>
      <c r="H1493" s="134"/>
      <c r="I1493" s="134"/>
      <c r="J1493" s="134"/>
      <c r="K1493" s="134"/>
      <c r="L1493" s="134"/>
      <c r="M1493" s="134"/>
    </row>
    <row r="1494" spans="3:13" ht="12.75">
      <c r="C1494" s="134"/>
      <c r="D1494" s="134"/>
      <c r="E1494" s="134"/>
      <c r="F1494" s="134"/>
      <c r="G1494" s="134"/>
      <c r="H1494" s="134"/>
      <c r="I1494" s="134"/>
      <c r="J1494" s="134"/>
      <c r="K1494" s="134"/>
      <c r="L1494" s="134"/>
      <c r="M1494" s="134"/>
    </row>
    <row r="1495" spans="3:13" ht="12.75">
      <c r="C1495" s="134"/>
      <c r="D1495" s="134"/>
      <c r="E1495" s="134"/>
      <c r="F1495" s="134"/>
      <c r="G1495" s="134"/>
      <c r="H1495" s="134"/>
      <c r="I1495" s="134"/>
      <c r="J1495" s="134"/>
      <c r="K1495" s="134"/>
      <c r="L1495" s="134"/>
      <c r="M1495" s="134"/>
    </row>
    <row r="1496" spans="3:13" ht="12.75">
      <c r="C1496" s="134"/>
      <c r="D1496" s="134"/>
      <c r="E1496" s="134"/>
      <c r="F1496" s="134"/>
      <c r="G1496" s="134"/>
      <c r="H1496" s="134"/>
      <c r="I1496" s="134"/>
      <c r="J1496" s="134"/>
      <c r="K1496" s="134"/>
      <c r="L1496" s="134"/>
      <c r="M1496" s="134"/>
    </row>
    <row r="1497" spans="3:13" ht="12.75">
      <c r="C1497" s="134"/>
      <c r="D1497" s="134"/>
      <c r="E1497" s="134"/>
      <c r="F1497" s="134"/>
      <c r="G1497" s="134"/>
      <c r="H1497" s="134"/>
      <c r="I1497" s="134"/>
      <c r="J1497" s="134"/>
      <c r="K1497" s="134"/>
      <c r="L1497" s="134"/>
      <c r="M1497" s="134"/>
    </row>
    <row r="1498" spans="3:13" ht="12.75">
      <c r="C1498" s="134"/>
      <c r="D1498" s="134"/>
      <c r="E1498" s="134"/>
      <c r="F1498" s="134"/>
      <c r="G1498" s="134"/>
      <c r="H1498" s="134"/>
      <c r="I1498" s="134"/>
      <c r="J1498" s="134"/>
      <c r="K1498" s="134"/>
      <c r="L1498" s="134"/>
      <c r="M1498" s="134"/>
    </row>
    <row r="1499" spans="3:13" ht="12.75">
      <c r="C1499" s="134"/>
      <c r="D1499" s="134"/>
      <c r="E1499" s="134"/>
      <c r="F1499" s="134"/>
      <c r="G1499" s="134"/>
      <c r="H1499" s="134"/>
      <c r="I1499" s="134"/>
      <c r="J1499" s="134"/>
      <c r="K1499" s="134"/>
      <c r="L1499" s="134"/>
      <c r="M1499" s="134"/>
    </row>
    <row r="1500" spans="3:13" ht="12.75">
      <c r="C1500" s="134"/>
      <c r="D1500" s="134"/>
      <c r="E1500" s="134"/>
      <c r="F1500" s="134"/>
      <c r="G1500" s="134"/>
      <c r="H1500" s="134"/>
      <c r="I1500" s="134"/>
      <c r="J1500" s="134"/>
      <c r="K1500" s="134"/>
      <c r="L1500" s="134"/>
      <c r="M1500" s="134"/>
    </row>
    <row r="1501" spans="3:13" ht="12.75">
      <c r="C1501" s="134"/>
      <c r="D1501" s="134"/>
      <c r="E1501" s="134"/>
      <c r="F1501" s="134"/>
      <c r="G1501" s="134"/>
      <c r="H1501" s="134"/>
      <c r="I1501" s="134"/>
      <c r="J1501" s="134"/>
      <c r="K1501" s="134"/>
      <c r="L1501" s="134"/>
      <c r="M1501" s="134"/>
    </row>
    <row r="1502" spans="3:13" ht="12.75">
      <c r="C1502" s="134"/>
      <c r="D1502" s="134"/>
      <c r="E1502" s="134"/>
      <c r="F1502" s="134"/>
      <c r="G1502" s="134"/>
      <c r="H1502" s="134"/>
      <c r="I1502" s="134"/>
      <c r="J1502" s="134"/>
      <c r="K1502" s="134"/>
      <c r="L1502" s="134"/>
      <c r="M1502" s="134"/>
    </row>
    <row r="1503" spans="3:13" ht="12.75">
      <c r="C1503" s="134"/>
      <c r="D1503" s="134"/>
      <c r="E1503" s="134"/>
      <c r="F1503" s="134"/>
      <c r="G1503" s="134"/>
      <c r="H1503" s="134"/>
      <c r="I1503" s="134"/>
      <c r="J1503" s="134"/>
      <c r="K1503" s="134"/>
      <c r="L1503" s="134"/>
      <c r="M1503" s="134"/>
    </row>
    <row r="1504" spans="3:13" ht="12.75">
      <c r="C1504" s="134"/>
      <c r="D1504" s="134"/>
      <c r="E1504" s="134"/>
      <c r="F1504" s="134"/>
      <c r="G1504" s="134"/>
      <c r="H1504" s="134"/>
      <c r="I1504" s="134"/>
      <c r="J1504" s="134"/>
      <c r="K1504" s="134"/>
      <c r="L1504" s="134"/>
      <c r="M1504" s="134"/>
    </row>
    <row r="1505" spans="3:13" ht="12.75">
      <c r="C1505" s="134"/>
      <c r="D1505" s="134"/>
      <c r="E1505" s="134"/>
      <c r="F1505" s="134"/>
      <c r="G1505" s="134"/>
      <c r="H1505" s="134"/>
      <c r="I1505" s="134"/>
      <c r="J1505" s="134"/>
      <c r="K1505" s="134"/>
      <c r="L1505" s="134"/>
      <c r="M1505" s="134"/>
    </row>
    <row r="1506" spans="3:13" ht="12.75">
      <c r="C1506" s="134"/>
      <c r="D1506" s="134"/>
      <c r="E1506" s="134"/>
      <c r="F1506" s="134"/>
      <c r="G1506" s="134"/>
      <c r="H1506" s="134"/>
      <c r="I1506" s="134"/>
      <c r="J1506" s="134"/>
      <c r="K1506" s="134"/>
      <c r="L1506" s="134"/>
      <c r="M1506" s="134"/>
    </row>
    <row r="1507" spans="3:13" ht="12.75">
      <c r="C1507" s="134"/>
      <c r="D1507" s="134"/>
      <c r="E1507" s="134"/>
      <c r="F1507" s="134"/>
      <c r="G1507" s="134"/>
      <c r="H1507" s="134"/>
      <c r="I1507" s="134"/>
      <c r="J1507" s="134"/>
      <c r="K1507" s="134"/>
      <c r="L1507" s="134"/>
      <c r="M1507" s="134"/>
    </row>
    <row r="1508" spans="3:13" ht="12.75">
      <c r="C1508" s="134"/>
      <c r="D1508" s="134"/>
      <c r="E1508" s="134"/>
      <c r="F1508" s="134"/>
      <c r="G1508" s="134"/>
      <c r="H1508" s="134"/>
      <c r="I1508" s="134"/>
      <c r="J1508" s="134"/>
      <c r="K1508" s="134"/>
      <c r="L1508" s="134"/>
      <c r="M1508" s="134"/>
    </row>
    <row r="1509" spans="3:13" ht="12.75">
      <c r="C1509" s="134"/>
      <c r="D1509" s="134"/>
      <c r="E1509" s="134"/>
      <c r="F1509" s="134"/>
      <c r="G1509" s="134"/>
      <c r="H1509" s="134"/>
      <c r="I1509" s="134"/>
      <c r="J1509" s="134"/>
      <c r="K1509" s="134"/>
      <c r="L1509" s="134"/>
      <c r="M1509" s="134"/>
    </row>
    <row r="1510" spans="3:13" ht="12.75">
      <c r="C1510" s="134"/>
      <c r="D1510" s="134"/>
      <c r="E1510" s="134"/>
      <c r="F1510" s="134"/>
      <c r="G1510" s="134"/>
      <c r="H1510" s="134"/>
      <c r="I1510" s="134"/>
      <c r="J1510" s="134"/>
      <c r="K1510" s="134"/>
      <c r="L1510" s="134"/>
      <c r="M1510" s="134"/>
    </row>
    <row r="1511" spans="3:13" ht="12.75">
      <c r="C1511" s="134"/>
      <c r="D1511" s="134"/>
      <c r="E1511" s="134"/>
      <c r="F1511" s="134"/>
      <c r="G1511" s="134"/>
      <c r="H1511" s="134"/>
      <c r="I1511" s="134"/>
      <c r="J1511" s="134"/>
      <c r="K1511" s="134"/>
      <c r="L1511" s="134"/>
      <c r="M1511" s="134"/>
    </row>
    <row r="1512" spans="3:13" ht="12.75">
      <c r="C1512" s="134"/>
      <c r="D1512" s="134"/>
      <c r="E1512" s="134"/>
      <c r="F1512" s="134"/>
      <c r="G1512" s="134"/>
      <c r="H1512" s="134"/>
      <c r="I1512" s="134"/>
      <c r="J1512" s="134"/>
      <c r="K1512" s="134"/>
      <c r="L1512" s="134"/>
      <c r="M1512" s="134"/>
    </row>
    <row r="1513" spans="3:13" ht="12.75">
      <c r="C1513" s="134"/>
      <c r="D1513" s="134"/>
      <c r="E1513" s="134"/>
      <c r="F1513" s="134"/>
      <c r="G1513" s="134"/>
      <c r="H1513" s="134"/>
      <c r="I1513" s="134"/>
      <c r="J1513" s="134"/>
      <c r="K1513" s="134"/>
      <c r="L1513" s="134"/>
      <c r="M1513" s="134"/>
    </row>
    <row r="1514" spans="3:13" ht="12.75">
      <c r="C1514" s="134"/>
      <c r="D1514" s="134"/>
      <c r="E1514" s="134"/>
      <c r="F1514" s="134"/>
      <c r="G1514" s="134"/>
      <c r="H1514" s="134"/>
      <c r="I1514" s="134"/>
      <c r="J1514" s="134"/>
      <c r="K1514" s="134"/>
      <c r="L1514" s="134"/>
      <c r="M1514" s="134"/>
    </row>
    <row r="1515" spans="3:13" ht="12.75">
      <c r="C1515" s="134"/>
      <c r="D1515" s="134"/>
      <c r="E1515" s="134"/>
      <c r="F1515" s="134"/>
      <c r="G1515" s="134"/>
      <c r="H1515" s="134"/>
      <c r="I1515" s="134"/>
      <c r="J1515" s="134"/>
      <c r="K1515" s="134"/>
      <c r="L1515" s="134"/>
      <c r="M1515" s="134"/>
    </row>
    <row r="1516" spans="3:13" ht="12.75">
      <c r="C1516" s="134"/>
      <c r="D1516" s="134"/>
      <c r="E1516" s="134"/>
      <c r="F1516" s="134"/>
      <c r="G1516" s="134"/>
      <c r="H1516" s="134"/>
      <c r="I1516" s="134"/>
      <c r="J1516" s="134"/>
      <c r="K1516" s="134"/>
      <c r="L1516" s="134"/>
      <c r="M1516" s="134"/>
    </row>
    <row r="1517" spans="3:13" ht="12.75">
      <c r="C1517" s="134"/>
      <c r="D1517" s="134"/>
      <c r="E1517" s="134"/>
      <c r="F1517" s="134"/>
      <c r="G1517" s="134"/>
      <c r="H1517" s="134"/>
      <c r="I1517" s="134"/>
      <c r="J1517" s="134"/>
      <c r="K1517" s="134"/>
      <c r="L1517" s="134"/>
      <c r="M1517" s="134"/>
    </row>
    <row r="1518" spans="3:13" ht="12.75">
      <c r="C1518" s="134"/>
      <c r="D1518" s="134"/>
      <c r="E1518" s="134"/>
      <c r="F1518" s="134"/>
      <c r="G1518" s="134"/>
      <c r="H1518" s="134"/>
      <c r="I1518" s="134"/>
      <c r="J1518" s="134"/>
      <c r="K1518" s="134"/>
      <c r="L1518" s="134"/>
      <c r="M1518" s="134"/>
    </row>
    <row r="1519" spans="3:13" ht="12.75">
      <c r="C1519" s="134"/>
      <c r="D1519" s="134"/>
      <c r="E1519" s="134"/>
      <c r="F1519" s="134"/>
      <c r="G1519" s="134"/>
      <c r="H1519" s="134"/>
      <c r="I1519" s="134"/>
      <c r="J1519" s="134"/>
      <c r="K1519" s="134"/>
      <c r="L1519" s="134"/>
      <c r="M1519" s="134"/>
    </row>
    <row r="1520" spans="3:13" ht="12.75">
      <c r="C1520" s="134"/>
      <c r="D1520" s="134"/>
      <c r="E1520" s="134"/>
      <c r="F1520" s="134"/>
      <c r="G1520" s="134"/>
      <c r="H1520" s="134"/>
      <c r="I1520" s="134"/>
      <c r="J1520" s="134"/>
      <c r="K1520" s="134"/>
      <c r="L1520" s="134"/>
      <c r="M1520" s="134"/>
    </row>
    <row r="1521" spans="3:13" ht="12.75">
      <c r="C1521" s="134"/>
      <c r="D1521" s="134"/>
      <c r="E1521" s="134"/>
      <c r="F1521" s="134"/>
      <c r="G1521" s="134"/>
      <c r="H1521" s="134"/>
      <c r="I1521" s="134"/>
      <c r="J1521" s="134"/>
      <c r="K1521" s="134"/>
      <c r="L1521" s="134"/>
      <c r="M1521" s="134"/>
    </row>
    <row r="1522" spans="3:13" ht="12.75">
      <c r="C1522" s="134"/>
      <c r="D1522" s="134"/>
      <c r="E1522" s="134"/>
      <c r="F1522" s="134"/>
      <c r="G1522" s="134"/>
      <c r="H1522" s="134"/>
      <c r="I1522" s="134"/>
      <c r="J1522" s="134"/>
      <c r="K1522" s="134"/>
      <c r="L1522" s="134"/>
      <c r="M1522" s="134"/>
    </row>
    <row r="1523" spans="3:13" ht="12.75">
      <c r="C1523" s="134"/>
      <c r="D1523" s="134"/>
      <c r="E1523" s="134"/>
      <c r="F1523" s="134"/>
      <c r="G1523" s="134"/>
      <c r="H1523" s="134"/>
      <c r="I1523" s="134"/>
      <c r="J1523" s="134"/>
      <c r="K1523" s="134"/>
      <c r="L1523" s="134"/>
      <c r="M1523" s="134"/>
    </row>
    <row r="1524" spans="3:13" ht="12.75">
      <c r="C1524" s="134"/>
      <c r="D1524" s="134"/>
      <c r="E1524" s="134"/>
      <c r="F1524" s="134"/>
      <c r="G1524" s="134"/>
      <c r="H1524" s="134"/>
      <c r="I1524" s="134"/>
      <c r="J1524" s="134"/>
      <c r="K1524" s="134"/>
      <c r="L1524" s="134"/>
      <c r="M1524" s="134"/>
    </row>
    <row r="1525" spans="3:13" ht="12.75">
      <c r="C1525" s="134"/>
      <c r="D1525" s="134"/>
      <c r="E1525" s="134"/>
      <c r="F1525" s="134"/>
      <c r="G1525" s="134"/>
      <c r="H1525" s="134"/>
      <c r="I1525" s="134"/>
      <c r="J1525" s="134"/>
      <c r="K1525" s="134"/>
      <c r="L1525" s="134"/>
      <c r="M1525" s="134"/>
    </row>
    <row r="1526" spans="3:13" ht="12.75">
      <c r="C1526" s="134"/>
      <c r="D1526" s="134"/>
      <c r="E1526" s="134"/>
      <c r="F1526" s="134"/>
      <c r="G1526" s="134"/>
      <c r="H1526" s="134"/>
      <c r="I1526" s="134"/>
      <c r="J1526" s="134"/>
      <c r="K1526" s="134"/>
      <c r="L1526" s="134"/>
      <c r="M1526" s="134"/>
    </row>
    <row r="1527" spans="3:13" ht="12.75">
      <c r="C1527" s="134"/>
      <c r="D1527" s="134"/>
      <c r="E1527" s="134"/>
      <c r="F1527" s="134"/>
      <c r="G1527" s="134"/>
      <c r="H1527" s="134"/>
      <c r="I1527" s="134"/>
      <c r="J1527" s="134"/>
      <c r="K1527" s="134"/>
      <c r="L1527" s="134"/>
      <c r="M1527" s="134"/>
    </row>
    <row r="1528" spans="3:13" ht="12.75">
      <c r="C1528" s="134"/>
      <c r="D1528" s="134"/>
      <c r="E1528" s="134"/>
      <c r="F1528" s="134"/>
      <c r="G1528" s="134"/>
      <c r="H1528" s="134"/>
      <c r="I1528" s="134"/>
      <c r="J1528" s="134"/>
      <c r="K1528" s="134"/>
      <c r="L1528" s="134"/>
      <c r="M1528" s="134"/>
    </row>
    <row r="1529" spans="3:13" ht="12.75">
      <c r="C1529" s="134"/>
      <c r="D1529" s="134"/>
      <c r="E1529" s="134"/>
      <c r="F1529" s="134"/>
      <c r="G1529" s="134"/>
      <c r="H1529" s="134"/>
      <c r="I1529" s="134"/>
      <c r="J1529" s="134"/>
      <c r="K1529" s="134"/>
      <c r="L1529" s="134"/>
      <c r="M1529" s="134"/>
    </row>
    <row r="1530" spans="3:13" ht="12.75">
      <c r="C1530" s="134"/>
      <c r="D1530" s="134"/>
      <c r="E1530" s="134"/>
      <c r="F1530" s="134"/>
      <c r="G1530" s="134"/>
      <c r="H1530" s="134"/>
      <c r="I1530" s="134"/>
      <c r="J1530" s="134"/>
      <c r="K1530" s="134"/>
      <c r="L1530" s="134"/>
      <c r="M1530" s="134"/>
    </row>
    <row r="1531" spans="3:13" ht="12.75">
      <c r="C1531" s="134"/>
      <c r="D1531" s="134"/>
      <c r="E1531" s="134"/>
      <c r="F1531" s="134"/>
      <c r="G1531" s="134"/>
      <c r="H1531" s="134"/>
      <c r="I1531" s="134"/>
      <c r="J1531" s="134"/>
      <c r="K1531" s="134"/>
      <c r="L1531" s="134"/>
      <c r="M1531" s="134"/>
    </row>
    <row r="1532" spans="3:13" ht="12.75">
      <c r="C1532" s="134"/>
      <c r="D1532" s="134"/>
      <c r="E1532" s="134"/>
      <c r="F1532" s="134"/>
      <c r="G1532" s="134"/>
      <c r="H1532" s="134"/>
      <c r="I1532" s="134"/>
      <c r="J1532" s="134"/>
      <c r="K1532" s="134"/>
      <c r="L1532" s="134"/>
      <c r="M1532" s="134"/>
    </row>
    <row r="1533" spans="3:13" ht="12.75">
      <c r="C1533" s="134"/>
      <c r="D1533" s="134"/>
      <c r="E1533" s="134"/>
      <c r="F1533" s="134"/>
      <c r="G1533" s="134"/>
      <c r="H1533" s="134"/>
      <c r="I1533" s="134"/>
      <c r="J1533" s="134"/>
      <c r="K1533" s="134"/>
      <c r="L1533" s="134"/>
      <c r="M1533" s="134"/>
    </row>
    <row r="1534" spans="3:13" ht="12.75">
      <c r="C1534" s="134"/>
      <c r="D1534" s="134"/>
      <c r="E1534" s="134"/>
      <c r="F1534" s="134"/>
      <c r="G1534" s="134"/>
      <c r="H1534" s="134"/>
      <c r="I1534" s="134"/>
      <c r="J1534" s="134"/>
      <c r="K1534" s="134"/>
      <c r="L1534" s="134"/>
      <c r="M1534" s="134"/>
    </row>
    <row r="1535" spans="3:13" ht="12.75">
      <c r="C1535" s="134"/>
      <c r="D1535" s="134"/>
      <c r="E1535" s="134"/>
      <c r="F1535" s="134"/>
      <c r="G1535" s="134"/>
      <c r="H1535" s="134"/>
      <c r="I1535" s="134"/>
      <c r="J1535" s="134"/>
      <c r="K1535" s="134"/>
      <c r="L1535" s="134"/>
      <c r="M1535" s="134"/>
    </row>
    <row r="1536" spans="3:13" ht="12.75">
      <c r="C1536" s="134"/>
      <c r="D1536" s="134"/>
      <c r="E1536" s="134"/>
      <c r="F1536" s="134"/>
      <c r="G1536" s="134"/>
      <c r="H1536" s="134"/>
      <c r="I1536" s="134"/>
      <c r="J1536" s="134"/>
      <c r="K1536" s="134"/>
      <c r="L1536" s="134"/>
      <c r="M1536" s="134"/>
    </row>
    <row r="1537" spans="3:13" ht="12.75">
      <c r="C1537" s="134"/>
      <c r="D1537" s="134"/>
      <c r="E1537" s="134"/>
      <c r="F1537" s="134"/>
      <c r="G1537" s="134"/>
      <c r="H1537" s="134"/>
      <c r="I1537" s="134"/>
      <c r="J1537" s="134"/>
      <c r="K1537" s="134"/>
      <c r="L1537" s="134"/>
      <c r="M1537" s="134"/>
    </row>
    <row r="1538" spans="3:13" ht="12.75">
      <c r="C1538" s="134"/>
      <c r="D1538" s="134"/>
      <c r="E1538" s="134"/>
      <c r="F1538" s="134"/>
      <c r="G1538" s="134"/>
      <c r="H1538" s="134"/>
      <c r="I1538" s="134"/>
      <c r="J1538" s="134"/>
      <c r="K1538" s="134"/>
      <c r="L1538" s="134"/>
      <c r="M1538" s="134"/>
    </row>
    <row r="1539" spans="3:13" ht="12.75">
      <c r="C1539" s="134"/>
      <c r="D1539" s="134"/>
      <c r="E1539" s="134"/>
      <c r="F1539" s="134"/>
      <c r="G1539" s="134"/>
      <c r="H1539" s="134"/>
      <c r="I1539" s="134"/>
      <c r="J1539" s="134"/>
      <c r="K1539" s="134"/>
      <c r="L1539" s="134"/>
      <c r="M1539" s="134"/>
    </row>
    <row r="1540" spans="3:13" ht="12.75">
      <c r="C1540" s="134"/>
      <c r="D1540" s="134"/>
      <c r="E1540" s="134"/>
      <c r="F1540" s="134"/>
      <c r="G1540" s="134"/>
      <c r="H1540" s="134"/>
      <c r="I1540" s="134"/>
      <c r="J1540" s="134"/>
      <c r="K1540" s="134"/>
      <c r="L1540" s="134"/>
      <c r="M1540" s="134"/>
    </row>
    <row r="1541" spans="3:13" ht="12.75">
      <c r="C1541" s="134"/>
      <c r="D1541" s="134"/>
      <c r="E1541" s="134"/>
      <c r="F1541" s="134"/>
      <c r="G1541" s="134"/>
      <c r="H1541" s="134"/>
      <c r="I1541" s="134"/>
      <c r="J1541" s="134"/>
      <c r="K1541" s="134"/>
      <c r="L1541" s="134"/>
      <c r="M1541" s="134"/>
    </row>
    <row r="1542" spans="3:13" ht="12.75">
      <c r="C1542" s="134"/>
      <c r="D1542" s="134"/>
      <c r="E1542" s="134"/>
      <c r="F1542" s="134"/>
      <c r="G1542" s="134"/>
      <c r="H1542" s="134"/>
      <c r="I1542" s="134"/>
      <c r="J1542" s="134"/>
      <c r="K1542" s="134"/>
      <c r="L1542" s="134"/>
      <c r="M1542" s="134"/>
    </row>
    <row r="1543" spans="3:13" ht="12.75">
      <c r="C1543" s="134"/>
      <c r="D1543" s="134"/>
      <c r="E1543" s="134"/>
      <c r="F1543" s="134"/>
      <c r="G1543" s="134"/>
      <c r="H1543" s="134"/>
      <c r="I1543" s="134"/>
      <c r="J1543" s="134"/>
      <c r="K1543" s="134"/>
      <c r="L1543" s="134"/>
      <c r="M1543" s="134"/>
    </row>
    <row r="1544" spans="3:13" ht="12.75">
      <c r="C1544" s="134"/>
      <c r="D1544" s="134"/>
      <c r="E1544" s="134"/>
      <c r="F1544" s="134"/>
      <c r="G1544" s="134"/>
      <c r="H1544" s="134"/>
      <c r="I1544" s="134"/>
      <c r="J1544" s="134"/>
      <c r="K1544" s="134"/>
      <c r="L1544" s="134"/>
      <c r="M1544" s="134"/>
    </row>
    <row r="1545" spans="3:13" ht="12.75">
      <c r="C1545" s="134"/>
      <c r="D1545" s="134"/>
      <c r="E1545" s="134"/>
      <c r="F1545" s="134"/>
      <c r="G1545" s="134"/>
      <c r="H1545" s="134"/>
      <c r="I1545" s="134"/>
      <c r="J1545" s="134"/>
      <c r="K1545" s="134"/>
      <c r="L1545" s="134"/>
      <c r="M1545" s="134"/>
    </row>
    <row r="1546" spans="3:13" ht="12.75">
      <c r="C1546" s="134"/>
      <c r="D1546" s="134"/>
      <c r="E1546" s="134"/>
      <c r="F1546" s="134"/>
      <c r="G1546" s="134"/>
      <c r="H1546" s="134"/>
      <c r="I1546" s="134"/>
      <c r="J1546" s="134"/>
      <c r="K1546" s="134"/>
      <c r="L1546" s="134"/>
      <c r="M1546" s="134"/>
    </row>
    <row r="1547" spans="3:13" ht="12.75">
      <c r="C1547" s="134"/>
      <c r="D1547" s="134"/>
      <c r="E1547" s="134"/>
      <c r="F1547" s="134"/>
      <c r="G1547" s="134"/>
      <c r="H1547" s="134"/>
      <c r="I1547" s="134"/>
      <c r="J1547" s="134"/>
      <c r="K1547" s="134"/>
      <c r="L1547" s="134"/>
      <c r="M1547" s="134"/>
    </row>
    <row r="1548" spans="3:13" ht="12.75">
      <c r="C1548" s="134"/>
      <c r="D1548" s="134"/>
      <c r="E1548" s="134"/>
      <c r="F1548" s="134"/>
      <c r="G1548" s="134"/>
      <c r="H1548" s="134"/>
      <c r="I1548" s="134"/>
      <c r="J1548" s="134"/>
      <c r="K1548" s="134"/>
      <c r="L1548" s="134"/>
      <c r="M1548" s="134"/>
    </row>
    <row r="1549" spans="3:13" ht="12.75">
      <c r="C1549" s="134"/>
      <c r="D1549" s="134"/>
      <c r="E1549" s="134"/>
      <c r="F1549" s="134"/>
      <c r="G1549" s="134"/>
      <c r="H1549" s="134"/>
      <c r="I1549" s="134"/>
      <c r="J1549" s="134"/>
      <c r="K1549" s="134"/>
      <c r="L1549" s="134"/>
      <c r="M1549" s="134"/>
    </row>
    <row r="1550" spans="3:13" ht="12.75">
      <c r="C1550" s="134"/>
      <c r="D1550" s="134"/>
      <c r="E1550" s="134"/>
      <c r="F1550" s="134"/>
      <c r="G1550" s="134"/>
      <c r="H1550" s="134"/>
      <c r="I1550" s="134"/>
      <c r="J1550" s="134"/>
      <c r="K1550" s="134"/>
      <c r="L1550" s="134"/>
      <c r="M1550" s="134"/>
    </row>
    <row r="1551" spans="3:13" ht="12.75">
      <c r="C1551" s="134"/>
      <c r="D1551" s="134"/>
      <c r="E1551" s="134"/>
      <c r="F1551" s="134"/>
      <c r="G1551" s="134"/>
      <c r="H1551" s="134"/>
      <c r="I1551" s="134"/>
      <c r="J1551" s="134"/>
      <c r="K1551" s="134"/>
      <c r="L1551" s="134"/>
      <c r="M1551" s="134"/>
    </row>
    <row r="1552" spans="3:13" ht="12.75">
      <c r="C1552" s="134"/>
      <c r="D1552" s="134"/>
      <c r="E1552" s="134"/>
      <c r="F1552" s="134"/>
      <c r="G1552" s="134"/>
      <c r="H1552" s="134"/>
      <c r="I1552" s="134"/>
      <c r="J1552" s="134"/>
      <c r="K1552" s="134"/>
      <c r="L1552" s="134"/>
      <c r="M1552" s="134"/>
    </row>
    <row r="1553" spans="3:13" ht="12.75">
      <c r="C1553" s="134"/>
      <c r="D1553" s="134"/>
      <c r="E1553" s="134"/>
      <c r="F1553" s="134"/>
      <c r="G1553" s="134"/>
      <c r="H1553" s="134"/>
      <c r="I1553" s="134"/>
      <c r="J1553" s="134"/>
      <c r="K1553" s="134"/>
      <c r="L1553" s="134"/>
      <c r="M1553" s="134"/>
    </row>
    <row r="1554" spans="3:13" ht="12.75">
      <c r="C1554" s="134"/>
      <c r="D1554" s="134"/>
      <c r="E1554" s="134"/>
      <c r="F1554" s="134"/>
      <c r="G1554" s="134"/>
      <c r="H1554" s="134"/>
      <c r="I1554" s="134"/>
      <c r="J1554" s="134"/>
      <c r="K1554" s="134"/>
      <c r="L1554" s="134"/>
      <c r="M1554" s="134"/>
    </row>
    <row r="1555" spans="3:13" ht="12.75">
      <c r="C1555" s="134"/>
      <c r="D1555" s="134"/>
      <c r="E1555" s="134"/>
      <c r="F1555" s="134"/>
      <c r="G1555" s="134"/>
      <c r="H1555" s="134"/>
      <c r="I1555" s="134"/>
      <c r="J1555" s="134"/>
      <c r="K1555" s="134"/>
      <c r="L1555" s="134"/>
      <c r="M1555" s="134"/>
    </row>
    <row r="1556" spans="3:13" ht="12.75">
      <c r="C1556" s="134"/>
      <c r="D1556" s="134"/>
      <c r="E1556" s="134"/>
      <c r="F1556" s="134"/>
      <c r="G1556" s="134"/>
      <c r="H1556" s="134"/>
      <c r="I1556" s="134"/>
      <c r="J1556" s="134"/>
      <c r="K1556" s="134"/>
      <c r="L1556" s="134"/>
      <c r="M1556" s="134"/>
    </row>
    <row r="1557" spans="3:13" ht="12.75">
      <c r="C1557" s="134"/>
      <c r="D1557" s="134"/>
      <c r="E1557" s="134"/>
      <c r="F1557" s="134"/>
      <c r="G1557" s="134"/>
      <c r="H1557" s="134"/>
      <c r="I1557" s="134"/>
      <c r="J1557" s="134"/>
      <c r="K1557" s="134"/>
      <c r="L1557" s="134"/>
      <c r="M1557" s="134"/>
    </row>
    <row r="1558" spans="3:13" ht="12.75">
      <c r="C1558" s="134"/>
      <c r="D1558" s="134"/>
      <c r="E1558" s="134"/>
      <c r="F1558" s="134"/>
      <c r="G1558" s="134"/>
      <c r="H1558" s="134"/>
      <c r="I1558" s="134"/>
      <c r="J1558" s="134"/>
      <c r="K1558" s="134"/>
      <c r="L1558" s="134"/>
      <c r="M1558" s="134"/>
    </row>
    <row r="1559" spans="3:13" ht="12.75">
      <c r="C1559" s="134"/>
      <c r="D1559" s="134"/>
      <c r="E1559" s="134"/>
      <c r="F1559" s="134"/>
      <c r="G1559" s="134"/>
      <c r="H1559" s="134"/>
      <c r="I1559" s="134"/>
      <c r="J1559" s="134"/>
      <c r="K1559" s="134"/>
      <c r="L1559" s="134"/>
      <c r="M1559" s="134"/>
    </row>
    <row r="1560" spans="3:13" ht="12.75">
      <c r="C1560" s="134"/>
      <c r="D1560" s="134"/>
      <c r="E1560" s="134"/>
      <c r="F1560" s="134"/>
      <c r="G1560" s="134"/>
      <c r="H1560" s="134"/>
      <c r="I1560" s="134"/>
      <c r="J1560" s="134"/>
      <c r="K1560" s="134"/>
      <c r="L1560" s="134"/>
      <c r="M1560" s="134"/>
    </row>
    <row r="1561" spans="3:13" ht="12.75">
      <c r="C1561" s="134"/>
      <c r="D1561" s="134"/>
      <c r="E1561" s="134"/>
      <c r="F1561" s="134"/>
      <c r="G1561" s="134"/>
      <c r="H1561" s="134"/>
      <c r="I1561" s="134"/>
      <c r="J1561" s="134"/>
      <c r="K1561" s="134"/>
      <c r="L1561" s="134"/>
      <c r="M1561" s="134"/>
    </row>
    <row r="1562" spans="3:13" ht="12.75">
      <c r="C1562" s="134"/>
      <c r="D1562" s="134"/>
      <c r="E1562" s="134"/>
      <c r="F1562" s="134"/>
      <c r="G1562" s="134"/>
      <c r="H1562" s="134"/>
      <c r="I1562" s="134"/>
      <c r="J1562" s="134"/>
      <c r="K1562" s="134"/>
      <c r="L1562" s="134"/>
      <c r="M1562" s="134"/>
    </row>
    <row r="1563" spans="3:13" ht="12.75">
      <c r="C1563" s="134"/>
      <c r="D1563" s="134"/>
      <c r="E1563" s="134"/>
      <c r="F1563" s="134"/>
      <c r="G1563" s="134"/>
      <c r="H1563" s="134"/>
      <c r="I1563" s="134"/>
      <c r="J1563" s="134"/>
      <c r="K1563" s="134"/>
      <c r="L1563" s="134"/>
      <c r="M1563" s="134"/>
    </row>
    <row r="1564" spans="3:13" ht="12.75">
      <c r="C1564" s="134"/>
      <c r="D1564" s="134"/>
      <c r="E1564" s="134"/>
      <c r="F1564" s="134"/>
      <c r="G1564" s="134"/>
      <c r="H1564" s="134"/>
      <c r="I1564" s="134"/>
      <c r="J1564" s="134"/>
      <c r="K1564" s="134"/>
      <c r="L1564" s="134"/>
      <c r="M1564" s="134"/>
    </row>
    <row r="1565" spans="3:13" ht="12.75">
      <c r="C1565" s="134"/>
      <c r="D1565" s="134"/>
      <c r="E1565" s="134"/>
      <c r="F1565" s="134"/>
      <c r="G1565" s="134"/>
      <c r="H1565" s="134"/>
      <c r="I1565" s="134"/>
      <c r="J1565" s="134"/>
      <c r="K1565" s="134"/>
      <c r="L1565" s="134"/>
      <c r="M1565" s="134"/>
    </row>
    <row r="1566" spans="3:13" ht="12.75">
      <c r="C1566" s="134"/>
      <c r="D1566" s="134"/>
      <c r="E1566" s="134"/>
      <c r="F1566" s="134"/>
      <c r="G1566" s="134"/>
      <c r="H1566" s="134"/>
      <c r="I1566" s="134"/>
      <c r="J1566" s="134"/>
      <c r="K1566" s="134"/>
      <c r="L1566" s="134"/>
      <c r="M1566" s="134"/>
    </row>
    <row r="1567" spans="3:13" ht="12.75">
      <c r="C1567" s="134"/>
      <c r="D1567" s="134"/>
      <c r="E1567" s="134"/>
      <c r="F1567" s="134"/>
      <c r="G1567" s="134"/>
      <c r="H1567" s="134"/>
      <c r="I1567" s="134"/>
      <c r="J1567" s="134"/>
      <c r="K1567" s="134"/>
      <c r="L1567" s="134"/>
      <c r="M1567" s="134"/>
    </row>
    <row r="1568" spans="3:13" ht="12.75">
      <c r="C1568" s="134"/>
      <c r="D1568" s="134"/>
      <c r="E1568" s="134"/>
      <c r="F1568" s="134"/>
      <c r="G1568" s="134"/>
      <c r="H1568" s="134"/>
      <c r="I1568" s="134"/>
      <c r="J1568" s="134"/>
      <c r="K1568" s="134"/>
      <c r="L1568" s="134"/>
      <c r="M1568" s="134"/>
    </row>
    <row r="1569" spans="3:13" ht="12.75">
      <c r="C1569" s="134"/>
      <c r="D1569" s="134"/>
      <c r="E1569" s="134"/>
      <c r="F1569" s="134"/>
      <c r="G1569" s="134"/>
      <c r="H1569" s="134"/>
      <c r="I1569" s="134"/>
      <c r="J1569" s="134"/>
      <c r="K1569" s="134"/>
      <c r="L1569" s="134"/>
      <c r="M1569" s="134"/>
    </row>
    <row r="1570" spans="3:13" ht="12.75">
      <c r="C1570" s="134"/>
      <c r="D1570" s="134"/>
      <c r="E1570" s="134"/>
      <c r="F1570" s="134"/>
      <c r="G1570" s="134"/>
      <c r="H1570" s="134"/>
      <c r="I1570" s="134"/>
      <c r="J1570" s="134"/>
      <c r="K1570" s="134"/>
      <c r="L1570" s="134"/>
      <c r="M1570" s="134"/>
    </row>
    <row r="1571" spans="3:13" ht="12.75">
      <c r="C1571" s="134"/>
      <c r="D1571" s="134"/>
      <c r="E1571" s="134"/>
      <c r="F1571" s="134"/>
      <c r="G1571" s="134"/>
      <c r="H1571" s="134"/>
      <c r="I1571" s="134"/>
      <c r="J1571" s="134"/>
      <c r="K1571" s="134"/>
      <c r="L1571" s="134"/>
      <c r="M1571" s="134"/>
    </row>
    <row r="1572" spans="3:13" ht="12.75">
      <c r="C1572" s="134"/>
      <c r="D1572" s="134"/>
      <c r="E1572" s="134"/>
      <c r="F1572" s="134"/>
      <c r="G1572" s="134"/>
      <c r="H1572" s="134"/>
      <c r="I1572" s="134"/>
      <c r="J1572" s="134"/>
      <c r="K1572" s="134"/>
      <c r="L1572" s="134"/>
      <c r="M1572" s="134"/>
    </row>
    <row r="1573" spans="3:13" ht="12.75">
      <c r="C1573" s="134"/>
      <c r="D1573" s="134"/>
      <c r="E1573" s="134"/>
      <c r="F1573" s="134"/>
      <c r="G1573" s="134"/>
      <c r="H1573" s="134"/>
      <c r="I1573" s="134"/>
      <c r="J1573" s="134"/>
      <c r="K1573" s="134"/>
      <c r="L1573" s="134"/>
      <c r="M1573" s="134"/>
    </row>
    <row r="1574" spans="3:13" ht="12.75">
      <c r="C1574" s="134"/>
      <c r="D1574" s="134"/>
      <c r="E1574" s="134"/>
      <c r="F1574" s="134"/>
      <c r="G1574" s="134"/>
      <c r="H1574" s="134"/>
      <c r="I1574" s="134"/>
      <c r="J1574" s="134"/>
      <c r="K1574" s="134"/>
      <c r="L1574" s="134"/>
      <c r="M1574" s="134"/>
    </row>
    <row r="1575" spans="3:13" ht="12.75">
      <c r="C1575" s="134"/>
      <c r="D1575" s="134"/>
      <c r="E1575" s="134"/>
      <c r="F1575" s="134"/>
      <c r="G1575" s="134"/>
      <c r="H1575" s="134"/>
      <c r="I1575" s="134"/>
      <c r="J1575" s="134"/>
      <c r="K1575" s="134"/>
      <c r="L1575" s="134"/>
      <c r="M1575" s="134"/>
    </row>
    <row r="1576" spans="3:13" ht="12.75">
      <c r="C1576" s="134"/>
      <c r="D1576" s="134"/>
      <c r="E1576" s="134"/>
      <c r="F1576" s="134"/>
      <c r="G1576" s="134"/>
      <c r="H1576" s="134"/>
      <c r="I1576" s="134"/>
      <c r="J1576" s="134"/>
      <c r="K1576" s="134"/>
      <c r="L1576" s="134"/>
      <c r="M1576" s="134"/>
    </row>
    <row r="1577" spans="3:13" ht="12.75">
      <c r="C1577" s="134"/>
      <c r="D1577" s="134"/>
      <c r="E1577" s="134"/>
      <c r="F1577" s="134"/>
      <c r="G1577" s="134"/>
      <c r="H1577" s="134"/>
      <c r="I1577" s="134"/>
      <c r="J1577" s="134"/>
      <c r="K1577" s="134"/>
      <c r="L1577" s="134"/>
      <c r="M1577" s="134"/>
    </row>
    <row r="1578" spans="3:13" ht="12.75">
      <c r="C1578" s="134"/>
      <c r="D1578" s="134"/>
      <c r="E1578" s="134"/>
      <c r="F1578" s="134"/>
      <c r="G1578" s="134"/>
      <c r="H1578" s="134"/>
      <c r="I1578" s="134"/>
      <c r="J1578" s="134"/>
      <c r="K1578" s="134"/>
      <c r="L1578" s="134"/>
      <c r="M1578" s="134"/>
    </row>
    <row r="1579" spans="3:13" ht="12.75">
      <c r="C1579" s="134"/>
      <c r="D1579" s="134"/>
      <c r="E1579" s="134"/>
      <c r="F1579" s="134"/>
      <c r="G1579" s="134"/>
      <c r="H1579" s="134"/>
      <c r="I1579" s="134"/>
      <c r="J1579" s="134"/>
      <c r="K1579" s="134"/>
      <c r="L1579" s="134"/>
      <c r="M1579" s="134"/>
    </row>
    <row r="1580" spans="3:13" ht="12.75">
      <c r="C1580" s="134"/>
      <c r="D1580" s="134"/>
      <c r="E1580" s="134"/>
      <c r="F1580" s="134"/>
      <c r="G1580" s="134"/>
      <c r="H1580" s="134"/>
      <c r="I1580" s="134"/>
      <c r="J1580" s="134"/>
      <c r="K1580" s="134"/>
      <c r="L1580" s="134"/>
      <c r="M1580" s="134"/>
    </row>
    <row r="1581" spans="3:13" ht="12.75">
      <c r="C1581" s="134"/>
      <c r="D1581" s="134"/>
      <c r="E1581" s="134"/>
      <c r="F1581" s="134"/>
      <c r="G1581" s="134"/>
      <c r="H1581" s="134"/>
      <c r="I1581" s="134"/>
      <c r="J1581" s="134"/>
      <c r="K1581" s="134"/>
      <c r="L1581" s="134"/>
      <c r="M1581" s="134"/>
    </row>
    <row r="1582" spans="3:13" ht="12.75">
      <c r="C1582" s="134"/>
      <c r="D1582" s="134"/>
      <c r="E1582" s="134"/>
      <c r="F1582" s="134"/>
      <c r="G1582" s="134"/>
      <c r="H1582" s="134"/>
      <c r="I1582" s="134"/>
      <c r="J1582" s="134"/>
      <c r="K1582" s="134"/>
      <c r="L1582" s="134"/>
      <c r="M1582" s="134"/>
    </row>
    <row r="1583" spans="3:13" ht="12.75">
      <c r="C1583" s="134"/>
      <c r="D1583" s="134"/>
      <c r="E1583" s="134"/>
      <c r="F1583" s="134"/>
      <c r="G1583" s="134"/>
      <c r="H1583" s="134"/>
      <c r="I1583" s="134"/>
      <c r="J1583" s="134"/>
      <c r="K1583" s="134"/>
      <c r="L1583" s="134"/>
      <c r="M1583" s="134"/>
    </row>
    <row r="1584" spans="3:13" ht="12.75">
      <c r="C1584" s="134"/>
      <c r="D1584" s="134"/>
      <c r="E1584" s="134"/>
      <c r="F1584" s="134"/>
      <c r="G1584" s="134"/>
      <c r="H1584" s="134"/>
      <c r="I1584" s="134"/>
      <c r="J1584" s="134"/>
      <c r="K1584" s="134"/>
      <c r="L1584" s="134"/>
      <c r="M1584" s="134"/>
    </row>
    <row r="1585" spans="3:13" ht="12.75">
      <c r="C1585" s="134"/>
      <c r="D1585" s="134"/>
      <c r="E1585" s="134"/>
      <c r="F1585" s="134"/>
      <c r="G1585" s="134"/>
      <c r="H1585" s="134"/>
      <c r="I1585" s="134"/>
      <c r="J1585" s="134"/>
      <c r="K1585" s="134"/>
      <c r="L1585" s="134"/>
      <c r="M1585" s="134"/>
    </row>
    <row r="1586" spans="3:13" ht="12.75">
      <c r="C1586" s="134"/>
      <c r="D1586" s="134"/>
      <c r="E1586" s="134"/>
      <c r="F1586" s="134"/>
      <c r="G1586" s="134"/>
      <c r="H1586" s="134"/>
      <c r="I1586" s="134"/>
      <c r="J1586" s="134"/>
      <c r="K1586" s="134"/>
      <c r="L1586" s="134"/>
      <c r="M1586" s="134"/>
    </row>
    <row r="1587" spans="3:13" ht="12.75">
      <c r="C1587" s="134"/>
      <c r="D1587" s="134"/>
      <c r="E1587" s="134"/>
      <c r="F1587" s="134"/>
      <c r="G1587" s="134"/>
      <c r="H1587" s="134"/>
      <c r="I1587" s="134"/>
      <c r="J1587" s="134"/>
      <c r="K1587" s="134"/>
      <c r="L1587" s="134"/>
      <c r="M1587" s="134"/>
    </row>
    <row r="1588" spans="3:13" ht="12.75">
      <c r="C1588" s="134"/>
      <c r="D1588" s="134"/>
      <c r="E1588" s="134"/>
      <c r="F1588" s="134"/>
      <c r="G1588" s="134"/>
      <c r="H1588" s="134"/>
      <c r="I1588" s="134"/>
      <c r="J1588" s="134"/>
      <c r="K1588" s="134"/>
      <c r="L1588" s="134"/>
      <c r="M1588" s="134"/>
    </row>
    <row r="1589" spans="3:13" ht="12.75">
      <c r="C1589" s="134"/>
      <c r="D1589" s="134"/>
      <c r="E1589" s="134"/>
      <c r="F1589" s="134"/>
      <c r="G1589" s="134"/>
      <c r="H1589" s="134"/>
      <c r="I1589" s="134"/>
      <c r="J1589" s="134"/>
      <c r="K1589" s="134"/>
      <c r="L1589" s="134"/>
      <c r="M1589" s="134"/>
    </row>
    <row r="1590" spans="3:13" ht="12.75">
      <c r="C1590" s="134"/>
      <c r="D1590" s="134"/>
      <c r="E1590" s="134"/>
      <c r="F1590" s="134"/>
      <c r="G1590" s="134"/>
      <c r="H1590" s="134"/>
      <c r="I1590" s="134"/>
      <c r="J1590" s="134"/>
      <c r="K1590" s="134"/>
      <c r="L1590" s="134"/>
      <c r="M1590" s="134"/>
    </row>
    <row r="1591" spans="3:13" ht="12.75">
      <c r="C1591" s="134"/>
      <c r="D1591" s="134"/>
      <c r="E1591" s="134"/>
      <c r="F1591" s="134"/>
      <c r="G1591" s="134"/>
      <c r="H1591" s="134"/>
      <c r="I1591" s="134"/>
      <c r="J1591" s="134"/>
      <c r="K1591" s="134"/>
      <c r="L1591" s="134"/>
      <c r="M1591" s="134"/>
    </row>
    <row r="1592" spans="3:13" ht="12.75">
      <c r="C1592" s="134"/>
      <c r="D1592" s="134"/>
      <c r="E1592" s="134"/>
      <c r="F1592" s="134"/>
      <c r="G1592" s="134"/>
      <c r="H1592" s="134"/>
      <c r="I1592" s="134"/>
      <c r="J1592" s="134"/>
      <c r="K1592" s="134"/>
      <c r="L1592" s="134"/>
      <c r="M1592" s="134"/>
    </row>
    <row r="1593" spans="3:13" ht="12.75">
      <c r="C1593" s="134"/>
      <c r="D1593" s="134"/>
      <c r="E1593" s="134"/>
      <c r="F1593" s="134"/>
      <c r="G1593" s="134"/>
      <c r="H1593" s="134"/>
      <c r="I1593" s="134"/>
      <c r="J1593" s="134"/>
      <c r="K1593" s="134"/>
      <c r="L1593" s="134"/>
      <c r="M1593" s="134"/>
    </row>
    <row r="1594" spans="3:13" ht="12.75">
      <c r="C1594" s="134"/>
      <c r="D1594" s="134"/>
      <c r="E1594" s="134"/>
      <c r="F1594" s="134"/>
      <c r="G1594" s="134"/>
      <c r="H1594" s="134"/>
      <c r="I1594" s="134"/>
      <c r="J1594" s="134"/>
      <c r="K1594" s="134"/>
      <c r="L1594" s="134"/>
      <c r="M1594" s="134"/>
    </row>
    <row r="1595" spans="3:13" ht="12.75">
      <c r="C1595" s="134"/>
      <c r="D1595" s="134"/>
      <c r="E1595" s="134"/>
      <c r="F1595" s="134"/>
      <c r="G1595" s="134"/>
      <c r="H1595" s="134"/>
      <c r="I1595" s="134"/>
      <c r="J1595" s="134"/>
      <c r="K1595" s="134"/>
      <c r="L1595" s="134"/>
      <c r="M1595" s="134"/>
    </row>
    <row r="1596" spans="3:13" ht="12.75">
      <c r="C1596" s="134"/>
      <c r="D1596" s="134"/>
      <c r="E1596" s="134"/>
      <c r="F1596" s="134"/>
      <c r="G1596" s="134"/>
      <c r="H1596" s="134"/>
      <c r="I1596" s="134"/>
      <c r="J1596" s="134"/>
      <c r="K1596" s="134"/>
      <c r="L1596" s="134"/>
      <c r="M1596" s="134"/>
    </row>
    <row r="1597" spans="3:13" ht="12.75">
      <c r="C1597" s="134"/>
      <c r="D1597" s="134"/>
      <c r="E1597" s="134"/>
      <c r="F1597" s="134"/>
      <c r="G1597" s="134"/>
      <c r="H1597" s="134"/>
      <c r="I1597" s="134"/>
      <c r="J1597" s="134"/>
      <c r="K1597" s="134"/>
      <c r="L1597" s="134"/>
      <c r="M1597" s="134"/>
    </row>
    <row r="1598" spans="3:13" ht="12.75">
      <c r="C1598" s="134"/>
      <c r="D1598" s="134"/>
      <c r="E1598" s="134"/>
      <c r="F1598" s="134"/>
      <c r="G1598" s="134"/>
      <c r="H1598" s="134"/>
      <c r="I1598" s="134"/>
      <c r="J1598" s="134"/>
      <c r="K1598" s="134"/>
      <c r="L1598" s="134"/>
      <c r="M1598" s="134"/>
    </row>
    <row r="1599" spans="3:13" ht="12.75">
      <c r="C1599" s="134"/>
      <c r="D1599" s="134"/>
      <c r="E1599" s="134"/>
      <c r="F1599" s="134"/>
      <c r="G1599" s="134"/>
      <c r="H1599" s="134"/>
      <c r="I1599" s="134"/>
      <c r="J1599" s="134"/>
      <c r="K1599" s="134"/>
      <c r="L1599" s="134"/>
      <c r="M1599" s="134"/>
    </row>
    <row r="1600" spans="3:13" ht="12.75">
      <c r="C1600" s="134"/>
      <c r="D1600" s="134"/>
      <c r="E1600" s="134"/>
      <c r="F1600" s="134"/>
      <c r="G1600" s="134"/>
      <c r="H1600" s="134"/>
      <c r="I1600" s="134"/>
      <c r="J1600" s="134"/>
      <c r="K1600" s="134"/>
      <c r="L1600" s="134"/>
      <c r="M1600" s="134"/>
    </row>
    <row r="1601" spans="3:13" ht="12.75">
      <c r="C1601" s="134"/>
      <c r="D1601" s="134"/>
      <c r="E1601" s="134"/>
      <c r="F1601" s="134"/>
      <c r="G1601" s="134"/>
      <c r="H1601" s="134"/>
      <c r="I1601" s="134"/>
      <c r="J1601" s="134"/>
      <c r="K1601" s="134"/>
      <c r="L1601" s="134"/>
      <c r="M1601" s="134"/>
    </row>
    <row r="1602" spans="3:13" ht="12.75">
      <c r="C1602" s="134"/>
      <c r="D1602" s="134"/>
      <c r="E1602" s="134"/>
      <c r="F1602" s="134"/>
      <c r="G1602" s="134"/>
      <c r="H1602" s="134"/>
      <c r="I1602" s="134"/>
      <c r="J1602" s="134"/>
      <c r="K1602" s="134"/>
      <c r="L1602" s="134"/>
      <c r="M1602" s="134"/>
    </row>
    <row r="1603" spans="3:13" ht="12.75">
      <c r="C1603" s="134"/>
      <c r="D1603" s="134"/>
      <c r="E1603" s="134"/>
      <c r="F1603" s="134"/>
      <c r="G1603" s="134"/>
      <c r="H1603" s="134"/>
      <c r="I1603" s="134"/>
      <c r="J1603" s="134"/>
      <c r="K1603" s="134"/>
      <c r="L1603" s="134"/>
      <c r="M1603" s="134"/>
    </row>
    <row r="1604" spans="3:13" ht="12.75">
      <c r="C1604" s="134"/>
      <c r="D1604" s="134"/>
      <c r="E1604" s="134"/>
      <c r="F1604" s="134"/>
      <c r="G1604" s="134"/>
      <c r="H1604" s="134"/>
      <c r="I1604" s="134"/>
      <c r="J1604" s="134"/>
      <c r="K1604" s="134"/>
      <c r="L1604" s="134"/>
      <c r="M1604" s="134"/>
    </row>
    <row r="1605" spans="3:13" ht="12.75">
      <c r="C1605" s="134"/>
      <c r="D1605" s="134"/>
      <c r="E1605" s="134"/>
      <c r="F1605" s="134"/>
      <c r="G1605" s="134"/>
      <c r="H1605" s="134"/>
      <c r="I1605" s="134"/>
      <c r="J1605" s="134"/>
      <c r="K1605" s="134"/>
      <c r="L1605" s="134"/>
      <c r="M1605" s="134"/>
    </row>
    <row r="1606" spans="3:13" ht="12.75">
      <c r="C1606" s="134"/>
      <c r="D1606" s="134"/>
      <c r="E1606" s="134"/>
      <c r="F1606" s="134"/>
      <c r="G1606" s="134"/>
      <c r="H1606" s="134"/>
      <c r="I1606" s="134"/>
      <c r="J1606" s="134"/>
      <c r="K1606" s="134"/>
      <c r="L1606" s="134"/>
      <c r="M1606" s="134"/>
    </row>
    <row r="1607" spans="3:13" ht="12.75">
      <c r="C1607" s="134"/>
      <c r="D1607" s="134"/>
      <c r="E1607" s="134"/>
      <c r="F1607" s="134"/>
      <c r="G1607" s="134"/>
      <c r="H1607" s="134"/>
      <c r="I1607" s="134"/>
      <c r="J1607" s="134"/>
      <c r="K1607" s="134"/>
      <c r="L1607" s="134"/>
      <c r="M1607" s="134"/>
    </row>
    <row r="1608" spans="3:13" ht="12.75">
      <c r="C1608" s="134"/>
      <c r="D1608" s="134"/>
      <c r="E1608" s="134"/>
      <c r="F1608" s="134"/>
      <c r="G1608" s="134"/>
      <c r="H1608" s="134"/>
      <c r="I1608" s="134"/>
      <c r="J1608" s="134"/>
      <c r="K1608" s="134"/>
      <c r="L1608" s="134"/>
      <c r="M1608" s="134"/>
    </row>
    <row r="1609" spans="3:13" ht="12.75">
      <c r="C1609" s="134"/>
      <c r="D1609" s="134"/>
      <c r="E1609" s="134"/>
      <c r="F1609" s="134"/>
      <c r="G1609" s="134"/>
      <c r="H1609" s="134"/>
      <c r="I1609" s="134"/>
      <c r="J1609" s="134"/>
      <c r="K1609" s="134"/>
      <c r="L1609" s="134"/>
      <c r="M1609" s="134"/>
    </row>
    <row r="1610" spans="3:13" ht="12.75">
      <c r="C1610" s="134"/>
      <c r="D1610" s="134"/>
      <c r="E1610" s="134"/>
      <c r="F1610" s="134"/>
      <c r="G1610" s="134"/>
      <c r="H1610" s="134"/>
      <c r="I1610" s="134"/>
      <c r="J1610" s="134"/>
      <c r="K1610" s="134"/>
      <c r="L1610" s="134"/>
      <c r="M1610" s="134"/>
    </row>
    <row r="1611" spans="3:13" ht="12.75">
      <c r="C1611" s="134"/>
      <c r="D1611" s="134"/>
      <c r="E1611" s="134"/>
      <c r="F1611" s="134"/>
      <c r="G1611" s="134"/>
      <c r="H1611" s="134"/>
      <c r="I1611" s="134"/>
      <c r="J1611" s="134"/>
      <c r="K1611" s="134"/>
      <c r="L1611" s="134"/>
      <c r="M1611" s="134"/>
    </row>
    <row r="1612" spans="3:13" ht="12.75">
      <c r="C1612" s="134"/>
      <c r="D1612" s="134"/>
      <c r="E1612" s="134"/>
      <c r="F1612" s="134"/>
      <c r="G1612" s="134"/>
      <c r="H1612" s="134"/>
      <c r="I1612" s="134"/>
      <c r="J1612" s="134"/>
      <c r="K1612" s="134"/>
      <c r="L1612" s="134"/>
      <c r="M1612" s="134"/>
    </row>
    <row r="1613" spans="3:13" ht="12.75">
      <c r="C1613" s="134"/>
      <c r="D1613" s="134"/>
      <c r="E1613" s="134"/>
      <c r="F1613" s="134"/>
      <c r="G1613" s="134"/>
      <c r="H1613" s="134"/>
      <c r="I1613" s="134"/>
      <c r="J1613" s="134"/>
      <c r="K1613" s="134"/>
      <c r="L1613" s="134"/>
      <c r="M1613" s="134"/>
    </row>
    <row r="1614" spans="3:13" ht="12.75">
      <c r="C1614" s="134"/>
      <c r="D1614" s="134"/>
      <c r="E1614" s="134"/>
      <c r="F1614" s="134"/>
      <c r="G1614" s="134"/>
      <c r="H1614" s="134"/>
      <c r="I1614" s="134"/>
      <c r="J1614" s="134"/>
      <c r="K1614" s="134"/>
      <c r="L1614" s="134"/>
      <c r="M1614" s="134"/>
    </row>
    <row r="1615" spans="3:13" ht="12.75">
      <c r="C1615" s="134"/>
      <c r="D1615" s="134"/>
      <c r="E1615" s="134"/>
      <c r="F1615" s="134"/>
      <c r="G1615" s="134"/>
      <c r="H1615" s="134"/>
      <c r="I1615" s="134"/>
      <c r="J1615" s="134"/>
      <c r="K1615" s="134"/>
      <c r="L1615" s="134"/>
      <c r="M1615" s="134"/>
    </row>
    <row r="1616" spans="3:13" ht="12.75">
      <c r="C1616" s="134"/>
      <c r="D1616" s="134"/>
      <c r="E1616" s="134"/>
      <c r="F1616" s="134"/>
      <c r="G1616" s="134"/>
      <c r="H1616" s="134"/>
      <c r="I1616" s="134"/>
      <c r="J1616" s="134"/>
      <c r="K1616" s="134"/>
      <c r="L1616" s="134"/>
      <c r="M1616" s="134"/>
    </row>
    <row r="1617" spans="3:13" ht="12.75">
      <c r="C1617" s="134"/>
      <c r="D1617" s="134"/>
      <c r="E1617" s="134"/>
      <c r="F1617" s="134"/>
      <c r="G1617" s="134"/>
      <c r="H1617" s="134"/>
      <c r="I1617" s="134"/>
      <c r="J1617" s="134"/>
      <c r="K1617" s="134"/>
      <c r="L1617" s="134"/>
      <c r="M1617" s="134"/>
    </row>
    <row r="1618" spans="3:13" ht="12.75">
      <c r="C1618" s="134"/>
      <c r="D1618" s="134"/>
      <c r="E1618" s="134"/>
      <c r="F1618" s="134"/>
      <c r="G1618" s="134"/>
      <c r="H1618" s="134"/>
      <c r="I1618" s="134"/>
      <c r="J1618" s="134"/>
      <c r="K1618" s="134"/>
      <c r="L1618" s="134"/>
      <c r="M1618" s="134"/>
    </row>
    <row r="1619" spans="3:13" ht="12.75">
      <c r="C1619" s="134"/>
      <c r="D1619" s="134"/>
      <c r="E1619" s="134"/>
      <c r="F1619" s="134"/>
      <c r="G1619" s="134"/>
      <c r="H1619" s="134"/>
      <c r="I1619" s="134"/>
      <c r="J1619" s="134"/>
      <c r="K1619" s="134"/>
      <c r="L1619" s="134"/>
      <c r="M1619" s="134"/>
    </row>
    <row r="1620" spans="3:13" ht="12.75">
      <c r="C1620" s="134"/>
      <c r="D1620" s="134"/>
      <c r="E1620" s="134"/>
      <c r="F1620" s="134"/>
      <c r="G1620" s="134"/>
      <c r="H1620" s="134"/>
      <c r="I1620" s="134"/>
      <c r="J1620" s="134"/>
      <c r="K1620" s="134"/>
      <c r="L1620" s="134"/>
      <c r="M1620" s="134"/>
    </row>
    <row r="1621" spans="3:13" ht="12.75">
      <c r="C1621" s="134"/>
      <c r="D1621" s="134"/>
      <c r="E1621" s="134"/>
      <c r="F1621" s="134"/>
      <c r="G1621" s="134"/>
      <c r="H1621" s="134"/>
      <c r="I1621" s="134"/>
      <c r="J1621" s="134"/>
      <c r="K1621" s="134"/>
      <c r="L1621" s="134"/>
      <c r="M1621" s="134"/>
    </row>
    <row r="1622" spans="3:13" ht="12.75">
      <c r="C1622" s="134"/>
      <c r="D1622" s="134"/>
      <c r="E1622" s="134"/>
      <c r="F1622" s="134"/>
      <c r="G1622" s="134"/>
      <c r="H1622" s="134"/>
      <c r="I1622" s="134"/>
      <c r="J1622" s="134"/>
      <c r="K1622" s="134"/>
      <c r="L1622" s="134"/>
      <c r="M1622" s="134"/>
    </row>
    <row r="1623" spans="3:13" ht="12.75">
      <c r="C1623" s="134"/>
      <c r="D1623" s="134"/>
      <c r="E1623" s="134"/>
      <c r="F1623" s="134"/>
      <c r="G1623" s="134"/>
      <c r="H1623" s="134"/>
      <c r="I1623" s="134"/>
      <c r="J1623" s="134"/>
      <c r="K1623" s="134"/>
      <c r="L1623" s="134"/>
      <c r="M1623" s="134"/>
    </row>
    <row r="1624" spans="3:13" ht="12.75">
      <c r="C1624" s="134"/>
      <c r="D1624" s="134"/>
      <c r="E1624" s="134"/>
      <c r="F1624" s="134"/>
      <c r="G1624" s="134"/>
      <c r="H1624" s="134"/>
      <c r="I1624" s="134"/>
      <c r="J1624" s="134"/>
      <c r="K1624" s="134"/>
      <c r="L1624" s="134"/>
      <c r="M1624" s="134"/>
    </row>
    <row r="1625" spans="3:13" ht="12.75">
      <c r="C1625" s="134"/>
      <c r="D1625" s="134"/>
      <c r="E1625" s="134"/>
      <c r="F1625" s="134"/>
      <c r="G1625" s="134"/>
      <c r="H1625" s="134"/>
      <c r="I1625" s="134"/>
      <c r="J1625" s="134"/>
      <c r="K1625" s="134"/>
      <c r="L1625" s="134"/>
      <c r="M1625" s="134"/>
    </row>
    <row r="1626" spans="3:13" ht="12.75">
      <c r="C1626" s="134"/>
      <c r="D1626" s="134"/>
      <c r="E1626" s="134"/>
      <c r="F1626" s="134"/>
      <c r="G1626" s="134"/>
      <c r="H1626" s="134"/>
      <c r="I1626" s="134"/>
      <c r="J1626" s="134"/>
      <c r="K1626" s="134"/>
      <c r="L1626" s="134"/>
      <c r="M1626" s="134"/>
    </row>
    <row r="1627" spans="3:13" ht="12.75">
      <c r="C1627" s="134"/>
      <c r="D1627" s="134"/>
      <c r="E1627" s="134"/>
      <c r="F1627" s="134"/>
      <c r="G1627" s="134"/>
      <c r="H1627" s="134"/>
      <c r="I1627" s="134"/>
      <c r="J1627" s="134"/>
      <c r="K1627" s="134"/>
      <c r="L1627" s="134"/>
      <c r="M1627" s="134"/>
    </row>
    <row r="1628" spans="3:13" ht="12.75">
      <c r="C1628" s="134"/>
      <c r="D1628" s="134"/>
      <c r="E1628" s="134"/>
      <c r="F1628" s="134"/>
      <c r="G1628" s="134"/>
      <c r="H1628" s="134"/>
      <c r="I1628" s="134"/>
      <c r="J1628" s="134"/>
      <c r="K1628" s="134"/>
      <c r="L1628" s="134"/>
      <c r="M1628" s="134"/>
    </row>
    <row r="1629" spans="3:13" ht="12.75">
      <c r="C1629" s="134"/>
      <c r="D1629" s="134"/>
      <c r="E1629" s="134"/>
      <c r="F1629" s="134"/>
      <c r="G1629" s="134"/>
      <c r="H1629" s="134"/>
      <c r="I1629" s="134"/>
      <c r="J1629" s="134"/>
      <c r="K1629" s="134"/>
      <c r="L1629" s="134"/>
      <c r="M1629" s="134"/>
    </row>
    <row r="1630" spans="3:13" ht="12.75">
      <c r="C1630" s="134"/>
      <c r="D1630" s="134"/>
      <c r="E1630" s="134"/>
      <c r="F1630" s="134"/>
      <c r="G1630" s="134"/>
      <c r="H1630" s="134"/>
      <c r="I1630" s="134"/>
      <c r="J1630" s="134"/>
      <c r="K1630" s="134"/>
      <c r="L1630" s="134"/>
      <c r="M1630" s="134"/>
    </row>
    <row r="1631" spans="3:13" ht="12.75">
      <c r="C1631" s="134"/>
      <c r="D1631" s="134"/>
      <c r="E1631" s="134"/>
      <c r="F1631" s="134"/>
      <c r="G1631" s="134"/>
      <c r="H1631" s="134"/>
      <c r="I1631" s="134"/>
      <c r="J1631" s="134"/>
      <c r="K1631" s="134"/>
      <c r="L1631" s="134"/>
      <c r="M1631" s="134"/>
    </row>
    <row r="1632" spans="3:13" ht="12.75">
      <c r="C1632" s="134"/>
      <c r="D1632" s="134"/>
      <c r="E1632" s="134"/>
      <c r="F1632" s="134"/>
      <c r="G1632" s="134"/>
      <c r="H1632" s="134"/>
      <c r="I1632" s="134"/>
      <c r="J1632" s="134"/>
      <c r="K1632" s="134"/>
      <c r="L1632" s="134"/>
      <c r="M1632" s="134"/>
    </row>
    <row r="1633" spans="3:13" ht="12.75">
      <c r="C1633" s="134"/>
      <c r="D1633" s="134"/>
      <c r="E1633" s="134"/>
      <c r="F1633" s="134"/>
      <c r="G1633" s="134"/>
      <c r="H1633" s="134"/>
      <c r="I1633" s="134"/>
      <c r="J1633" s="134"/>
      <c r="K1633" s="134"/>
      <c r="L1633" s="134"/>
      <c r="M1633" s="134"/>
    </row>
    <row r="1634" spans="3:13" ht="12.75">
      <c r="C1634" s="134"/>
      <c r="D1634" s="134"/>
      <c r="E1634" s="134"/>
      <c r="F1634" s="134"/>
      <c r="G1634" s="134"/>
      <c r="H1634" s="134"/>
      <c r="I1634" s="134"/>
      <c r="J1634" s="134"/>
      <c r="K1634" s="134"/>
      <c r="L1634" s="134"/>
      <c r="M1634" s="134"/>
    </row>
    <row r="1635" spans="3:13" ht="12.75">
      <c r="C1635" s="134"/>
      <c r="D1635" s="134"/>
      <c r="E1635" s="134"/>
      <c r="F1635" s="134"/>
      <c r="G1635" s="134"/>
      <c r="H1635" s="134"/>
      <c r="I1635" s="134"/>
      <c r="J1635" s="134"/>
      <c r="K1635" s="134"/>
      <c r="L1635" s="134"/>
      <c r="M1635" s="134"/>
    </row>
    <row r="1636" spans="3:13" ht="12.75">
      <c r="C1636" s="134"/>
      <c r="D1636" s="134"/>
      <c r="E1636" s="134"/>
      <c r="F1636" s="134"/>
      <c r="G1636" s="134"/>
      <c r="H1636" s="134"/>
      <c r="I1636" s="134"/>
      <c r="J1636" s="134"/>
      <c r="K1636" s="134"/>
      <c r="L1636" s="134"/>
      <c r="M1636" s="134"/>
    </row>
    <row r="1637" spans="3:13" ht="12.75">
      <c r="C1637" s="134"/>
      <c r="D1637" s="134"/>
      <c r="E1637" s="134"/>
      <c r="F1637" s="134"/>
      <c r="G1637" s="134"/>
      <c r="H1637" s="134"/>
      <c r="I1637" s="134"/>
      <c r="J1637" s="134"/>
      <c r="K1637" s="134"/>
      <c r="L1637" s="134"/>
      <c r="M1637" s="134"/>
    </row>
    <row r="1638" spans="3:13" ht="12.75">
      <c r="C1638" s="134"/>
      <c r="D1638" s="134"/>
      <c r="E1638" s="134"/>
      <c r="F1638" s="134"/>
      <c r="G1638" s="134"/>
      <c r="H1638" s="134"/>
      <c r="I1638" s="134"/>
      <c r="J1638" s="134"/>
      <c r="K1638" s="134"/>
      <c r="L1638" s="134"/>
      <c r="M1638" s="134"/>
    </row>
    <row r="1639" spans="3:13" ht="12.75">
      <c r="C1639" s="134"/>
      <c r="D1639" s="134"/>
      <c r="E1639" s="134"/>
      <c r="F1639" s="134"/>
      <c r="G1639" s="134"/>
      <c r="H1639" s="134"/>
      <c r="I1639" s="134"/>
      <c r="J1639" s="134"/>
      <c r="K1639" s="134"/>
      <c r="L1639" s="134"/>
      <c r="M1639" s="134"/>
    </row>
    <row r="1640" spans="3:13" ht="12.75">
      <c r="C1640" s="134"/>
      <c r="D1640" s="134"/>
      <c r="E1640" s="134"/>
      <c r="F1640" s="134"/>
      <c r="G1640" s="134"/>
      <c r="H1640" s="134"/>
      <c r="I1640" s="134"/>
      <c r="J1640" s="134"/>
      <c r="K1640" s="134"/>
      <c r="L1640" s="134"/>
      <c r="M1640" s="134"/>
    </row>
    <row r="1641" spans="3:13" ht="12.75">
      <c r="C1641" s="134"/>
      <c r="D1641" s="134"/>
      <c r="E1641" s="134"/>
      <c r="F1641" s="134"/>
      <c r="G1641" s="134"/>
      <c r="H1641" s="134"/>
      <c r="I1641" s="134"/>
      <c r="J1641" s="134"/>
      <c r="K1641" s="134"/>
      <c r="L1641" s="134"/>
      <c r="M1641" s="134"/>
    </row>
    <row r="1642" spans="3:13" ht="12.75">
      <c r="C1642" s="134"/>
      <c r="D1642" s="134"/>
      <c r="E1642" s="134"/>
      <c r="F1642" s="134"/>
      <c r="G1642" s="134"/>
      <c r="H1642" s="134"/>
      <c r="I1642" s="134"/>
      <c r="J1642" s="134"/>
      <c r="K1642" s="134"/>
      <c r="L1642" s="134"/>
      <c r="M1642" s="134"/>
    </row>
    <row r="1643" spans="3:13" ht="12.75">
      <c r="C1643" s="134"/>
      <c r="D1643" s="134"/>
      <c r="E1643" s="134"/>
      <c r="F1643" s="134"/>
      <c r="G1643" s="134"/>
      <c r="H1643" s="134"/>
      <c r="I1643" s="134"/>
      <c r="J1643" s="134"/>
      <c r="K1643" s="134"/>
      <c r="L1643" s="134"/>
      <c r="M1643" s="134"/>
    </row>
    <row r="1644" spans="3:13" ht="12.75">
      <c r="C1644" s="134"/>
      <c r="D1644" s="134"/>
      <c r="E1644" s="134"/>
      <c r="F1644" s="134"/>
      <c r="G1644" s="134"/>
      <c r="H1644" s="134"/>
      <c r="I1644" s="134"/>
      <c r="J1644" s="134"/>
      <c r="K1644" s="134"/>
      <c r="L1644" s="134"/>
      <c r="M1644" s="134"/>
    </row>
    <row r="1645" spans="3:13" ht="12.75">
      <c r="C1645" s="134"/>
      <c r="D1645" s="134"/>
      <c r="E1645" s="134"/>
      <c r="F1645" s="134"/>
      <c r="G1645" s="134"/>
      <c r="H1645" s="134"/>
      <c r="I1645" s="134"/>
      <c r="J1645" s="134"/>
      <c r="K1645" s="134"/>
      <c r="L1645" s="134"/>
      <c r="M1645" s="134"/>
    </row>
    <row r="1646" spans="3:13" ht="12.75">
      <c r="C1646" s="134"/>
      <c r="D1646" s="134"/>
      <c r="E1646" s="134"/>
      <c r="F1646" s="134"/>
      <c r="G1646" s="134"/>
      <c r="H1646" s="134"/>
      <c r="I1646" s="134"/>
      <c r="J1646" s="134"/>
      <c r="K1646" s="134"/>
      <c r="L1646" s="134"/>
      <c r="M1646" s="134"/>
    </row>
    <row r="1647" spans="3:13" ht="12.75">
      <c r="C1647" s="134"/>
      <c r="D1647" s="134"/>
      <c r="E1647" s="134"/>
      <c r="F1647" s="134"/>
      <c r="G1647" s="134"/>
      <c r="H1647" s="134"/>
      <c r="I1647" s="134"/>
      <c r="J1647" s="134"/>
      <c r="K1647" s="134"/>
      <c r="L1647" s="134"/>
      <c r="M1647" s="134"/>
    </row>
    <row r="1648" spans="3:13" ht="12.75">
      <c r="C1648" s="134"/>
      <c r="D1648" s="134"/>
      <c r="E1648" s="134"/>
      <c r="F1648" s="134"/>
      <c r="G1648" s="134"/>
      <c r="H1648" s="134"/>
      <c r="I1648" s="134"/>
      <c r="J1648" s="134"/>
      <c r="K1648" s="134"/>
      <c r="L1648" s="134"/>
      <c r="M1648" s="134"/>
    </row>
    <row r="1649" spans="3:13" ht="12.75">
      <c r="C1649" s="134"/>
      <c r="D1649" s="134"/>
      <c r="E1649" s="134"/>
      <c r="F1649" s="134"/>
      <c r="G1649" s="134"/>
      <c r="H1649" s="134"/>
      <c r="I1649" s="134"/>
      <c r="J1649" s="134"/>
      <c r="K1649" s="134"/>
      <c r="L1649" s="134"/>
      <c r="M1649" s="134"/>
    </row>
    <row r="1650" spans="3:13" ht="12.75">
      <c r="C1650" s="134"/>
      <c r="D1650" s="134"/>
      <c r="E1650" s="134"/>
      <c r="F1650" s="134"/>
      <c r="G1650" s="134"/>
      <c r="H1650" s="134"/>
      <c r="I1650" s="134"/>
      <c r="J1650" s="134"/>
      <c r="K1650" s="134"/>
      <c r="L1650" s="134"/>
      <c r="M1650" s="134"/>
    </row>
    <row r="1651" spans="3:13" ht="12.75">
      <c r="C1651" s="134"/>
      <c r="D1651" s="134"/>
      <c r="E1651" s="134"/>
      <c r="F1651" s="134"/>
      <c r="G1651" s="134"/>
      <c r="H1651" s="134"/>
      <c r="I1651" s="134"/>
      <c r="J1651" s="134"/>
      <c r="K1651" s="134"/>
      <c r="L1651" s="134"/>
      <c r="M1651" s="134"/>
    </row>
    <row r="1652" spans="3:13" ht="12.75">
      <c r="C1652" s="134"/>
      <c r="D1652" s="134"/>
      <c r="E1652" s="134"/>
      <c r="F1652" s="134"/>
      <c r="G1652" s="134"/>
      <c r="H1652" s="134"/>
      <c r="I1652" s="134"/>
      <c r="J1652" s="134"/>
      <c r="K1652" s="134"/>
      <c r="L1652" s="134"/>
      <c r="M1652" s="134"/>
    </row>
    <row r="1653" spans="3:13" ht="12.75">
      <c r="C1653" s="134"/>
      <c r="D1653" s="134"/>
      <c r="E1653" s="134"/>
      <c r="F1653" s="134"/>
      <c r="G1653" s="134"/>
      <c r="H1653" s="134"/>
      <c r="I1653" s="134"/>
      <c r="J1653" s="134"/>
      <c r="K1653" s="134"/>
      <c r="L1653" s="134"/>
      <c r="M1653" s="134"/>
    </row>
    <row r="1654" spans="3:13" ht="12.75">
      <c r="C1654" s="134"/>
      <c r="D1654" s="134"/>
      <c r="E1654" s="134"/>
      <c r="F1654" s="134"/>
      <c r="G1654" s="134"/>
      <c r="H1654" s="134"/>
      <c r="I1654" s="134"/>
      <c r="J1654" s="134"/>
      <c r="K1654" s="134"/>
      <c r="L1654" s="134"/>
      <c r="M1654" s="134"/>
    </row>
    <row r="1655" spans="3:13" ht="12.75">
      <c r="C1655" s="134"/>
      <c r="D1655" s="134"/>
      <c r="E1655" s="134"/>
      <c r="F1655" s="134"/>
      <c r="G1655" s="134"/>
      <c r="H1655" s="134"/>
      <c r="I1655" s="134"/>
      <c r="J1655" s="134"/>
      <c r="K1655" s="134"/>
      <c r="L1655" s="134"/>
      <c r="M1655" s="134"/>
    </row>
    <row r="1656" spans="3:13" ht="12.75">
      <c r="C1656" s="134"/>
      <c r="D1656" s="134"/>
      <c r="E1656" s="134"/>
      <c r="F1656" s="134"/>
      <c r="G1656" s="134"/>
      <c r="H1656" s="134"/>
      <c r="I1656" s="134"/>
      <c r="J1656" s="134"/>
      <c r="K1656" s="134"/>
      <c r="L1656" s="134"/>
      <c r="M1656" s="134"/>
    </row>
    <row r="1657" spans="3:13" ht="12.75">
      <c r="C1657" s="134"/>
      <c r="D1657" s="134"/>
      <c r="E1657" s="134"/>
      <c r="F1657" s="134"/>
      <c r="G1657" s="134"/>
      <c r="H1657" s="134"/>
      <c r="I1657" s="134"/>
      <c r="J1657" s="134"/>
      <c r="K1657" s="134"/>
      <c r="L1657" s="134"/>
      <c r="M1657" s="134"/>
    </row>
    <row r="1658" spans="3:13" ht="12.75">
      <c r="C1658" s="134"/>
      <c r="D1658" s="134"/>
      <c r="E1658" s="134"/>
      <c r="F1658" s="134"/>
      <c r="G1658" s="134"/>
      <c r="H1658" s="134"/>
      <c r="I1658" s="134"/>
      <c r="J1658" s="134"/>
      <c r="K1658" s="134"/>
      <c r="L1658" s="134"/>
      <c r="M1658" s="134"/>
    </row>
    <row r="1659" spans="3:13" ht="12.75">
      <c r="C1659" s="134"/>
      <c r="D1659" s="134"/>
      <c r="E1659" s="134"/>
      <c r="F1659" s="134"/>
      <c r="G1659" s="134"/>
      <c r="H1659" s="134"/>
      <c r="I1659" s="134"/>
      <c r="J1659" s="134"/>
      <c r="K1659" s="134"/>
      <c r="L1659" s="134"/>
      <c r="M1659" s="134"/>
    </row>
    <row r="1660" spans="3:13" ht="12.75">
      <c r="C1660" s="134"/>
      <c r="D1660" s="134"/>
      <c r="E1660" s="134"/>
      <c r="F1660" s="134"/>
      <c r="G1660" s="134"/>
      <c r="H1660" s="134"/>
      <c r="I1660" s="134"/>
      <c r="J1660" s="134"/>
      <c r="K1660" s="134"/>
      <c r="L1660" s="134"/>
      <c r="M1660" s="134"/>
    </row>
    <row r="1661" spans="3:13" ht="12.75">
      <c r="C1661" s="134"/>
      <c r="D1661" s="134"/>
      <c r="E1661" s="134"/>
      <c r="F1661" s="134"/>
      <c r="G1661" s="134"/>
      <c r="H1661" s="134"/>
      <c r="I1661" s="134"/>
      <c r="J1661" s="134"/>
      <c r="K1661" s="134"/>
      <c r="L1661" s="134"/>
      <c r="M1661" s="134"/>
    </row>
    <row r="1662" spans="3:13" ht="12.75">
      <c r="C1662" s="134"/>
      <c r="D1662" s="134"/>
      <c r="E1662" s="134"/>
      <c r="F1662" s="134"/>
      <c r="G1662" s="134"/>
      <c r="H1662" s="134"/>
      <c r="I1662" s="134"/>
      <c r="J1662" s="134"/>
      <c r="K1662" s="134"/>
      <c r="L1662" s="134"/>
      <c r="M1662" s="134"/>
    </row>
    <row r="1663" spans="3:13" ht="12.75">
      <c r="C1663" s="134"/>
      <c r="D1663" s="134"/>
      <c r="E1663" s="134"/>
      <c r="F1663" s="134"/>
      <c r="G1663" s="134"/>
      <c r="H1663" s="134"/>
      <c r="I1663" s="134"/>
      <c r="J1663" s="134"/>
      <c r="K1663" s="134"/>
      <c r="L1663" s="134"/>
      <c r="M1663" s="134"/>
    </row>
    <row r="1664" spans="3:13" ht="12.75">
      <c r="C1664" s="134"/>
      <c r="D1664" s="134"/>
      <c r="E1664" s="134"/>
      <c r="F1664" s="134"/>
      <c r="G1664" s="134"/>
      <c r="H1664" s="134"/>
      <c r="I1664" s="134"/>
      <c r="J1664" s="134"/>
      <c r="K1664" s="134"/>
      <c r="L1664" s="134"/>
      <c r="M1664" s="134"/>
    </row>
    <row r="1665" spans="3:13" ht="12.75">
      <c r="C1665" s="134"/>
      <c r="D1665" s="134"/>
      <c r="E1665" s="134"/>
      <c r="F1665" s="134"/>
      <c r="G1665" s="134"/>
      <c r="H1665" s="134"/>
      <c r="I1665" s="134"/>
      <c r="J1665" s="134"/>
      <c r="K1665" s="134"/>
      <c r="L1665" s="134"/>
      <c r="M1665" s="134"/>
    </row>
    <row r="1666" spans="3:13" ht="12.75">
      <c r="C1666" s="134"/>
      <c r="D1666" s="134"/>
      <c r="E1666" s="134"/>
      <c r="F1666" s="134"/>
      <c r="G1666" s="134"/>
      <c r="H1666" s="134"/>
      <c r="I1666" s="134"/>
      <c r="J1666" s="134"/>
      <c r="K1666" s="134"/>
      <c r="L1666" s="134"/>
      <c r="M1666" s="134"/>
    </row>
    <row r="1667" spans="3:13" ht="12.75">
      <c r="C1667" s="134"/>
      <c r="D1667" s="134"/>
      <c r="E1667" s="134"/>
      <c r="F1667" s="134"/>
      <c r="G1667" s="134"/>
      <c r="H1667" s="134"/>
      <c r="I1667" s="134"/>
      <c r="J1667" s="134"/>
      <c r="K1667" s="134"/>
      <c r="L1667" s="134"/>
      <c r="M1667" s="134"/>
    </row>
    <row r="1668" spans="3:13" ht="12.75">
      <c r="C1668" s="134"/>
      <c r="D1668" s="134"/>
      <c r="E1668" s="134"/>
      <c r="F1668" s="134"/>
      <c r="G1668" s="134"/>
      <c r="H1668" s="134"/>
      <c r="I1668" s="134"/>
      <c r="J1668" s="134"/>
      <c r="K1668" s="134"/>
      <c r="L1668" s="134"/>
      <c r="M1668" s="134"/>
    </row>
    <row r="1669" spans="3:13" ht="12.75">
      <c r="C1669" s="134"/>
      <c r="D1669" s="134"/>
      <c r="E1669" s="134"/>
      <c r="F1669" s="134"/>
      <c r="G1669" s="134"/>
      <c r="H1669" s="134"/>
      <c r="I1669" s="134"/>
      <c r="J1669" s="134"/>
      <c r="K1669" s="134"/>
      <c r="L1669" s="134"/>
      <c r="M1669" s="134"/>
    </row>
    <row r="1670" spans="3:13" ht="12.75">
      <c r="C1670" s="134"/>
      <c r="D1670" s="134"/>
      <c r="E1670" s="134"/>
      <c r="F1670" s="134"/>
      <c r="G1670" s="134"/>
      <c r="H1670" s="134"/>
      <c r="I1670" s="134"/>
      <c r="J1670" s="134"/>
      <c r="K1670" s="134"/>
      <c r="L1670" s="134"/>
      <c r="M1670" s="134"/>
    </row>
    <row r="1671" spans="3:13" ht="12.75">
      <c r="C1671" s="134"/>
      <c r="D1671" s="134"/>
      <c r="E1671" s="134"/>
      <c r="F1671" s="134"/>
      <c r="G1671" s="134"/>
      <c r="H1671" s="134"/>
      <c r="I1671" s="134"/>
      <c r="J1671" s="134"/>
      <c r="K1671" s="134"/>
      <c r="L1671" s="134"/>
      <c r="M1671" s="134"/>
    </row>
    <row r="1672" spans="3:13" ht="12.75">
      <c r="C1672" s="134"/>
      <c r="D1672" s="134"/>
      <c r="E1672" s="134"/>
      <c r="F1672" s="134"/>
      <c r="G1672" s="134"/>
      <c r="H1672" s="134"/>
      <c r="I1672" s="134"/>
      <c r="J1672" s="134"/>
      <c r="K1672" s="134"/>
      <c r="L1672" s="134"/>
      <c r="M1672" s="134"/>
    </row>
    <row r="1673" spans="3:13" ht="12.75">
      <c r="C1673" s="134"/>
      <c r="D1673" s="134"/>
      <c r="E1673" s="134"/>
      <c r="F1673" s="134"/>
      <c r="G1673" s="134"/>
      <c r="H1673" s="134"/>
      <c r="I1673" s="134"/>
      <c r="J1673" s="134"/>
      <c r="K1673" s="134"/>
      <c r="L1673" s="134"/>
      <c r="M1673" s="134"/>
    </row>
    <row r="1674" spans="3:13" ht="12.75">
      <c r="C1674" s="134"/>
      <c r="D1674" s="134"/>
      <c r="E1674" s="134"/>
      <c r="F1674" s="134"/>
      <c r="G1674" s="134"/>
      <c r="H1674" s="134"/>
      <c r="I1674" s="134"/>
      <c r="J1674" s="134"/>
      <c r="K1674" s="134"/>
      <c r="L1674" s="134"/>
      <c r="M1674" s="134"/>
    </row>
    <row r="1675" spans="3:13" ht="12.75">
      <c r="C1675" s="134"/>
      <c r="D1675" s="134"/>
      <c r="E1675" s="134"/>
      <c r="F1675" s="134"/>
      <c r="G1675" s="134"/>
      <c r="H1675" s="134"/>
      <c r="I1675" s="134"/>
      <c r="J1675" s="134"/>
      <c r="K1675" s="134"/>
      <c r="L1675" s="134"/>
      <c r="M1675" s="134"/>
    </row>
    <row r="1676" spans="3:13" ht="12.75">
      <c r="C1676" s="134"/>
      <c r="D1676" s="134"/>
      <c r="E1676" s="134"/>
      <c r="F1676" s="134"/>
      <c r="G1676" s="134"/>
      <c r="H1676" s="134"/>
      <c r="I1676" s="134"/>
      <c r="J1676" s="134"/>
      <c r="K1676" s="134"/>
      <c r="L1676" s="134"/>
      <c r="M1676" s="134"/>
    </row>
    <row r="1677" spans="3:13" ht="12.75">
      <c r="C1677" s="134"/>
      <c r="D1677" s="134"/>
      <c r="E1677" s="134"/>
      <c r="F1677" s="134"/>
      <c r="G1677" s="134"/>
      <c r="H1677" s="134"/>
      <c r="I1677" s="134"/>
      <c r="J1677" s="134"/>
      <c r="K1677" s="134"/>
      <c r="L1677" s="134"/>
      <c r="M1677" s="134"/>
    </row>
    <row r="1678" spans="3:13" ht="12.75">
      <c r="C1678" s="134"/>
      <c r="D1678" s="134"/>
      <c r="E1678" s="134"/>
      <c r="F1678" s="134"/>
      <c r="G1678" s="134"/>
      <c r="H1678" s="134"/>
      <c r="I1678" s="134"/>
      <c r="J1678" s="134"/>
      <c r="K1678" s="134"/>
      <c r="L1678" s="134"/>
      <c r="M1678" s="134"/>
    </row>
    <row r="1679" spans="3:13" ht="12.75">
      <c r="C1679" s="134"/>
      <c r="D1679" s="134"/>
      <c r="E1679" s="134"/>
      <c r="F1679" s="134"/>
      <c r="G1679" s="134"/>
      <c r="H1679" s="134"/>
      <c r="I1679" s="134"/>
      <c r="J1679" s="134"/>
      <c r="K1679" s="134"/>
      <c r="L1679" s="134"/>
      <c r="M1679" s="134"/>
    </row>
    <row r="1680" spans="3:13" ht="12.75">
      <c r="C1680" s="134"/>
      <c r="D1680" s="134"/>
      <c r="E1680" s="134"/>
      <c r="F1680" s="134"/>
      <c r="G1680" s="134"/>
      <c r="H1680" s="134"/>
      <c r="I1680" s="134"/>
      <c r="J1680" s="134"/>
      <c r="K1680" s="134"/>
      <c r="L1680" s="134"/>
      <c r="M1680" s="134"/>
    </row>
    <row r="1681" spans="3:13" ht="12.75">
      <c r="C1681" s="134"/>
      <c r="D1681" s="134"/>
      <c r="E1681" s="134"/>
      <c r="F1681" s="134"/>
      <c r="G1681" s="134"/>
      <c r="H1681" s="134"/>
      <c r="I1681" s="134"/>
      <c r="J1681" s="134"/>
      <c r="K1681" s="134"/>
      <c r="L1681" s="134"/>
      <c r="M1681" s="134"/>
    </row>
    <row r="1682" spans="3:13" ht="12.75">
      <c r="C1682" s="134"/>
      <c r="D1682" s="134"/>
      <c r="E1682" s="134"/>
      <c r="F1682" s="134"/>
      <c r="G1682" s="134"/>
      <c r="H1682" s="134"/>
      <c r="I1682" s="134"/>
      <c r="J1682" s="134"/>
      <c r="K1682" s="134"/>
      <c r="L1682" s="134"/>
      <c r="M1682" s="134"/>
    </row>
    <row r="1683" spans="3:13" ht="12.75">
      <c r="C1683" s="134"/>
      <c r="D1683" s="134"/>
      <c r="E1683" s="134"/>
      <c r="F1683" s="134"/>
      <c r="G1683" s="134"/>
      <c r="H1683" s="134"/>
      <c r="I1683" s="134"/>
      <c r="J1683" s="134"/>
      <c r="K1683" s="134"/>
      <c r="L1683" s="134"/>
      <c r="M1683" s="134"/>
    </row>
    <row r="1684" spans="3:13" ht="12.75">
      <c r="C1684" s="134"/>
      <c r="D1684" s="134"/>
      <c r="E1684" s="134"/>
      <c r="F1684" s="134"/>
      <c r="G1684" s="134"/>
      <c r="H1684" s="134"/>
      <c r="I1684" s="134"/>
      <c r="J1684" s="134"/>
      <c r="K1684" s="134"/>
      <c r="L1684" s="134"/>
      <c r="M1684" s="134"/>
    </row>
    <row r="1685" spans="3:13" ht="12.75">
      <c r="C1685" s="134"/>
      <c r="D1685" s="134"/>
      <c r="E1685" s="134"/>
      <c r="F1685" s="134"/>
      <c r="G1685" s="134"/>
      <c r="H1685" s="134"/>
      <c r="I1685" s="134"/>
      <c r="J1685" s="134"/>
      <c r="K1685" s="134"/>
      <c r="L1685" s="134"/>
      <c r="M1685" s="134"/>
    </row>
    <row r="1686" spans="3:13" ht="12.75">
      <c r="C1686" s="134"/>
      <c r="D1686" s="134"/>
      <c r="E1686" s="134"/>
      <c r="F1686" s="134"/>
      <c r="G1686" s="134"/>
      <c r="H1686" s="134"/>
      <c r="I1686" s="134"/>
      <c r="J1686" s="134"/>
      <c r="K1686" s="134"/>
      <c r="L1686" s="134"/>
      <c r="M1686" s="134"/>
    </row>
    <row r="1687" spans="3:13" ht="12.75">
      <c r="C1687" s="134"/>
      <c r="D1687" s="134"/>
      <c r="E1687" s="134"/>
      <c r="F1687" s="134"/>
      <c r="G1687" s="134"/>
      <c r="H1687" s="134"/>
      <c r="I1687" s="134"/>
      <c r="J1687" s="134"/>
      <c r="K1687" s="134"/>
      <c r="L1687" s="134"/>
      <c r="M1687" s="134"/>
    </row>
    <row r="1688" spans="3:13" ht="12.75">
      <c r="C1688" s="134"/>
      <c r="D1688" s="134"/>
      <c r="E1688" s="134"/>
      <c r="F1688" s="134"/>
      <c r="G1688" s="134"/>
      <c r="H1688" s="134"/>
      <c r="I1688" s="134"/>
      <c r="J1688" s="134"/>
      <c r="K1688" s="134"/>
      <c r="L1688" s="134"/>
      <c r="M1688" s="134"/>
    </row>
    <row r="1689" spans="3:13" ht="12.75">
      <c r="C1689" s="134"/>
      <c r="D1689" s="134"/>
      <c r="E1689" s="134"/>
      <c r="F1689" s="134"/>
      <c r="G1689" s="134"/>
      <c r="H1689" s="134"/>
      <c r="I1689" s="134"/>
      <c r="J1689" s="134"/>
      <c r="K1689" s="134"/>
      <c r="L1689" s="134"/>
      <c r="M1689" s="134"/>
    </row>
    <row r="1690" spans="3:13" ht="12.75">
      <c r="C1690" s="134"/>
      <c r="D1690" s="134"/>
      <c r="E1690" s="134"/>
      <c r="F1690" s="134"/>
      <c r="G1690" s="134"/>
      <c r="H1690" s="134"/>
      <c r="I1690" s="134"/>
      <c r="J1690" s="134"/>
      <c r="K1690" s="134"/>
      <c r="L1690" s="134"/>
      <c r="M1690" s="134"/>
    </row>
    <row r="1691" spans="3:13" ht="12.75">
      <c r="C1691" s="134"/>
      <c r="D1691" s="134"/>
      <c r="E1691" s="134"/>
      <c r="F1691" s="134"/>
      <c r="G1691" s="134"/>
      <c r="H1691" s="134"/>
      <c r="I1691" s="134"/>
      <c r="J1691" s="134"/>
      <c r="K1691" s="134"/>
      <c r="L1691" s="134"/>
      <c r="M1691" s="134"/>
    </row>
    <row r="1692" spans="3:13" ht="12.75">
      <c r="C1692" s="134"/>
      <c r="D1692" s="134"/>
      <c r="E1692" s="134"/>
      <c r="F1692" s="134"/>
      <c r="G1692" s="134"/>
      <c r="H1692" s="134"/>
      <c r="I1692" s="134"/>
      <c r="J1692" s="134"/>
      <c r="K1692" s="134"/>
      <c r="L1692" s="134"/>
      <c r="M1692" s="134"/>
    </row>
    <row r="1693" spans="3:13" ht="12.75">
      <c r="C1693" s="134"/>
      <c r="D1693" s="134"/>
      <c r="E1693" s="134"/>
      <c r="F1693" s="134"/>
      <c r="G1693" s="134"/>
      <c r="H1693" s="134"/>
      <c r="I1693" s="134"/>
      <c r="J1693" s="134"/>
      <c r="K1693" s="134"/>
      <c r="L1693" s="134"/>
      <c r="M1693" s="134"/>
    </row>
    <row r="1694" spans="3:13" ht="12.75">
      <c r="C1694" s="134"/>
      <c r="D1694" s="134"/>
      <c r="E1694" s="134"/>
      <c r="F1694" s="134"/>
      <c r="G1694" s="134"/>
      <c r="H1694" s="134"/>
      <c r="I1694" s="134"/>
      <c r="J1694" s="134"/>
      <c r="K1694" s="134"/>
      <c r="L1694" s="134"/>
      <c r="M1694" s="134"/>
    </row>
    <row r="1695" spans="3:13" ht="12.75">
      <c r="C1695" s="134"/>
      <c r="D1695" s="134"/>
      <c r="E1695" s="134"/>
      <c r="F1695" s="134"/>
      <c r="G1695" s="134"/>
      <c r="H1695" s="134"/>
      <c r="I1695" s="134"/>
      <c r="J1695" s="134"/>
      <c r="K1695" s="134"/>
      <c r="L1695" s="134"/>
      <c r="M1695" s="134"/>
    </row>
    <row r="1696" spans="3:13" ht="12.75">
      <c r="C1696" s="134"/>
      <c r="D1696" s="134"/>
      <c r="E1696" s="134"/>
      <c r="F1696" s="134"/>
      <c r="G1696" s="134"/>
      <c r="H1696" s="134"/>
      <c r="I1696" s="134"/>
      <c r="J1696" s="134"/>
      <c r="K1696" s="134"/>
      <c r="L1696" s="134"/>
      <c r="M1696" s="134"/>
    </row>
    <row r="1697" spans="3:13" ht="12.75">
      <c r="C1697" s="134"/>
      <c r="D1697" s="134"/>
      <c r="E1697" s="134"/>
      <c r="F1697" s="134"/>
      <c r="G1697" s="134"/>
      <c r="H1697" s="134"/>
      <c r="I1697" s="134"/>
      <c r="J1697" s="134"/>
      <c r="K1697" s="134"/>
      <c r="L1697" s="134"/>
      <c r="M1697" s="134"/>
    </row>
    <row r="1698" spans="3:13" ht="12.75">
      <c r="C1698" s="134"/>
      <c r="D1698" s="134"/>
      <c r="E1698" s="134"/>
      <c r="F1698" s="134"/>
      <c r="G1698" s="134"/>
      <c r="H1698" s="134"/>
      <c r="I1698" s="134"/>
      <c r="J1698" s="134"/>
      <c r="K1698" s="134"/>
      <c r="L1698" s="134"/>
      <c r="M1698" s="134"/>
    </row>
    <row r="1699" spans="3:13" ht="12.75">
      <c r="C1699" s="134"/>
      <c r="D1699" s="134"/>
      <c r="E1699" s="134"/>
      <c r="F1699" s="134"/>
      <c r="G1699" s="134"/>
      <c r="H1699" s="134"/>
      <c r="I1699" s="134"/>
      <c r="J1699" s="134"/>
      <c r="K1699" s="134"/>
      <c r="L1699" s="134"/>
      <c r="M1699" s="134"/>
    </row>
    <row r="1700" spans="3:13" ht="12.75">
      <c r="C1700" s="134"/>
      <c r="D1700" s="134"/>
      <c r="E1700" s="134"/>
      <c r="F1700" s="134"/>
      <c r="G1700" s="134"/>
      <c r="H1700" s="134"/>
      <c r="I1700" s="134"/>
      <c r="J1700" s="134"/>
      <c r="K1700" s="134"/>
      <c r="L1700" s="134"/>
      <c r="M1700" s="134"/>
    </row>
    <row r="1701" spans="3:13" ht="12.75">
      <c r="C1701" s="134"/>
      <c r="D1701" s="134"/>
      <c r="E1701" s="134"/>
      <c r="F1701" s="134"/>
      <c r="G1701" s="134"/>
      <c r="H1701" s="134"/>
      <c r="I1701" s="134"/>
      <c r="J1701" s="134"/>
      <c r="K1701" s="134"/>
      <c r="L1701" s="134"/>
      <c r="M1701" s="134"/>
    </row>
    <row r="1702" spans="3:13" ht="12.75">
      <c r="C1702" s="134"/>
      <c r="D1702" s="134"/>
      <c r="E1702" s="134"/>
      <c r="F1702" s="134"/>
      <c r="G1702" s="134"/>
      <c r="H1702" s="134"/>
      <c r="I1702" s="134"/>
      <c r="J1702" s="134"/>
      <c r="K1702" s="134"/>
      <c r="L1702" s="134"/>
      <c r="M1702" s="134"/>
    </row>
    <row r="1703" spans="3:13" ht="12.75">
      <c r="C1703" s="134"/>
      <c r="D1703" s="134"/>
      <c r="E1703" s="134"/>
      <c r="F1703" s="134"/>
      <c r="G1703" s="134"/>
      <c r="H1703" s="134"/>
      <c r="I1703" s="134"/>
      <c r="J1703" s="134"/>
      <c r="K1703" s="134"/>
      <c r="L1703" s="134"/>
      <c r="M1703" s="134"/>
    </row>
    <row r="1704" spans="3:13" ht="12.75">
      <c r="C1704" s="134"/>
      <c r="D1704" s="134"/>
      <c r="E1704" s="134"/>
      <c r="F1704" s="134"/>
      <c r="G1704" s="134"/>
      <c r="H1704" s="134"/>
      <c r="I1704" s="134"/>
      <c r="J1704" s="134"/>
      <c r="K1704" s="134"/>
      <c r="L1704" s="134"/>
      <c r="M1704" s="134"/>
    </row>
    <row r="1705" spans="3:13" ht="12.75">
      <c r="C1705" s="134"/>
      <c r="D1705" s="134"/>
      <c r="E1705" s="134"/>
      <c r="F1705" s="134"/>
      <c r="G1705" s="134"/>
      <c r="H1705" s="134"/>
      <c r="I1705" s="134"/>
      <c r="J1705" s="134"/>
      <c r="K1705" s="134"/>
      <c r="L1705" s="134"/>
      <c r="M1705" s="134"/>
    </row>
    <row r="1706" spans="3:13" ht="12.75">
      <c r="C1706" s="134"/>
      <c r="D1706" s="134"/>
      <c r="E1706" s="134"/>
      <c r="F1706" s="134"/>
      <c r="G1706" s="134"/>
      <c r="H1706" s="134"/>
      <c r="I1706" s="134"/>
      <c r="J1706" s="134"/>
      <c r="K1706" s="134"/>
      <c r="L1706" s="134"/>
      <c r="M1706" s="134"/>
    </row>
    <row r="1707" spans="3:13" ht="12.75">
      <c r="C1707" s="134"/>
      <c r="D1707" s="134"/>
      <c r="E1707" s="134"/>
      <c r="F1707" s="134"/>
      <c r="G1707" s="134"/>
      <c r="H1707" s="134"/>
      <c r="I1707" s="134"/>
      <c r="J1707" s="134"/>
      <c r="K1707" s="134"/>
      <c r="L1707" s="134"/>
      <c r="M1707" s="134"/>
    </row>
    <row r="1708" spans="3:13" ht="12.75">
      <c r="C1708" s="134"/>
      <c r="D1708" s="134"/>
      <c r="E1708" s="134"/>
      <c r="F1708" s="134"/>
      <c r="G1708" s="134"/>
      <c r="H1708" s="134"/>
      <c r="I1708" s="134"/>
      <c r="J1708" s="134"/>
      <c r="K1708" s="134"/>
      <c r="L1708" s="134"/>
      <c r="M1708" s="134"/>
    </row>
    <row r="1709" spans="3:13" ht="12.75">
      <c r="C1709" s="134"/>
      <c r="D1709" s="134"/>
      <c r="E1709" s="134"/>
      <c r="F1709" s="134"/>
      <c r="G1709" s="134"/>
      <c r="H1709" s="134"/>
      <c r="I1709" s="134"/>
      <c r="J1709" s="134"/>
      <c r="K1709" s="134"/>
      <c r="L1709" s="134"/>
      <c r="M1709" s="134"/>
    </row>
    <row r="1710" spans="3:13" ht="12.75">
      <c r="C1710" s="134"/>
      <c r="D1710" s="134"/>
      <c r="E1710" s="134"/>
      <c r="F1710" s="134"/>
      <c r="G1710" s="134"/>
      <c r="H1710" s="134"/>
      <c r="I1710" s="134"/>
      <c r="J1710" s="134"/>
      <c r="K1710" s="134"/>
      <c r="L1710" s="134"/>
      <c r="M1710" s="134"/>
    </row>
    <row r="1711" spans="3:13" ht="12.75">
      <c r="C1711" s="134"/>
      <c r="D1711" s="134"/>
      <c r="E1711" s="134"/>
      <c r="F1711" s="134"/>
      <c r="G1711" s="134"/>
      <c r="H1711" s="134"/>
      <c r="I1711" s="134"/>
      <c r="J1711" s="134"/>
      <c r="K1711" s="134"/>
      <c r="L1711" s="134"/>
      <c r="M1711" s="134"/>
    </row>
    <row r="1712" spans="3:13" ht="12.75">
      <c r="C1712" s="134"/>
      <c r="D1712" s="134"/>
      <c r="E1712" s="134"/>
      <c r="F1712" s="134"/>
      <c r="G1712" s="134"/>
      <c r="H1712" s="134"/>
      <c r="I1712" s="134"/>
      <c r="J1712" s="134"/>
      <c r="K1712" s="134"/>
      <c r="L1712" s="134"/>
      <c r="M1712" s="134"/>
    </row>
    <row r="1713" spans="3:13" ht="12.75">
      <c r="C1713" s="134"/>
      <c r="D1713" s="134"/>
      <c r="E1713" s="134"/>
      <c r="F1713" s="134"/>
      <c r="G1713" s="134"/>
      <c r="H1713" s="134"/>
      <c r="I1713" s="134"/>
      <c r="J1713" s="134"/>
      <c r="K1713" s="134"/>
      <c r="L1713" s="134"/>
      <c r="M1713" s="134"/>
    </row>
    <row r="1714" spans="3:13" ht="12.75">
      <c r="C1714" s="134"/>
      <c r="D1714" s="134"/>
      <c r="E1714" s="134"/>
      <c r="F1714" s="134"/>
      <c r="G1714" s="134"/>
      <c r="H1714" s="134"/>
      <c r="I1714" s="134"/>
      <c r="J1714" s="134"/>
      <c r="K1714" s="134"/>
      <c r="L1714" s="134"/>
      <c r="M1714" s="134"/>
    </row>
    <row r="1715" spans="3:13" ht="12.75">
      <c r="C1715" s="134"/>
      <c r="D1715" s="134"/>
      <c r="E1715" s="134"/>
      <c r="F1715" s="134"/>
      <c r="G1715" s="134"/>
      <c r="H1715" s="134"/>
      <c r="I1715" s="134"/>
      <c r="J1715" s="134"/>
      <c r="K1715" s="134"/>
      <c r="L1715" s="134"/>
      <c r="M1715" s="134"/>
    </row>
    <row r="1716" spans="3:13" ht="12.75">
      <c r="C1716" s="134"/>
      <c r="D1716" s="134"/>
      <c r="E1716" s="134"/>
      <c r="F1716" s="134"/>
      <c r="G1716" s="134"/>
      <c r="H1716" s="134"/>
      <c r="I1716" s="134"/>
      <c r="J1716" s="134"/>
      <c r="K1716" s="134"/>
      <c r="L1716" s="134"/>
      <c r="M1716" s="134"/>
    </row>
    <row r="1717" spans="3:13" ht="12.75">
      <c r="C1717" s="134"/>
      <c r="D1717" s="134"/>
      <c r="E1717" s="134"/>
      <c r="F1717" s="134"/>
      <c r="G1717" s="134"/>
      <c r="H1717" s="134"/>
      <c r="I1717" s="134"/>
      <c r="J1717" s="134"/>
      <c r="K1717" s="134"/>
      <c r="L1717" s="134"/>
      <c r="M1717" s="134"/>
    </row>
    <row r="1718" spans="3:13" ht="12.75">
      <c r="C1718" s="134"/>
      <c r="D1718" s="134"/>
      <c r="E1718" s="134"/>
      <c r="F1718" s="134"/>
      <c r="G1718" s="134"/>
      <c r="H1718" s="134"/>
      <c r="I1718" s="134"/>
      <c r="J1718" s="134"/>
      <c r="K1718" s="134"/>
      <c r="L1718" s="134"/>
      <c r="M1718" s="134"/>
    </row>
    <row r="1719" spans="3:13" ht="12.75">
      <c r="C1719" s="134"/>
      <c r="D1719" s="134"/>
      <c r="E1719" s="134"/>
      <c r="F1719" s="134"/>
      <c r="G1719" s="134"/>
      <c r="H1719" s="134"/>
      <c r="I1719" s="134"/>
      <c r="J1719" s="134"/>
      <c r="K1719" s="134"/>
      <c r="L1719" s="134"/>
      <c r="M1719" s="134"/>
    </row>
    <row r="1720" spans="3:13" ht="12.75">
      <c r="C1720" s="134"/>
      <c r="D1720" s="134"/>
      <c r="E1720" s="134"/>
      <c r="F1720" s="134"/>
      <c r="G1720" s="134"/>
      <c r="H1720" s="134"/>
      <c r="I1720" s="134"/>
      <c r="J1720" s="134"/>
      <c r="K1720" s="134"/>
      <c r="L1720" s="134"/>
      <c r="M1720" s="134"/>
    </row>
    <row r="1721" spans="3:13" ht="12.75">
      <c r="C1721" s="134"/>
      <c r="D1721" s="134"/>
      <c r="E1721" s="134"/>
      <c r="F1721" s="134"/>
      <c r="G1721" s="134"/>
      <c r="H1721" s="134"/>
      <c r="I1721" s="134"/>
      <c r="J1721" s="134"/>
      <c r="K1721" s="134"/>
      <c r="L1721" s="134"/>
      <c r="M1721" s="134"/>
    </row>
    <row r="1722" spans="3:13" ht="12.75">
      <c r="C1722" s="134"/>
      <c r="D1722" s="134"/>
      <c r="E1722" s="134"/>
      <c r="F1722" s="134"/>
      <c r="G1722" s="134"/>
      <c r="H1722" s="134"/>
      <c r="I1722" s="134"/>
      <c r="J1722" s="134"/>
      <c r="K1722" s="134"/>
      <c r="L1722" s="134"/>
      <c r="M1722" s="134"/>
    </row>
    <row r="1723" spans="3:13" ht="12.75">
      <c r="C1723" s="134"/>
      <c r="D1723" s="134"/>
      <c r="E1723" s="134"/>
      <c r="F1723" s="134"/>
      <c r="G1723" s="134"/>
      <c r="H1723" s="134"/>
      <c r="I1723" s="134"/>
      <c r="J1723" s="134"/>
      <c r="K1723" s="134"/>
      <c r="L1723" s="134"/>
      <c r="M1723" s="134"/>
    </row>
    <row r="1724" spans="3:13" ht="12.75">
      <c r="C1724" s="134"/>
      <c r="D1724" s="134"/>
      <c r="E1724" s="134"/>
      <c r="F1724" s="134"/>
      <c r="G1724" s="134"/>
      <c r="H1724" s="134"/>
      <c r="I1724" s="134"/>
      <c r="J1724" s="134"/>
      <c r="K1724" s="134"/>
      <c r="L1724" s="134"/>
      <c r="M1724" s="134"/>
    </row>
    <row r="1725" spans="3:13" ht="12.75">
      <c r="C1725" s="134"/>
      <c r="D1725" s="134"/>
      <c r="E1725" s="134"/>
      <c r="F1725" s="134"/>
      <c r="G1725" s="134"/>
      <c r="H1725" s="134"/>
      <c r="I1725" s="134"/>
      <c r="J1725" s="134"/>
      <c r="K1725" s="134"/>
      <c r="L1725" s="134"/>
      <c r="M1725" s="134"/>
    </row>
    <row r="1726" spans="3:13" ht="12.75">
      <c r="C1726" s="134"/>
      <c r="D1726" s="134"/>
      <c r="E1726" s="134"/>
      <c r="F1726" s="134"/>
      <c r="G1726" s="134"/>
      <c r="H1726" s="134"/>
      <c r="I1726" s="134"/>
      <c r="J1726" s="134"/>
      <c r="K1726" s="134"/>
      <c r="L1726" s="134"/>
      <c r="M1726" s="134"/>
    </row>
    <row r="1727" spans="3:13" ht="12.75">
      <c r="C1727" s="134"/>
      <c r="D1727" s="134"/>
      <c r="E1727" s="134"/>
      <c r="F1727" s="134"/>
      <c r="G1727" s="134"/>
      <c r="H1727" s="134"/>
      <c r="I1727" s="134"/>
      <c r="J1727" s="134"/>
      <c r="K1727" s="134"/>
      <c r="L1727" s="134"/>
      <c r="M1727" s="134"/>
    </row>
    <row r="1728" spans="3:13" ht="12.75">
      <c r="C1728" s="134"/>
      <c r="D1728" s="134"/>
      <c r="E1728" s="134"/>
      <c r="F1728" s="134"/>
      <c r="G1728" s="134"/>
      <c r="H1728" s="134"/>
      <c r="I1728" s="134"/>
      <c r="J1728" s="134"/>
      <c r="K1728" s="134"/>
      <c r="L1728" s="134"/>
      <c r="M1728" s="134"/>
    </row>
    <row r="1729" spans="3:13" ht="12.75">
      <c r="C1729" s="134"/>
      <c r="D1729" s="134"/>
      <c r="E1729" s="134"/>
      <c r="F1729" s="134"/>
      <c r="G1729" s="134"/>
      <c r="H1729" s="134"/>
      <c r="I1729" s="134"/>
      <c r="J1729" s="134"/>
      <c r="K1729" s="134"/>
      <c r="L1729" s="134"/>
      <c r="M1729" s="134"/>
    </row>
    <row r="1730" spans="3:13" ht="12.75">
      <c r="C1730" s="134"/>
      <c r="D1730" s="134"/>
      <c r="E1730" s="134"/>
      <c r="F1730" s="134"/>
      <c r="G1730" s="134"/>
      <c r="H1730" s="134"/>
      <c r="I1730" s="134"/>
      <c r="J1730" s="134"/>
      <c r="K1730" s="134"/>
      <c r="L1730" s="134"/>
      <c r="M1730" s="134"/>
    </row>
    <row r="1731" spans="3:13" ht="12.75">
      <c r="C1731" s="134"/>
      <c r="D1731" s="134"/>
      <c r="E1731" s="134"/>
      <c r="F1731" s="134"/>
      <c r="G1731" s="134"/>
      <c r="H1731" s="134"/>
      <c r="I1731" s="134"/>
      <c r="J1731" s="134"/>
      <c r="K1731" s="134"/>
      <c r="L1731" s="134"/>
      <c r="M1731" s="134"/>
    </row>
    <row r="1732" spans="3:13" ht="12.75">
      <c r="C1732" s="134"/>
      <c r="D1732" s="134"/>
      <c r="E1732" s="134"/>
      <c r="F1732" s="134"/>
      <c r="G1732" s="134"/>
      <c r="H1732" s="134"/>
      <c r="I1732" s="134"/>
      <c r="J1732" s="134"/>
      <c r="K1732" s="134"/>
      <c r="L1732" s="134"/>
      <c r="M1732" s="134"/>
    </row>
    <row r="1733" spans="3:13" ht="12.75">
      <c r="C1733" s="134"/>
      <c r="D1733" s="134"/>
      <c r="E1733" s="134"/>
      <c r="F1733" s="134"/>
      <c r="G1733" s="134"/>
      <c r="H1733" s="134"/>
      <c r="I1733" s="134"/>
      <c r="J1733" s="134"/>
      <c r="K1733" s="134"/>
      <c r="L1733" s="134"/>
      <c r="M1733" s="134"/>
    </row>
    <row r="1734" spans="3:13" ht="12.75">
      <c r="C1734" s="134"/>
      <c r="D1734" s="134"/>
      <c r="E1734" s="134"/>
      <c r="F1734" s="134"/>
      <c r="G1734" s="134"/>
      <c r="H1734" s="134"/>
      <c r="I1734" s="134"/>
      <c r="J1734" s="134"/>
      <c r="K1734" s="134"/>
      <c r="L1734" s="134"/>
      <c r="M1734" s="134"/>
    </row>
    <row r="1735" spans="3:13" ht="12.75">
      <c r="C1735" s="134"/>
      <c r="D1735" s="134"/>
      <c r="E1735" s="134"/>
      <c r="F1735" s="134"/>
      <c r="G1735" s="134"/>
      <c r="H1735" s="134"/>
      <c r="I1735" s="134"/>
      <c r="J1735" s="134"/>
      <c r="K1735" s="134"/>
      <c r="L1735" s="134"/>
      <c r="M1735" s="134"/>
    </row>
    <row r="1736" spans="3:13" ht="12.75">
      <c r="C1736" s="134"/>
      <c r="D1736" s="134"/>
      <c r="E1736" s="134"/>
      <c r="F1736" s="134"/>
      <c r="G1736" s="134"/>
      <c r="H1736" s="134"/>
      <c r="I1736" s="134"/>
      <c r="J1736" s="134"/>
      <c r="K1736" s="134"/>
      <c r="L1736" s="134"/>
      <c r="M1736" s="134"/>
    </row>
    <row r="1737" spans="3:13" ht="12.75">
      <c r="C1737" s="134"/>
      <c r="D1737" s="134"/>
      <c r="E1737" s="134"/>
      <c r="F1737" s="134"/>
      <c r="G1737" s="134"/>
      <c r="H1737" s="134"/>
      <c r="I1737" s="134"/>
      <c r="J1737" s="134"/>
      <c r="K1737" s="134"/>
      <c r="L1737" s="134"/>
      <c r="M1737" s="134"/>
    </row>
    <row r="1738" spans="3:13" ht="12.75">
      <c r="C1738" s="134"/>
      <c r="D1738" s="134"/>
      <c r="E1738" s="134"/>
      <c r="F1738" s="134"/>
      <c r="G1738" s="134"/>
      <c r="H1738" s="134"/>
      <c r="I1738" s="134"/>
      <c r="J1738" s="134"/>
      <c r="K1738" s="134"/>
      <c r="L1738" s="134"/>
      <c r="M1738" s="134"/>
    </row>
    <row r="1739" spans="3:13" ht="12.75">
      <c r="C1739" s="134"/>
      <c r="D1739" s="134"/>
      <c r="E1739" s="134"/>
      <c r="F1739" s="134"/>
      <c r="G1739" s="134"/>
      <c r="H1739" s="134"/>
      <c r="I1739" s="134"/>
      <c r="J1739" s="134"/>
      <c r="K1739" s="134"/>
      <c r="L1739" s="134"/>
      <c r="M1739" s="134"/>
    </row>
    <row r="1740" spans="3:13" ht="12.75">
      <c r="C1740" s="134"/>
      <c r="D1740" s="134"/>
      <c r="E1740" s="134"/>
      <c r="F1740" s="134"/>
      <c r="G1740" s="134"/>
      <c r="H1740" s="134"/>
      <c r="I1740" s="134"/>
      <c r="J1740" s="134"/>
      <c r="K1740" s="134"/>
      <c r="L1740" s="134"/>
      <c r="M1740" s="134"/>
    </row>
    <row r="1741" spans="3:13" ht="12.75">
      <c r="C1741" s="134"/>
      <c r="D1741" s="134"/>
      <c r="E1741" s="134"/>
      <c r="F1741" s="134"/>
      <c r="G1741" s="134"/>
      <c r="H1741" s="134"/>
      <c r="I1741" s="134"/>
      <c r="J1741" s="134"/>
      <c r="K1741" s="134"/>
      <c r="L1741" s="134"/>
      <c r="M1741" s="134"/>
    </row>
    <row r="1742" spans="3:13" ht="12.75">
      <c r="C1742" s="134"/>
      <c r="D1742" s="134"/>
      <c r="E1742" s="134"/>
      <c r="F1742" s="134"/>
      <c r="G1742" s="134"/>
      <c r="H1742" s="134"/>
      <c r="I1742" s="134"/>
      <c r="J1742" s="134"/>
      <c r="K1742" s="134"/>
      <c r="L1742" s="134"/>
      <c r="M1742" s="134"/>
    </row>
    <row r="1743" spans="3:13" ht="12.75">
      <c r="C1743" s="134"/>
      <c r="D1743" s="134"/>
      <c r="E1743" s="134"/>
      <c r="F1743" s="134"/>
      <c r="G1743" s="134"/>
      <c r="H1743" s="134"/>
      <c r="I1743" s="134"/>
      <c r="J1743" s="134"/>
      <c r="K1743" s="134"/>
      <c r="L1743" s="134"/>
      <c r="M1743" s="134"/>
    </row>
    <row r="1744" spans="3:13" ht="12.75">
      <c r="C1744" s="134"/>
      <c r="D1744" s="134"/>
      <c r="E1744" s="134"/>
      <c r="F1744" s="134"/>
      <c r="G1744" s="134"/>
      <c r="H1744" s="134"/>
      <c r="I1744" s="134"/>
      <c r="J1744" s="134"/>
      <c r="K1744" s="134"/>
      <c r="L1744" s="134"/>
      <c r="M1744" s="134"/>
    </row>
    <row r="1745" spans="3:13" ht="12.75">
      <c r="C1745" s="134"/>
      <c r="D1745" s="134"/>
      <c r="E1745" s="134"/>
      <c r="F1745" s="134"/>
      <c r="G1745" s="134"/>
      <c r="H1745" s="134"/>
      <c r="I1745" s="134"/>
      <c r="J1745" s="134"/>
      <c r="K1745" s="134"/>
      <c r="L1745" s="134"/>
      <c r="M1745" s="134"/>
    </row>
    <row r="1746" spans="3:13" ht="12.75">
      <c r="C1746" s="134"/>
      <c r="D1746" s="134"/>
      <c r="E1746" s="134"/>
      <c r="F1746" s="134"/>
      <c r="G1746" s="134"/>
      <c r="H1746" s="134"/>
      <c r="I1746" s="134"/>
      <c r="J1746" s="134"/>
      <c r="K1746" s="134"/>
      <c r="L1746" s="134"/>
      <c r="M1746" s="134"/>
    </row>
    <row r="1747" spans="3:13" ht="12.75">
      <c r="C1747" s="134"/>
      <c r="D1747" s="134"/>
      <c r="E1747" s="134"/>
      <c r="F1747" s="134"/>
      <c r="G1747" s="134"/>
      <c r="H1747" s="134"/>
      <c r="I1747" s="134"/>
      <c r="J1747" s="134"/>
      <c r="K1747" s="134"/>
      <c r="L1747" s="134"/>
      <c r="M1747" s="134"/>
    </row>
    <row r="1748" spans="3:13" ht="12.75">
      <c r="C1748" s="134"/>
      <c r="D1748" s="134"/>
      <c r="E1748" s="134"/>
      <c r="F1748" s="134"/>
      <c r="G1748" s="134"/>
      <c r="H1748" s="134"/>
      <c r="I1748" s="134"/>
      <c r="J1748" s="134"/>
      <c r="K1748" s="134"/>
      <c r="L1748" s="134"/>
      <c r="M1748" s="134"/>
    </row>
    <row r="1749" spans="3:13" ht="12.75">
      <c r="C1749" s="134"/>
      <c r="D1749" s="134"/>
      <c r="E1749" s="134"/>
      <c r="F1749" s="134"/>
      <c r="G1749" s="134"/>
      <c r="H1749" s="134"/>
      <c r="I1749" s="134"/>
      <c r="J1749" s="134"/>
      <c r="K1749" s="134"/>
      <c r="L1749" s="134"/>
      <c r="M1749" s="134"/>
    </row>
    <row r="1750" spans="3:13" ht="12.75">
      <c r="C1750" s="134"/>
      <c r="D1750" s="134"/>
      <c r="E1750" s="134"/>
      <c r="F1750" s="134"/>
      <c r="G1750" s="134"/>
      <c r="H1750" s="134"/>
      <c r="I1750" s="134"/>
      <c r="J1750" s="134"/>
      <c r="K1750" s="134"/>
      <c r="L1750" s="134"/>
      <c r="M1750" s="134"/>
    </row>
    <row r="1751" spans="3:13" ht="12.75">
      <c r="C1751" s="134"/>
      <c r="D1751" s="134"/>
      <c r="E1751" s="134"/>
      <c r="F1751" s="134"/>
      <c r="G1751" s="134"/>
      <c r="H1751" s="134"/>
      <c r="I1751" s="134"/>
      <c r="J1751" s="134"/>
      <c r="K1751" s="134"/>
      <c r="L1751" s="134"/>
      <c r="M1751" s="134"/>
    </row>
    <row r="1752" spans="3:13" ht="12.75">
      <c r="C1752" s="134"/>
      <c r="D1752" s="134"/>
      <c r="E1752" s="134"/>
      <c r="F1752" s="134"/>
      <c r="G1752" s="134"/>
      <c r="H1752" s="134"/>
      <c r="I1752" s="134"/>
      <c r="J1752" s="134"/>
      <c r="K1752" s="134"/>
      <c r="L1752" s="134"/>
      <c r="M1752" s="134"/>
    </row>
    <row r="1753" spans="3:13" ht="12.75">
      <c r="C1753" s="134"/>
      <c r="D1753" s="134"/>
      <c r="E1753" s="134"/>
      <c r="F1753" s="134"/>
      <c r="G1753" s="134"/>
      <c r="H1753" s="134"/>
      <c r="I1753" s="134"/>
      <c r="J1753" s="134"/>
      <c r="K1753" s="134"/>
      <c r="L1753" s="134"/>
      <c r="M1753" s="134"/>
    </row>
    <row r="1754" spans="3:13" ht="12.75">
      <c r="C1754" s="134"/>
      <c r="D1754" s="134"/>
      <c r="E1754" s="134"/>
      <c r="F1754" s="134"/>
      <c r="G1754" s="134"/>
      <c r="H1754" s="134"/>
      <c r="I1754" s="134"/>
      <c r="J1754" s="134"/>
      <c r="K1754" s="134"/>
      <c r="L1754" s="134"/>
      <c r="M1754" s="134"/>
    </row>
    <row r="1755" spans="3:13" ht="12.75">
      <c r="C1755" s="134"/>
      <c r="D1755" s="134"/>
      <c r="E1755" s="134"/>
      <c r="F1755" s="134"/>
      <c r="G1755" s="134"/>
      <c r="H1755" s="134"/>
      <c r="I1755" s="134"/>
      <c r="J1755" s="134"/>
      <c r="K1755" s="134"/>
      <c r="L1755" s="134"/>
      <c r="M1755" s="134"/>
    </row>
    <row r="1756" spans="3:13" ht="12.75">
      <c r="C1756" s="134"/>
      <c r="D1756" s="134"/>
      <c r="E1756" s="134"/>
      <c r="F1756" s="134"/>
      <c r="G1756" s="134"/>
      <c r="H1756" s="134"/>
      <c r="I1756" s="134"/>
      <c r="J1756" s="134"/>
      <c r="K1756" s="134"/>
      <c r="L1756" s="134"/>
      <c r="M1756" s="134"/>
    </row>
    <row r="1757" spans="3:13" ht="12.75">
      <c r="C1757" s="134"/>
      <c r="D1757" s="134"/>
      <c r="E1757" s="134"/>
      <c r="F1757" s="134"/>
      <c r="G1757" s="134"/>
      <c r="H1757" s="134"/>
      <c r="I1757" s="134"/>
      <c r="J1757" s="134"/>
      <c r="K1757" s="134"/>
      <c r="L1757" s="134"/>
      <c r="M1757" s="134"/>
    </row>
    <row r="1758" spans="3:13" ht="12.75">
      <c r="C1758" s="134"/>
      <c r="D1758" s="134"/>
      <c r="E1758" s="134"/>
      <c r="F1758" s="134"/>
      <c r="G1758" s="134"/>
      <c r="H1758" s="134"/>
      <c r="I1758" s="134"/>
      <c r="J1758" s="134"/>
      <c r="K1758" s="134"/>
      <c r="L1758" s="134"/>
      <c r="M1758" s="134"/>
    </row>
    <row r="1759" spans="3:13" ht="12.75">
      <c r="C1759" s="134"/>
      <c r="D1759" s="134"/>
      <c r="E1759" s="134"/>
      <c r="F1759" s="134"/>
      <c r="G1759" s="134"/>
      <c r="H1759" s="134"/>
      <c r="I1759" s="134"/>
      <c r="J1759" s="134"/>
      <c r="K1759" s="134"/>
      <c r="L1759" s="134"/>
      <c r="M1759" s="134"/>
    </row>
    <row r="1760" spans="3:13" ht="12.75">
      <c r="C1760" s="134"/>
      <c r="D1760" s="134"/>
      <c r="E1760" s="134"/>
      <c r="F1760" s="134"/>
      <c r="G1760" s="134"/>
      <c r="H1760" s="134"/>
      <c r="I1760" s="134"/>
      <c r="J1760" s="134"/>
      <c r="K1760" s="134"/>
      <c r="L1760" s="134"/>
      <c r="M1760" s="134"/>
    </row>
    <row r="1761" spans="3:13" ht="12.75">
      <c r="C1761" s="134"/>
      <c r="D1761" s="134"/>
      <c r="E1761" s="134"/>
      <c r="F1761" s="134"/>
      <c r="G1761" s="134"/>
      <c r="H1761" s="134"/>
      <c r="I1761" s="134"/>
      <c r="J1761" s="134"/>
      <c r="K1761" s="134"/>
      <c r="L1761" s="134"/>
      <c r="M1761" s="134"/>
    </row>
    <row r="1762" spans="3:13" ht="12.75">
      <c r="C1762" s="134"/>
      <c r="D1762" s="134"/>
      <c r="E1762" s="134"/>
      <c r="F1762" s="134"/>
      <c r="G1762" s="134"/>
      <c r="H1762" s="134"/>
      <c r="I1762" s="134"/>
      <c r="J1762" s="134"/>
      <c r="K1762" s="134"/>
      <c r="L1762" s="134"/>
      <c r="M1762" s="134"/>
    </row>
    <row r="1763" spans="3:13" ht="12.75">
      <c r="C1763" s="134"/>
      <c r="D1763" s="134"/>
      <c r="E1763" s="134"/>
      <c r="F1763" s="134"/>
      <c r="G1763" s="134"/>
      <c r="H1763" s="134"/>
      <c r="I1763" s="134"/>
      <c r="J1763" s="134"/>
      <c r="K1763" s="134"/>
      <c r="L1763" s="134"/>
      <c r="M1763" s="134"/>
    </row>
    <row r="1764" spans="3:13" ht="12.75">
      <c r="C1764" s="134"/>
      <c r="D1764" s="134"/>
      <c r="E1764" s="134"/>
      <c r="F1764" s="134"/>
      <c r="G1764" s="134"/>
      <c r="H1764" s="134"/>
      <c r="I1764" s="134"/>
      <c r="J1764" s="134"/>
      <c r="K1764" s="134"/>
      <c r="L1764" s="134"/>
      <c r="M1764" s="134"/>
    </row>
    <row r="1765" spans="3:13" ht="12.75">
      <c r="C1765" s="134"/>
      <c r="D1765" s="134"/>
      <c r="E1765" s="134"/>
      <c r="F1765" s="134"/>
      <c r="G1765" s="134"/>
      <c r="H1765" s="134"/>
      <c r="I1765" s="134"/>
      <c r="J1765" s="134"/>
      <c r="K1765" s="134"/>
      <c r="L1765" s="134"/>
      <c r="M1765" s="134"/>
    </row>
    <row r="1766" spans="3:13" ht="12.75">
      <c r="C1766" s="134"/>
      <c r="D1766" s="134"/>
      <c r="E1766" s="134"/>
      <c r="F1766" s="134"/>
      <c r="G1766" s="134"/>
      <c r="H1766" s="134"/>
      <c r="I1766" s="134"/>
      <c r="J1766" s="134"/>
      <c r="K1766" s="134"/>
      <c r="L1766" s="134"/>
      <c r="M1766" s="134"/>
    </row>
    <row r="1767" spans="3:13" ht="12.75">
      <c r="C1767" s="134"/>
      <c r="D1767" s="134"/>
      <c r="E1767" s="134"/>
      <c r="F1767" s="134"/>
      <c r="G1767" s="134"/>
      <c r="H1767" s="134"/>
      <c r="I1767" s="134"/>
      <c r="J1767" s="134"/>
      <c r="K1767" s="134"/>
      <c r="L1767" s="134"/>
      <c r="M1767" s="134"/>
    </row>
    <row r="1768" spans="3:13" ht="12.75">
      <c r="C1768" s="134"/>
      <c r="D1768" s="134"/>
      <c r="E1768" s="134"/>
      <c r="F1768" s="134"/>
      <c r="G1768" s="134"/>
      <c r="H1768" s="134"/>
      <c r="I1768" s="134"/>
      <c r="J1768" s="134"/>
      <c r="K1768" s="134"/>
      <c r="L1768" s="134"/>
      <c r="M1768" s="134"/>
    </row>
    <row r="1769" spans="3:13" ht="12.75">
      <c r="C1769" s="134"/>
      <c r="D1769" s="134"/>
      <c r="E1769" s="134"/>
      <c r="F1769" s="134"/>
      <c r="G1769" s="134"/>
      <c r="H1769" s="134"/>
      <c r="I1769" s="134"/>
      <c r="J1769" s="134"/>
      <c r="K1769" s="134"/>
      <c r="L1769" s="134"/>
      <c r="M1769" s="134"/>
    </row>
    <row r="1770" spans="3:13" ht="12.75">
      <c r="C1770" s="134"/>
      <c r="D1770" s="134"/>
      <c r="E1770" s="134"/>
      <c r="F1770" s="134"/>
      <c r="G1770" s="134"/>
      <c r="H1770" s="134"/>
      <c r="I1770" s="134"/>
      <c r="J1770" s="134"/>
      <c r="K1770" s="134"/>
      <c r="L1770" s="134"/>
      <c r="M1770" s="134"/>
    </row>
    <row r="1771" spans="3:13" ht="12.75">
      <c r="C1771" s="134"/>
      <c r="D1771" s="134"/>
      <c r="E1771" s="134"/>
      <c r="F1771" s="134"/>
      <c r="G1771" s="134"/>
      <c r="H1771" s="134"/>
      <c r="I1771" s="134"/>
      <c r="J1771" s="134"/>
      <c r="K1771" s="134"/>
      <c r="L1771" s="134"/>
      <c r="M1771" s="134"/>
    </row>
    <row r="1772" spans="3:13" ht="12.75">
      <c r="C1772" s="134"/>
      <c r="D1772" s="134"/>
      <c r="E1772" s="134"/>
      <c r="F1772" s="134"/>
      <c r="G1772" s="134"/>
      <c r="H1772" s="134"/>
      <c r="I1772" s="134"/>
      <c r="J1772" s="134"/>
      <c r="K1772" s="134"/>
      <c r="L1772" s="134"/>
      <c r="M1772" s="134"/>
    </row>
    <row r="1773" spans="3:13" ht="12.75">
      <c r="C1773" s="134"/>
      <c r="D1773" s="134"/>
      <c r="E1773" s="134"/>
      <c r="F1773" s="134"/>
      <c r="G1773" s="134"/>
      <c r="H1773" s="134"/>
      <c r="I1773" s="134"/>
      <c r="J1773" s="134"/>
      <c r="K1773" s="134"/>
      <c r="L1773" s="134"/>
      <c r="M1773" s="134"/>
    </row>
    <row r="1774" spans="3:13" ht="12.75">
      <c r="C1774" s="134"/>
      <c r="D1774" s="134"/>
      <c r="E1774" s="134"/>
      <c r="F1774" s="134"/>
      <c r="G1774" s="134"/>
      <c r="H1774" s="134"/>
      <c r="I1774" s="134"/>
      <c r="J1774" s="134"/>
      <c r="K1774" s="134"/>
      <c r="L1774" s="134"/>
      <c r="M1774" s="134"/>
    </row>
    <row r="1775" spans="3:13" ht="12.75">
      <c r="C1775" s="134"/>
      <c r="D1775" s="134"/>
      <c r="E1775" s="134"/>
      <c r="F1775" s="134"/>
      <c r="G1775" s="134"/>
      <c r="H1775" s="134"/>
      <c r="I1775" s="134"/>
      <c r="J1775" s="134"/>
      <c r="K1775" s="134"/>
      <c r="L1775" s="134"/>
      <c r="M1775" s="134"/>
    </row>
    <row r="1776" spans="3:13" ht="12.75">
      <c r="C1776" s="134"/>
      <c r="D1776" s="134"/>
      <c r="E1776" s="134"/>
      <c r="F1776" s="134"/>
      <c r="G1776" s="134"/>
      <c r="H1776" s="134"/>
      <c r="I1776" s="134"/>
      <c r="J1776" s="134"/>
      <c r="K1776" s="134"/>
      <c r="L1776" s="134"/>
      <c r="M1776" s="134"/>
    </row>
    <row r="1777" spans="3:13" ht="12.75">
      <c r="C1777" s="134"/>
      <c r="D1777" s="134"/>
      <c r="E1777" s="134"/>
      <c r="F1777" s="134"/>
      <c r="G1777" s="134"/>
      <c r="H1777" s="134"/>
      <c r="I1777" s="134"/>
      <c r="J1777" s="134"/>
      <c r="K1777" s="134"/>
      <c r="L1777" s="134"/>
      <c r="M1777" s="134"/>
    </row>
    <row r="1778" spans="3:13" ht="12.75">
      <c r="C1778" s="134"/>
      <c r="D1778" s="134"/>
      <c r="E1778" s="134"/>
      <c r="F1778" s="134"/>
      <c r="G1778" s="134"/>
      <c r="H1778" s="134"/>
      <c r="I1778" s="134"/>
      <c r="J1778" s="134"/>
      <c r="K1778" s="134"/>
      <c r="L1778" s="134"/>
      <c r="M1778" s="134"/>
    </row>
    <row r="1779" spans="3:13" ht="12.75">
      <c r="C1779" s="134"/>
      <c r="D1779" s="134"/>
      <c r="E1779" s="134"/>
      <c r="F1779" s="134"/>
      <c r="G1779" s="134"/>
      <c r="H1779" s="134"/>
      <c r="I1779" s="134"/>
      <c r="J1779" s="134"/>
      <c r="K1779" s="134"/>
      <c r="L1779" s="134"/>
      <c r="M1779" s="134"/>
    </row>
    <row r="1780" spans="3:13" ht="12.75">
      <c r="C1780" s="134"/>
      <c r="D1780" s="134"/>
      <c r="E1780" s="134"/>
      <c r="F1780" s="134"/>
      <c r="G1780" s="134"/>
      <c r="H1780" s="134"/>
      <c r="I1780" s="134"/>
      <c r="J1780" s="134"/>
      <c r="K1780" s="134"/>
      <c r="L1780" s="134"/>
      <c r="M1780" s="134"/>
    </row>
    <row r="1781" spans="3:13" ht="12.75">
      <c r="C1781" s="134"/>
      <c r="D1781" s="134"/>
      <c r="E1781" s="134"/>
      <c r="F1781" s="134"/>
      <c r="G1781" s="134"/>
      <c r="H1781" s="134"/>
      <c r="I1781" s="134"/>
      <c r="J1781" s="134"/>
      <c r="K1781" s="134"/>
      <c r="L1781" s="134"/>
      <c r="M1781" s="134"/>
    </row>
    <row r="1782" spans="3:13" ht="12.75">
      <c r="C1782" s="134"/>
      <c r="D1782" s="134"/>
      <c r="E1782" s="134"/>
      <c r="F1782" s="134"/>
      <c r="G1782" s="134"/>
      <c r="H1782" s="134"/>
      <c r="I1782" s="134"/>
      <c r="J1782" s="134"/>
      <c r="K1782" s="134"/>
      <c r="L1782" s="134"/>
      <c r="M1782" s="134"/>
    </row>
    <row r="1783" spans="3:13" ht="12.75">
      <c r="C1783" s="134"/>
      <c r="D1783" s="134"/>
      <c r="E1783" s="134"/>
      <c r="F1783" s="134"/>
      <c r="G1783" s="134"/>
      <c r="H1783" s="134"/>
      <c r="I1783" s="134"/>
      <c r="J1783" s="134"/>
      <c r="K1783" s="134"/>
      <c r="L1783" s="134"/>
      <c r="M1783" s="134"/>
    </row>
    <row r="1784" spans="3:13" ht="12.75">
      <c r="C1784" s="134"/>
      <c r="D1784" s="134"/>
      <c r="E1784" s="134"/>
      <c r="F1784" s="134"/>
      <c r="G1784" s="134"/>
      <c r="H1784" s="134"/>
      <c r="I1784" s="134"/>
      <c r="J1784" s="134"/>
      <c r="K1784" s="134"/>
      <c r="L1784" s="134"/>
      <c r="M1784" s="134"/>
    </row>
    <row r="1785" spans="3:13" ht="12.75">
      <c r="C1785" s="134"/>
      <c r="D1785" s="134"/>
      <c r="E1785" s="134"/>
      <c r="F1785" s="134"/>
      <c r="G1785" s="134"/>
      <c r="H1785" s="134"/>
      <c r="I1785" s="134"/>
      <c r="J1785" s="134"/>
      <c r="K1785" s="134"/>
      <c r="L1785" s="134"/>
      <c r="M1785" s="134"/>
    </row>
    <row r="1786" spans="3:13" ht="12.75">
      <c r="C1786" s="134"/>
      <c r="D1786" s="134"/>
      <c r="E1786" s="134"/>
      <c r="F1786" s="134"/>
      <c r="G1786" s="134"/>
      <c r="H1786" s="134"/>
      <c r="I1786" s="134"/>
      <c r="J1786" s="134"/>
      <c r="K1786" s="134"/>
      <c r="L1786" s="134"/>
      <c r="M1786" s="134"/>
    </row>
    <row r="1787" spans="3:13" ht="12.75">
      <c r="C1787" s="134"/>
      <c r="D1787" s="134"/>
      <c r="E1787" s="134"/>
      <c r="F1787" s="134"/>
      <c r="G1787" s="134"/>
      <c r="H1787" s="134"/>
      <c r="I1787" s="134"/>
      <c r="J1787" s="134"/>
      <c r="K1787" s="134"/>
      <c r="L1787" s="134"/>
      <c r="M1787" s="134"/>
    </row>
    <row r="1788" spans="3:13" ht="12.75">
      <c r="C1788" s="134"/>
      <c r="D1788" s="134"/>
      <c r="E1788" s="134"/>
      <c r="F1788" s="134"/>
      <c r="G1788" s="134"/>
      <c r="H1788" s="134"/>
      <c r="I1788" s="134"/>
      <c r="J1788" s="134"/>
      <c r="K1788" s="134"/>
      <c r="L1788" s="134"/>
      <c r="M1788" s="134"/>
    </row>
    <row r="1789" spans="3:13" ht="12.75">
      <c r="C1789" s="134"/>
      <c r="D1789" s="134"/>
      <c r="E1789" s="134"/>
      <c r="F1789" s="134"/>
      <c r="G1789" s="134"/>
      <c r="H1789" s="134"/>
      <c r="I1789" s="134"/>
      <c r="J1789" s="134"/>
      <c r="K1789" s="134"/>
      <c r="L1789" s="134"/>
      <c r="M1789" s="134"/>
    </row>
    <row r="1790" spans="3:13" ht="12.75">
      <c r="C1790" s="134"/>
      <c r="D1790" s="134"/>
      <c r="E1790" s="134"/>
      <c r="F1790" s="134"/>
      <c r="G1790" s="134"/>
      <c r="H1790" s="134"/>
      <c r="I1790" s="134"/>
      <c r="J1790" s="134"/>
      <c r="K1790" s="134"/>
      <c r="L1790" s="134"/>
      <c r="M1790" s="134"/>
    </row>
    <row r="1791" spans="3:13" ht="12.75">
      <c r="C1791" s="134"/>
      <c r="D1791" s="134"/>
      <c r="E1791" s="134"/>
      <c r="F1791" s="134"/>
      <c r="G1791" s="134"/>
      <c r="H1791" s="134"/>
      <c r="I1791" s="134"/>
      <c r="J1791" s="134"/>
      <c r="K1791" s="134"/>
      <c r="L1791" s="134"/>
      <c r="M1791" s="134"/>
    </row>
    <row r="1792" spans="3:13" ht="12.75">
      <c r="C1792" s="134"/>
      <c r="D1792" s="134"/>
      <c r="E1792" s="134"/>
      <c r="F1792" s="134"/>
      <c r="G1792" s="134"/>
      <c r="H1792" s="134"/>
      <c r="I1792" s="134"/>
      <c r="J1792" s="134"/>
      <c r="K1792" s="134"/>
      <c r="L1792" s="134"/>
      <c r="M1792" s="134"/>
    </row>
    <row r="1793" spans="3:13" ht="12.75">
      <c r="C1793" s="134"/>
      <c r="D1793" s="134"/>
      <c r="E1793" s="134"/>
      <c r="F1793" s="134"/>
      <c r="G1793" s="134"/>
      <c r="H1793" s="134"/>
      <c r="I1793" s="134"/>
      <c r="J1793" s="134"/>
      <c r="K1793" s="134"/>
      <c r="L1793" s="134"/>
      <c r="M1793" s="134"/>
    </row>
    <row r="1794" spans="3:13" ht="12.75">
      <c r="C1794" s="134"/>
      <c r="D1794" s="134"/>
      <c r="E1794" s="134"/>
      <c r="F1794" s="134"/>
      <c r="G1794" s="134"/>
      <c r="H1794" s="134"/>
      <c r="I1794" s="134"/>
      <c r="J1794" s="134"/>
      <c r="K1794" s="134"/>
      <c r="L1794" s="134"/>
      <c r="M1794" s="134"/>
    </row>
    <row r="1795" spans="3:13" ht="12.75">
      <c r="C1795" s="134"/>
      <c r="D1795" s="134"/>
      <c r="E1795" s="134"/>
      <c r="F1795" s="134"/>
      <c r="G1795" s="134"/>
      <c r="H1795" s="134"/>
      <c r="I1795" s="134"/>
      <c r="J1795" s="134"/>
      <c r="K1795" s="134"/>
      <c r="L1795" s="134"/>
      <c r="M1795" s="134"/>
    </row>
    <row r="1796" spans="3:13" ht="12.75">
      <c r="C1796" s="134"/>
      <c r="D1796" s="134"/>
      <c r="E1796" s="134"/>
      <c r="F1796" s="134"/>
      <c r="G1796" s="134"/>
      <c r="H1796" s="134"/>
      <c r="I1796" s="134"/>
      <c r="J1796" s="134"/>
      <c r="K1796" s="134"/>
      <c r="L1796" s="134"/>
      <c r="M1796" s="134"/>
    </row>
    <row r="1797" spans="3:13" ht="12.75">
      <c r="C1797" s="134"/>
      <c r="D1797" s="134"/>
      <c r="E1797" s="134"/>
      <c r="F1797" s="134"/>
      <c r="G1797" s="134"/>
      <c r="H1797" s="134"/>
      <c r="I1797" s="134"/>
      <c r="J1797" s="134"/>
      <c r="K1797" s="134"/>
      <c r="L1797" s="134"/>
      <c r="M1797" s="134"/>
    </row>
    <row r="1798" spans="3:13" ht="12.75">
      <c r="C1798" s="134"/>
      <c r="D1798" s="134"/>
      <c r="E1798" s="134"/>
      <c r="F1798" s="134"/>
      <c r="G1798" s="134"/>
      <c r="H1798" s="134"/>
      <c r="I1798" s="134"/>
      <c r="J1798" s="134"/>
      <c r="K1798" s="134"/>
      <c r="L1798" s="134"/>
      <c r="M1798" s="134"/>
    </row>
    <row r="1799" spans="3:13" ht="12.75">
      <c r="C1799" s="134"/>
      <c r="D1799" s="134"/>
      <c r="E1799" s="134"/>
      <c r="F1799" s="134"/>
      <c r="G1799" s="134"/>
      <c r="H1799" s="134"/>
      <c r="I1799" s="134"/>
      <c r="J1799" s="134"/>
      <c r="K1799" s="134"/>
      <c r="L1799" s="134"/>
      <c r="M1799" s="134"/>
    </row>
    <row r="1800" spans="3:13" ht="12.75">
      <c r="C1800" s="134"/>
      <c r="D1800" s="134"/>
      <c r="E1800" s="134"/>
      <c r="F1800" s="134"/>
      <c r="G1800" s="134"/>
      <c r="H1800" s="134"/>
      <c r="I1800" s="134"/>
      <c r="J1800" s="134"/>
      <c r="K1800" s="134"/>
      <c r="L1800" s="134"/>
      <c r="M1800" s="134"/>
    </row>
    <row r="1801" spans="3:13" ht="12.75">
      <c r="C1801" s="134"/>
      <c r="D1801" s="134"/>
      <c r="E1801" s="134"/>
      <c r="F1801" s="134"/>
      <c r="G1801" s="134"/>
      <c r="H1801" s="134"/>
      <c r="I1801" s="134"/>
      <c r="J1801" s="134"/>
      <c r="K1801" s="134"/>
      <c r="L1801" s="134"/>
      <c r="M1801" s="134"/>
    </row>
    <row r="1802" spans="3:13" ht="12.75">
      <c r="C1802" s="134"/>
      <c r="D1802" s="134"/>
      <c r="E1802" s="134"/>
      <c r="F1802" s="134"/>
      <c r="G1802" s="134"/>
      <c r="H1802" s="134"/>
      <c r="I1802" s="134"/>
      <c r="J1802" s="134"/>
      <c r="K1802" s="134"/>
      <c r="L1802" s="134"/>
      <c r="M1802" s="134"/>
    </row>
    <row r="1803" spans="3:13" ht="12.75">
      <c r="C1803" s="134"/>
      <c r="D1803" s="134"/>
      <c r="E1803" s="134"/>
      <c r="F1803" s="134"/>
      <c r="G1803" s="134"/>
      <c r="H1803" s="134"/>
      <c r="I1803" s="134"/>
      <c r="J1803" s="134"/>
      <c r="K1803" s="134"/>
      <c r="L1803" s="134"/>
      <c r="M1803" s="134"/>
    </row>
    <row r="1804" spans="3:13" ht="12.75">
      <c r="C1804" s="134"/>
      <c r="D1804" s="134"/>
      <c r="E1804" s="134"/>
      <c r="F1804" s="134"/>
      <c r="G1804" s="134"/>
      <c r="H1804" s="134"/>
      <c r="I1804" s="134"/>
      <c r="J1804" s="134"/>
      <c r="K1804" s="134"/>
      <c r="L1804" s="134"/>
      <c r="M1804" s="134"/>
    </row>
    <row r="1805" spans="3:13" ht="12.75">
      <c r="C1805" s="134"/>
      <c r="D1805" s="134"/>
      <c r="E1805" s="134"/>
      <c r="F1805" s="134"/>
      <c r="G1805" s="134"/>
      <c r="H1805" s="134"/>
      <c r="I1805" s="134"/>
      <c r="J1805" s="134"/>
      <c r="K1805" s="134"/>
      <c r="L1805" s="134"/>
      <c r="M1805" s="134"/>
    </row>
    <row r="1806" spans="3:13" ht="12.75">
      <c r="C1806" s="134"/>
      <c r="D1806" s="134"/>
      <c r="E1806" s="134"/>
      <c r="F1806" s="134"/>
      <c r="G1806" s="134"/>
      <c r="H1806" s="134"/>
      <c r="I1806" s="134"/>
      <c r="J1806" s="134"/>
      <c r="K1806" s="134"/>
      <c r="L1806" s="134"/>
      <c r="M1806" s="134"/>
    </row>
    <row r="1807" spans="3:13" ht="12.75">
      <c r="C1807" s="134"/>
      <c r="D1807" s="134"/>
      <c r="E1807" s="134"/>
      <c r="F1807" s="134"/>
      <c r="G1807" s="134"/>
      <c r="H1807" s="134"/>
      <c r="I1807" s="134"/>
      <c r="J1807" s="134"/>
      <c r="K1807" s="134"/>
      <c r="L1807" s="134"/>
      <c r="M1807" s="134"/>
    </row>
    <row r="1808" spans="3:13" ht="12.75">
      <c r="C1808" s="134"/>
      <c r="D1808" s="134"/>
      <c r="E1808" s="134"/>
      <c r="F1808" s="134"/>
      <c r="G1808" s="134"/>
      <c r="H1808" s="134"/>
      <c r="I1808" s="134"/>
      <c r="J1808" s="134"/>
      <c r="K1808" s="134"/>
      <c r="L1808" s="134"/>
      <c r="M1808" s="134"/>
    </row>
    <row r="1809" spans="3:13" ht="12.75">
      <c r="C1809" s="134"/>
      <c r="D1809" s="134"/>
      <c r="E1809" s="134"/>
      <c r="F1809" s="134"/>
      <c r="G1809" s="134"/>
      <c r="H1809" s="134"/>
      <c r="I1809" s="134"/>
      <c r="J1809" s="134"/>
      <c r="K1809" s="134"/>
      <c r="L1809" s="134"/>
      <c r="M1809" s="134"/>
    </row>
    <row r="1810" spans="3:13" ht="12.75">
      <c r="C1810" s="134"/>
      <c r="D1810" s="134"/>
      <c r="E1810" s="134"/>
      <c r="F1810" s="134"/>
      <c r="G1810" s="134"/>
      <c r="H1810" s="134"/>
      <c r="I1810" s="134"/>
      <c r="J1810" s="134"/>
      <c r="K1810" s="134"/>
      <c r="L1810" s="134"/>
      <c r="M1810" s="134"/>
    </row>
    <row r="1811" spans="3:13" ht="12.75">
      <c r="C1811" s="134"/>
      <c r="D1811" s="134"/>
      <c r="E1811" s="134"/>
      <c r="F1811" s="134"/>
      <c r="G1811" s="134"/>
      <c r="H1811" s="134"/>
      <c r="I1811" s="134"/>
      <c r="J1811" s="134"/>
      <c r="K1811" s="134"/>
      <c r="L1811" s="134"/>
      <c r="M1811" s="134"/>
    </row>
    <row r="1812" spans="3:13" ht="12.75">
      <c r="C1812" s="134"/>
      <c r="D1812" s="134"/>
      <c r="E1812" s="134"/>
      <c r="F1812" s="134"/>
      <c r="G1812" s="134"/>
      <c r="H1812" s="134"/>
      <c r="I1812" s="134"/>
      <c r="J1812" s="134"/>
      <c r="K1812" s="134"/>
      <c r="L1812" s="134"/>
      <c r="M1812" s="134"/>
    </row>
    <row r="1813" spans="3:13" ht="12.75">
      <c r="C1813" s="134"/>
      <c r="D1813" s="134"/>
      <c r="E1813" s="134"/>
      <c r="F1813" s="134"/>
      <c r="G1813" s="134"/>
      <c r="H1813" s="134"/>
      <c r="I1813" s="134"/>
      <c r="J1813" s="134"/>
      <c r="K1813" s="134"/>
      <c r="L1813" s="134"/>
      <c r="M1813" s="134"/>
    </row>
    <row r="1814" spans="3:13" ht="12.75">
      <c r="C1814" s="134"/>
      <c r="D1814" s="134"/>
      <c r="E1814" s="134"/>
      <c r="F1814" s="134"/>
      <c r="G1814" s="134"/>
      <c r="H1814" s="134"/>
      <c r="I1814" s="134"/>
      <c r="J1814" s="134"/>
      <c r="K1814" s="134"/>
      <c r="L1814" s="134"/>
      <c r="M1814" s="134"/>
    </row>
    <row r="1815" spans="3:13" ht="12.75">
      <c r="C1815" s="134"/>
      <c r="D1815" s="134"/>
      <c r="E1815" s="134"/>
      <c r="F1815" s="134"/>
      <c r="G1815" s="134"/>
      <c r="H1815" s="134"/>
      <c r="I1815" s="134"/>
      <c r="J1815" s="134"/>
      <c r="K1815" s="134"/>
      <c r="L1815" s="134"/>
      <c r="M1815" s="134"/>
    </row>
    <row r="1816" spans="3:13" ht="12.75">
      <c r="C1816" s="134"/>
      <c r="D1816" s="134"/>
      <c r="E1816" s="134"/>
      <c r="F1816" s="134"/>
      <c r="G1816" s="134"/>
      <c r="H1816" s="134"/>
      <c r="I1816" s="134"/>
      <c r="J1816" s="134"/>
      <c r="K1816" s="134"/>
      <c r="L1816" s="134"/>
      <c r="M1816" s="134"/>
    </row>
    <row r="1817" spans="3:13" ht="12.75">
      <c r="C1817" s="134"/>
      <c r="D1817" s="134"/>
      <c r="E1817" s="134"/>
      <c r="F1817" s="134"/>
      <c r="G1817" s="134"/>
      <c r="H1817" s="134"/>
      <c r="I1817" s="134"/>
      <c r="J1817" s="134"/>
      <c r="K1817" s="134"/>
      <c r="L1817" s="134"/>
      <c r="M1817" s="134"/>
    </row>
    <row r="1818" spans="3:13" ht="12.75">
      <c r="C1818" s="134"/>
      <c r="D1818" s="134"/>
      <c r="E1818" s="134"/>
      <c r="F1818" s="134"/>
      <c r="G1818" s="134"/>
      <c r="H1818" s="134"/>
      <c r="I1818" s="134"/>
      <c r="J1818" s="134"/>
      <c r="K1818" s="134"/>
      <c r="L1818" s="134"/>
      <c r="M1818" s="134"/>
    </row>
    <row r="1819" spans="3:13" ht="12.75">
      <c r="C1819" s="134"/>
      <c r="D1819" s="134"/>
      <c r="E1819" s="134"/>
      <c r="F1819" s="134"/>
      <c r="G1819" s="134"/>
      <c r="H1819" s="134"/>
      <c r="I1819" s="134"/>
      <c r="J1819" s="134"/>
      <c r="K1819" s="134"/>
      <c r="L1819" s="134"/>
      <c r="M1819" s="134"/>
    </row>
    <row r="1820" spans="3:13" ht="12.75">
      <c r="C1820" s="134"/>
      <c r="D1820" s="134"/>
      <c r="E1820" s="134"/>
      <c r="F1820" s="134"/>
      <c r="G1820" s="134"/>
      <c r="H1820" s="134"/>
      <c r="I1820" s="134"/>
      <c r="J1820" s="134"/>
      <c r="K1820" s="134"/>
      <c r="L1820" s="134"/>
      <c r="M1820" s="134"/>
    </row>
    <row r="1821" spans="3:13" ht="12.75">
      <c r="C1821" s="134"/>
      <c r="D1821" s="134"/>
      <c r="E1821" s="134"/>
      <c r="F1821" s="134"/>
      <c r="G1821" s="134"/>
      <c r="H1821" s="134"/>
      <c r="I1821" s="134"/>
      <c r="J1821" s="134"/>
      <c r="K1821" s="134"/>
      <c r="L1821" s="134"/>
      <c r="M1821" s="134"/>
    </row>
    <row r="1822" spans="3:13" ht="12.75">
      <c r="C1822" s="134"/>
      <c r="D1822" s="134"/>
      <c r="E1822" s="134"/>
      <c r="F1822" s="134"/>
      <c r="G1822" s="134"/>
      <c r="H1822" s="134"/>
      <c r="I1822" s="134"/>
      <c r="J1822" s="134"/>
      <c r="K1822" s="134"/>
      <c r="L1822" s="134"/>
      <c r="M1822" s="134"/>
    </row>
    <row r="1823" spans="3:13" ht="12.75">
      <c r="C1823" s="134"/>
      <c r="D1823" s="134"/>
      <c r="E1823" s="134"/>
      <c r="F1823" s="134"/>
      <c r="G1823" s="134"/>
      <c r="H1823" s="134"/>
      <c r="I1823" s="134"/>
      <c r="J1823" s="134"/>
      <c r="K1823" s="134"/>
      <c r="L1823" s="134"/>
      <c r="M1823" s="134"/>
    </row>
    <row r="1824" spans="3:13" ht="12.75">
      <c r="C1824" s="134"/>
      <c r="D1824" s="134"/>
      <c r="E1824" s="134"/>
      <c r="F1824" s="134"/>
      <c r="G1824" s="134"/>
      <c r="H1824" s="134"/>
      <c r="I1824" s="134"/>
      <c r="J1824" s="134"/>
      <c r="K1824" s="134"/>
      <c r="L1824" s="134"/>
      <c r="M1824" s="134"/>
    </row>
    <row r="1825" spans="3:13" ht="12.75">
      <c r="C1825" s="134"/>
      <c r="D1825" s="134"/>
      <c r="E1825" s="134"/>
      <c r="F1825" s="134"/>
      <c r="G1825" s="134"/>
      <c r="H1825" s="134"/>
      <c r="I1825" s="134"/>
      <c r="J1825" s="134"/>
      <c r="K1825" s="134"/>
      <c r="L1825" s="134"/>
      <c r="M1825" s="134"/>
    </row>
    <row r="1826" spans="3:13" ht="12.75">
      <c r="C1826" s="134"/>
      <c r="D1826" s="134"/>
      <c r="E1826" s="134"/>
      <c r="F1826" s="134"/>
      <c r="G1826" s="134"/>
      <c r="H1826" s="134"/>
      <c r="I1826" s="134"/>
      <c r="J1826" s="134"/>
      <c r="K1826" s="134"/>
      <c r="L1826" s="134"/>
      <c r="M1826" s="134"/>
    </row>
    <row r="1827" spans="3:13" ht="12.75">
      <c r="C1827" s="134"/>
      <c r="D1827" s="134"/>
      <c r="E1827" s="134"/>
      <c r="F1827" s="134"/>
      <c r="G1827" s="134"/>
      <c r="H1827" s="134"/>
      <c r="I1827" s="134"/>
      <c r="J1827" s="134"/>
      <c r="K1827" s="134"/>
      <c r="L1827" s="134"/>
      <c r="M1827" s="134"/>
    </row>
    <row r="1828" spans="3:13" ht="12.75">
      <c r="C1828" s="134"/>
      <c r="D1828" s="134"/>
      <c r="E1828" s="134"/>
      <c r="F1828" s="134"/>
      <c r="G1828" s="134"/>
      <c r="H1828" s="134"/>
      <c r="I1828" s="134"/>
      <c r="J1828" s="134"/>
      <c r="K1828" s="134"/>
      <c r="L1828" s="134"/>
      <c r="M1828" s="134"/>
    </row>
    <row r="1829" spans="3:13" ht="12.75">
      <c r="C1829" s="134"/>
      <c r="D1829" s="134"/>
      <c r="E1829" s="134"/>
      <c r="F1829" s="134"/>
      <c r="G1829" s="134"/>
      <c r="H1829" s="134"/>
      <c r="I1829" s="134"/>
      <c r="J1829" s="134"/>
      <c r="K1829" s="134"/>
      <c r="L1829" s="134"/>
      <c r="M1829" s="134"/>
    </row>
    <row r="1830" spans="3:13" ht="12.75">
      <c r="C1830" s="134"/>
      <c r="D1830" s="134"/>
      <c r="E1830" s="134"/>
      <c r="F1830" s="134"/>
      <c r="G1830" s="134"/>
      <c r="H1830" s="134"/>
      <c r="I1830" s="134"/>
      <c r="J1830" s="134"/>
      <c r="K1830" s="134"/>
      <c r="L1830" s="134"/>
      <c r="M1830" s="134"/>
    </row>
    <row r="1831" spans="3:13" ht="12.75">
      <c r="C1831" s="134"/>
      <c r="D1831" s="134"/>
      <c r="E1831" s="134"/>
      <c r="F1831" s="134"/>
      <c r="G1831" s="134"/>
      <c r="H1831" s="134"/>
      <c r="I1831" s="134"/>
      <c r="J1831" s="134"/>
      <c r="K1831" s="134"/>
      <c r="L1831" s="134"/>
      <c r="M1831" s="134"/>
    </row>
    <row r="1832" spans="3:13" ht="12.75">
      <c r="C1832" s="134"/>
      <c r="D1832" s="134"/>
      <c r="E1832" s="134"/>
      <c r="F1832" s="134"/>
      <c r="G1832" s="134"/>
      <c r="H1832" s="134"/>
      <c r="I1832" s="134"/>
      <c r="J1832" s="134"/>
      <c r="K1832" s="134"/>
      <c r="L1832" s="134"/>
      <c r="M1832" s="134"/>
    </row>
    <row r="1833" spans="3:13" ht="12.75">
      <c r="C1833" s="134"/>
      <c r="D1833" s="134"/>
      <c r="E1833" s="134"/>
      <c r="F1833" s="134"/>
      <c r="G1833" s="134"/>
      <c r="H1833" s="134"/>
      <c r="I1833" s="134"/>
      <c r="J1833" s="134"/>
      <c r="K1833" s="134"/>
      <c r="L1833" s="134"/>
      <c r="M1833" s="134"/>
    </row>
    <row r="1834" spans="3:13" ht="12.75">
      <c r="C1834" s="134"/>
      <c r="D1834" s="134"/>
      <c r="E1834" s="134"/>
      <c r="F1834" s="134"/>
      <c r="G1834" s="134"/>
      <c r="H1834" s="134"/>
      <c r="I1834" s="134"/>
      <c r="J1834" s="134"/>
      <c r="K1834" s="134"/>
      <c r="L1834" s="134"/>
      <c r="M1834" s="134"/>
    </row>
    <row r="1835" spans="3:13" ht="12.75">
      <c r="C1835" s="134"/>
      <c r="D1835" s="134"/>
      <c r="E1835" s="134"/>
      <c r="F1835" s="134"/>
      <c r="G1835" s="134"/>
      <c r="H1835" s="134"/>
      <c r="I1835" s="134"/>
      <c r="J1835" s="134"/>
      <c r="K1835" s="134"/>
      <c r="L1835" s="134"/>
      <c r="M1835" s="134"/>
    </row>
    <row r="1836" spans="3:13" ht="12.75">
      <c r="C1836" s="134"/>
      <c r="D1836" s="134"/>
      <c r="E1836" s="134"/>
      <c r="F1836" s="134"/>
      <c r="G1836" s="134"/>
      <c r="H1836" s="134"/>
      <c r="I1836" s="134"/>
      <c r="J1836" s="134"/>
      <c r="K1836" s="134"/>
      <c r="L1836" s="134"/>
      <c r="M1836" s="134"/>
    </row>
    <row r="1837" spans="3:13" ht="12.75">
      <c r="C1837" s="134"/>
      <c r="D1837" s="134"/>
      <c r="E1837" s="134"/>
      <c r="F1837" s="134"/>
      <c r="G1837" s="134"/>
      <c r="H1837" s="134"/>
      <c r="I1837" s="134"/>
      <c r="J1837" s="134"/>
      <c r="K1837" s="134"/>
      <c r="L1837" s="134"/>
      <c r="M1837" s="134"/>
    </row>
    <row r="1838" spans="3:13" ht="12.75">
      <c r="C1838" s="134"/>
      <c r="D1838" s="134"/>
      <c r="E1838" s="134"/>
      <c r="F1838" s="134"/>
      <c r="G1838" s="134"/>
      <c r="H1838" s="134"/>
      <c r="I1838" s="134"/>
      <c r="J1838" s="134"/>
      <c r="K1838" s="134"/>
      <c r="L1838" s="134"/>
      <c r="M1838" s="134"/>
    </row>
    <row r="1839" spans="3:13" ht="12.75">
      <c r="C1839" s="134"/>
      <c r="D1839" s="134"/>
      <c r="E1839" s="134"/>
      <c r="F1839" s="134"/>
      <c r="G1839" s="134"/>
      <c r="H1839" s="134"/>
      <c r="I1839" s="134"/>
      <c r="J1839" s="134"/>
      <c r="K1839" s="134"/>
      <c r="L1839" s="134"/>
      <c r="M1839" s="134"/>
    </row>
    <row r="1840" spans="3:13" ht="12.75">
      <c r="C1840" s="134"/>
      <c r="D1840" s="134"/>
      <c r="E1840" s="134"/>
      <c r="F1840" s="134"/>
      <c r="G1840" s="134"/>
      <c r="H1840" s="134"/>
      <c r="I1840" s="134"/>
      <c r="J1840" s="134"/>
      <c r="K1840" s="134"/>
      <c r="L1840" s="134"/>
      <c r="M1840" s="134"/>
    </row>
    <row r="1841" spans="3:13" ht="12.75">
      <c r="C1841" s="134"/>
      <c r="D1841" s="134"/>
      <c r="E1841" s="134"/>
      <c r="F1841" s="134"/>
      <c r="G1841" s="134"/>
      <c r="H1841" s="134"/>
      <c r="I1841" s="134"/>
      <c r="J1841" s="134"/>
      <c r="K1841" s="134"/>
      <c r="L1841" s="134"/>
      <c r="M1841" s="134"/>
    </row>
    <row r="1842" spans="3:13" ht="12.75">
      <c r="C1842" s="134"/>
      <c r="D1842" s="134"/>
      <c r="E1842" s="134"/>
      <c r="F1842" s="134"/>
      <c r="G1842" s="134"/>
      <c r="H1842" s="134"/>
      <c r="I1842" s="134"/>
      <c r="J1842" s="134"/>
      <c r="K1842" s="134"/>
      <c r="L1842" s="134"/>
      <c r="M1842" s="134"/>
    </row>
    <row r="1843" spans="3:13" ht="12.75">
      <c r="C1843" s="134"/>
      <c r="D1843" s="134"/>
      <c r="E1843" s="134"/>
      <c r="F1843" s="134"/>
      <c r="G1843" s="134"/>
      <c r="H1843" s="134"/>
      <c r="I1843" s="134"/>
      <c r="J1843" s="134"/>
      <c r="K1843" s="134"/>
      <c r="L1843" s="134"/>
      <c r="M1843" s="134"/>
    </row>
    <row r="1844" spans="3:13" ht="12.75">
      <c r="C1844" s="134"/>
      <c r="D1844" s="134"/>
      <c r="E1844" s="134"/>
      <c r="F1844" s="134"/>
      <c r="G1844" s="134"/>
      <c r="H1844" s="134"/>
      <c r="I1844" s="134"/>
      <c r="J1844" s="134"/>
      <c r="K1844" s="134"/>
      <c r="L1844" s="134"/>
      <c r="M1844" s="134"/>
    </row>
    <row r="1845" spans="3:13" ht="12.75">
      <c r="C1845" s="134"/>
      <c r="D1845" s="134"/>
      <c r="E1845" s="134"/>
      <c r="F1845" s="134"/>
      <c r="G1845" s="134"/>
      <c r="H1845" s="134"/>
      <c r="I1845" s="134"/>
      <c r="J1845" s="134"/>
      <c r="K1845" s="134"/>
      <c r="L1845" s="134"/>
      <c r="M1845" s="134"/>
    </row>
    <row r="1846" spans="3:13" ht="12.75">
      <c r="C1846" s="134"/>
      <c r="D1846" s="134"/>
      <c r="E1846" s="134"/>
      <c r="F1846" s="134"/>
      <c r="G1846" s="134"/>
      <c r="H1846" s="134"/>
      <c r="I1846" s="134"/>
      <c r="J1846" s="134"/>
      <c r="K1846" s="134"/>
      <c r="L1846" s="134"/>
      <c r="M1846" s="134"/>
    </row>
    <row r="1847" spans="3:13" ht="12.75">
      <c r="C1847" s="134"/>
      <c r="D1847" s="134"/>
      <c r="E1847" s="134"/>
      <c r="F1847" s="134"/>
      <c r="G1847" s="134"/>
      <c r="H1847" s="134"/>
      <c r="I1847" s="134"/>
      <c r="J1847" s="134"/>
      <c r="K1847" s="134"/>
      <c r="L1847" s="134"/>
      <c r="M1847" s="134"/>
    </row>
    <row r="1848" spans="3:13" ht="12.75">
      <c r="C1848" s="134"/>
      <c r="D1848" s="134"/>
      <c r="E1848" s="134"/>
      <c r="F1848" s="134"/>
      <c r="G1848" s="134"/>
      <c r="H1848" s="134"/>
      <c r="I1848" s="134"/>
      <c r="J1848" s="134"/>
      <c r="K1848" s="134"/>
      <c r="L1848" s="134"/>
      <c r="M1848" s="134"/>
    </row>
    <row r="1849" spans="3:13" ht="12.75">
      <c r="C1849" s="134"/>
      <c r="D1849" s="134"/>
      <c r="E1849" s="134"/>
      <c r="F1849" s="134"/>
      <c r="G1849" s="134"/>
      <c r="H1849" s="134"/>
      <c r="I1849" s="134"/>
      <c r="J1849" s="134"/>
      <c r="K1849" s="134"/>
      <c r="L1849" s="134"/>
      <c r="M1849" s="134"/>
    </row>
    <row r="1850" spans="3:13" ht="12.75">
      <c r="C1850" s="134"/>
      <c r="D1850" s="134"/>
      <c r="E1850" s="134"/>
      <c r="F1850" s="134"/>
      <c r="G1850" s="134"/>
      <c r="H1850" s="134"/>
      <c r="I1850" s="134"/>
      <c r="J1850" s="134"/>
      <c r="K1850" s="134"/>
      <c r="L1850" s="134"/>
      <c r="M1850" s="134"/>
    </row>
    <row r="1851" spans="3:13" ht="12.75">
      <c r="C1851" s="134"/>
      <c r="D1851" s="134"/>
      <c r="E1851" s="134"/>
      <c r="F1851" s="134"/>
      <c r="G1851" s="134"/>
      <c r="H1851" s="134"/>
      <c r="I1851" s="134"/>
      <c r="J1851" s="134"/>
      <c r="K1851" s="134"/>
      <c r="L1851" s="134"/>
      <c r="M1851" s="134"/>
    </row>
    <row r="1852" spans="3:13" ht="12.75">
      <c r="C1852" s="134"/>
      <c r="D1852" s="134"/>
      <c r="E1852" s="134"/>
      <c r="F1852" s="134"/>
      <c r="G1852" s="134"/>
      <c r="H1852" s="134"/>
      <c r="I1852" s="134"/>
      <c r="J1852" s="134"/>
      <c r="K1852" s="134"/>
      <c r="L1852" s="134"/>
      <c r="M1852" s="134"/>
    </row>
    <row r="1853" spans="3:13" ht="12.75">
      <c r="C1853" s="134"/>
      <c r="D1853" s="134"/>
      <c r="E1853" s="134"/>
      <c r="F1853" s="134"/>
      <c r="G1853" s="134"/>
      <c r="H1853" s="134"/>
      <c r="I1853" s="134"/>
      <c r="J1853" s="134"/>
      <c r="K1853" s="134"/>
      <c r="L1853" s="134"/>
      <c r="M1853" s="134"/>
    </row>
    <row r="1854" spans="3:13" ht="12.75">
      <c r="C1854" s="134"/>
      <c r="D1854" s="134"/>
      <c r="E1854" s="134"/>
      <c r="F1854" s="134"/>
      <c r="G1854" s="134"/>
      <c r="H1854" s="134"/>
      <c r="I1854" s="134"/>
      <c r="J1854" s="134"/>
      <c r="K1854" s="134"/>
      <c r="L1854" s="134"/>
      <c r="M1854" s="134"/>
    </row>
    <row r="1855" spans="3:13" ht="12.75">
      <c r="C1855" s="134"/>
      <c r="D1855" s="134"/>
      <c r="E1855" s="134"/>
      <c r="F1855" s="134"/>
      <c r="G1855" s="134"/>
      <c r="H1855" s="134"/>
      <c r="I1855" s="134"/>
      <c r="J1855" s="134"/>
      <c r="K1855" s="134"/>
      <c r="L1855" s="134"/>
      <c r="M1855" s="134"/>
    </row>
    <row r="1856" spans="3:13" ht="12.75">
      <c r="C1856" s="134"/>
      <c r="D1856" s="134"/>
      <c r="E1856" s="134"/>
      <c r="F1856" s="134"/>
      <c r="G1856" s="134"/>
      <c r="H1856" s="134"/>
      <c r="I1856" s="134"/>
      <c r="J1856" s="134"/>
      <c r="K1856" s="134"/>
      <c r="L1856" s="134"/>
      <c r="M1856" s="134"/>
    </row>
    <row r="1857" spans="3:13" ht="12.75">
      <c r="C1857" s="134"/>
      <c r="D1857" s="134"/>
      <c r="E1857" s="134"/>
      <c r="F1857" s="134"/>
      <c r="G1857" s="134"/>
      <c r="H1857" s="134"/>
      <c r="I1857" s="134"/>
      <c r="J1857" s="134"/>
      <c r="K1857" s="134"/>
      <c r="L1857" s="134"/>
      <c r="M1857" s="134"/>
    </row>
    <row r="1858" spans="3:13" ht="12.75">
      <c r="C1858" s="134"/>
      <c r="D1858" s="134"/>
      <c r="E1858" s="134"/>
      <c r="F1858" s="134"/>
      <c r="G1858" s="134"/>
      <c r="H1858" s="134"/>
      <c r="I1858" s="134"/>
      <c r="J1858" s="134"/>
      <c r="K1858" s="134"/>
      <c r="L1858" s="134"/>
      <c r="M1858" s="134"/>
    </row>
    <row r="1859" spans="3:13" ht="12.75">
      <c r="C1859" s="134"/>
      <c r="D1859" s="134"/>
      <c r="E1859" s="134"/>
      <c r="F1859" s="134"/>
      <c r="G1859" s="134"/>
      <c r="H1859" s="134"/>
      <c r="I1859" s="134"/>
      <c r="J1859" s="134"/>
      <c r="K1859" s="134"/>
      <c r="L1859" s="134"/>
      <c r="M1859" s="134"/>
    </row>
    <row r="1860" spans="3:13" ht="12.75">
      <c r="C1860" s="134"/>
      <c r="D1860" s="134"/>
      <c r="E1860" s="134"/>
      <c r="F1860" s="134"/>
      <c r="G1860" s="134"/>
      <c r="H1860" s="134"/>
      <c r="I1860" s="134"/>
      <c r="J1860" s="134"/>
      <c r="K1860" s="134"/>
      <c r="L1860" s="134"/>
      <c r="M1860" s="134"/>
    </row>
    <row r="1861" spans="3:13" ht="12.75">
      <c r="C1861" s="134"/>
      <c r="D1861" s="134"/>
      <c r="E1861" s="134"/>
      <c r="F1861" s="134"/>
      <c r="G1861" s="134"/>
      <c r="H1861" s="134"/>
      <c r="I1861" s="134"/>
      <c r="J1861" s="134"/>
      <c r="K1861" s="134"/>
      <c r="L1861" s="134"/>
      <c r="M1861" s="134"/>
    </row>
    <row r="1862" spans="3:13" ht="12.75">
      <c r="C1862" s="134"/>
      <c r="D1862" s="134"/>
      <c r="E1862" s="134"/>
      <c r="F1862" s="134"/>
      <c r="G1862" s="134"/>
      <c r="H1862" s="134"/>
      <c r="I1862" s="134"/>
      <c r="J1862" s="134"/>
      <c r="K1862" s="134"/>
      <c r="L1862" s="134"/>
      <c r="M1862" s="134"/>
    </row>
    <row r="1863" spans="3:13" ht="12.75">
      <c r="C1863" s="134"/>
      <c r="D1863" s="134"/>
      <c r="E1863" s="134"/>
      <c r="F1863" s="134"/>
      <c r="G1863" s="134"/>
      <c r="H1863" s="134"/>
      <c r="I1863" s="134"/>
      <c r="J1863" s="134"/>
      <c r="K1863" s="134"/>
      <c r="L1863" s="134"/>
      <c r="M1863" s="134"/>
    </row>
    <row r="1864" spans="3:13" ht="12.75">
      <c r="C1864" s="134"/>
      <c r="D1864" s="134"/>
      <c r="E1864" s="134"/>
      <c r="F1864" s="134"/>
      <c r="G1864" s="134"/>
      <c r="H1864" s="134"/>
      <c r="I1864" s="134"/>
      <c r="J1864" s="134"/>
      <c r="K1864" s="134"/>
      <c r="L1864" s="134"/>
      <c r="M1864" s="134"/>
    </row>
    <row r="1865" spans="3:13" ht="12.75">
      <c r="C1865" s="134"/>
      <c r="D1865" s="134"/>
      <c r="E1865" s="134"/>
      <c r="F1865" s="134"/>
      <c r="G1865" s="134"/>
      <c r="H1865" s="134"/>
      <c r="I1865" s="134"/>
      <c r="J1865" s="134"/>
      <c r="K1865" s="134"/>
      <c r="L1865" s="134"/>
      <c r="M1865" s="134"/>
    </row>
    <row r="1866" spans="3:13" ht="12.75">
      <c r="C1866" s="134"/>
      <c r="D1866" s="134"/>
      <c r="E1866" s="134"/>
      <c r="F1866" s="134"/>
      <c r="G1866" s="134"/>
      <c r="H1866" s="134"/>
      <c r="I1866" s="134"/>
      <c r="J1866" s="134"/>
      <c r="K1866" s="134"/>
      <c r="L1866" s="134"/>
      <c r="M1866" s="134"/>
    </row>
    <row r="1867" spans="3:13" ht="12.75">
      <c r="C1867" s="134"/>
      <c r="D1867" s="134"/>
      <c r="E1867" s="134"/>
      <c r="F1867" s="134"/>
      <c r="G1867" s="134"/>
      <c r="H1867" s="134"/>
      <c r="I1867" s="134"/>
      <c r="J1867" s="134"/>
      <c r="K1867" s="134"/>
      <c r="L1867" s="134"/>
      <c r="M1867" s="134"/>
    </row>
    <row r="1868" spans="3:13" ht="12.75">
      <c r="C1868" s="134"/>
      <c r="D1868" s="134"/>
      <c r="E1868" s="134"/>
      <c r="F1868" s="134"/>
      <c r="G1868" s="134"/>
      <c r="H1868" s="134"/>
      <c r="I1868" s="134"/>
      <c r="J1868" s="134"/>
      <c r="K1868" s="134"/>
      <c r="L1868" s="134"/>
      <c r="M1868" s="134"/>
    </row>
    <row r="1869" spans="3:13" ht="12.75">
      <c r="C1869" s="134"/>
      <c r="D1869" s="134"/>
      <c r="E1869" s="134"/>
      <c r="F1869" s="134"/>
      <c r="G1869" s="134"/>
      <c r="H1869" s="134"/>
      <c r="I1869" s="134"/>
      <c r="J1869" s="134"/>
      <c r="K1869" s="134"/>
      <c r="L1869" s="134"/>
      <c r="M1869" s="134"/>
    </row>
    <row r="1870" spans="3:13" ht="12.75">
      <c r="C1870" s="134"/>
      <c r="D1870" s="134"/>
      <c r="E1870" s="134"/>
      <c r="F1870" s="134"/>
      <c r="G1870" s="134"/>
      <c r="H1870" s="134"/>
      <c r="I1870" s="134"/>
      <c r="J1870" s="134"/>
      <c r="K1870" s="134"/>
      <c r="L1870" s="134"/>
      <c r="M1870" s="134"/>
    </row>
    <row r="1871" spans="3:13" ht="12.75">
      <c r="C1871" s="134"/>
      <c r="D1871" s="134"/>
      <c r="E1871" s="134"/>
      <c r="F1871" s="134"/>
      <c r="G1871" s="134"/>
      <c r="H1871" s="134"/>
      <c r="I1871" s="134"/>
      <c r="J1871" s="134"/>
      <c r="K1871" s="134"/>
      <c r="L1871" s="134"/>
      <c r="M1871" s="134"/>
    </row>
    <row r="1872" spans="3:13" ht="12.75">
      <c r="C1872" s="134"/>
      <c r="D1872" s="134"/>
      <c r="E1872" s="134"/>
      <c r="F1872" s="134"/>
      <c r="G1872" s="134"/>
      <c r="H1872" s="134"/>
      <c r="I1872" s="134"/>
      <c r="J1872" s="134"/>
      <c r="K1872" s="134"/>
      <c r="L1872" s="134"/>
      <c r="M1872" s="134"/>
    </row>
    <row r="1873" spans="3:13" ht="12.75">
      <c r="C1873" s="134"/>
      <c r="D1873" s="134"/>
      <c r="E1873" s="134"/>
      <c r="F1873" s="134"/>
      <c r="G1873" s="134"/>
      <c r="H1873" s="134"/>
      <c r="I1873" s="134"/>
      <c r="J1873" s="134"/>
      <c r="K1873" s="134"/>
      <c r="L1873" s="134"/>
      <c r="M1873" s="134"/>
    </row>
    <row r="1874" spans="3:13" ht="12.75">
      <c r="C1874" s="134"/>
      <c r="D1874" s="134"/>
      <c r="E1874" s="134"/>
      <c r="F1874" s="134"/>
      <c r="G1874" s="134"/>
      <c r="H1874" s="134"/>
      <c r="I1874" s="134"/>
      <c r="J1874" s="134"/>
      <c r="K1874" s="134"/>
      <c r="L1874" s="134"/>
      <c r="M1874" s="134"/>
    </row>
    <row r="1875" spans="3:13" ht="12.75">
      <c r="C1875" s="134"/>
      <c r="D1875" s="134"/>
      <c r="E1875" s="134"/>
      <c r="F1875" s="134"/>
      <c r="G1875" s="134"/>
      <c r="H1875" s="134"/>
      <c r="I1875" s="134"/>
      <c r="J1875" s="134"/>
      <c r="K1875" s="134"/>
      <c r="L1875" s="134"/>
      <c r="M1875" s="134"/>
    </row>
    <row r="1876" spans="3:13" ht="12.75">
      <c r="C1876" s="134"/>
      <c r="D1876" s="134"/>
      <c r="E1876" s="134"/>
      <c r="F1876" s="134"/>
      <c r="G1876" s="134"/>
      <c r="H1876" s="134"/>
      <c r="I1876" s="134"/>
      <c r="J1876" s="134"/>
      <c r="K1876" s="134"/>
      <c r="L1876" s="134"/>
      <c r="M1876" s="134"/>
    </row>
    <row r="1877" spans="3:13" ht="12.75">
      <c r="C1877" s="134"/>
      <c r="D1877" s="134"/>
      <c r="E1877" s="134"/>
      <c r="F1877" s="134"/>
      <c r="G1877" s="134"/>
      <c r="H1877" s="134"/>
      <c r="I1877" s="134"/>
      <c r="J1877" s="134"/>
      <c r="K1877" s="134"/>
      <c r="L1877" s="134"/>
      <c r="M1877" s="134"/>
    </row>
    <row r="1878" spans="3:13" ht="12.75">
      <c r="C1878" s="134"/>
      <c r="D1878" s="134"/>
      <c r="E1878" s="134"/>
      <c r="F1878" s="134"/>
      <c r="G1878" s="134"/>
      <c r="H1878" s="134"/>
      <c r="I1878" s="134"/>
      <c r="J1878" s="134"/>
      <c r="K1878" s="134"/>
      <c r="L1878" s="134"/>
      <c r="M1878" s="134"/>
    </row>
    <row r="1879" spans="3:13" ht="12.75">
      <c r="C1879" s="134"/>
      <c r="D1879" s="134"/>
      <c r="E1879" s="134"/>
      <c r="F1879" s="134"/>
      <c r="G1879" s="134"/>
      <c r="H1879" s="134"/>
      <c r="I1879" s="134"/>
      <c r="J1879" s="134"/>
      <c r="K1879" s="134"/>
      <c r="L1879" s="134"/>
      <c r="M1879" s="134"/>
    </row>
    <row r="1880" spans="3:13" ht="12.75">
      <c r="C1880" s="134"/>
      <c r="D1880" s="134"/>
      <c r="E1880" s="134"/>
      <c r="F1880" s="134"/>
      <c r="G1880" s="134"/>
      <c r="H1880" s="134"/>
      <c r="I1880" s="134"/>
      <c r="J1880" s="134"/>
      <c r="K1880" s="134"/>
      <c r="L1880" s="134"/>
      <c r="M1880" s="134"/>
    </row>
    <row r="1881" spans="3:13" ht="12.75">
      <c r="C1881" s="134"/>
      <c r="D1881" s="134"/>
      <c r="E1881" s="134"/>
      <c r="F1881" s="134"/>
      <c r="G1881" s="134"/>
      <c r="H1881" s="134"/>
      <c r="I1881" s="134"/>
      <c r="J1881" s="134"/>
      <c r="K1881" s="134"/>
      <c r="L1881" s="134"/>
      <c r="M1881" s="134"/>
    </row>
    <row r="1882" spans="3:13" ht="12.75">
      <c r="C1882" s="134"/>
      <c r="D1882" s="134"/>
      <c r="E1882" s="134"/>
      <c r="F1882" s="134"/>
      <c r="G1882" s="134"/>
      <c r="H1882" s="134"/>
      <c r="I1882" s="134"/>
      <c r="J1882" s="134"/>
      <c r="K1882" s="134"/>
      <c r="L1882" s="134"/>
      <c r="M1882" s="134"/>
    </row>
    <row r="1883" spans="3:13" ht="12.75">
      <c r="C1883" s="134"/>
      <c r="D1883" s="134"/>
      <c r="E1883" s="134"/>
      <c r="F1883" s="134"/>
      <c r="G1883" s="134"/>
      <c r="H1883" s="134"/>
      <c r="I1883" s="134"/>
      <c r="J1883" s="134"/>
      <c r="K1883" s="134"/>
      <c r="L1883" s="134"/>
      <c r="M1883" s="134"/>
    </row>
    <row r="1884" spans="3:13" ht="12.75">
      <c r="C1884" s="134"/>
      <c r="D1884" s="134"/>
      <c r="E1884" s="134"/>
      <c r="F1884" s="134"/>
      <c r="G1884" s="134"/>
      <c r="H1884" s="134"/>
      <c r="I1884" s="134"/>
      <c r="J1884" s="134"/>
      <c r="K1884" s="134"/>
      <c r="L1884" s="134"/>
      <c r="M1884" s="134"/>
    </row>
    <row r="1885" spans="3:13" ht="12.75">
      <c r="C1885" s="134"/>
      <c r="D1885" s="134"/>
      <c r="E1885" s="134"/>
      <c r="F1885" s="134"/>
      <c r="G1885" s="134"/>
      <c r="H1885" s="134"/>
      <c r="I1885" s="134"/>
      <c r="J1885" s="134"/>
      <c r="K1885" s="134"/>
      <c r="L1885" s="134"/>
      <c r="M1885" s="134"/>
    </row>
    <row r="1886" spans="3:13" ht="12.75">
      <c r="C1886" s="134"/>
      <c r="D1886" s="134"/>
      <c r="E1886" s="134"/>
      <c r="F1886" s="134"/>
      <c r="G1886" s="134"/>
      <c r="H1886" s="134"/>
      <c r="I1886" s="134"/>
      <c r="J1886" s="134"/>
      <c r="K1886" s="134"/>
      <c r="L1886" s="134"/>
      <c r="M1886" s="134"/>
    </row>
    <row r="1887" spans="3:13" ht="12.75">
      <c r="C1887" s="134"/>
      <c r="D1887" s="134"/>
      <c r="E1887" s="134"/>
      <c r="F1887" s="134"/>
      <c r="G1887" s="134"/>
      <c r="H1887" s="134"/>
      <c r="I1887" s="134"/>
      <c r="J1887" s="134"/>
      <c r="K1887" s="134"/>
      <c r="L1887" s="134"/>
      <c r="M1887" s="134"/>
    </row>
    <row r="1888" spans="3:13" ht="12.75">
      <c r="C1888" s="134"/>
      <c r="D1888" s="134"/>
      <c r="E1888" s="134"/>
      <c r="F1888" s="134"/>
      <c r="G1888" s="134"/>
      <c r="H1888" s="134"/>
      <c r="I1888" s="134"/>
      <c r="J1888" s="134"/>
      <c r="K1888" s="134"/>
      <c r="L1888" s="134"/>
      <c r="M1888" s="134"/>
    </row>
    <row r="1889" spans="3:13" ht="12.75">
      <c r="C1889" s="134"/>
      <c r="D1889" s="134"/>
      <c r="E1889" s="134"/>
      <c r="F1889" s="134"/>
      <c r="G1889" s="134"/>
      <c r="H1889" s="134"/>
      <c r="I1889" s="134"/>
      <c r="J1889" s="134"/>
      <c r="K1889" s="134"/>
      <c r="L1889" s="134"/>
      <c r="M1889" s="134"/>
    </row>
    <row r="1890" spans="3:13" ht="12.75">
      <c r="C1890" s="134"/>
      <c r="D1890" s="134"/>
      <c r="E1890" s="134"/>
      <c r="F1890" s="134"/>
      <c r="G1890" s="134"/>
      <c r="H1890" s="134"/>
      <c r="I1890" s="134"/>
      <c r="J1890" s="134"/>
      <c r="K1890" s="134"/>
      <c r="L1890" s="134"/>
      <c r="M1890" s="134"/>
    </row>
    <row r="1891" spans="3:13" ht="12.75">
      <c r="C1891" s="134"/>
      <c r="D1891" s="134"/>
      <c r="E1891" s="134"/>
      <c r="F1891" s="134"/>
      <c r="G1891" s="134"/>
      <c r="H1891" s="134"/>
      <c r="I1891" s="134"/>
      <c r="J1891" s="134"/>
      <c r="K1891" s="134"/>
      <c r="L1891" s="134"/>
      <c r="M1891" s="134"/>
    </row>
    <row r="1892" spans="3:13" ht="12.75">
      <c r="C1892" s="134"/>
      <c r="D1892" s="134"/>
      <c r="E1892" s="134"/>
      <c r="F1892" s="134"/>
      <c r="G1892" s="134"/>
      <c r="H1892" s="134"/>
      <c r="I1892" s="134"/>
      <c r="J1892" s="134"/>
      <c r="K1892" s="134"/>
      <c r="L1892" s="134"/>
      <c r="M1892" s="134"/>
    </row>
    <row r="1893" spans="3:13" ht="12.75">
      <c r="C1893" s="134"/>
      <c r="D1893" s="134"/>
      <c r="E1893" s="134"/>
      <c r="F1893" s="134"/>
      <c r="G1893" s="134"/>
      <c r="H1893" s="134"/>
      <c r="I1893" s="134"/>
      <c r="J1893" s="134"/>
      <c r="K1893" s="134"/>
      <c r="L1893" s="134"/>
      <c r="M1893" s="134"/>
    </row>
    <row r="1894" spans="3:13" ht="12.75">
      <c r="C1894" s="134"/>
      <c r="D1894" s="134"/>
      <c r="E1894" s="134"/>
      <c r="F1894" s="134"/>
      <c r="G1894" s="134"/>
      <c r="H1894" s="134"/>
      <c r="I1894" s="134"/>
      <c r="J1894" s="134"/>
      <c r="K1894" s="134"/>
      <c r="L1894" s="134"/>
      <c r="M1894" s="134"/>
    </row>
    <row r="1895" spans="3:13" ht="12.75">
      <c r="C1895" s="134"/>
      <c r="D1895" s="134"/>
      <c r="E1895" s="134"/>
      <c r="F1895" s="134"/>
      <c r="G1895" s="134"/>
      <c r="H1895" s="134"/>
      <c r="I1895" s="134"/>
      <c r="J1895" s="134"/>
      <c r="K1895" s="134"/>
      <c r="L1895" s="134"/>
      <c r="M1895" s="134"/>
    </row>
    <row r="1896" spans="3:13" ht="12.75">
      <c r="C1896" s="134"/>
      <c r="D1896" s="134"/>
      <c r="E1896" s="134"/>
      <c r="F1896" s="134"/>
      <c r="G1896" s="134"/>
      <c r="H1896" s="134"/>
      <c r="I1896" s="134"/>
      <c r="J1896" s="134"/>
      <c r="K1896" s="134"/>
      <c r="L1896" s="134"/>
      <c r="M1896" s="134"/>
    </row>
    <row r="1897" spans="3:13" ht="12.75">
      <c r="C1897" s="134"/>
      <c r="D1897" s="134"/>
      <c r="E1897" s="134"/>
      <c r="F1897" s="134"/>
      <c r="G1897" s="134"/>
      <c r="H1897" s="134"/>
      <c r="I1897" s="134"/>
      <c r="J1897" s="134"/>
      <c r="K1897" s="134"/>
      <c r="L1897" s="134"/>
      <c r="M1897" s="134"/>
    </row>
    <row r="1898" spans="3:13" ht="12.75">
      <c r="C1898" s="134"/>
      <c r="D1898" s="134"/>
      <c r="E1898" s="134"/>
      <c r="F1898" s="134"/>
      <c r="G1898" s="134"/>
      <c r="H1898" s="134"/>
      <c r="I1898" s="134"/>
      <c r="J1898" s="134"/>
      <c r="K1898" s="134"/>
      <c r="L1898" s="134"/>
      <c r="M1898" s="134"/>
    </row>
    <row r="1899" spans="3:13" ht="12.75">
      <c r="C1899" s="134"/>
      <c r="D1899" s="134"/>
      <c r="E1899" s="134"/>
      <c r="F1899" s="134"/>
      <c r="G1899" s="134"/>
      <c r="H1899" s="134"/>
      <c r="I1899" s="134"/>
      <c r="J1899" s="134"/>
      <c r="K1899" s="134"/>
      <c r="L1899" s="134"/>
      <c r="M1899" s="134"/>
    </row>
    <row r="1900" spans="3:13" ht="12.75">
      <c r="C1900" s="134"/>
      <c r="D1900" s="134"/>
      <c r="E1900" s="134"/>
      <c r="F1900" s="134"/>
      <c r="G1900" s="134"/>
      <c r="H1900" s="134"/>
      <c r="I1900" s="134"/>
      <c r="J1900" s="134"/>
      <c r="K1900" s="134"/>
      <c r="L1900" s="134"/>
      <c r="M1900" s="134"/>
    </row>
    <row r="1901" spans="3:13" ht="12.75">
      <c r="C1901" s="134"/>
      <c r="D1901" s="134"/>
      <c r="E1901" s="134"/>
      <c r="F1901" s="134"/>
      <c r="G1901" s="134"/>
      <c r="H1901" s="134"/>
      <c r="I1901" s="134"/>
      <c r="J1901" s="134"/>
      <c r="K1901" s="134"/>
      <c r="L1901" s="134"/>
      <c r="M1901" s="134"/>
    </row>
    <row r="1902" spans="3:13" ht="12.75">
      <c r="C1902" s="134"/>
      <c r="D1902" s="134"/>
      <c r="E1902" s="134"/>
      <c r="F1902" s="134"/>
      <c r="G1902" s="134"/>
      <c r="H1902" s="134"/>
      <c r="I1902" s="134"/>
      <c r="J1902" s="134"/>
      <c r="K1902" s="134"/>
      <c r="L1902" s="134"/>
      <c r="M1902" s="134"/>
    </row>
    <row r="1903" spans="3:13" ht="12.75">
      <c r="C1903" s="134"/>
      <c r="D1903" s="134"/>
      <c r="E1903" s="134"/>
      <c r="F1903" s="134"/>
      <c r="G1903" s="134"/>
      <c r="H1903" s="134"/>
      <c r="I1903" s="134"/>
      <c r="J1903" s="134"/>
      <c r="K1903" s="134"/>
      <c r="L1903" s="134"/>
      <c r="M1903" s="134"/>
    </row>
    <row r="1904" spans="3:13" ht="12.75">
      <c r="C1904" s="134"/>
      <c r="D1904" s="134"/>
      <c r="E1904" s="134"/>
      <c r="F1904" s="134"/>
      <c r="G1904" s="134"/>
      <c r="H1904" s="134"/>
      <c r="I1904" s="134"/>
      <c r="J1904" s="134"/>
      <c r="K1904" s="134"/>
      <c r="L1904" s="134"/>
      <c r="M1904" s="134"/>
    </row>
    <row r="1905" spans="3:13" ht="12.75">
      <c r="C1905" s="134"/>
      <c r="D1905" s="134"/>
      <c r="E1905" s="134"/>
      <c r="F1905" s="134"/>
      <c r="G1905" s="134"/>
      <c r="H1905" s="134"/>
      <c r="I1905" s="134"/>
      <c r="J1905" s="134"/>
      <c r="K1905" s="134"/>
      <c r="L1905" s="134"/>
      <c r="M1905" s="134"/>
    </row>
    <row r="1906" spans="3:13" ht="12.75">
      <c r="C1906" s="134"/>
      <c r="D1906" s="134"/>
      <c r="E1906" s="134"/>
      <c r="F1906" s="134"/>
      <c r="G1906" s="134"/>
      <c r="H1906" s="134"/>
      <c r="I1906" s="134"/>
      <c r="J1906" s="134"/>
      <c r="K1906" s="134"/>
      <c r="L1906" s="134"/>
      <c r="M1906" s="134"/>
    </row>
    <row r="1907" spans="3:13" ht="12.75">
      <c r="C1907" s="134"/>
      <c r="D1907" s="134"/>
      <c r="E1907" s="134"/>
      <c r="F1907" s="134"/>
      <c r="G1907" s="134"/>
      <c r="H1907" s="134"/>
      <c r="I1907" s="134"/>
      <c r="J1907" s="134"/>
      <c r="K1907" s="134"/>
      <c r="L1907" s="134"/>
      <c r="M1907" s="134"/>
    </row>
    <row r="1908" spans="3:13" ht="12.75">
      <c r="C1908" s="134"/>
      <c r="D1908" s="134"/>
      <c r="E1908" s="134"/>
      <c r="F1908" s="134"/>
      <c r="G1908" s="134"/>
      <c r="H1908" s="134"/>
      <c r="I1908" s="134"/>
      <c r="J1908" s="134"/>
      <c r="K1908" s="134"/>
      <c r="L1908" s="134"/>
      <c r="M1908" s="134"/>
    </row>
    <row r="1909" spans="3:13" ht="12.75">
      <c r="C1909" s="134"/>
      <c r="D1909" s="134"/>
      <c r="E1909" s="134"/>
      <c r="F1909" s="134"/>
      <c r="G1909" s="134"/>
      <c r="H1909" s="134"/>
      <c r="I1909" s="134"/>
      <c r="J1909" s="134"/>
      <c r="K1909" s="134"/>
      <c r="L1909" s="134"/>
      <c r="M1909" s="134"/>
    </row>
    <row r="1910" spans="3:13" ht="12.75">
      <c r="C1910" s="134"/>
      <c r="D1910" s="134"/>
      <c r="E1910" s="134"/>
      <c r="F1910" s="134"/>
      <c r="G1910" s="134"/>
      <c r="H1910" s="134"/>
      <c r="I1910" s="134"/>
      <c r="J1910" s="134"/>
      <c r="K1910" s="134"/>
      <c r="L1910" s="134"/>
      <c r="M1910" s="134"/>
    </row>
    <row r="1911" spans="3:13" ht="12.75">
      <c r="C1911" s="134"/>
      <c r="D1911" s="134"/>
      <c r="E1911" s="134"/>
      <c r="F1911" s="134"/>
      <c r="G1911" s="134"/>
      <c r="H1911" s="134"/>
      <c r="I1911" s="134"/>
      <c r="J1911" s="134"/>
      <c r="K1911" s="134"/>
      <c r="L1911" s="134"/>
      <c r="M1911" s="134"/>
    </row>
    <row r="1912" spans="3:13" ht="12.75">
      <c r="C1912" s="134"/>
      <c r="D1912" s="134"/>
      <c r="E1912" s="134"/>
      <c r="F1912" s="134"/>
      <c r="G1912" s="134"/>
      <c r="H1912" s="134"/>
      <c r="I1912" s="134"/>
      <c r="J1912" s="134"/>
      <c r="K1912" s="134"/>
      <c r="L1912" s="134"/>
      <c r="M1912" s="134"/>
    </row>
    <row r="1913" spans="3:13" ht="12.75">
      <c r="C1913" s="134"/>
      <c r="D1913" s="134"/>
      <c r="E1913" s="134"/>
      <c r="F1913" s="134"/>
      <c r="G1913" s="134"/>
      <c r="H1913" s="134"/>
      <c r="I1913" s="134"/>
      <c r="J1913" s="134"/>
      <c r="K1913" s="134"/>
      <c r="L1913" s="134"/>
      <c r="M1913" s="134"/>
    </row>
    <row r="1914" spans="3:13" ht="12.75">
      <c r="C1914" s="134"/>
      <c r="D1914" s="134"/>
      <c r="E1914" s="134"/>
      <c r="F1914" s="134"/>
      <c r="G1914" s="134"/>
      <c r="H1914" s="134"/>
      <c r="I1914" s="134"/>
      <c r="J1914" s="134"/>
      <c r="K1914" s="134"/>
      <c r="L1914" s="134"/>
      <c r="M1914" s="134"/>
    </row>
    <row r="1915" spans="3:13" ht="12.75">
      <c r="C1915" s="134"/>
      <c r="D1915" s="134"/>
      <c r="E1915" s="134"/>
      <c r="F1915" s="134"/>
      <c r="G1915" s="134"/>
      <c r="H1915" s="134"/>
      <c r="I1915" s="134"/>
      <c r="J1915" s="134"/>
      <c r="K1915" s="134"/>
      <c r="L1915" s="134"/>
      <c r="M1915" s="134"/>
    </row>
    <row r="1916" spans="3:13" ht="12.75">
      <c r="C1916" s="134"/>
      <c r="D1916" s="134"/>
      <c r="E1916" s="134"/>
      <c r="F1916" s="134"/>
      <c r="G1916" s="134"/>
      <c r="H1916" s="134"/>
      <c r="I1916" s="134"/>
      <c r="J1916" s="134"/>
      <c r="K1916" s="134"/>
      <c r="L1916" s="134"/>
      <c r="M1916" s="134"/>
    </row>
    <row r="1917" spans="3:13" ht="12.75">
      <c r="C1917" s="134"/>
      <c r="D1917" s="134"/>
      <c r="E1917" s="134"/>
      <c r="F1917" s="134"/>
      <c r="G1917" s="134"/>
      <c r="H1917" s="134"/>
      <c r="I1917" s="134"/>
      <c r="J1917" s="134"/>
      <c r="K1917" s="134"/>
      <c r="L1917" s="134"/>
      <c r="M1917" s="134"/>
    </row>
    <row r="1918" spans="3:13" ht="12.75">
      <c r="C1918" s="134"/>
      <c r="D1918" s="134"/>
      <c r="E1918" s="134"/>
      <c r="F1918" s="134"/>
      <c r="G1918" s="134"/>
      <c r="H1918" s="134"/>
      <c r="I1918" s="134"/>
      <c r="J1918" s="134"/>
      <c r="K1918" s="134"/>
      <c r="L1918" s="134"/>
      <c r="M1918" s="134"/>
    </row>
    <row r="1919" spans="3:13" ht="12.75">
      <c r="C1919" s="134"/>
      <c r="D1919" s="134"/>
      <c r="E1919" s="134"/>
      <c r="F1919" s="134"/>
      <c r="G1919" s="134"/>
      <c r="H1919" s="134"/>
      <c r="I1919" s="134"/>
      <c r="J1919" s="134"/>
      <c r="K1919" s="134"/>
      <c r="L1919" s="134"/>
      <c r="M1919" s="134"/>
    </row>
    <row r="1920" spans="3:13" ht="12.75">
      <c r="C1920" s="134"/>
      <c r="D1920" s="134"/>
      <c r="E1920" s="134"/>
      <c r="F1920" s="134"/>
      <c r="G1920" s="134"/>
      <c r="H1920" s="134"/>
      <c r="I1920" s="134"/>
      <c r="J1920" s="134"/>
      <c r="K1920" s="134"/>
      <c r="L1920" s="134"/>
      <c r="M1920" s="134"/>
    </row>
    <row r="1921" spans="3:13" ht="12.75">
      <c r="C1921" s="134"/>
      <c r="D1921" s="134"/>
      <c r="E1921" s="134"/>
      <c r="F1921" s="134"/>
      <c r="G1921" s="134"/>
      <c r="H1921" s="134"/>
      <c r="I1921" s="134"/>
      <c r="J1921" s="134"/>
      <c r="K1921" s="134"/>
      <c r="L1921" s="134"/>
      <c r="M1921" s="134"/>
    </row>
    <row r="1922" spans="3:13" ht="12.75">
      <c r="C1922" s="134"/>
      <c r="D1922" s="134"/>
      <c r="E1922" s="134"/>
      <c r="F1922" s="134"/>
      <c r="G1922" s="134"/>
      <c r="H1922" s="134"/>
      <c r="I1922" s="134"/>
      <c r="J1922" s="134"/>
      <c r="K1922" s="134"/>
      <c r="L1922" s="134"/>
      <c r="M1922" s="134"/>
    </row>
    <row r="1923" spans="3:13" ht="12.75">
      <c r="C1923" s="134"/>
      <c r="D1923" s="134"/>
      <c r="E1923" s="134"/>
      <c r="F1923" s="134"/>
      <c r="G1923" s="134"/>
      <c r="H1923" s="134"/>
      <c r="I1923" s="134"/>
      <c r="J1923" s="134"/>
      <c r="K1923" s="134"/>
      <c r="L1923" s="134"/>
      <c r="M1923" s="134"/>
    </row>
    <row r="1924" spans="3:13" ht="12.75">
      <c r="C1924" s="134"/>
      <c r="D1924" s="134"/>
      <c r="E1924" s="134"/>
      <c r="F1924" s="134"/>
      <c r="G1924" s="134"/>
      <c r="H1924" s="134"/>
      <c r="I1924" s="134"/>
      <c r="J1924" s="134"/>
      <c r="K1924" s="134"/>
      <c r="L1924" s="134"/>
      <c r="M1924" s="134"/>
    </row>
    <row r="1925" spans="3:13" ht="12.75">
      <c r="C1925" s="134"/>
      <c r="D1925" s="134"/>
      <c r="E1925" s="134"/>
      <c r="F1925" s="134"/>
      <c r="G1925" s="134"/>
      <c r="H1925" s="134"/>
      <c r="I1925" s="134"/>
      <c r="J1925" s="134"/>
      <c r="K1925" s="134"/>
      <c r="L1925" s="134"/>
      <c r="M1925" s="134"/>
    </row>
    <row r="1926" spans="3:13" ht="12.75">
      <c r="C1926" s="134"/>
      <c r="D1926" s="134"/>
      <c r="E1926" s="134"/>
      <c r="F1926" s="134"/>
      <c r="G1926" s="134"/>
      <c r="H1926" s="134"/>
      <c r="I1926" s="134"/>
      <c r="J1926" s="134"/>
      <c r="K1926" s="134"/>
      <c r="L1926" s="134"/>
      <c r="M1926" s="134"/>
    </row>
    <row r="1927" spans="3:13" ht="12.75">
      <c r="C1927" s="134"/>
      <c r="D1927" s="134"/>
      <c r="E1927" s="134"/>
      <c r="F1927" s="134"/>
      <c r="G1927" s="134"/>
      <c r="H1927" s="134"/>
      <c r="I1927" s="134"/>
      <c r="J1927" s="134"/>
      <c r="K1927" s="134"/>
      <c r="L1927" s="134"/>
      <c r="M1927" s="134"/>
    </row>
    <row r="1928" spans="3:13" ht="12.75">
      <c r="C1928" s="134"/>
      <c r="D1928" s="134"/>
      <c r="E1928" s="134"/>
      <c r="F1928" s="134"/>
      <c r="G1928" s="134"/>
      <c r="H1928" s="134"/>
      <c r="I1928" s="134"/>
      <c r="J1928" s="134"/>
      <c r="K1928" s="134"/>
      <c r="L1928" s="134"/>
      <c r="M1928" s="134"/>
    </row>
    <row r="1929" spans="3:13" ht="12.75">
      <c r="C1929" s="134"/>
      <c r="D1929" s="134"/>
      <c r="E1929" s="134"/>
      <c r="F1929" s="134"/>
      <c r="G1929" s="134"/>
      <c r="H1929" s="134"/>
      <c r="I1929" s="134"/>
      <c r="J1929" s="134"/>
      <c r="K1929" s="134"/>
      <c r="L1929" s="134"/>
      <c r="M1929" s="134"/>
    </row>
    <row r="1930" spans="3:13" ht="12.75">
      <c r="C1930" s="134"/>
      <c r="D1930" s="134"/>
      <c r="E1930" s="134"/>
      <c r="F1930" s="134"/>
      <c r="G1930" s="134"/>
      <c r="H1930" s="134"/>
      <c r="I1930" s="134"/>
      <c r="J1930" s="134"/>
      <c r="K1930" s="134"/>
      <c r="L1930" s="134"/>
      <c r="M1930" s="134"/>
    </row>
    <row r="1931" spans="3:13" ht="12.75">
      <c r="C1931" s="134"/>
      <c r="D1931" s="134"/>
      <c r="E1931" s="134"/>
      <c r="F1931" s="134"/>
      <c r="G1931" s="134"/>
      <c r="H1931" s="134"/>
      <c r="I1931" s="134"/>
      <c r="J1931" s="134"/>
      <c r="K1931" s="134"/>
      <c r="L1931" s="134"/>
      <c r="M1931" s="134"/>
    </row>
    <row r="1932" spans="3:13" ht="12.75">
      <c r="C1932" s="134"/>
      <c r="D1932" s="134"/>
      <c r="E1932" s="134"/>
      <c r="F1932" s="134"/>
      <c r="G1932" s="134"/>
      <c r="H1932" s="134"/>
      <c r="I1932" s="134"/>
      <c r="J1932" s="134"/>
      <c r="K1932" s="134"/>
      <c r="L1932" s="134"/>
      <c r="M1932" s="134"/>
    </row>
    <row r="1933" spans="3:13" ht="12.75">
      <c r="C1933" s="134"/>
      <c r="D1933" s="134"/>
      <c r="E1933" s="134"/>
      <c r="F1933" s="134"/>
      <c r="G1933" s="134"/>
      <c r="H1933" s="134"/>
      <c r="I1933" s="134"/>
      <c r="J1933" s="134"/>
      <c r="K1933" s="134"/>
      <c r="L1933" s="134"/>
      <c r="M1933" s="134"/>
    </row>
    <row r="1934" spans="3:13" ht="12.75">
      <c r="C1934" s="134"/>
      <c r="D1934" s="134"/>
      <c r="E1934" s="134"/>
      <c r="F1934" s="134"/>
      <c r="G1934" s="134"/>
      <c r="H1934" s="134"/>
      <c r="I1934" s="134"/>
      <c r="J1934" s="134"/>
      <c r="K1934" s="134"/>
      <c r="L1934" s="134"/>
      <c r="M1934" s="134"/>
    </row>
    <row r="1935" spans="3:13" ht="12.75">
      <c r="C1935" s="134"/>
      <c r="D1935" s="134"/>
      <c r="E1935" s="134"/>
      <c r="F1935" s="134"/>
      <c r="G1935" s="134"/>
      <c r="H1935" s="134"/>
      <c r="I1935" s="134"/>
      <c r="J1935" s="134"/>
      <c r="K1935" s="134"/>
      <c r="L1935" s="134"/>
      <c r="M1935" s="134"/>
    </row>
    <row r="1936" spans="3:13" ht="12.75">
      <c r="C1936" s="134"/>
      <c r="D1936" s="134"/>
      <c r="E1936" s="134"/>
      <c r="F1936" s="134"/>
      <c r="G1936" s="134"/>
      <c r="H1936" s="134"/>
      <c r="I1936" s="134"/>
      <c r="J1936" s="134"/>
      <c r="K1936" s="134"/>
      <c r="L1936" s="134"/>
      <c r="M1936" s="134"/>
    </row>
    <row r="1937" spans="3:13" ht="12.75">
      <c r="C1937" s="134"/>
      <c r="D1937" s="134"/>
      <c r="E1937" s="134"/>
      <c r="F1937" s="134"/>
      <c r="G1937" s="134"/>
      <c r="H1937" s="134"/>
      <c r="I1937" s="134"/>
      <c r="J1937" s="134"/>
      <c r="K1937" s="134"/>
      <c r="L1937" s="134"/>
      <c r="M1937" s="134"/>
    </row>
    <row r="1938" spans="3:13" ht="12.75">
      <c r="C1938" s="134"/>
      <c r="D1938" s="134"/>
      <c r="E1938" s="134"/>
      <c r="F1938" s="134"/>
      <c r="G1938" s="134"/>
      <c r="H1938" s="134"/>
      <c r="I1938" s="134"/>
      <c r="J1938" s="134"/>
      <c r="K1938" s="134"/>
      <c r="L1938" s="134"/>
      <c r="M1938" s="134"/>
    </row>
    <row r="1939" spans="3:13" ht="12.75">
      <c r="C1939" s="134"/>
      <c r="D1939" s="134"/>
      <c r="E1939" s="134"/>
      <c r="F1939" s="134"/>
      <c r="G1939" s="134"/>
      <c r="H1939" s="134"/>
      <c r="I1939" s="134"/>
      <c r="J1939" s="134"/>
      <c r="K1939" s="134"/>
      <c r="L1939" s="134"/>
      <c r="M1939" s="134"/>
    </row>
    <row r="1940" spans="3:13" ht="12.75">
      <c r="C1940" s="134"/>
      <c r="D1940" s="134"/>
      <c r="E1940" s="134"/>
      <c r="F1940" s="134"/>
      <c r="G1940" s="134"/>
      <c r="H1940" s="134"/>
      <c r="I1940" s="134"/>
      <c r="J1940" s="134"/>
      <c r="K1940" s="134"/>
      <c r="L1940" s="134"/>
      <c r="M1940" s="134"/>
    </row>
    <row r="1941" spans="3:13" ht="12.75">
      <c r="C1941" s="134"/>
      <c r="D1941" s="134"/>
      <c r="E1941" s="134"/>
      <c r="F1941" s="134"/>
      <c r="G1941" s="134"/>
      <c r="H1941" s="134"/>
      <c r="I1941" s="134"/>
      <c r="J1941" s="134"/>
      <c r="K1941" s="134"/>
      <c r="L1941" s="134"/>
      <c r="M1941" s="134"/>
    </row>
    <row r="1942" spans="3:13" ht="12.75">
      <c r="C1942" s="134"/>
      <c r="D1942" s="134"/>
      <c r="E1942" s="134"/>
      <c r="F1942" s="134"/>
      <c r="G1942" s="134"/>
      <c r="H1942" s="134"/>
      <c r="I1942" s="134"/>
      <c r="J1942" s="134"/>
      <c r="K1942" s="134"/>
      <c r="L1942" s="134"/>
      <c r="M1942" s="134"/>
    </row>
    <row r="1943" spans="3:13" ht="12.75">
      <c r="C1943" s="134"/>
      <c r="D1943" s="134"/>
      <c r="E1943" s="134"/>
      <c r="F1943" s="134"/>
      <c r="G1943" s="134"/>
      <c r="H1943" s="134"/>
      <c r="I1943" s="134"/>
      <c r="J1943" s="134"/>
      <c r="K1943" s="134"/>
      <c r="L1943" s="134"/>
      <c r="M1943" s="134"/>
    </row>
    <row r="1944" spans="3:13" ht="12.75">
      <c r="C1944" s="134"/>
      <c r="D1944" s="134"/>
      <c r="E1944" s="134"/>
      <c r="F1944" s="134"/>
      <c r="G1944" s="134"/>
      <c r="H1944" s="134"/>
      <c r="I1944" s="134"/>
      <c r="J1944" s="134"/>
      <c r="K1944" s="134"/>
      <c r="L1944" s="134"/>
      <c r="M1944" s="134"/>
    </row>
    <row r="1945" spans="3:13" ht="12.75">
      <c r="C1945" s="134"/>
      <c r="D1945" s="134"/>
      <c r="E1945" s="134"/>
      <c r="F1945" s="134"/>
      <c r="G1945" s="134"/>
      <c r="H1945" s="134"/>
      <c r="I1945" s="134"/>
      <c r="J1945" s="134"/>
      <c r="K1945" s="134"/>
      <c r="L1945" s="134"/>
      <c r="M1945" s="134"/>
    </row>
    <row r="1946" spans="3:13" ht="12.75">
      <c r="C1946" s="134"/>
      <c r="D1946" s="134"/>
      <c r="E1946" s="134"/>
      <c r="F1946" s="134"/>
      <c r="G1946" s="134"/>
      <c r="H1946" s="134"/>
      <c r="I1946" s="134"/>
      <c r="J1946" s="134"/>
      <c r="K1946" s="134"/>
      <c r="L1946" s="134"/>
      <c r="M1946" s="134"/>
    </row>
    <row r="1947" spans="3:13" ht="12.75">
      <c r="C1947" s="134"/>
      <c r="D1947" s="134"/>
      <c r="E1947" s="134"/>
      <c r="F1947" s="134"/>
      <c r="G1947" s="134"/>
      <c r="H1947" s="134"/>
      <c r="I1947" s="134"/>
      <c r="J1947" s="134"/>
      <c r="K1947" s="134"/>
      <c r="L1947" s="134"/>
      <c r="M1947" s="134"/>
    </row>
    <row r="1948" spans="3:13" ht="12.75">
      <c r="C1948" s="134"/>
      <c r="D1948" s="134"/>
      <c r="E1948" s="134"/>
      <c r="F1948" s="134"/>
      <c r="G1948" s="134"/>
      <c r="H1948" s="134"/>
      <c r="I1948" s="134"/>
      <c r="J1948" s="134"/>
      <c r="K1948" s="134"/>
      <c r="L1948" s="134"/>
      <c r="M1948" s="134"/>
    </row>
    <row r="1949" spans="3:13" ht="12.75">
      <c r="C1949" s="134"/>
      <c r="D1949" s="134"/>
      <c r="E1949" s="134"/>
      <c r="F1949" s="134"/>
      <c r="G1949" s="134"/>
      <c r="H1949" s="134"/>
      <c r="I1949" s="134"/>
      <c r="J1949" s="134"/>
      <c r="K1949" s="134"/>
      <c r="L1949" s="134"/>
      <c r="M1949" s="134"/>
    </row>
    <row r="1950" spans="3:13" ht="12.75">
      <c r="C1950" s="134"/>
      <c r="D1950" s="134"/>
      <c r="E1950" s="134"/>
      <c r="F1950" s="134"/>
      <c r="G1950" s="134"/>
      <c r="H1950" s="134"/>
      <c r="I1950" s="134"/>
      <c r="J1950" s="134"/>
      <c r="K1950" s="134"/>
      <c r="L1950" s="134"/>
      <c r="M1950" s="134"/>
    </row>
    <row r="1951" spans="3:13" ht="12.75">
      <c r="C1951" s="134"/>
      <c r="D1951" s="134"/>
      <c r="E1951" s="134"/>
      <c r="F1951" s="134"/>
      <c r="G1951" s="134"/>
      <c r="H1951" s="134"/>
      <c r="I1951" s="134"/>
      <c r="J1951" s="134"/>
      <c r="K1951" s="134"/>
      <c r="L1951" s="134"/>
      <c r="M1951" s="134"/>
    </row>
    <row r="1952" spans="3:13" ht="12.75">
      <c r="C1952" s="134"/>
      <c r="D1952" s="134"/>
      <c r="E1952" s="134"/>
      <c r="F1952" s="134"/>
      <c r="G1952" s="134"/>
      <c r="H1952" s="134"/>
      <c r="I1952" s="134"/>
      <c r="J1952" s="134"/>
      <c r="K1952" s="134"/>
      <c r="L1952" s="134"/>
      <c r="M1952" s="134"/>
    </row>
    <row r="1953" spans="3:13" ht="12.75">
      <c r="C1953" s="134"/>
      <c r="D1953" s="134"/>
      <c r="E1953" s="134"/>
      <c r="F1953" s="134"/>
      <c r="G1953" s="134"/>
      <c r="H1953" s="134"/>
      <c r="I1953" s="134"/>
      <c r="J1953" s="134"/>
      <c r="K1953" s="134"/>
      <c r="L1953" s="134"/>
      <c r="M1953" s="134"/>
    </row>
    <row r="1954" spans="3:13" ht="12.75">
      <c r="C1954" s="134"/>
      <c r="D1954" s="134"/>
      <c r="E1954" s="134"/>
      <c r="F1954" s="134"/>
      <c r="G1954" s="134"/>
      <c r="H1954" s="134"/>
      <c r="I1954" s="134"/>
      <c r="J1954" s="134"/>
      <c r="K1954" s="134"/>
      <c r="L1954" s="134"/>
      <c r="M1954" s="134"/>
    </row>
    <row r="1955" spans="3:13" ht="12.75">
      <c r="C1955" s="134"/>
      <c r="D1955" s="134"/>
      <c r="E1955" s="134"/>
      <c r="F1955" s="134"/>
      <c r="G1955" s="134"/>
      <c r="H1955" s="134"/>
      <c r="I1955" s="134"/>
      <c r="J1955" s="134"/>
      <c r="K1955" s="134"/>
      <c r="L1955" s="134"/>
      <c r="M1955" s="134"/>
    </row>
    <row r="1956" spans="3:13" ht="12.75">
      <c r="C1956" s="134"/>
      <c r="D1956" s="134"/>
      <c r="E1956" s="134"/>
      <c r="F1956" s="134"/>
      <c r="G1956" s="134"/>
      <c r="H1956" s="134"/>
      <c r="I1956" s="134"/>
      <c r="J1956" s="134"/>
      <c r="K1956" s="134"/>
      <c r="L1956" s="134"/>
      <c r="M1956" s="134"/>
    </row>
    <row r="1957" spans="3:13" ht="12.75">
      <c r="C1957" s="134"/>
      <c r="D1957" s="134"/>
      <c r="E1957" s="134"/>
      <c r="F1957" s="134"/>
      <c r="G1957" s="134"/>
      <c r="H1957" s="134"/>
      <c r="I1957" s="134"/>
      <c r="J1957" s="134"/>
      <c r="K1957" s="134"/>
      <c r="L1957" s="134"/>
      <c r="M1957" s="134"/>
    </row>
    <row r="1958" spans="3:13" ht="12.75">
      <c r="C1958" s="134"/>
      <c r="D1958" s="134"/>
      <c r="E1958" s="134"/>
      <c r="F1958" s="134"/>
      <c r="G1958" s="134"/>
      <c r="H1958" s="134"/>
      <c r="I1958" s="134"/>
      <c r="J1958" s="134"/>
      <c r="K1958" s="134"/>
      <c r="L1958" s="134"/>
      <c r="M1958" s="134"/>
    </row>
    <row r="1959" spans="3:13" ht="12.75">
      <c r="C1959" s="134"/>
      <c r="D1959" s="134"/>
      <c r="E1959" s="134"/>
      <c r="F1959" s="134"/>
      <c r="G1959" s="134"/>
      <c r="H1959" s="134"/>
      <c r="I1959" s="134"/>
      <c r="J1959" s="134"/>
      <c r="K1959" s="134"/>
      <c r="L1959" s="134"/>
      <c r="M1959" s="134"/>
    </row>
    <row r="1960" spans="3:13" ht="12.75">
      <c r="C1960" s="134"/>
      <c r="D1960" s="134"/>
      <c r="E1960" s="134"/>
      <c r="F1960" s="134"/>
      <c r="G1960" s="134"/>
      <c r="H1960" s="134"/>
      <c r="I1960" s="134"/>
      <c r="J1960" s="134"/>
      <c r="K1960" s="134"/>
      <c r="L1960" s="134"/>
      <c r="M1960" s="134"/>
    </row>
    <row r="1961" spans="3:13" ht="12.75">
      <c r="C1961" s="134"/>
      <c r="D1961" s="134"/>
      <c r="E1961" s="134"/>
      <c r="F1961" s="134"/>
      <c r="G1961" s="134"/>
      <c r="H1961" s="134"/>
      <c r="I1961" s="134"/>
      <c r="J1961" s="134"/>
      <c r="K1961" s="134"/>
      <c r="L1961" s="134"/>
      <c r="M1961" s="134"/>
    </row>
    <row r="1962" spans="3:13" ht="12.75">
      <c r="C1962" s="134"/>
      <c r="D1962" s="134"/>
      <c r="E1962" s="134"/>
      <c r="F1962" s="134"/>
      <c r="G1962" s="134"/>
      <c r="H1962" s="134"/>
      <c r="I1962" s="134"/>
      <c r="J1962" s="134"/>
      <c r="K1962" s="134"/>
      <c r="L1962" s="134"/>
      <c r="M1962" s="134"/>
    </row>
    <row r="1963" spans="3:13" ht="12.75">
      <c r="C1963" s="134"/>
      <c r="D1963" s="134"/>
      <c r="E1963" s="134"/>
      <c r="F1963" s="134"/>
      <c r="G1963" s="134"/>
      <c r="H1963" s="134"/>
      <c r="I1963" s="134"/>
      <c r="J1963" s="134"/>
      <c r="K1963" s="134"/>
      <c r="L1963" s="134"/>
      <c r="M1963" s="134"/>
    </row>
    <row r="1964" spans="3:13" ht="12.75">
      <c r="C1964" s="134"/>
      <c r="D1964" s="134"/>
      <c r="E1964" s="134"/>
      <c r="F1964" s="134"/>
      <c r="G1964" s="134"/>
      <c r="H1964" s="134"/>
      <c r="I1964" s="134"/>
      <c r="J1964" s="134"/>
      <c r="K1964" s="134"/>
      <c r="L1964" s="134"/>
      <c r="M1964" s="134"/>
    </row>
    <row r="1965" spans="3:13" ht="12.75">
      <c r="C1965" s="134"/>
      <c r="D1965" s="134"/>
      <c r="E1965" s="134"/>
      <c r="F1965" s="134"/>
      <c r="G1965" s="134"/>
      <c r="H1965" s="134"/>
      <c r="I1965" s="134"/>
      <c r="J1965" s="134"/>
      <c r="K1965" s="134"/>
      <c r="L1965" s="134"/>
      <c r="M1965" s="134"/>
    </row>
    <row r="1966" spans="3:13" ht="12.75">
      <c r="C1966" s="134"/>
      <c r="D1966" s="134"/>
      <c r="E1966" s="134"/>
      <c r="F1966" s="134"/>
      <c r="G1966" s="134"/>
      <c r="H1966" s="134"/>
      <c r="I1966" s="134"/>
      <c r="J1966" s="134"/>
      <c r="K1966" s="134"/>
      <c r="L1966" s="134"/>
      <c r="M1966" s="134"/>
    </row>
    <row r="1967" spans="3:13" ht="12.75">
      <c r="C1967" s="134"/>
      <c r="D1967" s="134"/>
      <c r="E1967" s="134"/>
      <c r="F1967" s="134"/>
      <c r="G1967" s="134"/>
      <c r="H1967" s="134"/>
      <c r="I1967" s="134"/>
      <c r="J1967" s="134"/>
      <c r="K1967" s="134"/>
      <c r="L1967" s="134"/>
      <c r="M1967" s="134"/>
    </row>
    <row r="1968" spans="3:13" ht="12.75">
      <c r="C1968" s="134"/>
      <c r="D1968" s="134"/>
      <c r="E1968" s="134"/>
      <c r="F1968" s="134"/>
      <c r="G1968" s="134"/>
      <c r="H1968" s="134"/>
      <c r="I1968" s="134"/>
      <c r="J1968" s="134"/>
      <c r="K1968" s="134"/>
      <c r="L1968" s="134"/>
      <c r="M1968" s="134"/>
    </row>
    <row r="1969" spans="3:13" ht="12.75">
      <c r="C1969" s="134"/>
      <c r="D1969" s="134"/>
      <c r="E1969" s="134"/>
      <c r="F1969" s="134"/>
      <c r="G1969" s="134"/>
      <c r="H1969" s="134"/>
      <c r="I1969" s="134"/>
      <c r="J1969" s="134"/>
      <c r="K1969" s="134"/>
      <c r="L1969" s="134"/>
      <c r="M1969" s="134"/>
    </row>
    <row r="1970" spans="3:13" ht="12.75">
      <c r="C1970" s="134"/>
      <c r="D1970" s="134"/>
      <c r="E1970" s="134"/>
      <c r="F1970" s="134"/>
      <c r="G1970" s="134"/>
      <c r="H1970" s="134"/>
      <c r="I1970" s="134"/>
      <c r="J1970" s="134"/>
      <c r="K1970" s="134"/>
      <c r="L1970" s="134"/>
      <c r="M1970" s="134"/>
    </row>
    <row r="1971" spans="3:13" ht="12.75">
      <c r="C1971" s="134"/>
      <c r="D1971" s="134"/>
      <c r="E1971" s="134"/>
      <c r="F1971" s="134"/>
      <c r="G1971" s="134"/>
      <c r="H1971" s="134"/>
      <c r="I1971" s="134"/>
      <c r="J1971" s="134"/>
      <c r="K1971" s="134"/>
      <c r="L1971" s="134"/>
      <c r="M1971" s="134"/>
    </row>
    <row r="1972" spans="3:13" ht="12.75">
      <c r="C1972" s="134"/>
      <c r="D1972" s="134"/>
      <c r="E1972" s="134"/>
      <c r="F1972" s="134"/>
      <c r="G1972" s="134"/>
      <c r="H1972" s="134"/>
      <c r="I1972" s="134"/>
      <c r="J1972" s="134"/>
      <c r="K1972" s="134"/>
      <c r="L1972" s="134"/>
      <c r="M1972" s="134"/>
    </row>
    <row r="1973" spans="3:13" ht="12.75">
      <c r="C1973" s="134"/>
      <c r="D1973" s="134"/>
      <c r="E1973" s="134"/>
      <c r="F1973" s="134"/>
      <c r="G1973" s="134"/>
      <c r="H1973" s="134"/>
      <c r="I1973" s="134"/>
      <c r="J1973" s="134"/>
      <c r="K1973" s="134"/>
      <c r="L1973" s="134"/>
      <c r="M1973" s="134"/>
    </row>
    <row r="1974" spans="3:13" ht="12.75">
      <c r="C1974" s="134"/>
      <c r="D1974" s="134"/>
      <c r="E1974" s="134"/>
      <c r="F1974" s="134"/>
      <c r="G1974" s="134"/>
      <c r="H1974" s="134"/>
      <c r="I1974" s="134"/>
      <c r="J1974" s="134"/>
      <c r="K1974" s="134"/>
      <c r="L1974" s="134"/>
      <c r="M1974" s="134"/>
    </row>
    <row r="1975" spans="3:13" ht="12.75">
      <c r="C1975" s="134"/>
      <c r="D1975" s="134"/>
      <c r="E1975" s="134"/>
      <c r="F1975" s="134"/>
      <c r="G1975" s="134"/>
      <c r="H1975" s="134"/>
      <c r="I1975" s="134"/>
      <c r="J1975" s="134"/>
      <c r="K1975" s="134"/>
      <c r="L1975" s="134"/>
      <c r="M1975" s="134"/>
    </row>
    <row r="1976" spans="3:13" ht="12.75">
      <c r="C1976" s="134"/>
      <c r="D1976" s="134"/>
      <c r="E1976" s="134"/>
      <c r="F1976" s="134"/>
      <c r="G1976" s="134"/>
      <c r="H1976" s="134"/>
      <c r="I1976" s="134"/>
      <c r="J1976" s="134"/>
      <c r="K1976" s="134"/>
      <c r="L1976" s="134"/>
      <c r="M1976" s="134"/>
    </row>
    <row r="1977" spans="3:13" ht="12.75">
      <c r="C1977" s="134"/>
      <c r="D1977" s="134"/>
      <c r="E1977" s="134"/>
      <c r="F1977" s="134"/>
      <c r="G1977" s="134"/>
      <c r="H1977" s="134"/>
      <c r="I1977" s="134"/>
      <c r="J1977" s="134"/>
      <c r="K1977" s="134"/>
      <c r="L1977" s="134"/>
      <c r="M1977" s="134"/>
    </row>
    <row r="1978" spans="3:13" ht="12.75">
      <c r="C1978" s="134"/>
      <c r="D1978" s="134"/>
      <c r="E1978" s="134"/>
      <c r="F1978" s="134"/>
      <c r="G1978" s="134"/>
      <c r="H1978" s="134"/>
      <c r="I1978" s="134"/>
      <c r="J1978" s="134"/>
      <c r="K1978" s="134"/>
      <c r="L1978" s="134"/>
      <c r="M1978" s="134"/>
    </row>
    <row r="1979" spans="3:13" ht="12.75">
      <c r="C1979" s="134"/>
      <c r="D1979" s="134"/>
      <c r="E1979" s="134"/>
      <c r="F1979" s="134"/>
      <c r="G1979" s="134"/>
      <c r="H1979" s="134"/>
      <c r="I1979" s="134"/>
      <c r="J1979" s="134"/>
      <c r="K1979" s="134"/>
      <c r="L1979" s="134"/>
      <c r="M1979" s="134"/>
    </row>
    <row r="1980" spans="3:13" ht="12.75">
      <c r="C1980" s="134"/>
      <c r="D1980" s="134"/>
      <c r="E1980" s="134"/>
      <c r="F1980" s="134"/>
      <c r="G1980" s="134"/>
      <c r="H1980" s="134"/>
      <c r="I1980" s="134"/>
      <c r="J1980" s="134"/>
      <c r="K1980" s="134"/>
      <c r="L1980" s="134"/>
      <c r="M1980" s="134"/>
    </row>
    <row r="1981" spans="3:13" ht="12.75">
      <c r="C1981" s="134"/>
      <c r="D1981" s="134"/>
      <c r="E1981" s="134"/>
      <c r="F1981" s="134"/>
      <c r="G1981" s="134"/>
      <c r="H1981" s="134"/>
      <c r="I1981" s="134"/>
      <c r="J1981" s="134"/>
      <c r="K1981" s="134"/>
      <c r="L1981" s="134"/>
      <c r="M1981" s="134"/>
    </row>
    <row r="1982" spans="3:13" ht="12.75">
      <c r="C1982" s="134"/>
      <c r="D1982" s="134"/>
      <c r="E1982" s="134"/>
      <c r="F1982" s="134"/>
      <c r="G1982" s="134"/>
      <c r="H1982" s="134"/>
      <c r="I1982" s="134"/>
      <c r="J1982" s="134"/>
      <c r="K1982" s="134"/>
      <c r="L1982" s="134"/>
      <c r="M1982" s="134"/>
    </row>
    <row r="1983" spans="3:13" ht="12.75">
      <c r="C1983" s="134"/>
      <c r="D1983" s="134"/>
      <c r="E1983" s="134"/>
      <c r="F1983" s="134"/>
      <c r="G1983" s="134"/>
      <c r="H1983" s="134"/>
      <c r="I1983" s="134"/>
      <c r="J1983" s="134"/>
      <c r="K1983" s="134"/>
      <c r="L1983" s="134"/>
      <c r="M1983" s="134"/>
    </row>
    <row r="1984" spans="3:13" ht="12.75">
      <c r="C1984" s="134"/>
      <c r="D1984" s="134"/>
      <c r="E1984" s="134"/>
      <c r="F1984" s="134"/>
      <c r="G1984" s="134"/>
      <c r="H1984" s="134"/>
      <c r="I1984" s="134"/>
      <c r="J1984" s="134"/>
      <c r="K1984" s="134"/>
      <c r="L1984" s="134"/>
      <c r="M1984" s="134"/>
    </row>
    <row r="1985" spans="3:13" ht="12.75">
      <c r="C1985" s="134"/>
      <c r="D1985" s="134"/>
      <c r="E1985" s="134"/>
      <c r="F1985" s="134"/>
      <c r="G1985" s="134"/>
      <c r="H1985" s="134"/>
      <c r="I1985" s="134"/>
      <c r="J1985" s="134"/>
      <c r="K1985" s="134"/>
      <c r="L1985" s="134"/>
      <c r="M1985" s="134"/>
    </row>
    <row r="1986" spans="3:13" ht="12.75">
      <c r="C1986" s="134"/>
      <c r="D1986" s="134"/>
      <c r="E1986" s="134"/>
      <c r="F1986" s="134"/>
      <c r="G1986" s="134"/>
      <c r="H1986" s="134"/>
      <c r="I1986" s="134"/>
      <c r="J1986" s="134"/>
      <c r="K1986" s="134"/>
      <c r="L1986" s="134"/>
      <c r="M1986" s="134"/>
    </row>
    <row r="1987" spans="3:13" ht="12.75">
      <c r="C1987" s="134"/>
      <c r="D1987" s="134"/>
      <c r="E1987" s="134"/>
      <c r="F1987" s="134"/>
      <c r="G1987" s="134"/>
      <c r="H1987" s="134"/>
      <c r="I1987" s="134"/>
      <c r="J1987" s="134"/>
      <c r="K1987" s="134"/>
      <c r="L1987" s="134"/>
      <c r="M1987" s="134"/>
    </row>
    <row r="1988" spans="3:13" ht="12.75">
      <c r="C1988" s="134"/>
      <c r="D1988" s="134"/>
      <c r="E1988" s="134"/>
      <c r="F1988" s="134"/>
      <c r="G1988" s="134"/>
      <c r="H1988" s="134"/>
      <c r="I1988" s="134"/>
      <c r="J1988" s="134"/>
      <c r="K1988" s="134"/>
      <c r="L1988" s="134"/>
      <c r="M1988" s="134"/>
    </row>
    <row r="1989" spans="3:13" ht="12.75">
      <c r="C1989" s="134"/>
      <c r="D1989" s="134"/>
      <c r="E1989" s="134"/>
      <c r="F1989" s="134"/>
      <c r="G1989" s="134"/>
      <c r="H1989" s="134"/>
      <c r="I1989" s="134"/>
      <c r="J1989" s="134"/>
      <c r="K1989" s="134"/>
      <c r="L1989" s="134"/>
      <c r="M1989" s="134"/>
    </row>
    <row r="1990" spans="3:13" ht="12.75">
      <c r="C1990" s="134"/>
      <c r="D1990" s="134"/>
      <c r="E1990" s="134"/>
      <c r="F1990" s="134"/>
      <c r="G1990" s="134"/>
      <c r="H1990" s="134"/>
      <c r="I1990" s="134"/>
      <c r="J1990" s="134"/>
      <c r="K1990" s="134"/>
      <c r="L1990" s="134"/>
      <c r="M1990" s="134"/>
    </row>
    <row r="1991" spans="3:13" ht="12.75">
      <c r="C1991" s="134"/>
      <c r="D1991" s="134"/>
      <c r="E1991" s="134"/>
      <c r="F1991" s="134"/>
      <c r="G1991" s="134"/>
      <c r="H1991" s="134"/>
      <c r="I1991" s="134"/>
      <c r="J1991" s="134"/>
      <c r="K1991" s="134"/>
      <c r="L1991" s="134"/>
      <c r="M1991" s="134"/>
    </row>
    <row r="1992" spans="3:13" ht="12.75">
      <c r="C1992" s="134"/>
      <c r="D1992" s="134"/>
      <c r="E1992" s="134"/>
      <c r="F1992" s="134"/>
      <c r="G1992" s="134"/>
      <c r="H1992" s="134"/>
      <c r="I1992" s="134"/>
      <c r="J1992" s="134"/>
      <c r="K1992" s="134"/>
      <c r="L1992" s="134"/>
      <c r="M1992" s="134"/>
    </row>
    <row r="1993" spans="3:13" ht="12.75">
      <c r="C1993" s="134"/>
      <c r="D1993" s="134"/>
      <c r="E1993" s="134"/>
      <c r="F1993" s="134"/>
      <c r="G1993" s="134"/>
      <c r="H1993" s="134"/>
      <c r="I1993" s="134"/>
      <c r="J1993" s="134"/>
      <c r="K1993" s="134"/>
      <c r="L1993" s="134"/>
      <c r="M1993" s="134"/>
    </row>
    <row r="1994" spans="3:13" ht="12.75">
      <c r="C1994" s="134"/>
      <c r="D1994" s="134"/>
      <c r="E1994" s="134"/>
      <c r="F1994" s="134"/>
      <c r="G1994" s="134"/>
      <c r="H1994" s="134"/>
      <c r="I1994" s="134"/>
      <c r="J1994" s="134"/>
      <c r="K1994" s="134"/>
      <c r="L1994" s="134"/>
      <c r="M1994" s="134"/>
    </row>
    <row r="1995" spans="3:13" ht="12.75">
      <c r="C1995" s="134"/>
      <c r="D1995" s="134"/>
      <c r="E1995" s="134"/>
      <c r="F1995" s="134"/>
      <c r="G1995" s="134"/>
      <c r="H1995" s="134"/>
      <c r="I1995" s="134"/>
      <c r="J1995" s="134"/>
      <c r="K1995" s="134"/>
      <c r="L1995" s="134"/>
      <c r="M1995" s="134"/>
    </row>
    <row r="1996" spans="3:13" ht="12.75">
      <c r="C1996" s="134"/>
      <c r="D1996" s="134"/>
      <c r="E1996" s="134"/>
      <c r="F1996" s="134"/>
      <c r="G1996" s="134"/>
      <c r="H1996" s="134"/>
      <c r="I1996" s="134"/>
      <c r="J1996" s="134"/>
      <c r="K1996" s="134"/>
      <c r="L1996" s="134"/>
      <c r="M1996" s="134"/>
    </row>
    <row r="1997" spans="3:13" ht="12.75">
      <c r="C1997" s="134"/>
      <c r="D1997" s="134"/>
      <c r="E1997" s="134"/>
      <c r="F1997" s="134"/>
      <c r="G1997" s="134"/>
      <c r="H1997" s="134"/>
      <c r="I1997" s="134"/>
      <c r="J1997" s="134"/>
      <c r="K1997" s="134"/>
      <c r="L1997" s="134"/>
      <c r="M1997" s="134"/>
    </row>
    <row r="1998" spans="3:13" ht="12.75">
      <c r="C1998" s="134"/>
      <c r="D1998" s="134"/>
      <c r="E1998" s="134"/>
      <c r="F1998" s="134"/>
      <c r="G1998" s="134"/>
      <c r="H1998" s="134"/>
      <c r="I1998" s="134"/>
      <c r="J1998" s="134"/>
      <c r="K1998" s="134"/>
      <c r="L1998" s="134"/>
      <c r="M1998" s="134"/>
    </row>
    <row r="1999" spans="3:13" ht="12.75">
      <c r="C1999" s="134"/>
      <c r="D1999" s="134"/>
      <c r="E1999" s="134"/>
      <c r="F1999" s="134"/>
      <c r="G1999" s="134"/>
      <c r="H1999" s="134"/>
      <c r="I1999" s="134"/>
      <c r="J1999" s="134"/>
      <c r="K1999" s="134"/>
      <c r="L1999" s="134"/>
      <c r="M1999" s="134"/>
    </row>
    <row r="2000" spans="3:13" ht="12.75">
      <c r="C2000" s="134"/>
      <c r="D2000" s="134"/>
      <c r="E2000" s="134"/>
      <c r="F2000" s="134"/>
      <c r="G2000" s="134"/>
      <c r="H2000" s="134"/>
      <c r="I2000" s="134"/>
      <c r="J2000" s="134"/>
      <c r="K2000" s="134"/>
      <c r="L2000" s="134"/>
      <c r="M2000" s="134"/>
    </row>
    <row r="2001" spans="3:13" ht="12.75">
      <c r="C2001" s="134"/>
      <c r="D2001" s="134"/>
      <c r="E2001" s="134"/>
      <c r="F2001" s="134"/>
      <c r="G2001" s="134"/>
      <c r="H2001" s="134"/>
      <c r="I2001" s="134"/>
      <c r="J2001" s="134"/>
      <c r="K2001" s="134"/>
      <c r="L2001" s="134"/>
      <c r="M2001" s="134"/>
    </row>
    <row r="2002" spans="3:13" ht="12.75">
      <c r="C2002" s="134"/>
      <c r="D2002" s="134"/>
      <c r="E2002" s="134"/>
      <c r="F2002" s="134"/>
      <c r="G2002" s="134"/>
      <c r="H2002" s="134"/>
      <c r="I2002" s="134"/>
      <c r="J2002" s="134"/>
      <c r="K2002" s="134"/>
      <c r="L2002" s="134"/>
      <c r="M2002" s="134"/>
    </row>
    <row r="2003" spans="3:13" ht="12.75">
      <c r="C2003" s="134"/>
      <c r="D2003" s="134"/>
      <c r="E2003" s="134"/>
      <c r="F2003" s="134"/>
      <c r="G2003" s="134"/>
      <c r="H2003" s="134"/>
      <c r="I2003" s="134"/>
      <c r="J2003" s="134"/>
      <c r="K2003" s="134"/>
      <c r="L2003" s="134"/>
      <c r="M2003" s="134"/>
    </row>
    <row r="2004" spans="3:13" ht="12.75">
      <c r="C2004" s="134"/>
      <c r="D2004" s="134"/>
      <c r="E2004" s="134"/>
      <c r="F2004" s="134"/>
      <c r="G2004" s="134"/>
      <c r="H2004" s="134"/>
      <c r="I2004" s="134"/>
      <c r="J2004" s="134"/>
      <c r="K2004" s="134"/>
      <c r="L2004" s="134"/>
      <c r="M2004" s="134"/>
    </row>
    <row r="2005" spans="3:13" ht="12.75">
      <c r="C2005" s="134"/>
      <c r="D2005" s="134"/>
      <c r="E2005" s="134"/>
      <c r="F2005" s="134"/>
      <c r="G2005" s="134"/>
      <c r="H2005" s="134"/>
      <c r="I2005" s="134"/>
      <c r="J2005" s="134"/>
      <c r="K2005" s="134"/>
      <c r="L2005" s="134"/>
      <c r="M2005" s="134"/>
    </row>
    <row r="2006" spans="3:13" ht="12.75">
      <c r="C2006" s="134"/>
      <c r="D2006" s="134"/>
      <c r="E2006" s="134"/>
      <c r="F2006" s="134"/>
      <c r="G2006" s="134"/>
      <c r="H2006" s="134"/>
      <c r="I2006" s="134"/>
      <c r="J2006" s="134"/>
      <c r="K2006" s="134"/>
      <c r="L2006" s="134"/>
      <c r="M2006" s="134"/>
    </row>
    <row r="2007" spans="3:13" ht="12.75">
      <c r="C2007" s="134"/>
      <c r="D2007" s="134"/>
      <c r="E2007" s="134"/>
      <c r="F2007" s="134"/>
      <c r="G2007" s="134"/>
      <c r="H2007" s="134"/>
      <c r="I2007" s="134"/>
      <c r="J2007" s="134"/>
      <c r="K2007" s="134"/>
      <c r="L2007" s="134"/>
      <c r="M2007" s="134"/>
    </row>
    <row r="2008" spans="3:13" ht="12.75">
      <c r="C2008" s="134"/>
      <c r="D2008" s="134"/>
      <c r="E2008" s="134"/>
      <c r="F2008" s="134"/>
      <c r="G2008" s="134"/>
      <c r="H2008" s="134"/>
      <c r="I2008" s="134"/>
      <c r="J2008" s="134"/>
      <c r="K2008" s="134"/>
      <c r="L2008" s="134"/>
      <c r="M2008" s="134"/>
    </row>
    <row r="2009" spans="3:13" ht="12.75">
      <c r="C2009" s="134"/>
      <c r="D2009" s="134"/>
      <c r="E2009" s="134"/>
      <c r="F2009" s="134"/>
      <c r="G2009" s="134"/>
      <c r="H2009" s="134"/>
      <c r="I2009" s="134"/>
      <c r="J2009" s="134"/>
      <c r="K2009" s="134"/>
      <c r="L2009" s="134"/>
      <c r="M2009" s="134"/>
    </row>
    <row r="2010" spans="3:13" ht="12.75">
      <c r="C2010" s="134"/>
      <c r="D2010" s="134"/>
      <c r="E2010" s="134"/>
      <c r="F2010" s="134"/>
      <c r="G2010" s="134"/>
      <c r="H2010" s="134"/>
      <c r="I2010" s="134"/>
      <c r="J2010" s="134"/>
      <c r="K2010" s="134"/>
      <c r="L2010" s="134"/>
      <c r="M2010" s="134"/>
    </row>
    <row r="2011" spans="3:13" ht="12.75">
      <c r="C2011" s="134"/>
      <c r="D2011" s="134"/>
      <c r="E2011" s="134"/>
      <c r="F2011" s="134"/>
      <c r="G2011" s="134"/>
      <c r="H2011" s="134"/>
      <c r="I2011" s="134"/>
      <c r="J2011" s="134"/>
      <c r="K2011" s="134"/>
      <c r="L2011" s="134"/>
      <c r="M2011" s="134"/>
    </row>
    <row r="2012" spans="3:13" ht="12.75">
      <c r="C2012" s="134"/>
      <c r="D2012" s="134"/>
      <c r="E2012" s="134"/>
      <c r="F2012" s="134"/>
      <c r="G2012" s="134"/>
      <c r="H2012" s="134"/>
      <c r="I2012" s="134"/>
      <c r="J2012" s="134"/>
      <c r="K2012" s="134"/>
      <c r="L2012" s="134"/>
      <c r="M2012" s="134"/>
    </row>
    <row r="2013" spans="3:13" ht="12.75">
      <c r="C2013" s="134"/>
      <c r="D2013" s="134"/>
      <c r="E2013" s="134"/>
      <c r="F2013" s="134"/>
      <c r="G2013" s="134"/>
      <c r="H2013" s="134"/>
      <c r="I2013" s="134"/>
      <c r="J2013" s="134"/>
      <c r="K2013" s="134"/>
      <c r="L2013" s="134"/>
      <c r="M2013" s="134"/>
    </row>
    <row r="2014" spans="3:13" ht="12.75">
      <c r="C2014" s="134"/>
      <c r="D2014" s="134"/>
      <c r="E2014" s="134"/>
      <c r="F2014" s="134"/>
      <c r="G2014" s="134"/>
      <c r="H2014" s="134"/>
      <c r="I2014" s="134"/>
      <c r="J2014" s="134"/>
      <c r="K2014" s="134"/>
      <c r="L2014" s="134"/>
      <c r="M2014" s="134"/>
    </row>
    <row r="2015" spans="3:13" ht="12.75">
      <c r="C2015" s="134"/>
      <c r="D2015" s="134"/>
      <c r="E2015" s="134"/>
      <c r="F2015" s="134"/>
      <c r="G2015" s="134"/>
      <c r="H2015" s="134"/>
      <c r="I2015" s="134"/>
      <c r="J2015" s="134"/>
      <c r="K2015" s="134"/>
      <c r="L2015" s="134"/>
      <c r="M2015" s="134"/>
    </row>
    <row r="2016" spans="3:13" ht="12.75">
      <c r="C2016" s="134"/>
      <c r="D2016" s="134"/>
      <c r="E2016" s="134"/>
      <c r="F2016" s="134"/>
      <c r="G2016" s="134"/>
      <c r="H2016" s="134"/>
      <c r="I2016" s="134"/>
      <c r="J2016" s="134"/>
      <c r="K2016" s="134"/>
      <c r="L2016" s="134"/>
      <c r="M2016" s="134"/>
    </row>
    <row r="2017" spans="3:13" ht="12.75">
      <c r="C2017" s="134"/>
      <c r="D2017" s="134"/>
      <c r="E2017" s="134"/>
      <c r="F2017" s="134"/>
      <c r="G2017" s="134"/>
      <c r="H2017" s="134"/>
      <c r="I2017" s="134"/>
      <c r="J2017" s="134"/>
      <c r="K2017" s="134"/>
      <c r="L2017" s="134"/>
      <c r="M2017" s="134"/>
    </row>
    <row r="2018" spans="3:13" ht="12.75">
      <c r="C2018" s="134"/>
      <c r="D2018" s="134"/>
      <c r="E2018" s="134"/>
      <c r="F2018" s="134"/>
      <c r="G2018" s="134"/>
      <c r="H2018" s="134"/>
      <c r="I2018" s="134"/>
      <c r="J2018" s="134"/>
      <c r="K2018" s="134"/>
      <c r="L2018" s="134"/>
      <c r="M2018" s="134"/>
    </row>
    <row r="2019" spans="3:13" ht="12.75">
      <c r="C2019" s="134"/>
      <c r="D2019" s="134"/>
      <c r="E2019" s="134"/>
      <c r="F2019" s="134"/>
      <c r="G2019" s="134"/>
      <c r="H2019" s="134"/>
      <c r="I2019" s="134"/>
      <c r="J2019" s="134"/>
      <c r="K2019" s="134"/>
      <c r="L2019" s="134"/>
      <c r="M2019" s="134"/>
    </row>
    <row r="2020" spans="3:13" ht="12.75">
      <c r="C2020" s="134"/>
      <c r="D2020" s="134"/>
      <c r="E2020" s="134"/>
      <c r="F2020" s="134"/>
      <c r="G2020" s="134"/>
      <c r="H2020" s="134"/>
      <c r="I2020" s="134"/>
      <c r="J2020" s="134"/>
      <c r="K2020" s="134"/>
      <c r="L2020" s="134"/>
      <c r="M2020" s="134"/>
    </row>
    <row r="2021" spans="3:13" ht="12.75">
      <c r="C2021" s="134"/>
      <c r="D2021" s="134"/>
      <c r="E2021" s="134"/>
      <c r="F2021" s="134"/>
      <c r="G2021" s="134"/>
      <c r="H2021" s="134"/>
      <c r="I2021" s="134"/>
      <c r="J2021" s="134"/>
      <c r="K2021" s="134"/>
      <c r="L2021" s="134"/>
      <c r="M2021" s="134"/>
    </row>
    <row r="2022" spans="3:13" ht="12.75">
      <c r="C2022" s="134"/>
      <c r="D2022" s="134"/>
      <c r="E2022" s="134"/>
      <c r="F2022" s="134"/>
      <c r="G2022" s="134"/>
      <c r="H2022" s="134"/>
      <c r="I2022" s="134"/>
      <c r="J2022" s="134"/>
      <c r="K2022" s="134"/>
      <c r="L2022" s="134"/>
      <c r="M2022" s="134"/>
    </row>
    <row r="2023" spans="3:13" ht="12.75">
      <c r="C2023" s="134"/>
      <c r="D2023" s="134"/>
      <c r="E2023" s="134"/>
      <c r="F2023" s="134"/>
      <c r="G2023" s="134"/>
      <c r="H2023" s="134"/>
      <c r="I2023" s="134"/>
      <c r="J2023" s="134"/>
      <c r="K2023" s="134"/>
      <c r="L2023" s="134"/>
      <c r="M2023" s="134"/>
    </row>
    <row r="2024" spans="3:13" ht="12.75">
      <c r="C2024" s="134"/>
      <c r="D2024" s="134"/>
      <c r="E2024" s="134"/>
      <c r="F2024" s="134"/>
      <c r="G2024" s="134"/>
      <c r="H2024" s="134"/>
      <c r="I2024" s="134"/>
      <c r="J2024" s="134"/>
      <c r="K2024" s="134"/>
      <c r="L2024" s="134"/>
      <c r="M2024" s="134"/>
    </row>
    <row r="2025" spans="3:13" ht="12.75">
      <c r="C2025" s="134"/>
      <c r="D2025" s="134"/>
      <c r="E2025" s="134"/>
      <c r="F2025" s="134"/>
      <c r="G2025" s="134"/>
      <c r="H2025" s="134"/>
      <c r="I2025" s="134"/>
      <c r="J2025" s="134"/>
      <c r="K2025" s="134"/>
      <c r="L2025" s="134"/>
      <c r="M2025" s="134"/>
    </row>
    <row r="2026" spans="3:13" ht="12.75">
      <c r="C2026" s="134"/>
      <c r="D2026" s="134"/>
      <c r="E2026" s="134"/>
      <c r="F2026" s="134"/>
      <c r="G2026" s="134"/>
      <c r="H2026" s="134"/>
      <c r="I2026" s="134"/>
      <c r="J2026" s="134"/>
      <c r="K2026" s="134"/>
      <c r="L2026" s="134"/>
      <c r="M2026" s="134"/>
    </row>
    <row r="2027" spans="3:13" ht="12.75">
      <c r="C2027" s="134"/>
      <c r="D2027" s="134"/>
      <c r="E2027" s="134"/>
      <c r="F2027" s="134"/>
      <c r="G2027" s="134"/>
      <c r="H2027" s="134"/>
      <c r="I2027" s="134"/>
      <c r="J2027" s="134"/>
      <c r="K2027" s="134"/>
      <c r="L2027" s="134"/>
      <c r="M2027" s="134"/>
    </row>
    <row r="2028" spans="3:13" ht="12.75">
      <c r="C2028" s="134"/>
      <c r="D2028" s="134"/>
      <c r="E2028" s="134"/>
      <c r="F2028" s="134"/>
      <c r="G2028" s="134"/>
      <c r="H2028" s="134"/>
      <c r="I2028" s="134"/>
      <c r="J2028" s="134"/>
      <c r="K2028" s="134"/>
      <c r="L2028" s="134"/>
      <c r="M2028" s="134"/>
    </row>
    <row r="2029" spans="3:13" ht="12.75">
      <c r="C2029" s="134"/>
      <c r="D2029" s="134"/>
      <c r="E2029" s="134"/>
      <c r="F2029" s="134"/>
      <c r="G2029" s="134"/>
      <c r="H2029" s="134"/>
      <c r="I2029" s="134"/>
      <c r="J2029" s="134"/>
      <c r="K2029" s="134"/>
      <c r="L2029" s="134"/>
      <c r="M2029" s="134"/>
    </row>
    <row r="2030" spans="3:13" ht="12.75">
      <c r="C2030" s="134"/>
      <c r="D2030" s="134"/>
      <c r="E2030" s="134"/>
      <c r="F2030" s="134"/>
      <c r="G2030" s="134"/>
      <c r="H2030" s="134"/>
      <c r="I2030" s="134"/>
      <c r="J2030" s="134"/>
      <c r="K2030" s="134"/>
      <c r="L2030" s="134"/>
      <c r="M2030" s="134"/>
    </row>
    <row r="2031" spans="3:13" ht="12.75">
      <c r="C2031" s="134"/>
      <c r="D2031" s="134"/>
      <c r="E2031" s="134"/>
      <c r="F2031" s="134"/>
      <c r="G2031" s="134"/>
      <c r="H2031" s="134"/>
      <c r="I2031" s="134"/>
      <c r="J2031" s="134"/>
      <c r="K2031" s="134"/>
      <c r="L2031" s="134"/>
      <c r="M2031" s="134"/>
    </row>
    <row r="2032" spans="3:13" ht="12.75">
      <c r="C2032" s="134"/>
      <c r="D2032" s="134"/>
      <c r="E2032" s="134"/>
      <c r="F2032" s="134"/>
      <c r="G2032" s="134"/>
      <c r="H2032" s="134"/>
      <c r="I2032" s="134"/>
      <c r="J2032" s="134"/>
      <c r="K2032" s="134"/>
      <c r="L2032" s="134"/>
      <c r="M2032" s="134"/>
    </row>
    <row r="2033" spans="3:13" ht="12.75">
      <c r="C2033" s="134"/>
      <c r="D2033" s="134"/>
      <c r="E2033" s="134"/>
      <c r="F2033" s="134"/>
      <c r="G2033" s="134"/>
      <c r="H2033" s="134"/>
      <c r="I2033" s="134"/>
      <c r="J2033" s="134"/>
      <c r="K2033" s="134"/>
      <c r="L2033" s="134"/>
      <c r="M2033" s="134"/>
    </row>
    <row r="2034" spans="3:13" ht="12.75">
      <c r="C2034" s="134"/>
      <c r="D2034" s="134"/>
      <c r="E2034" s="134"/>
      <c r="F2034" s="134"/>
      <c r="G2034" s="134"/>
      <c r="H2034" s="134"/>
      <c r="I2034" s="134"/>
      <c r="J2034" s="134"/>
      <c r="K2034" s="134"/>
      <c r="L2034" s="134"/>
      <c r="M2034" s="134"/>
    </row>
    <row r="2035" spans="3:13" ht="12.75">
      <c r="C2035" s="134"/>
      <c r="D2035" s="134"/>
      <c r="E2035" s="134"/>
      <c r="F2035" s="134"/>
      <c r="G2035" s="134"/>
      <c r="H2035" s="134"/>
      <c r="I2035" s="134"/>
      <c r="J2035" s="134"/>
      <c r="K2035" s="134"/>
      <c r="L2035" s="134"/>
      <c r="M2035" s="134"/>
    </row>
    <row r="2036" spans="3:13" ht="12.75">
      <c r="C2036" s="134"/>
      <c r="D2036" s="134"/>
      <c r="E2036" s="134"/>
      <c r="F2036" s="134"/>
      <c r="G2036" s="134"/>
      <c r="H2036" s="134"/>
      <c r="I2036" s="134"/>
      <c r="J2036" s="134"/>
      <c r="K2036" s="134"/>
      <c r="L2036" s="134"/>
      <c r="M2036" s="134"/>
    </row>
    <row r="2037" spans="3:13" ht="12.75">
      <c r="C2037" s="134"/>
      <c r="D2037" s="134"/>
      <c r="E2037" s="134"/>
      <c r="F2037" s="134"/>
      <c r="G2037" s="134"/>
      <c r="H2037" s="134"/>
      <c r="I2037" s="134"/>
      <c r="J2037" s="134"/>
      <c r="K2037" s="134"/>
      <c r="L2037" s="134"/>
      <c r="M2037" s="134"/>
    </row>
    <row r="2038" spans="3:13" ht="12.75">
      <c r="C2038" s="134"/>
      <c r="D2038" s="134"/>
      <c r="E2038" s="134"/>
      <c r="F2038" s="134"/>
      <c r="G2038" s="134"/>
      <c r="H2038" s="134"/>
      <c r="I2038" s="134"/>
      <c r="J2038" s="134"/>
      <c r="K2038" s="134"/>
      <c r="L2038" s="134"/>
      <c r="M2038" s="134"/>
    </row>
    <row r="2039" spans="3:13" ht="12.75">
      <c r="C2039" s="134"/>
      <c r="D2039" s="134"/>
      <c r="E2039" s="134"/>
      <c r="F2039" s="134"/>
      <c r="G2039" s="134"/>
      <c r="H2039" s="134"/>
      <c r="I2039" s="134"/>
      <c r="J2039" s="134"/>
      <c r="K2039" s="134"/>
      <c r="L2039" s="134"/>
      <c r="M2039" s="134"/>
    </row>
    <row r="2040" spans="3:13" ht="12.75">
      <c r="C2040" s="134"/>
      <c r="D2040" s="134"/>
      <c r="E2040" s="134"/>
      <c r="F2040" s="134"/>
      <c r="G2040" s="134"/>
      <c r="H2040" s="134"/>
      <c r="I2040" s="134"/>
      <c r="J2040" s="134"/>
      <c r="K2040" s="134"/>
      <c r="L2040" s="134"/>
      <c r="M2040" s="134"/>
    </row>
    <row r="2041" spans="3:13" ht="12.75">
      <c r="C2041" s="134"/>
      <c r="D2041" s="134"/>
      <c r="E2041" s="134"/>
      <c r="F2041" s="134"/>
      <c r="G2041" s="134"/>
      <c r="H2041" s="134"/>
      <c r="I2041" s="134"/>
      <c r="J2041" s="134"/>
      <c r="K2041" s="134"/>
      <c r="L2041" s="134"/>
      <c r="M2041" s="134"/>
    </row>
    <row r="2042" spans="3:13" ht="12.75">
      <c r="C2042" s="134"/>
      <c r="D2042" s="134"/>
      <c r="E2042" s="134"/>
      <c r="F2042" s="134"/>
      <c r="G2042" s="134"/>
      <c r="H2042" s="134"/>
      <c r="I2042" s="134"/>
      <c r="J2042" s="134"/>
      <c r="K2042" s="134"/>
      <c r="L2042" s="134"/>
      <c r="M2042" s="134"/>
    </row>
    <row r="2043" spans="3:13" ht="12.75">
      <c r="C2043" s="134"/>
      <c r="D2043" s="134"/>
      <c r="E2043" s="134"/>
      <c r="F2043" s="134"/>
      <c r="G2043" s="134"/>
      <c r="H2043" s="134"/>
      <c r="I2043" s="134"/>
      <c r="J2043" s="134"/>
      <c r="K2043" s="134"/>
      <c r="L2043" s="134"/>
      <c r="M2043" s="134"/>
    </row>
    <row r="2044" spans="3:13" ht="12.75">
      <c r="C2044" s="134"/>
      <c r="D2044" s="134"/>
      <c r="E2044" s="134"/>
      <c r="F2044" s="134"/>
      <c r="G2044" s="134"/>
      <c r="H2044" s="134"/>
      <c r="I2044" s="134"/>
      <c r="J2044" s="134"/>
      <c r="K2044" s="134"/>
      <c r="L2044" s="134"/>
      <c r="M2044" s="134"/>
    </row>
    <row r="2045" spans="3:13" ht="12.75">
      <c r="C2045" s="134"/>
      <c r="D2045" s="134"/>
      <c r="E2045" s="134"/>
      <c r="F2045" s="134"/>
      <c r="G2045" s="134"/>
      <c r="H2045" s="134"/>
      <c r="I2045" s="134"/>
      <c r="J2045" s="134"/>
      <c r="K2045" s="134"/>
      <c r="L2045" s="134"/>
      <c r="M2045" s="134"/>
    </row>
    <row r="2046" spans="3:13" ht="12.75">
      <c r="C2046" s="134"/>
      <c r="D2046" s="134"/>
      <c r="E2046" s="134"/>
      <c r="F2046" s="134"/>
      <c r="G2046" s="134"/>
      <c r="H2046" s="134"/>
      <c r="I2046" s="134"/>
      <c r="J2046" s="134"/>
      <c r="K2046" s="134"/>
      <c r="L2046" s="134"/>
      <c r="M2046" s="134"/>
    </row>
    <row r="2047" spans="3:13" ht="12.75">
      <c r="C2047" s="134"/>
      <c r="D2047" s="134"/>
      <c r="E2047" s="134"/>
      <c r="F2047" s="134"/>
      <c r="G2047" s="134"/>
      <c r="H2047" s="134"/>
      <c r="I2047" s="134"/>
      <c r="J2047" s="134"/>
      <c r="K2047" s="134"/>
      <c r="L2047" s="134"/>
      <c r="M2047" s="134"/>
    </row>
    <row r="2048" spans="3:13" ht="12.75">
      <c r="C2048" s="134"/>
      <c r="D2048" s="134"/>
      <c r="E2048" s="134"/>
      <c r="F2048" s="134"/>
      <c r="G2048" s="134"/>
      <c r="H2048" s="134"/>
      <c r="I2048" s="134"/>
      <c r="J2048" s="134"/>
      <c r="K2048" s="134"/>
      <c r="L2048" s="134"/>
      <c r="M2048" s="134"/>
    </row>
    <row r="2049" spans="3:13" ht="12.75">
      <c r="C2049" s="134"/>
      <c r="D2049" s="134"/>
      <c r="E2049" s="134"/>
      <c r="F2049" s="134"/>
      <c r="G2049" s="134"/>
      <c r="H2049" s="134"/>
      <c r="I2049" s="134"/>
      <c r="J2049" s="134"/>
      <c r="K2049" s="134"/>
      <c r="L2049" s="134"/>
      <c r="M2049" s="134"/>
    </row>
    <row r="2050" spans="3:13" ht="12.75">
      <c r="C2050" s="134"/>
      <c r="D2050" s="134"/>
      <c r="E2050" s="134"/>
      <c r="F2050" s="134"/>
      <c r="G2050" s="134"/>
      <c r="H2050" s="134"/>
      <c r="I2050" s="134"/>
      <c r="J2050" s="134"/>
      <c r="K2050" s="134"/>
      <c r="L2050" s="134"/>
      <c r="M2050" s="134"/>
    </row>
    <row r="2051" spans="3:13" ht="12.75">
      <c r="C2051" s="134"/>
      <c r="D2051" s="134"/>
      <c r="E2051" s="134"/>
      <c r="F2051" s="134"/>
      <c r="G2051" s="134"/>
      <c r="H2051" s="134"/>
      <c r="I2051" s="134"/>
      <c r="J2051" s="134"/>
      <c r="K2051" s="134"/>
      <c r="L2051" s="134"/>
      <c r="M2051" s="134"/>
    </row>
    <row r="2052" spans="3:13" ht="12.75">
      <c r="C2052" s="134"/>
      <c r="D2052" s="134"/>
      <c r="E2052" s="134"/>
      <c r="F2052" s="134"/>
      <c r="G2052" s="134"/>
      <c r="H2052" s="134"/>
      <c r="I2052" s="134"/>
      <c r="J2052" s="134"/>
      <c r="K2052" s="134"/>
      <c r="L2052" s="134"/>
      <c r="M2052" s="134"/>
    </row>
    <row r="2053" spans="3:13" ht="12.75">
      <c r="C2053" s="134"/>
      <c r="D2053" s="134"/>
      <c r="E2053" s="134"/>
      <c r="F2053" s="134"/>
      <c r="G2053" s="134"/>
      <c r="H2053" s="134"/>
      <c r="I2053" s="134"/>
      <c r="J2053" s="134"/>
      <c r="K2053" s="134"/>
      <c r="L2053" s="134"/>
      <c r="M2053" s="134"/>
    </row>
    <row r="2054" spans="3:13" ht="12.75">
      <c r="C2054" s="134"/>
      <c r="D2054" s="134"/>
      <c r="E2054" s="134"/>
      <c r="F2054" s="134"/>
      <c r="G2054" s="134"/>
      <c r="H2054" s="134"/>
      <c r="I2054" s="134"/>
      <c r="J2054" s="134"/>
      <c r="K2054" s="134"/>
      <c r="L2054" s="134"/>
      <c r="M2054" s="134"/>
    </row>
    <row r="2055" spans="3:13" ht="12.75">
      <c r="C2055" s="134"/>
      <c r="D2055" s="134"/>
      <c r="E2055" s="134"/>
      <c r="F2055" s="134"/>
      <c r="G2055" s="134"/>
      <c r="H2055" s="134"/>
      <c r="I2055" s="134"/>
      <c r="J2055" s="134"/>
      <c r="K2055" s="134"/>
      <c r="L2055" s="134"/>
      <c r="M2055" s="134"/>
    </row>
    <row r="2056" spans="3:13" ht="12.75">
      <c r="C2056" s="134"/>
      <c r="D2056" s="134"/>
      <c r="E2056" s="134"/>
      <c r="F2056" s="134"/>
      <c r="G2056" s="134"/>
      <c r="H2056" s="134"/>
      <c r="I2056" s="134"/>
      <c r="J2056" s="134"/>
      <c r="K2056" s="134"/>
      <c r="L2056" s="134"/>
      <c r="M2056" s="134"/>
    </row>
    <row r="2057" spans="3:13" ht="12.75">
      <c r="C2057" s="134"/>
      <c r="D2057" s="134"/>
      <c r="E2057" s="134"/>
      <c r="F2057" s="134"/>
      <c r="G2057" s="134"/>
      <c r="H2057" s="134"/>
      <c r="I2057" s="134"/>
      <c r="J2057" s="134"/>
      <c r="K2057" s="134"/>
      <c r="L2057" s="134"/>
      <c r="M2057" s="134"/>
    </row>
    <row r="2058" spans="3:13" ht="12.75">
      <c r="C2058" s="134"/>
      <c r="D2058" s="134"/>
      <c r="E2058" s="134"/>
      <c r="F2058" s="134"/>
      <c r="G2058" s="134"/>
      <c r="H2058" s="134"/>
      <c r="I2058" s="134"/>
      <c r="J2058" s="134"/>
      <c r="K2058" s="134"/>
      <c r="L2058" s="134"/>
      <c r="M2058" s="134"/>
    </row>
    <row r="2059" spans="3:13" ht="12.75">
      <c r="C2059" s="134"/>
      <c r="D2059" s="134"/>
      <c r="E2059" s="134"/>
      <c r="F2059" s="134"/>
      <c r="G2059" s="134"/>
      <c r="H2059" s="134"/>
      <c r="I2059" s="134"/>
      <c r="J2059" s="134"/>
      <c r="K2059" s="134"/>
      <c r="L2059" s="134"/>
      <c r="M2059" s="134"/>
    </row>
    <row r="2060" spans="3:13" ht="12.75">
      <c r="C2060" s="134"/>
      <c r="D2060" s="134"/>
      <c r="E2060" s="134"/>
      <c r="F2060" s="134"/>
      <c r="G2060" s="134"/>
      <c r="H2060" s="134"/>
      <c r="I2060" s="134"/>
      <c r="J2060" s="134"/>
      <c r="K2060" s="134"/>
      <c r="L2060" s="134"/>
      <c r="M2060" s="134"/>
    </row>
    <row r="2061" spans="3:13" ht="12.75">
      <c r="C2061" s="134"/>
      <c r="D2061" s="134"/>
      <c r="E2061" s="134"/>
      <c r="F2061" s="134"/>
      <c r="G2061" s="134"/>
      <c r="H2061" s="134"/>
      <c r="I2061" s="134"/>
      <c r="J2061" s="134"/>
      <c r="K2061" s="134"/>
      <c r="L2061" s="134"/>
      <c r="M2061" s="134"/>
    </row>
    <row r="2062" spans="3:13" ht="12.75">
      <c r="C2062" s="134"/>
      <c r="D2062" s="134"/>
      <c r="E2062" s="134"/>
      <c r="F2062" s="134"/>
      <c r="G2062" s="134"/>
      <c r="H2062" s="134"/>
      <c r="I2062" s="134"/>
      <c r="J2062" s="134"/>
      <c r="K2062" s="134"/>
      <c r="L2062" s="134"/>
      <c r="M2062" s="134"/>
    </row>
    <row r="2063" spans="3:13" ht="12.75">
      <c r="C2063" s="134"/>
      <c r="D2063" s="134"/>
      <c r="E2063" s="134"/>
      <c r="F2063" s="134"/>
      <c r="G2063" s="134"/>
      <c r="H2063" s="134"/>
      <c r="I2063" s="134"/>
      <c r="J2063" s="134"/>
      <c r="K2063" s="134"/>
      <c r="L2063" s="134"/>
      <c r="M2063" s="134"/>
    </row>
    <row r="2064" spans="3:13" ht="12.75">
      <c r="C2064" s="134"/>
      <c r="D2064" s="134"/>
      <c r="E2064" s="134"/>
      <c r="F2064" s="134"/>
      <c r="G2064" s="134"/>
      <c r="H2064" s="134"/>
      <c r="I2064" s="134"/>
      <c r="J2064" s="134"/>
      <c r="K2064" s="134"/>
      <c r="L2064" s="134"/>
      <c r="M2064" s="134"/>
    </row>
    <row r="2065" spans="3:13" ht="12.75">
      <c r="C2065" s="134"/>
      <c r="D2065" s="134"/>
      <c r="E2065" s="134"/>
      <c r="F2065" s="134"/>
      <c r="G2065" s="134"/>
      <c r="H2065" s="134"/>
      <c r="I2065" s="134"/>
      <c r="J2065" s="134"/>
      <c r="K2065" s="134"/>
      <c r="L2065" s="134"/>
      <c r="M2065" s="134"/>
    </row>
    <row r="2066" spans="3:13" ht="12.75">
      <c r="C2066" s="134"/>
      <c r="D2066" s="134"/>
      <c r="E2066" s="134"/>
      <c r="F2066" s="134"/>
      <c r="G2066" s="134"/>
      <c r="H2066" s="134"/>
      <c r="I2066" s="134"/>
      <c r="J2066" s="134"/>
      <c r="K2066" s="134"/>
      <c r="L2066" s="134"/>
      <c r="M2066" s="134"/>
    </row>
    <row r="2067" spans="3:13" ht="12.75">
      <c r="C2067" s="134"/>
      <c r="D2067" s="134"/>
      <c r="E2067" s="134"/>
      <c r="F2067" s="134"/>
      <c r="G2067" s="134"/>
      <c r="H2067" s="134"/>
      <c r="I2067" s="134"/>
      <c r="J2067" s="134"/>
      <c r="K2067" s="134"/>
      <c r="L2067" s="134"/>
      <c r="M2067" s="134"/>
    </row>
    <row r="2068" spans="3:13" ht="12.75">
      <c r="C2068" s="134"/>
      <c r="D2068" s="134"/>
      <c r="E2068" s="134"/>
      <c r="F2068" s="134"/>
      <c r="G2068" s="134"/>
      <c r="H2068" s="134"/>
      <c r="I2068" s="134"/>
      <c r="J2068" s="134"/>
      <c r="K2068" s="134"/>
      <c r="L2068" s="134"/>
      <c r="M2068" s="134"/>
    </row>
    <row r="2069" spans="3:13" ht="12.75">
      <c r="C2069" s="134"/>
      <c r="D2069" s="134"/>
      <c r="E2069" s="134"/>
      <c r="F2069" s="134"/>
      <c r="G2069" s="134"/>
      <c r="H2069" s="134"/>
      <c r="I2069" s="134"/>
      <c r="J2069" s="134"/>
      <c r="K2069" s="134"/>
      <c r="L2069" s="134"/>
      <c r="M2069" s="134"/>
    </row>
    <row r="2070" spans="3:13" ht="12.75">
      <c r="C2070" s="134"/>
      <c r="D2070" s="134"/>
      <c r="E2070" s="134"/>
      <c r="F2070" s="134"/>
      <c r="G2070" s="134"/>
      <c r="H2070" s="134"/>
      <c r="I2070" s="134"/>
      <c r="J2070" s="134"/>
      <c r="K2070" s="134"/>
      <c r="L2070" s="134"/>
      <c r="M2070" s="134"/>
    </row>
    <row r="2071" spans="3:13" ht="12.75">
      <c r="C2071" s="134"/>
      <c r="D2071" s="134"/>
      <c r="E2071" s="134"/>
      <c r="F2071" s="134"/>
      <c r="G2071" s="134"/>
      <c r="H2071" s="134"/>
      <c r="I2071" s="134"/>
      <c r="J2071" s="134"/>
      <c r="K2071" s="134"/>
      <c r="L2071" s="134"/>
      <c r="M2071" s="134"/>
    </row>
    <row r="2072" spans="3:13" ht="12.75">
      <c r="C2072" s="134"/>
      <c r="D2072" s="134"/>
      <c r="E2072" s="134"/>
      <c r="F2072" s="134"/>
      <c r="G2072" s="134"/>
      <c r="H2072" s="134"/>
      <c r="I2072" s="134"/>
      <c r="J2072" s="134"/>
      <c r="K2072" s="134"/>
      <c r="L2072" s="134"/>
      <c r="M2072" s="134"/>
    </row>
    <row r="2073" spans="3:13" ht="12.75">
      <c r="C2073" s="134"/>
      <c r="D2073" s="134"/>
      <c r="E2073" s="134"/>
      <c r="F2073" s="134"/>
      <c r="G2073" s="134"/>
      <c r="H2073" s="134"/>
      <c r="I2073" s="134"/>
      <c r="J2073" s="134"/>
      <c r="K2073" s="134"/>
      <c r="L2073" s="134"/>
      <c r="M2073" s="134"/>
    </row>
    <row r="2074" spans="3:13" ht="12.75">
      <c r="C2074" s="134"/>
      <c r="D2074" s="134"/>
      <c r="E2074" s="134"/>
      <c r="F2074" s="134"/>
      <c r="G2074" s="134"/>
      <c r="H2074" s="134"/>
      <c r="I2074" s="134"/>
      <c r="J2074" s="134"/>
      <c r="K2074" s="134"/>
      <c r="L2074" s="134"/>
      <c r="M2074" s="134"/>
    </row>
    <row r="2075" spans="3:13" ht="12.75">
      <c r="C2075" s="134"/>
      <c r="D2075" s="134"/>
      <c r="E2075" s="134"/>
      <c r="F2075" s="134"/>
      <c r="G2075" s="134"/>
      <c r="H2075" s="134"/>
      <c r="I2075" s="134"/>
      <c r="J2075" s="134"/>
      <c r="K2075" s="134"/>
      <c r="L2075" s="134"/>
      <c r="M2075" s="134"/>
    </row>
    <row r="2076" spans="3:13" ht="12.75">
      <c r="C2076" s="134"/>
      <c r="D2076" s="134"/>
      <c r="E2076" s="134"/>
      <c r="F2076" s="134"/>
      <c r="G2076" s="134"/>
      <c r="H2076" s="134"/>
      <c r="I2076" s="134"/>
      <c r="J2076" s="134"/>
      <c r="K2076" s="134"/>
      <c r="L2076" s="134"/>
      <c r="M2076" s="134"/>
    </row>
    <row r="2077" spans="3:13" ht="12.75">
      <c r="C2077" s="134"/>
      <c r="D2077" s="134"/>
      <c r="E2077" s="134"/>
      <c r="F2077" s="134"/>
      <c r="G2077" s="134"/>
      <c r="H2077" s="134"/>
      <c r="I2077" s="134"/>
      <c r="J2077" s="134"/>
      <c r="K2077" s="134"/>
      <c r="L2077" s="134"/>
      <c r="M2077" s="134"/>
    </row>
    <row r="2078" spans="3:13" ht="12.75">
      <c r="C2078" s="134"/>
      <c r="D2078" s="134"/>
      <c r="E2078" s="134"/>
      <c r="F2078" s="134"/>
      <c r="G2078" s="134"/>
      <c r="H2078" s="134"/>
      <c r="I2078" s="134"/>
      <c r="J2078" s="134"/>
      <c r="K2078" s="134"/>
      <c r="L2078" s="134"/>
      <c r="M2078" s="134"/>
    </row>
    <row r="2079" spans="3:13" ht="12.75">
      <c r="C2079" s="134"/>
      <c r="D2079" s="134"/>
      <c r="E2079" s="134"/>
      <c r="F2079" s="134"/>
      <c r="G2079" s="134"/>
      <c r="H2079" s="134"/>
      <c r="I2079" s="134"/>
      <c r="J2079" s="134"/>
      <c r="K2079" s="134"/>
      <c r="L2079" s="134"/>
      <c r="M2079" s="134"/>
    </row>
    <row r="2080" spans="3:13" ht="12.75">
      <c r="C2080" s="134"/>
      <c r="D2080" s="134"/>
      <c r="E2080" s="134"/>
      <c r="F2080" s="134"/>
      <c r="G2080" s="134"/>
      <c r="H2080" s="134"/>
      <c r="I2080" s="134"/>
      <c r="J2080" s="134"/>
      <c r="K2080" s="134"/>
      <c r="L2080" s="134"/>
      <c r="M2080" s="134"/>
    </row>
    <row r="2081" spans="3:13" ht="12.75">
      <c r="C2081" s="134"/>
      <c r="D2081" s="134"/>
      <c r="E2081" s="134"/>
      <c r="F2081" s="134"/>
      <c r="G2081" s="134"/>
      <c r="H2081" s="134"/>
      <c r="I2081" s="134"/>
      <c r="J2081" s="134"/>
      <c r="K2081" s="134"/>
      <c r="L2081" s="134"/>
      <c r="M2081" s="134"/>
    </row>
    <row r="2082" spans="3:13" ht="12.75">
      <c r="C2082" s="134"/>
      <c r="D2082" s="134"/>
      <c r="E2082" s="134"/>
      <c r="F2082" s="134"/>
      <c r="G2082" s="134"/>
      <c r="H2082" s="134"/>
      <c r="I2082" s="134"/>
      <c r="J2082" s="134"/>
      <c r="K2082" s="134"/>
      <c r="L2082" s="134"/>
      <c r="M2082" s="134"/>
    </row>
    <row r="2083" spans="3:13" ht="12.75">
      <c r="C2083" s="134"/>
      <c r="D2083" s="134"/>
      <c r="E2083" s="134"/>
      <c r="F2083" s="134"/>
      <c r="G2083" s="134"/>
      <c r="H2083" s="134"/>
      <c r="I2083" s="134"/>
      <c r="J2083" s="134"/>
      <c r="K2083" s="134"/>
      <c r="L2083" s="134"/>
      <c r="M2083" s="134"/>
    </row>
    <row r="2084" spans="3:13" ht="12.75">
      <c r="C2084" s="134"/>
      <c r="D2084" s="134"/>
      <c r="E2084" s="134"/>
      <c r="F2084" s="134"/>
      <c r="G2084" s="134"/>
      <c r="H2084" s="134"/>
      <c r="I2084" s="134"/>
      <c r="J2084" s="134"/>
      <c r="K2084" s="134"/>
      <c r="L2084" s="134"/>
      <c r="M2084" s="134"/>
    </row>
    <row r="2085" spans="3:13" ht="12.75">
      <c r="C2085" s="134"/>
      <c r="D2085" s="134"/>
      <c r="E2085" s="134"/>
      <c r="F2085" s="134"/>
      <c r="G2085" s="134"/>
      <c r="H2085" s="134"/>
      <c r="I2085" s="134"/>
      <c r="J2085" s="134"/>
      <c r="K2085" s="134"/>
      <c r="L2085" s="134"/>
      <c r="M2085" s="134"/>
    </row>
    <row r="2086" spans="3:13" ht="12.75">
      <c r="C2086" s="134"/>
      <c r="D2086" s="134"/>
      <c r="E2086" s="134"/>
      <c r="F2086" s="134"/>
      <c r="G2086" s="134"/>
      <c r="H2086" s="134"/>
      <c r="I2086" s="134"/>
      <c r="J2086" s="134"/>
      <c r="K2086" s="134"/>
      <c r="L2086" s="134"/>
      <c r="M2086" s="134"/>
    </row>
    <row r="2087" spans="3:13" ht="12.75">
      <c r="C2087" s="134"/>
      <c r="D2087" s="134"/>
      <c r="E2087" s="134"/>
      <c r="F2087" s="134"/>
      <c r="G2087" s="134"/>
      <c r="H2087" s="134"/>
      <c r="I2087" s="134"/>
      <c r="J2087" s="134"/>
      <c r="K2087" s="134"/>
      <c r="L2087" s="134"/>
      <c r="M2087" s="134"/>
    </row>
    <row r="2088" spans="3:13" ht="12.75">
      <c r="C2088" s="134"/>
      <c r="D2088" s="134"/>
      <c r="E2088" s="134"/>
      <c r="F2088" s="134"/>
      <c r="G2088" s="134"/>
      <c r="H2088" s="134"/>
      <c r="I2088" s="134"/>
      <c r="J2088" s="134"/>
      <c r="K2088" s="134"/>
      <c r="L2088" s="134"/>
      <c r="M2088" s="134"/>
    </row>
    <row r="2089" spans="3:13" ht="12.75">
      <c r="C2089" s="134"/>
      <c r="D2089" s="134"/>
      <c r="E2089" s="134"/>
      <c r="F2089" s="134"/>
      <c r="G2089" s="134"/>
      <c r="H2089" s="134"/>
      <c r="I2089" s="134"/>
      <c r="J2089" s="134"/>
      <c r="K2089" s="134"/>
      <c r="L2089" s="134"/>
      <c r="M2089" s="134"/>
    </row>
    <row r="2090" spans="3:13" ht="12.75">
      <c r="C2090" s="134"/>
      <c r="D2090" s="134"/>
      <c r="E2090" s="134"/>
      <c r="F2090" s="134"/>
      <c r="G2090" s="134"/>
      <c r="H2090" s="134"/>
      <c r="I2090" s="134"/>
      <c r="J2090" s="134"/>
      <c r="K2090" s="134"/>
      <c r="L2090" s="134"/>
      <c r="M2090" s="134"/>
    </row>
    <row r="2091" spans="3:13" ht="12.75">
      <c r="C2091" s="134"/>
      <c r="D2091" s="134"/>
      <c r="E2091" s="134"/>
      <c r="F2091" s="134"/>
      <c r="G2091" s="134"/>
      <c r="H2091" s="134"/>
      <c r="I2091" s="134"/>
      <c r="J2091" s="134"/>
      <c r="K2091" s="134"/>
      <c r="L2091" s="134"/>
      <c r="M2091" s="134"/>
    </row>
    <row r="2092" spans="3:13" ht="12.75">
      <c r="C2092" s="134"/>
      <c r="D2092" s="134"/>
      <c r="E2092" s="134"/>
      <c r="F2092" s="134"/>
      <c r="G2092" s="134"/>
      <c r="H2092" s="134"/>
      <c r="I2092" s="134"/>
      <c r="J2092" s="134"/>
      <c r="K2092" s="134"/>
      <c r="L2092" s="134"/>
      <c r="M2092" s="134"/>
    </row>
    <row r="2093" spans="3:13" ht="12.75">
      <c r="C2093" s="134"/>
      <c r="D2093" s="134"/>
      <c r="E2093" s="134"/>
      <c r="F2093" s="134"/>
      <c r="G2093" s="134"/>
      <c r="H2093" s="134"/>
      <c r="I2093" s="134"/>
      <c r="J2093" s="134"/>
      <c r="K2093" s="134"/>
      <c r="L2093" s="134"/>
      <c r="M2093" s="134"/>
    </row>
    <row r="2094" spans="3:13" ht="12.75">
      <c r="C2094" s="134"/>
      <c r="D2094" s="134"/>
      <c r="E2094" s="134"/>
      <c r="F2094" s="134"/>
      <c r="G2094" s="134"/>
      <c r="H2094" s="134"/>
      <c r="I2094" s="134"/>
      <c r="J2094" s="134"/>
      <c r="K2094" s="134"/>
      <c r="L2094" s="134"/>
      <c r="M2094" s="134"/>
    </row>
    <row r="2095" spans="3:13" ht="12.75">
      <c r="C2095" s="134"/>
      <c r="D2095" s="134"/>
      <c r="E2095" s="134"/>
      <c r="F2095" s="134"/>
      <c r="G2095" s="134"/>
      <c r="H2095" s="134"/>
      <c r="I2095" s="134"/>
      <c r="J2095" s="134"/>
      <c r="K2095" s="134"/>
      <c r="L2095" s="134"/>
      <c r="M2095" s="134"/>
    </row>
    <row r="2096" spans="3:13" ht="12.75">
      <c r="C2096" s="134"/>
      <c r="D2096" s="134"/>
      <c r="E2096" s="134"/>
      <c r="F2096" s="134"/>
      <c r="G2096" s="134"/>
      <c r="H2096" s="134"/>
      <c r="I2096" s="134"/>
      <c r="J2096" s="134"/>
      <c r="K2096" s="134"/>
      <c r="L2096" s="134"/>
      <c r="M2096" s="134"/>
    </row>
    <row r="2097" spans="3:13" ht="12.75">
      <c r="C2097" s="134"/>
      <c r="D2097" s="134"/>
      <c r="E2097" s="134"/>
      <c r="F2097" s="134"/>
      <c r="G2097" s="134"/>
      <c r="H2097" s="134"/>
      <c r="I2097" s="134"/>
      <c r="J2097" s="134"/>
      <c r="K2097" s="134"/>
      <c r="L2097" s="134"/>
      <c r="M2097" s="134"/>
    </row>
    <row r="2098" spans="3:13" ht="12.75">
      <c r="C2098" s="134"/>
      <c r="D2098" s="134"/>
      <c r="E2098" s="134"/>
      <c r="F2098" s="134"/>
      <c r="G2098" s="134"/>
      <c r="H2098" s="134"/>
      <c r="I2098" s="134"/>
      <c r="J2098" s="134"/>
      <c r="K2098" s="134"/>
      <c r="L2098" s="134"/>
      <c r="M2098" s="134"/>
    </row>
    <row r="2099" spans="3:13" ht="12.75">
      <c r="C2099" s="134"/>
      <c r="D2099" s="134"/>
      <c r="E2099" s="134"/>
      <c r="F2099" s="134"/>
      <c r="G2099" s="134"/>
      <c r="H2099" s="134"/>
      <c r="I2099" s="134"/>
      <c r="J2099" s="134"/>
      <c r="K2099" s="134"/>
      <c r="L2099" s="134"/>
      <c r="M2099" s="134"/>
    </row>
    <row r="2100" spans="3:13" ht="12.75">
      <c r="C2100" s="134"/>
      <c r="D2100" s="134"/>
      <c r="E2100" s="134"/>
      <c r="F2100" s="134"/>
      <c r="G2100" s="134"/>
      <c r="H2100" s="134"/>
      <c r="I2100" s="134"/>
      <c r="J2100" s="134"/>
      <c r="K2100" s="134"/>
      <c r="L2100" s="134"/>
      <c r="M2100" s="134"/>
    </row>
    <row r="2101" spans="3:13" ht="12.75">
      <c r="C2101" s="134"/>
      <c r="D2101" s="134"/>
      <c r="E2101" s="134"/>
      <c r="F2101" s="134"/>
      <c r="G2101" s="134"/>
      <c r="H2101" s="134"/>
      <c r="I2101" s="134"/>
      <c r="J2101" s="134"/>
      <c r="K2101" s="134"/>
      <c r="L2101" s="134"/>
      <c r="M2101" s="134"/>
    </row>
    <row r="2102" spans="3:13" ht="12.75">
      <c r="C2102" s="134"/>
      <c r="D2102" s="134"/>
      <c r="E2102" s="134"/>
      <c r="F2102" s="134"/>
      <c r="G2102" s="134"/>
      <c r="H2102" s="134"/>
      <c r="I2102" s="134"/>
      <c r="J2102" s="134"/>
      <c r="K2102" s="134"/>
      <c r="L2102" s="134"/>
      <c r="M2102" s="134"/>
    </row>
    <row r="2103" spans="3:13" ht="12.75">
      <c r="C2103" s="134"/>
      <c r="D2103" s="134"/>
      <c r="E2103" s="134"/>
      <c r="F2103" s="134"/>
      <c r="G2103" s="134"/>
      <c r="H2103" s="134"/>
      <c r="I2103" s="134"/>
      <c r="J2103" s="134"/>
      <c r="K2103" s="134"/>
      <c r="L2103" s="134"/>
      <c r="M2103" s="134"/>
    </row>
    <row r="2104" spans="3:13" ht="12.75">
      <c r="C2104" s="134"/>
      <c r="D2104" s="134"/>
      <c r="E2104" s="134"/>
      <c r="F2104" s="134"/>
      <c r="G2104" s="134"/>
      <c r="H2104" s="134"/>
      <c r="I2104" s="134"/>
      <c r="J2104" s="134"/>
      <c r="K2104" s="134"/>
      <c r="L2104" s="134"/>
      <c r="M2104" s="134"/>
    </row>
    <row r="2105" spans="3:13" ht="12.75">
      <c r="C2105" s="134"/>
      <c r="D2105" s="134"/>
      <c r="E2105" s="134"/>
      <c r="F2105" s="134"/>
      <c r="G2105" s="134"/>
      <c r="H2105" s="134"/>
      <c r="I2105" s="134"/>
      <c r="J2105" s="134"/>
      <c r="K2105" s="134"/>
      <c r="L2105" s="134"/>
      <c r="M2105" s="134"/>
    </row>
    <row r="2106" spans="3:13" ht="12.75">
      <c r="C2106" s="134"/>
      <c r="D2106" s="134"/>
      <c r="E2106" s="134"/>
      <c r="F2106" s="134"/>
      <c r="G2106" s="134"/>
      <c r="H2106" s="134"/>
      <c r="I2106" s="134"/>
      <c r="J2106" s="134"/>
      <c r="K2106" s="134"/>
      <c r="L2106" s="134"/>
      <c r="M2106" s="134"/>
    </row>
    <row r="2107" spans="3:13" ht="12.75">
      <c r="C2107" s="134"/>
      <c r="D2107" s="134"/>
      <c r="E2107" s="134"/>
      <c r="F2107" s="134"/>
      <c r="G2107" s="134"/>
      <c r="H2107" s="134"/>
      <c r="I2107" s="134"/>
      <c r="J2107" s="134"/>
      <c r="K2107" s="134"/>
      <c r="L2107" s="134"/>
      <c r="M2107" s="134"/>
    </row>
    <row r="2108" spans="3:13" ht="12.75">
      <c r="C2108" s="134"/>
      <c r="D2108" s="134"/>
      <c r="E2108" s="134"/>
      <c r="F2108" s="134"/>
      <c r="G2108" s="134"/>
      <c r="H2108" s="134"/>
      <c r="I2108" s="134"/>
      <c r="J2108" s="134"/>
      <c r="K2108" s="134"/>
      <c r="L2108" s="134"/>
      <c r="M2108" s="134"/>
    </row>
    <row r="2109" spans="3:13" ht="12.75">
      <c r="C2109" s="134"/>
      <c r="D2109" s="134"/>
      <c r="E2109" s="134"/>
      <c r="F2109" s="134"/>
      <c r="G2109" s="134"/>
      <c r="H2109" s="134"/>
      <c r="I2109" s="134"/>
      <c r="J2109" s="134"/>
      <c r="K2109" s="134"/>
      <c r="L2109" s="134"/>
      <c r="M2109" s="134"/>
    </row>
    <row r="2110" spans="3:13" ht="12.75">
      <c r="C2110" s="134"/>
      <c r="D2110" s="134"/>
      <c r="E2110" s="134"/>
      <c r="F2110" s="134"/>
      <c r="G2110" s="134"/>
      <c r="H2110" s="134"/>
      <c r="I2110" s="134"/>
      <c r="J2110" s="134"/>
      <c r="K2110" s="134"/>
      <c r="L2110" s="134"/>
      <c r="M2110" s="134"/>
    </row>
    <row r="2111" spans="3:13" ht="12.75">
      <c r="C2111" s="134"/>
      <c r="D2111" s="134"/>
      <c r="E2111" s="134"/>
      <c r="F2111" s="134"/>
      <c r="G2111" s="134"/>
      <c r="H2111" s="134"/>
      <c r="I2111" s="134"/>
      <c r="J2111" s="134"/>
      <c r="K2111" s="134"/>
      <c r="L2111" s="134"/>
      <c r="M2111" s="134"/>
    </row>
    <row r="2112" spans="3:13" ht="12.75">
      <c r="C2112" s="134"/>
      <c r="D2112" s="134"/>
      <c r="E2112" s="134"/>
      <c r="F2112" s="134"/>
      <c r="G2112" s="134"/>
      <c r="H2112" s="134"/>
      <c r="I2112" s="134"/>
      <c r="J2112" s="134"/>
      <c r="K2112" s="134"/>
      <c r="L2112" s="134"/>
      <c r="M2112" s="134"/>
    </row>
    <row r="2113" spans="3:13" ht="12.75">
      <c r="C2113" s="134"/>
      <c r="D2113" s="134"/>
      <c r="E2113" s="134"/>
      <c r="F2113" s="134"/>
      <c r="G2113" s="134"/>
      <c r="H2113" s="134"/>
      <c r="I2113" s="134"/>
      <c r="J2113" s="134"/>
      <c r="K2113" s="134"/>
      <c r="L2113" s="134"/>
      <c r="M2113" s="134"/>
    </row>
    <row r="2114" spans="3:13" ht="12.75">
      <c r="C2114" s="134"/>
      <c r="D2114" s="134"/>
      <c r="E2114" s="134"/>
      <c r="F2114" s="134"/>
      <c r="G2114" s="134"/>
      <c r="H2114" s="134"/>
      <c r="I2114" s="134"/>
      <c r="J2114" s="134"/>
      <c r="K2114" s="134"/>
      <c r="L2114" s="134"/>
      <c r="M2114" s="134"/>
    </row>
    <row r="2115" spans="3:13" ht="12.75">
      <c r="C2115" s="134"/>
      <c r="D2115" s="134"/>
      <c r="E2115" s="134"/>
      <c r="F2115" s="134"/>
      <c r="G2115" s="134"/>
      <c r="H2115" s="134"/>
      <c r="I2115" s="134"/>
      <c r="J2115" s="134"/>
      <c r="K2115" s="134"/>
      <c r="L2115" s="134"/>
      <c r="M2115" s="134"/>
    </row>
    <row r="2116" spans="3:13" ht="12.75">
      <c r="C2116" s="134"/>
      <c r="D2116" s="134"/>
      <c r="E2116" s="134"/>
      <c r="F2116" s="134"/>
      <c r="G2116" s="134"/>
      <c r="H2116" s="134"/>
      <c r="I2116" s="134"/>
      <c r="J2116" s="134"/>
      <c r="K2116" s="134"/>
      <c r="L2116" s="134"/>
      <c r="M2116" s="134"/>
    </row>
    <row r="2117" spans="3:13" ht="12.75">
      <c r="C2117" s="134"/>
      <c r="D2117" s="134"/>
      <c r="E2117" s="134"/>
      <c r="F2117" s="134"/>
      <c r="G2117" s="134"/>
      <c r="H2117" s="134"/>
      <c r="I2117" s="134"/>
      <c r="J2117" s="134"/>
      <c r="K2117" s="134"/>
      <c r="L2117" s="134"/>
      <c r="M2117" s="134"/>
    </row>
    <row r="2118" spans="3:13" ht="12.75">
      <c r="C2118" s="134"/>
      <c r="D2118" s="134"/>
      <c r="E2118" s="134"/>
      <c r="F2118" s="134"/>
      <c r="G2118" s="134"/>
      <c r="H2118" s="134"/>
      <c r="I2118" s="134"/>
      <c r="J2118" s="134"/>
      <c r="K2118" s="134"/>
      <c r="L2118" s="134"/>
      <c r="M2118" s="134"/>
    </row>
    <row r="2119" spans="3:13" ht="12.75">
      <c r="C2119" s="134"/>
      <c r="D2119" s="134"/>
      <c r="E2119" s="134"/>
      <c r="F2119" s="134"/>
      <c r="G2119" s="134"/>
      <c r="H2119" s="134"/>
      <c r="I2119" s="134"/>
      <c r="J2119" s="134"/>
      <c r="K2119" s="134"/>
      <c r="L2119" s="134"/>
      <c r="M2119" s="134"/>
    </row>
    <row r="2120" spans="3:13" ht="12.75">
      <c r="C2120" s="134"/>
      <c r="D2120" s="134"/>
      <c r="E2120" s="134"/>
      <c r="F2120" s="134"/>
      <c r="G2120" s="134"/>
      <c r="H2120" s="134"/>
      <c r="I2120" s="134"/>
      <c r="J2120" s="134"/>
      <c r="K2120" s="134"/>
      <c r="L2120" s="134"/>
      <c r="M2120" s="134"/>
    </row>
    <row r="2121" spans="3:13" ht="12.75">
      <c r="C2121" s="134"/>
      <c r="D2121" s="134"/>
      <c r="E2121" s="134"/>
      <c r="F2121" s="134"/>
      <c r="G2121" s="134"/>
      <c r="H2121" s="134"/>
      <c r="I2121" s="134"/>
      <c r="J2121" s="134"/>
      <c r="K2121" s="134"/>
      <c r="L2121" s="134"/>
      <c r="M2121" s="134"/>
    </row>
    <row r="2122" spans="3:13" ht="12.75">
      <c r="C2122" s="134"/>
      <c r="D2122" s="134"/>
      <c r="E2122" s="134"/>
      <c r="F2122" s="134"/>
      <c r="G2122" s="134"/>
      <c r="H2122" s="134"/>
      <c r="I2122" s="134"/>
      <c r="J2122" s="134"/>
      <c r="K2122" s="134"/>
      <c r="L2122" s="134"/>
      <c r="M2122" s="134"/>
    </row>
    <row r="2123" spans="3:13" ht="12.75">
      <c r="C2123" s="134"/>
      <c r="D2123" s="134"/>
      <c r="E2123" s="134"/>
      <c r="F2123" s="134"/>
      <c r="G2123" s="134"/>
      <c r="H2123" s="134"/>
      <c r="I2123" s="134"/>
      <c r="J2123" s="134"/>
      <c r="K2123" s="134"/>
      <c r="L2123" s="134"/>
      <c r="M2123" s="134"/>
    </row>
    <row r="2124" spans="3:13" ht="12.75">
      <c r="C2124" s="134"/>
      <c r="D2124" s="134"/>
      <c r="E2124" s="134"/>
      <c r="F2124" s="134"/>
      <c r="G2124" s="134"/>
      <c r="H2124" s="134"/>
      <c r="I2124" s="134"/>
      <c r="J2124" s="134"/>
      <c r="K2124" s="134"/>
      <c r="L2124" s="134"/>
      <c r="M2124" s="134"/>
    </row>
    <row r="2125" spans="3:13" ht="12.75">
      <c r="C2125" s="134"/>
      <c r="D2125" s="134"/>
      <c r="E2125" s="134"/>
      <c r="F2125" s="134"/>
      <c r="G2125" s="134"/>
      <c r="H2125" s="134"/>
      <c r="I2125" s="134"/>
      <c r="J2125" s="134"/>
      <c r="K2125" s="134"/>
      <c r="L2125" s="134"/>
      <c r="M2125" s="134"/>
    </row>
    <row r="2126" spans="3:13" ht="12.75">
      <c r="C2126" s="134"/>
      <c r="D2126" s="134"/>
      <c r="E2126" s="134"/>
      <c r="F2126" s="134"/>
      <c r="G2126" s="134"/>
      <c r="H2126" s="134"/>
      <c r="I2126" s="134"/>
      <c r="J2126" s="134"/>
      <c r="K2126" s="134"/>
      <c r="L2126" s="134"/>
      <c r="M2126" s="134"/>
    </row>
    <row r="2127" spans="3:13" ht="12.75">
      <c r="C2127" s="134"/>
      <c r="D2127" s="134"/>
      <c r="E2127" s="134"/>
      <c r="F2127" s="134"/>
      <c r="G2127" s="134"/>
      <c r="H2127" s="134"/>
      <c r="I2127" s="134"/>
      <c r="J2127" s="134"/>
      <c r="K2127" s="134"/>
      <c r="L2127" s="134"/>
      <c r="M2127" s="134"/>
    </row>
    <row r="2128" spans="3:13" ht="12.75">
      <c r="C2128" s="134"/>
      <c r="D2128" s="134"/>
      <c r="E2128" s="134"/>
      <c r="F2128" s="134"/>
      <c r="G2128" s="134"/>
      <c r="H2128" s="134"/>
      <c r="I2128" s="134"/>
      <c r="J2128" s="134"/>
      <c r="K2128" s="134"/>
      <c r="L2128" s="134"/>
      <c r="M2128" s="134"/>
    </row>
    <row r="2129" spans="3:13" ht="12.75">
      <c r="C2129" s="134"/>
      <c r="D2129" s="134"/>
      <c r="E2129" s="134"/>
      <c r="F2129" s="134"/>
      <c r="G2129" s="134"/>
      <c r="H2129" s="134"/>
      <c r="I2129" s="134"/>
      <c r="J2129" s="134"/>
      <c r="K2129" s="134"/>
      <c r="L2129" s="134"/>
      <c r="M2129" s="134"/>
    </row>
    <row r="2130" spans="3:13" ht="12.75">
      <c r="C2130" s="134"/>
      <c r="D2130" s="134"/>
      <c r="E2130" s="134"/>
      <c r="F2130" s="134"/>
      <c r="G2130" s="134"/>
      <c r="H2130" s="134"/>
      <c r="I2130" s="134"/>
      <c r="J2130" s="134"/>
      <c r="K2130" s="134"/>
      <c r="L2130" s="134"/>
      <c r="M2130" s="134"/>
    </row>
    <row r="2131" spans="3:13" ht="12.75">
      <c r="C2131" s="134"/>
      <c r="D2131" s="134"/>
      <c r="E2131" s="134"/>
      <c r="F2131" s="134"/>
      <c r="G2131" s="134"/>
      <c r="H2131" s="134"/>
      <c r="I2131" s="134"/>
      <c r="J2131" s="134"/>
      <c r="K2131" s="134"/>
      <c r="L2131" s="134"/>
      <c r="M2131" s="134"/>
    </row>
    <row r="2132" spans="3:13" ht="12.75">
      <c r="C2132" s="134"/>
      <c r="D2132" s="134"/>
      <c r="E2132" s="134"/>
      <c r="F2132" s="134"/>
      <c r="G2132" s="134"/>
      <c r="H2132" s="134"/>
      <c r="I2132" s="134"/>
      <c r="J2132" s="134"/>
      <c r="K2132" s="134"/>
      <c r="L2132" s="134"/>
      <c r="M2132" s="134"/>
    </row>
    <row r="2133" spans="3:13" ht="12.75">
      <c r="C2133" s="134"/>
      <c r="D2133" s="134"/>
      <c r="E2133" s="134"/>
      <c r="F2133" s="134"/>
      <c r="G2133" s="134"/>
      <c r="H2133" s="134"/>
      <c r="I2133" s="134"/>
      <c r="J2133" s="134"/>
      <c r="K2133" s="134"/>
      <c r="L2133" s="134"/>
      <c r="M2133" s="134"/>
    </row>
    <row r="2134" spans="3:13" ht="12.75">
      <c r="C2134" s="134"/>
      <c r="D2134" s="134"/>
      <c r="E2134" s="134"/>
      <c r="F2134" s="134"/>
      <c r="G2134" s="134"/>
      <c r="H2134" s="134"/>
      <c r="I2134" s="134"/>
      <c r="J2134" s="134"/>
      <c r="K2134" s="134"/>
      <c r="L2134" s="134"/>
      <c r="M2134" s="134"/>
    </row>
    <row r="2135" spans="3:13" ht="12.75">
      <c r="C2135" s="134"/>
      <c r="D2135" s="134"/>
      <c r="E2135" s="134"/>
      <c r="F2135" s="134"/>
      <c r="G2135" s="134"/>
      <c r="H2135" s="134"/>
      <c r="I2135" s="134"/>
      <c r="J2135" s="134"/>
      <c r="K2135" s="134"/>
      <c r="L2135" s="134"/>
      <c r="M2135" s="134"/>
    </row>
    <row r="2136" spans="3:13" ht="12.75">
      <c r="C2136" s="134"/>
      <c r="D2136" s="134"/>
      <c r="E2136" s="134"/>
      <c r="F2136" s="134"/>
      <c r="G2136" s="134"/>
      <c r="H2136" s="134"/>
      <c r="I2136" s="134"/>
      <c r="J2136" s="134"/>
      <c r="K2136" s="134"/>
      <c r="L2136" s="134"/>
      <c r="M2136" s="134"/>
    </row>
    <row r="2137" spans="3:13" ht="12.75">
      <c r="C2137" s="134"/>
      <c r="D2137" s="134"/>
      <c r="E2137" s="134"/>
      <c r="F2137" s="134"/>
      <c r="G2137" s="134"/>
      <c r="H2137" s="134"/>
      <c r="I2137" s="134"/>
      <c r="J2137" s="134"/>
      <c r="K2137" s="134"/>
      <c r="L2137" s="134"/>
      <c r="M2137" s="134"/>
    </row>
    <row r="2138" spans="3:13" ht="12.75">
      <c r="C2138" s="134"/>
      <c r="D2138" s="134"/>
      <c r="E2138" s="134"/>
      <c r="F2138" s="134"/>
      <c r="G2138" s="134"/>
      <c r="H2138" s="134"/>
      <c r="I2138" s="134"/>
      <c r="J2138" s="134"/>
      <c r="K2138" s="134"/>
      <c r="L2138" s="134"/>
      <c r="M2138" s="134"/>
    </row>
    <row r="2139" spans="3:13" ht="12.75">
      <c r="C2139" s="134"/>
      <c r="D2139" s="134"/>
      <c r="E2139" s="134"/>
      <c r="F2139" s="134"/>
      <c r="G2139" s="134"/>
      <c r="H2139" s="134"/>
      <c r="I2139" s="134"/>
      <c r="J2139" s="134"/>
      <c r="K2139" s="134"/>
      <c r="L2139" s="134"/>
      <c r="M2139" s="134"/>
    </row>
    <row r="2140" spans="3:13" ht="12.75">
      <c r="C2140" s="134"/>
      <c r="D2140" s="134"/>
      <c r="E2140" s="134"/>
      <c r="F2140" s="134"/>
      <c r="G2140" s="134"/>
      <c r="H2140" s="134"/>
      <c r="I2140" s="134"/>
      <c r="J2140" s="134"/>
      <c r="K2140" s="134"/>
      <c r="L2140" s="134"/>
      <c r="M2140" s="134"/>
    </row>
    <row r="2141" spans="3:13" ht="12.75">
      <c r="C2141" s="134"/>
      <c r="D2141" s="134"/>
      <c r="E2141" s="134"/>
      <c r="F2141" s="134"/>
      <c r="G2141" s="134"/>
      <c r="H2141" s="134"/>
      <c r="I2141" s="134"/>
      <c r="J2141" s="134"/>
      <c r="K2141" s="134"/>
      <c r="L2141" s="134"/>
      <c r="M2141" s="134"/>
    </row>
    <row r="2142" spans="3:13" ht="12.75">
      <c r="C2142" s="134"/>
      <c r="D2142" s="134"/>
      <c r="E2142" s="134"/>
      <c r="F2142" s="134"/>
      <c r="G2142" s="134"/>
      <c r="H2142" s="134"/>
      <c r="I2142" s="134"/>
      <c r="J2142" s="134"/>
      <c r="K2142" s="134"/>
      <c r="L2142" s="134"/>
      <c r="M2142" s="134"/>
    </row>
    <row r="2143" spans="3:13" ht="12.75">
      <c r="C2143" s="134"/>
      <c r="D2143" s="134"/>
      <c r="E2143" s="134"/>
      <c r="F2143" s="134"/>
      <c r="G2143" s="134"/>
      <c r="H2143" s="134"/>
      <c r="I2143" s="134"/>
      <c r="J2143" s="134"/>
      <c r="K2143" s="134"/>
      <c r="L2143" s="134"/>
      <c r="M2143" s="134"/>
    </row>
    <row r="2144" spans="3:13" ht="12.75">
      <c r="C2144" s="134"/>
      <c r="D2144" s="134"/>
      <c r="E2144" s="134"/>
      <c r="F2144" s="134"/>
      <c r="G2144" s="134"/>
      <c r="H2144" s="134"/>
      <c r="I2144" s="134"/>
      <c r="J2144" s="134"/>
      <c r="K2144" s="134"/>
      <c r="L2144" s="134"/>
      <c r="M2144" s="134"/>
    </row>
    <row r="2145" spans="3:13" ht="12.75">
      <c r="C2145" s="134"/>
      <c r="D2145" s="134"/>
      <c r="E2145" s="134"/>
      <c r="F2145" s="134"/>
      <c r="G2145" s="134"/>
      <c r="H2145" s="134"/>
      <c r="I2145" s="134"/>
      <c r="J2145" s="134"/>
      <c r="K2145" s="134"/>
      <c r="L2145" s="134"/>
      <c r="M2145" s="134"/>
    </row>
    <row r="2146" spans="3:13" ht="12.75">
      <c r="C2146" s="134"/>
      <c r="D2146" s="134"/>
      <c r="E2146" s="134"/>
      <c r="F2146" s="134"/>
      <c r="G2146" s="134"/>
      <c r="H2146" s="134"/>
      <c r="I2146" s="134"/>
      <c r="J2146" s="134"/>
      <c r="K2146" s="134"/>
      <c r="L2146" s="134"/>
      <c r="M2146" s="134"/>
    </row>
    <row r="2147" spans="3:13" ht="12.75">
      <c r="C2147" s="134"/>
      <c r="D2147" s="134"/>
      <c r="E2147" s="134"/>
      <c r="F2147" s="134"/>
      <c r="G2147" s="134"/>
      <c r="H2147" s="134"/>
      <c r="I2147" s="134"/>
      <c r="J2147" s="134"/>
      <c r="K2147" s="134"/>
      <c r="L2147" s="134"/>
      <c r="M2147" s="134"/>
    </row>
    <row r="2148" spans="3:13" ht="12.75">
      <c r="C2148" s="134"/>
      <c r="D2148" s="134"/>
      <c r="E2148" s="134"/>
      <c r="F2148" s="134"/>
      <c r="G2148" s="134"/>
      <c r="H2148" s="134"/>
      <c r="I2148" s="134"/>
      <c r="J2148" s="134"/>
      <c r="K2148" s="134"/>
      <c r="L2148" s="134"/>
      <c r="M2148" s="134"/>
    </row>
    <row r="2149" spans="3:13" ht="12.75">
      <c r="C2149" s="134"/>
      <c r="D2149" s="134"/>
      <c r="E2149" s="134"/>
      <c r="F2149" s="134"/>
      <c r="G2149" s="134"/>
      <c r="H2149" s="134"/>
      <c r="I2149" s="134"/>
      <c r="J2149" s="134"/>
      <c r="K2149" s="134"/>
      <c r="L2149" s="134"/>
      <c r="M2149" s="134"/>
    </row>
    <row r="2150" spans="3:13" ht="12.75">
      <c r="C2150" s="134"/>
      <c r="D2150" s="134"/>
      <c r="E2150" s="134"/>
      <c r="F2150" s="134"/>
      <c r="G2150" s="134"/>
      <c r="H2150" s="134"/>
      <c r="I2150" s="134"/>
      <c r="J2150" s="134"/>
      <c r="K2150" s="134"/>
      <c r="L2150" s="134"/>
      <c r="M2150" s="134"/>
    </row>
    <row r="2151" spans="3:13" ht="12.75">
      <c r="C2151" s="134"/>
      <c r="D2151" s="134"/>
      <c r="E2151" s="134"/>
      <c r="F2151" s="134"/>
      <c r="G2151" s="134"/>
      <c r="H2151" s="134"/>
      <c r="I2151" s="134"/>
      <c r="J2151" s="134"/>
      <c r="K2151" s="134"/>
      <c r="L2151" s="134"/>
      <c r="M2151" s="134"/>
    </row>
    <row r="2152" spans="3:13" ht="12.75">
      <c r="C2152" s="134"/>
      <c r="D2152" s="134"/>
      <c r="E2152" s="134"/>
      <c r="F2152" s="134"/>
      <c r="G2152" s="134"/>
      <c r="H2152" s="134"/>
      <c r="I2152" s="134"/>
      <c r="J2152" s="134"/>
      <c r="K2152" s="134"/>
      <c r="L2152" s="134"/>
      <c r="M2152" s="134"/>
    </row>
    <row r="2153" spans="3:13" ht="12.75">
      <c r="C2153" s="134"/>
      <c r="D2153" s="134"/>
      <c r="E2153" s="134"/>
      <c r="F2153" s="134"/>
      <c r="G2153" s="134"/>
      <c r="H2153" s="134"/>
      <c r="I2153" s="134"/>
      <c r="J2153" s="134"/>
      <c r="K2153" s="134"/>
      <c r="L2153" s="134"/>
      <c r="M2153" s="134"/>
    </row>
    <row r="2154" spans="3:13" ht="12.75">
      <c r="C2154" s="134"/>
      <c r="D2154" s="134"/>
      <c r="E2154" s="134"/>
      <c r="F2154" s="134"/>
      <c r="G2154" s="134"/>
      <c r="H2154" s="134"/>
      <c r="I2154" s="134"/>
      <c r="J2154" s="134"/>
      <c r="K2154" s="134"/>
      <c r="L2154" s="134"/>
      <c r="M2154" s="134"/>
    </row>
    <row r="2155" spans="3:13" ht="12.75">
      <c r="C2155" s="134"/>
      <c r="D2155" s="134"/>
      <c r="E2155" s="134"/>
      <c r="F2155" s="134"/>
      <c r="G2155" s="134"/>
      <c r="H2155" s="134"/>
      <c r="I2155" s="134"/>
      <c r="J2155" s="134"/>
      <c r="K2155" s="134"/>
      <c r="L2155" s="134"/>
      <c r="M2155" s="134"/>
    </row>
    <row r="2156" spans="3:13" ht="12.75">
      <c r="C2156" s="134"/>
      <c r="D2156" s="134"/>
      <c r="E2156" s="134"/>
      <c r="F2156" s="134"/>
      <c r="G2156" s="134"/>
      <c r="H2156" s="134"/>
      <c r="I2156" s="134"/>
      <c r="J2156" s="134"/>
      <c r="K2156" s="134"/>
      <c r="L2156" s="134"/>
      <c r="M2156" s="134"/>
    </row>
    <row r="2157" spans="3:13" ht="12.75">
      <c r="C2157" s="134"/>
      <c r="D2157" s="134"/>
      <c r="E2157" s="134"/>
      <c r="F2157" s="134"/>
      <c r="G2157" s="134"/>
      <c r="H2157" s="134"/>
      <c r="I2157" s="134"/>
      <c r="J2157" s="134"/>
      <c r="K2157" s="134"/>
      <c r="L2157" s="134"/>
      <c r="M2157" s="134"/>
    </row>
    <row r="2158" spans="3:13" ht="12.75">
      <c r="C2158" s="134"/>
      <c r="D2158" s="134"/>
      <c r="E2158" s="134"/>
      <c r="F2158" s="134"/>
      <c r="G2158" s="134"/>
      <c r="H2158" s="134"/>
      <c r="I2158" s="134"/>
      <c r="J2158" s="134"/>
      <c r="K2158" s="134"/>
      <c r="L2158" s="134"/>
      <c r="M2158" s="134"/>
    </row>
    <row r="2159" spans="3:13" ht="12.75">
      <c r="C2159" s="134"/>
      <c r="D2159" s="134"/>
      <c r="E2159" s="134"/>
      <c r="F2159" s="134"/>
      <c r="G2159" s="134"/>
      <c r="H2159" s="134"/>
      <c r="I2159" s="134"/>
      <c r="J2159" s="134"/>
      <c r="K2159" s="134"/>
      <c r="L2159" s="134"/>
      <c r="M2159" s="134"/>
    </row>
    <row r="2160" spans="3:13" ht="12.75">
      <c r="C2160" s="134"/>
      <c r="D2160" s="134"/>
      <c r="E2160" s="134"/>
      <c r="F2160" s="134"/>
      <c r="G2160" s="134"/>
      <c r="H2160" s="134"/>
      <c r="I2160" s="134"/>
      <c r="J2160" s="134"/>
      <c r="K2160" s="134"/>
      <c r="L2160" s="134"/>
      <c r="M2160" s="134"/>
    </row>
    <row r="2161" spans="3:13" ht="12.75">
      <c r="C2161" s="134"/>
      <c r="D2161" s="134"/>
      <c r="E2161" s="134"/>
      <c r="F2161" s="134"/>
      <c r="G2161" s="134"/>
      <c r="H2161" s="134"/>
      <c r="I2161" s="134"/>
      <c r="J2161" s="134"/>
      <c r="K2161" s="134"/>
      <c r="L2161" s="134"/>
      <c r="M2161" s="134"/>
    </row>
    <row r="2162" spans="3:13" ht="12.75">
      <c r="C2162" s="134"/>
      <c r="D2162" s="134"/>
      <c r="E2162" s="134"/>
      <c r="F2162" s="134"/>
      <c r="G2162" s="134"/>
      <c r="H2162" s="134"/>
      <c r="I2162" s="134"/>
      <c r="J2162" s="134"/>
      <c r="K2162" s="134"/>
      <c r="L2162" s="134"/>
      <c r="M2162" s="134"/>
    </row>
    <row r="2163" spans="3:13" ht="12.75">
      <c r="C2163" s="134"/>
      <c r="D2163" s="134"/>
      <c r="E2163" s="134"/>
      <c r="F2163" s="134"/>
      <c r="G2163" s="134"/>
      <c r="H2163" s="134"/>
      <c r="I2163" s="134"/>
      <c r="J2163" s="134"/>
      <c r="K2163" s="134"/>
      <c r="L2163" s="134"/>
      <c r="M2163" s="134"/>
    </row>
    <row r="2164" spans="3:13" ht="12.75">
      <c r="C2164" s="134"/>
      <c r="D2164" s="134"/>
      <c r="E2164" s="134"/>
      <c r="F2164" s="134"/>
      <c r="G2164" s="134"/>
      <c r="H2164" s="134"/>
      <c r="I2164" s="134"/>
      <c r="J2164" s="134"/>
      <c r="K2164" s="134"/>
      <c r="L2164" s="134"/>
      <c r="M2164" s="134"/>
    </row>
    <row r="2165" spans="3:13" ht="12.75">
      <c r="C2165" s="134"/>
      <c r="D2165" s="134"/>
      <c r="E2165" s="134"/>
      <c r="F2165" s="134"/>
      <c r="G2165" s="134"/>
      <c r="H2165" s="134"/>
      <c r="I2165" s="134"/>
      <c r="J2165" s="134"/>
      <c r="K2165" s="134"/>
      <c r="L2165" s="134"/>
      <c r="M2165" s="134"/>
    </row>
    <row r="2166" spans="3:13" ht="12.75">
      <c r="C2166" s="134"/>
      <c r="D2166" s="134"/>
      <c r="E2166" s="134"/>
      <c r="F2166" s="134"/>
      <c r="G2166" s="134"/>
      <c r="H2166" s="134"/>
      <c r="I2166" s="134"/>
      <c r="J2166" s="134"/>
      <c r="K2166" s="134"/>
      <c r="L2166" s="134"/>
      <c r="M2166" s="134"/>
    </row>
    <row r="2167" spans="3:13" ht="12.75">
      <c r="C2167" s="134"/>
      <c r="D2167" s="134"/>
      <c r="E2167" s="134"/>
      <c r="F2167" s="134"/>
      <c r="G2167" s="134"/>
      <c r="H2167" s="134"/>
      <c r="I2167" s="134"/>
      <c r="J2167" s="134"/>
      <c r="K2167" s="134"/>
      <c r="L2167" s="134"/>
      <c r="M2167" s="134"/>
    </row>
    <row r="2168" spans="3:13" ht="12.75">
      <c r="C2168" s="134"/>
      <c r="D2168" s="134"/>
      <c r="E2168" s="134"/>
      <c r="F2168" s="134"/>
      <c r="G2168" s="134"/>
      <c r="H2168" s="134"/>
      <c r="I2168" s="134"/>
      <c r="J2168" s="134"/>
      <c r="K2168" s="134"/>
      <c r="L2168" s="134"/>
      <c r="M2168" s="134"/>
    </row>
    <row r="2169" spans="3:13" ht="12.75">
      <c r="C2169" s="134"/>
      <c r="D2169" s="134"/>
      <c r="E2169" s="134"/>
      <c r="F2169" s="134"/>
      <c r="G2169" s="134"/>
      <c r="H2169" s="134"/>
      <c r="I2169" s="134"/>
      <c r="J2169" s="134"/>
      <c r="K2169" s="134"/>
      <c r="L2169" s="134"/>
      <c r="M2169" s="134"/>
    </row>
    <row r="2170" spans="3:13" ht="12.75">
      <c r="C2170" s="134"/>
      <c r="D2170" s="134"/>
      <c r="E2170" s="134"/>
      <c r="F2170" s="134"/>
      <c r="G2170" s="134"/>
      <c r="H2170" s="134"/>
      <c r="I2170" s="134"/>
      <c r="J2170" s="134"/>
      <c r="K2170" s="134"/>
      <c r="L2170" s="134"/>
      <c r="M2170" s="134"/>
    </row>
    <row r="2171" spans="3:13" ht="12.75">
      <c r="C2171" s="134"/>
      <c r="D2171" s="134"/>
      <c r="E2171" s="134"/>
      <c r="F2171" s="134"/>
      <c r="G2171" s="134"/>
      <c r="H2171" s="134"/>
      <c r="I2171" s="134"/>
      <c r="J2171" s="134"/>
      <c r="K2171" s="134"/>
      <c r="L2171" s="134"/>
      <c r="M2171" s="134"/>
    </row>
    <row r="2172" spans="3:13" ht="12.75">
      <c r="C2172" s="134"/>
      <c r="D2172" s="134"/>
      <c r="E2172" s="134"/>
      <c r="F2172" s="134"/>
      <c r="G2172" s="134"/>
      <c r="H2172" s="134"/>
      <c r="I2172" s="134"/>
      <c r="J2172" s="134"/>
      <c r="K2172" s="134"/>
      <c r="L2172" s="134"/>
      <c r="M2172" s="134"/>
    </row>
    <row r="2173" spans="3:13" ht="12.75">
      <c r="C2173" s="134"/>
      <c r="D2173" s="134"/>
      <c r="E2173" s="134"/>
      <c r="F2173" s="134"/>
      <c r="G2173" s="134"/>
      <c r="H2173" s="134"/>
      <c r="I2173" s="134"/>
      <c r="J2173" s="134"/>
      <c r="K2173" s="134"/>
      <c r="L2173" s="134"/>
      <c r="M2173" s="134"/>
    </row>
    <row r="2174" spans="3:13" ht="12.75">
      <c r="C2174" s="134"/>
      <c r="D2174" s="134"/>
      <c r="E2174" s="134"/>
      <c r="F2174" s="134"/>
      <c r="G2174" s="134"/>
      <c r="H2174" s="134"/>
      <c r="I2174" s="134"/>
      <c r="J2174" s="134"/>
      <c r="K2174" s="134"/>
      <c r="L2174" s="134"/>
      <c r="M2174" s="134"/>
    </row>
    <row r="2175" spans="3:13" ht="12.75">
      <c r="C2175" s="134"/>
      <c r="D2175" s="134"/>
      <c r="E2175" s="134"/>
      <c r="F2175" s="134"/>
      <c r="G2175" s="134"/>
      <c r="H2175" s="134"/>
      <c r="I2175" s="134"/>
      <c r="J2175" s="134"/>
      <c r="K2175" s="134"/>
      <c r="L2175" s="134"/>
      <c r="M2175" s="134"/>
    </row>
    <row r="2176" spans="3:13" ht="12.75">
      <c r="C2176" s="134"/>
      <c r="D2176" s="134"/>
      <c r="E2176" s="134"/>
      <c r="F2176" s="134"/>
      <c r="G2176" s="134"/>
      <c r="H2176" s="134"/>
      <c r="I2176" s="134"/>
      <c r="J2176" s="134"/>
      <c r="K2176" s="134"/>
      <c r="L2176" s="134"/>
      <c r="M2176" s="134"/>
    </row>
    <row r="2177" spans="3:13" ht="12.75">
      <c r="C2177" s="134"/>
      <c r="D2177" s="134"/>
      <c r="E2177" s="134"/>
      <c r="F2177" s="134"/>
      <c r="G2177" s="134"/>
      <c r="H2177" s="134"/>
      <c r="I2177" s="134"/>
      <c r="J2177" s="134"/>
      <c r="K2177" s="134"/>
      <c r="L2177" s="134"/>
      <c r="M2177" s="134"/>
    </row>
    <row r="2178" spans="3:13" ht="12.75">
      <c r="C2178" s="134"/>
      <c r="D2178" s="134"/>
      <c r="E2178" s="134"/>
      <c r="F2178" s="134"/>
      <c r="G2178" s="134"/>
      <c r="H2178" s="134"/>
      <c r="I2178" s="134"/>
      <c r="J2178" s="134"/>
      <c r="K2178" s="134"/>
      <c r="L2178" s="134"/>
      <c r="M2178" s="134"/>
    </row>
    <row r="2179" spans="3:13" ht="12.75">
      <c r="C2179" s="134"/>
      <c r="D2179" s="134"/>
      <c r="E2179" s="134"/>
      <c r="F2179" s="134"/>
      <c r="G2179" s="134"/>
      <c r="H2179" s="134"/>
      <c r="I2179" s="134"/>
      <c r="J2179" s="134"/>
      <c r="K2179" s="134"/>
      <c r="L2179" s="134"/>
      <c r="M2179" s="134"/>
    </row>
    <row r="2180" spans="3:13" ht="12.75">
      <c r="C2180" s="134"/>
      <c r="D2180" s="134"/>
      <c r="E2180" s="134"/>
      <c r="F2180" s="134"/>
      <c r="G2180" s="134"/>
      <c r="H2180" s="134"/>
      <c r="I2180" s="134"/>
      <c r="J2180" s="134"/>
      <c r="K2180" s="134"/>
      <c r="L2180" s="134"/>
      <c r="M2180" s="134"/>
    </row>
    <row r="2181" spans="3:13" ht="12.75">
      <c r="C2181" s="134"/>
      <c r="D2181" s="134"/>
      <c r="E2181" s="134"/>
      <c r="F2181" s="134"/>
      <c r="G2181" s="134"/>
      <c r="H2181" s="134"/>
      <c r="I2181" s="134"/>
      <c r="J2181" s="134"/>
      <c r="K2181" s="134"/>
      <c r="L2181" s="134"/>
      <c r="M2181" s="134"/>
    </row>
    <row r="2182" spans="3:13" ht="12.75">
      <c r="C2182" s="134"/>
      <c r="D2182" s="134"/>
      <c r="E2182" s="134"/>
      <c r="F2182" s="134"/>
      <c r="G2182" s="134"/>
      <c r="H2182" s="134"/>
      <c r="I2182" s="134"/>
      <c r="J2182" s="134"/>
      <c r="K2182" s="134"/>
      <c r="L2182" s="134"/>
      <c r="M2182" s="134"/>
    </row>
    <row r="2183" spans="3:13" ht="12.75">
      <c r="C2183" s="134"/>
      <c r="D2183" s="134"/>
      <c r="E2183" s="134"/>
      <c r="F2183" s="134"/>
      <c r="G2183" s="134"/>
      <c r="H2183" s="134"/>
      <c r="I2183" s="134"/>
      <c r="J2183" s="134"/>
      <c r="K2183" s="134"/>
      <c r="L2183" s="134"/>
      <c r="M2183" s="134"/>
    </row>
    <row r="2184" spans="3:13" ht="12.75">
      <c r="C2184" s="134"/>
      <c r="D2184" s="134"/>
      <c r="E2184" s="134"/>
      <c r="F2184" s="134"/>
      <c r="G2184" s="134"/>
      <c r="H2184" s="134"/>
      <c r="I2184" s="134"/>
      <c r="J2184" s="134"/>
      <c r="K2184" s="134"/>
      <c r="L2184" s="134"/>
      <c r="M2184" s="134"/>
    </row>
    <row r="2185" spans="3:13" ht="12.75">
      <c r="C2185" s="134"/>
      <c r="D2185" s="134"/>
      <c r="E2185" s="134"/>
      <c r="F2185" s="134"/>
      <c r="G2185" s="134"/>
      <c r="H2185" s="134"/>
      <c r="I2185" s="134"/>
      <c r="J2185" s="134"/>
      <c r="K2185" s="134"/>
      <c r="L2185" s="134"/>
      <c r="M2185" s="134"/>
    </row>
    <row r="2186" spans="3:13" ht="12.75">
      <c r="C2186" s="134"/>
      <c r="D2186" s="134"/>
      <c r="E2186" s="134"/>
      <c r="F2186" s="134"/>
      <c r="G2186" s="134"/>
      <c r="H2186" s="134"/>
      <c r="I2186" s="134"/>
      <c r="J2186" s="134"/>
      <c r="K2186" s="134"/>
      <c r="L2186" s="134"/>
      <c r="M2186" s="134"/>
    </row>
    <row r="2187" spans="3:13" ht="12.75">
      <c r="C2187" s="134"/>
      <c r="D2187" s="134"/>
      <c r="E2187" s="134"/>
      <c r="F2187" s="134"/>
      <c r="G2187" s="134"/>
      <c r="H2187" s="134"/>
      <c r="I2187" s="134"/>
      <c r="J2187" s="134"/>
      <c r="K2187" s="134"/>
      <c r="L2187" s="134"/>
      <c r="M2187" s="134"/>
    </row>
    <row r="2188" spans="3:13" ht="12.75">
      <c r="C2188" s="134"/>
      <c r="D2188" s="134"/>
      <c r="E2188" s="134"/>
      <c r="F2188" s="134"/>
      <c r="G2188" s="134"/>
      <c r="H2188" s="134"/>
      <c r="I2188" s="134"/>
      <c r="J2188" s="134"/>
      <c r="K2188" s="134"/>
      <c r="L2188" s="134"/>
      <c r="M2188" s="134"/>
    </row>
    <row r="2189" spans="3:13" ht="12.75">
      <c r="C2189" s="134"/>
      <c r="D2189" s="134"/>
      <c r="E2189" s="134"/>
      <c r="F2189" s="134"/>
      <c r="G2189" s="134"/>
      <c r="H2189" s="134"/>
      <c r="I2189" s="134"/>
      <c r="J2189" s="134"/>
      <c r="K2189" s="134"/>
      <c r="L2189" s="134"/>
      <c r="M2189" s="134"/>
    </row>
    <row r="2190" spans="3:13" ht="12.75">
      <c r="C2190" s="134"/>
      <c r="D2190" s="134"/>
      <c r="E2190" s="134"/>
      <c r="F2190" s="134"/>
      <c r="G2190" s="134"/>
      <c r="H2190" s="134"/>
      <c r="I2190" s="134"/>
      <c r="J2190" s="134"/>
      <c r="K2190" s="134"/>
      <c r="L2190" s="134"/>
      <c r="M2190" s="134"/>
    </row>
    <row r="2191" spans="3:13" ht="12.75">
      <c r="C2191" s="134"/>
      <c r="D2191" s="134"/>
      <c r="E2191" s="134"/>
      <c r="F2191" s="134"/>
      <c r="G2191" s="134"/>
      <c r="H2191" s="134"/>
      <c r="I2191" s="134"/>
      <c r="J2191" s="134"/>
      <c r="K2191" s="134"/>
      <c r="L2191" s="134"/>
      <c r="M2191" s="134"/>
    </row>
    <row r="2192" spans="3:13" ht="12.75">
      <c r="C2192" s="134"/>
      <c r="D2192" s="134"/>
      <c r="E2192" s="134"/>
      <c r="F2192" s="134"/>
      <c r="G2192" s="134"/>
      <c r="H2192" s="134"/>
      <c r="I2192" s="134"/>
      <c r="J2192" s="134"/>
      <c r="K2192" s="134"/>
      <c r="L2192" s="134"/>
      <c r="M2192" s="134"/>
    </row>
    <row r="2193" spans="3:13" ht="12.75">
      <c r="C2193" s="134"/>
      <c r="D2193" s="134"/>
      <c r="E2193" s="134"/>
      <c r="F2193" s="134"/>
      <c r="G2193" s="134"/>
      <c r="H2193" s="134"/>
      <c r="I2193" s="134"/>
      <c r="J2193" s="134"/>
      <c r="K2193" s="134"/>
      <c r="L2193" s="134"/>
      <c r="M2193" s="134"/>
    </row>
    <row r="2194" spans="3:13" ht="12.75">
      <c r="C2194" s="134"/>
      <c r="D2194" s="134"/>
      <c r="E2194" s="134"/>
      <c r="F2194" s="134"/>
      <c r="G2194" s="134"/>
      <c r="H2194" s="134"/>
      <c r="I2194" s="134"/>
      <c r="J2194" s="134"/>
      <c r="K2194" s="134"/>
      <c r="L2194" s="134"/>
      <c r="M2194" s="134"/>
    </row>
    <row r="2195" spans="3:13" ht="12.75">
      <c r="C2195" s="134"/>
      <c r="D2195" s="134"/>
      <c r="E2195" s="134"/>
      <c r="F2195" s="134"/>
      <c r="G2195" s="134"/>
      <c r="H2195" s="134"/>
      <c r="I2195" s="134"/>
      <c r="J2195" s="134"/>
      <c r="K2195" s="134"/>
      <c r="L2195" s="134"/>
      <c r="M2195" s="134"/>
    </row>
    <row r="2196" spans="3:13" ht="12.75">
      <c r="C2196" s="134"/>
      <c r="D2196" s="134"/>
      <c r="E2196" s="134"/>
      <c r="F2196" s="134"/>
      <c r="G2196" s="134"/>
      <c r="H2196" s="134"/>
      <c r="I2196" s="134"/>
      <c r="J2196" s="134"/>
      <c r="K2196" s="134"/>
      <c r="L2196" s="134"/>
      <c r="M2196" s="134"/>
    </row>
    <row r="2197" spans="3:13" ht="12.75">
      <c r="C2197" s="134"/>
      <c r="D2197" s="134"/>
      <c r="E2197" s="134"/>
      <c r="F2197" s="134"/>
      <c r="G2197" s="134"/>
      <c r="H2197" s="134"/>
      <c r="I2197" s="134"/>
      <c r="J2197" s="134"/>
      <c r="K2197" s="134"/>
      <c r="L2197" s="134"/>
      <c r="M2197" s="134"/>
    </row>
    <row r="2198" spans="3:13" ht="12.75">
      <c r="C2198" s="134"/>
      <c r="D2198" s="134"/>
      <c r="E2198" s="134"/>
      <c r="F2198" s="134"/>
      <c r="G2198" s="134"/>
      <c r="H2198" s="134"/>
      <c r="I2198" s="134"/>
      <c r="J2198" s="134"/>
      <c r="K2198" s="134"/>
      <c r="L2198" s="134"/>
      <c r="M2198" s="134"/>
    </row>
    <row r="2199" spans="3:13" ht="12.75">
      <c r="C2199" s="134"/>
      <c r="D2199" s="134"/>
      <c r="E2199" s="134"/>
      <c r="F2199" s="134"/>
      <c r="G2199" s="134"/>
      <c r="H2199" s="134"/>
      <c r="I2199" s="134"/>
      <c r="J2199" s="134"/>
      <c r="K2199" s="134"/>
      <c r="L2199" s="134"/>
      <c r="M2199" s="134"/>
    </row>
    <row r="2200" spans="3:13" ht="12.75">
      <c r="C2200" s="134"/>
      <c r="D2200" s="134"/>
      <c r="E2200" s="134"/>
      <c r="F2200" s="134"/>
      <c r="G2200" s="134"/>
      <c r="H2200" s="134"/>
      <c r="I2200" s="134"/>
      <c r="J2200" s="134"/>
      <c r="K2200" s="134"/>
      <c r="L2200" s="134"/>
      <c r="M2200" s="134"/>
    </row>
    <row r="2201" spans="3:13" ht="12.75">
      <c r="C2201" s="134"/>
      <c r="D2201" s="134"/>
      <c r="E2201" s="134"/>
      <c r="F2201" s="134"/>
      <c r="G2201" s="134"/>
      <c r="H2201" s="134"/>
      <c r="I2201" s="134"/>
      <c r="J2201" s="134"/>
      <c r="K2201" s="134"/>
      <c r="L2201" s="134"/>
      <c r="M2201" s="134"/>
    </row>
    <row r="2202" spans="3:13" ht="12.75">
      <c r="C2202" s="134"/>
      <c r="D2202" s="134"/>
      <c r="E2202" s="134"/>
      <c r="F2202" s="134"/>
      <c r="G2202" s="134"/>
      <c r="H2202" s="134"/>
      <c r="I2202" s="134"/>
      <c r="J2202" s="134"/>
      <c r="K2202" s="134"/>
      <c r="L2202" s="134"/>
      <c r="M2202" s="134"/>
    </row>
    <row r="2203" spans="3:13" ht="12.75">
      <c r="C2203" s="134"/>
      <c r="D2203" s="134"/>
      <c r="E2203" s="134"/>
      <c r="F2203" s="134"/>
      <c r="G2203" s="134"/>
      <c r="H2203" s="134"/>
      <c r="I2203" s="134"/>
      <c r="J2203" s="134"/>
      <c r="K2203" s="134"/>
      <c r="L2203" s="134"/>
      <c r="M2203" s="134"/>
    </row>
    <row r="2204" spans="3:13" ht="12.75">
      <c r="C2204" s="134"/>
      <c r="D2204" s="134"/>
      <c r="E2204" s="134"/>
      <c r="F2204" s="134"/>
      <c r="G2204" s="134"/>
      <c r="H2204" s="134"/>
      <c r="I2204" s="134"/>
      <c r="J2204" s="134"/>
      <c r="K2204" s="134"/>
      <c r="L2204" s="134"/>
      <c r="M2204" s="134"/>
    </row>
    <row r="2205" spans="3:13" ht="12.75">
      <c r="C2205" s="134"/>
      <c r="D2205" s="134"/>
      <c r="E2205" s="134"/>
      <c r="F2205" s="134"/>
      <c r="G2205" s="134"/>
      <c r="H2205" s="134"/>
      <c r="I2205" s="134"/>
      <c r="J2205" s="134"/>
      <c r="K2205" s="134"/>
      <c r="L2205" s="134"/>
      <c r="M2205" s="134"/>
    </row>
    <row r="2206" spans="3:13" ht="12.75">
      <c r="C2206" s="134"/>
      <c r="D2206" s="134"/>
      <c r="E2206" s="134"/>
      <c r="F2206" s="134"/>
      <c r="G2206" s="134"/>
      <c r="H2206" s="134"/>
      <c r="I2206" s="134"/>
      <c r="J2206" s="134"/>
      <c r="K2206" s="134"/>
      <c r="L2206" s="134"/>
      <c r="M2206" s="134"/>
    </row>
    <row r="2207" spans="3:13" ht="12.75">
      <c r="C2207" s="134"/>
      <c r="D2207" s="134"/>
      <c r="E2207" s="134"/>
      <c r="F2207" s="134"/>
      <c r="G2207" s="134"/>
      <c r="H2207" s="134"/>
      <c r="I2207" s="134"/>
      <c r="J2207" s="134"/>
      <c r="K2207" s="134"/>
      <c r="L2207" s="134"/>
      <c r="M2207" s="134"/>
    </row>
    <row r="2208" spans="3:13" ht="12.75">
      <c r="C2208" s="134"/>
      <c r="D2208" s="134"/>
      <c r="E2208" s="134"/>
      <c r="F2208" s="134"/>
      <c r="G2208" s="134"/>
      <c r="H2208" s="134"/>
      <c r="I2208" s="134"/>
      <c r="J2208" s="134"/>
      <c r="K2208" s="134"/>
      <c r="L2208" s="134"/>
      <c r="M2208" s="134"/>
    </row>
    <row r="2209" spans="3:13" ht="12.75">
      <c r="C2209" s="134"/>
      <c r="D2209" s="134"/>
      <c r="E2209" s="134"/>
      <c r="F2209" s="134"/>
      <c r="G2209" s="134"/>
      <c r="H2209" s="134"/>
      <c r="I2209" s="134"/>
      <c r="J2209" s="134"/>
      <c r="K2209" s="134"/>
      <c r="L2209" s="134"/>
      <c r="M2209" s="134"/>
    </row>
    <row r="2210" spans="3:13" ht="12.75">
      <c r="C2210" s="134"/>
      <c r="D2210" s="134"/>
      <c r="E2210" s="134"/>
      <c r="F2210" s="134"/>
      <c r="G2210" s="134"/>
      <c r="H2210" s="134"/>
      <c r="I2210" s="134"/>
      <c r="J2210" s="134"/>
      <c r="K2210" s="134"/>
      <c r="L2210" s="134"/>
      <c r="M2210" s="134"/>
    </row>
    <row r="2211" spans="3:13" ht="12.75">
      <c r="C2211" s="134"/>
      <c r="D2211" s="134"/>
      <c r="E2211" s="134"/>
      <c r="F2211" s="134"/>
      <c r="G2211" s="134"/>
      <c r="H2211" s="134"/>
      <c r="I2211" s="134"/>
      <c r="J2211" s="134"/>
      <c r="K2211" s="134"/>
      <c r="L2211" s="134"/>
      <c r="M2211" s="134"/>
    </row>
    <row r="2212" spans="3:13" ht="12.75">
      <c r="C2212" s="134"/>
      <c r="D2212" s="134"/>
      <c r="E2212" s="134"/>
      <c r="F2212" s="134"/>
      <c r="G2212" s="134"/>
      <c r="H2212" s="134"/>
      <c r="I2212" s="134"/>
      <c r="J2212" s="134"/>
      <c r="K2212" s="134"/>
      <c r="L2212" s="134"/>
      <c r="M2212" s="134"/>
    </row>
    <row r="2213" spans="3:13" ht="12.75">
      <c r="C2213" s="134"/>
      <c r="D2213" s="134"/>
      <c r="E2213" s="134"/>
      <c r="F2213" s="134"/>
      <c r="G2213" s="134"/>
      <c r="H2213" s="134"/>
      <c r="I2213" s="134"/>
      <c r="J2213" s="134"/>
      <c r="K2213" s="134"/>
      <c r="L2213" s="134"/>
      <c r="M2213" s="134"/>
    </row>
    <row r="2214" spans="3:13" ht="12.75">
      <c r="C2214" s="134"/>
      <c r="D2214" s="134"/>
      <c r="E2214" s="134"/>
      <c r="F2214" s="134"/>
      <c r="G2214" s="134"/>
      <c r="H2214" s="134"/>
      <c r="I2214" s="134"/>
      <c r="J2214" s="134"/>
      <c r="K2214" s="134"/>
      <c r="L2214" s="134"/>
      <c r="M2214" s="134"/>
    </row>
    <row r="2215" spans="3:13" ht="12.75">
      <c r="C2215" s="134"/>
      <c r="D2215" s="134"/>
      <c r="E2215" s="134"/>
      <c r="F2215" s="134"/>
      <c r="G2215" s="134"/>
      <c r="H2215" s="134"/>
      <c r="I2215" s="134"/>
      <c r="J2215" s="134"/>
      <c r="K2215" s="134"/>
      <c r="L2215" s="134"/>
      <c r="M2215" s="134"/>
    </row>
    <row r="2216" spans="3:13" ht="12.75">
      <c r="C2216" s="134"/>
      <c r="D2216" s="134"/>
      <c r="E2216" s="134"/>
      <c r="F2216" s="134"/>
      <c r="G2216" s="134"/>
      <c r="H2216" s="134"/>
      <c r="I2216" s="134"/>
      <c r="J2216" s="134"/>
      <c r="K2216" s="134"/>
      <c r="L2216" s="134"/>
      <c r="M2216" s="134"/>
    </row>
    <row r="2217" spans="3:13" ht="12.75">
      <c r="C2217" s="134"/>
      <c r="D2217" s="134"/>
      <c r="E2217" s="134"/>
      <c r="F2217" s="134"/>
      <c r="G2217" s="134"/>
      <c r="H2217" s="134"/>
      <c r="I2217" s="134"/>
      <c r="J2217" s="134"/>
      <c r="K2217" s="134"/>
      <c r="L2217" s="134"/>
      <c r="M2217" s="134"/>
    </row>
    <row r="2218" spans="3:13" ht="12.75">
      <c r="C2218" s="134"/>
      <c r="D2218" s="134"/>
      <c r="E2218" s="134"/>
      <c r="F2218" s="134"/>
      <c r="G2218" s="134"/>
      <c r="H2218" s="134"/>
      <c r="I2218" s="134"/>
      <c r="J2218" s="134"/>
      <c r="K2218" s="134"/>
      <c r="L2218" s="134"/>
      <c r="M2218" s="134"/>
    </row>
    <row r="2219" spans="3:13" ht="12.75">
      <c r="C2219" s="134"/>
      <c r="D2219" s="134"/>
      <c r="E2219" s="134"/>
      <c r="F2219" s="134"/>
      <c r="G2219" s="134"/>
      <c r="H2219" s="134"/>
      <c r="I2219" s="134"/>
      <c r="J2219" s="134"/>
      <c r="K2219" s="134"/>
      <c r="L2219" s="134"/>
      <c r="M2219" s="134"/>
    </row>
    <row r="2220" spans="3:13" ht="12.75">
      <c r="C2220" s="134"/>
      <c r="D2220" s="134"/>
      <c r="E2220" s="134"/>
      <c r="F2220" s="134"/>
      <c r="G2220" s="134"/>
      <c r="H2220" s="134"/>
      <c r="I2220" s="134"/>
      <c r="J2220" s="134"/>
      <c r="K2220" s="134"/>
      <c r="L2220" s="134"/>
      <c r="M2220" s="134"/>
    </row>
    <row r="2221" spans="3:13" ht="12.75">
      <c r="C2221" s="134"/>
      <c r="D2221" s="134"/>
      <c r="E2221" s="134"/>
      <c r="F2221" s="134"/>
      <c r="G2221" s="134"/>
      <c r="H2221" s="134"/>
      <c r="I2221" s="134"/>
      <c r="J2221" s="134"/>
      <c r="K2221" s="134"/>
      <c r="L2221" s="134"/>
      <c r="M2221" s="134"/>
    </row>
    <row r="2222" spans="3:13" ht="12.75">
      <c r="C2222" s="134"/>
      <c r="D2222" s="134"/>
      <c r="E2222" s="134"/>
      <c r="F2222" s="134"/>
      <c r="G2222" s="134"/>
      <c r="H2222" s="134"/>
      <c r="I2222" s="134"/>
      <c r="J2222" s="134"/>
      <c r="K2222" s="134"/>
      <c r="L2222" s="134"/>
      <c r="M2222" s="134"/>
    </row>
    <row r="2223" spans="3:13" ht="12.75">
      <c r="C2223" s="134"/>
      <c r="D2223" s="134"/>
      <c r="E2223" s="134"/>
      <c r="F2223" s="134"/>
      <c r="G2223" s="134"/>
      <c r="H2223" s="134"/>
      <c r="I2223" s="134"/>
      <c r="J2223" s="134"/>
      <c r="K2223" s="134"/>
      <c r="L2223" s="134"/>
      <c r="M2223" s="134"/>
    </row>
    <row r="2224" spans="3:13" ht="12.75">
      <c r="C2224" s="134"/>
      <c r="D2224" s="134"/>
      <c r="E2224" s="134"/>
      <c r="F2224" s="134"/>
      <c r="G2224" s="134"/>
      <c r="H2224" s="134"/>
      <c r="I2224" s="134"/>
      <c r="J2224" s="134"/>
      <c r="K2224" s="134"/>
      <c r="L2224" s="134"/>
      <c r="M2224" s="134"/>
    </row>
    <row r="2225" spans="3:13" ht="12.75">
      <c r="C2225" s="134"/>
      <c r="D2225" s="134"/>
      <c r="E2225" s="134"/>
      <c r="F2225" s="134"/>
      <c r="G2225" s="134"/>
      <c r="H2225" s="134"/>
      <c r="I2225" s="134"/>
      <c r="J2225" s="134"/>
      <c r="K2225" s="134"/>
      <c r="L2225" s="134"/>
      <c r="M2225" s="134"/>
    </row>
    <row r="2226" spans="3:13" ht="12.75">
      <c r="C2226" s="134"/>
      <c r="D2226" s="134"/>
      <c r="E2226" s="134"/>
      <c r="F2226" s="134"/>
      <c r="G2226" s="134"/>
      <c r="H2226" s="134"/>
      <c r="I2226" s="134"/>
      <c r="J2226" s="134"/>
      <c r="K2226" s="134"/>
      <c r="L2226" s="134"/>
      <c r="M2226" s="134"/>
    </row>
    <row r="2227" spans="3:13" ht="12.75">
      <c r="C2227" s="134"/>
      <c r="D2227" s="134"/>
      <c r="E2227" s="134"/>
      <c r="F2227" s="134"/>
      <c r="G2227" s="134"/>
      <c r="H2227" s="134"/>
      <c r="I2227" s="134"/>
      <c r="J2227" s="134"/>
      <c r="K2227" s="134"/>
      <c r="L2227" s="134"/>
      <c r="M2227" s="134"/>
    </row>
    <row r="2228" spans="3:13" ht="12.75">
      <c r="C2228" s="134"/>
      <c r="D2228" s="134"/>
      <c r="E2228" s="134"/>
      <c r="F2228" s="134"/>
      <c r="G2228" s="134"/>
      <c r="H2228" s="134"/>
      <c r="I2228" s="134"/>
      <c r="J2228" s="134"/>
      <c r="K2228" s="134"/>
      <c r="L2228" s="134"/>
      <c r="M2228" s="134"/>
    </row>
    <row r="2229" spans="3:13" ht="12.75">
      <c r="C2229" s="134"/>
      <c r="D2229" s="134"/>
      <c r="E2229" s="134"/>
      <c r="F2229" s="134"/>
      <c r="G2229" s="134"/>
      <c r="H2229" s="134"/>
      <c r="I2229" s="134"/>
      <c r="J2229" s="134"/>
      <c r="K2229" s="134"/>
      <c r="L2229" s="134"/>
      <c r="M2229" s="134"/>
    </row>
    <row r="2230" spans="3:13" ht="12.75">
      <c r="C2230" s="134"/>
      <c r="D2230" s="134"/>
      <c r="E2230" s="134"/>
      <c r="F2230" s="134"/>
      <c r="G2230" s="134"/>
      <c r="H2230" s="134"/>
      <c r="I2230" s="134"/>
      <c r="J2230" s="134"/>
      <c r="K2230" s="134"/>
      <c r="L2230" s="134"/>
      <c r="M2230" s="134"/>
    </row>
    <row r="2231" spans="3:13" ht="12.75">
      <c r="C2231" s="134"/>
      <c r="D2231" s="134"/>
      <c r="E2231" s="134"/>
      <c r="F2231" s="134"/>
      <c r="G2231" s="134"/>
      <c r="H2231" s="134"/>
      <c r="I2231" s="134"/>
      <c r="J2231" s="134"/>
      <c r="K2231" s="134"/>
      <c r="L2231" s="134"/>
      <c r="M2231" s="134"/>
    </row>
    <row r="2232" spans="3:13" ht="12.75">
      <c r="C2232" s="134"/>
      <c r="D2232" s="134"/>
      <c r="E2232" s="134"/>
      <c r="F2232" s="134"/>
      <c r="G2232" s="134"/>
      <c r="H2232" s="134"/>
      <c r="I2232" s="134"/>
      <c r="J2232" s="134"/>
      <c r="K2232" s="134"/>
      <c r="L2232" s="134"/>
      <c r="M2232" s="134"/>
    </row>
    <row r="2233" spans="3:13" ht="12.75">
      <c r="C2233" s="134"/>
      <c r="D2233" s="134"/>
      <c r="E2233" s="134"/>
      <c r="F2233" s="134"/>
      <c r="G2233" s="134"/>
      <c r="H2233" s="134"/>
      <c r="I2233" s="134"/>
      <c r="J2233" s="134"/>
      <c r="K2233" s="134"/>
      <c r="L2233" s="134"/>
      <c r="M2233" s="134"/>
    </row>
    <row r="2234" spans="3:13" ht="12.75">
      <c r="C2234" s="134"/>
      <c r="D2234" s="134"/>
      <c r="E2234" s="134"/>
      <c r="F2234" s="134"/>
      <c r="G2234" s="134"/>
      <c r="H2234" s="134"/>
      <c r="I2234" s="134"/>
      <c r="J2234" s="134"/>
      <c r="K2234" s="134"/>
      <c r="L2234" s="134"/>
      <c r="M2234" s="134"/>
    </row>
    <row r="2235" spans="3:13" ht="12.75">
      <c r="C2235" s="134"/>
      <c r="D2235" s="134"/>
      <c r="E2235" s="134"/>
      <c r="F2235" s="134"/>
      <c r="G2235" s="134"/>
      <c r="H2235" s="134"/>
      <c r="I2235" s="134"/>
      <c r="J2235" s="134"/>
      <c r="K2235" s="134"/>
      <c r="L2235" s="134"/>
      <c r="M2235" s="134"/>
    </row>
    <row r="2236" spans="3:13" ht="12.75">
      <c r="C2236" s="134"/>
      <c r="D2236" s="134"/>
      <c r="E2236" s="134"/>
      <c r="F2236" s="134"/>
      <c r="G2236" s="134"/>
      <c r="H2236" s="134"/>
      <c r="I2236" s="134"/>
      <c r="J2236" s="134"/>
      <c r="K2236" s="134"/>
      <c r="L2236" s="134"/>
      <c r="M2236" s="134"/>
    </row>
    <row r="2237" spans="3:13" ht="12.75">
      <c r="C2237" s="134"/>
      <c r="D2237" s="134"/>
      <c r="E2237" s="134"/>
      <c r="F2237" s="134"/>
      <c r="G2237" s="134"/>
      <c r="H2237" s="134"/>
      <c r="I2237" s="134"/>
      <c r="J2237" s="134"/>
      <c r="K2237" s="134"/>
      <c r="L2237" s="134"/>
      <c r="M2237" s="134"/>
    </row>
    <row r="2238" spans="3:13" ht="12.75">
      <c r="C2238" s="134"/>
      <c r="D2238" s="134"/>
      <c r="E2238" s="134"/>
      <c r="F2238" s="134"/>
      <c r="G2238" s="134"/>
      <c r="H2238" s="134"/>
      <c r="I2238" s="134"/>
      <c r="J2238" s="134"/>
      <c r="K2238" s="134"/>
      <c r="L2238" s="134"/>
      <c r="M2238" s="134"/>
    </row>
    <row r="2239" spans="3:13" ht="12.75">
      <c r="C2239" s="134"/>
      <c r="D2239" s="134"/>
      <c r="E2239" s="134"/>
      <c r="F2239" s="134"/>
      <c r="G2239" s="134"/>
      <c r="H2239" s="134"/>
      <c r="I2239" s="134"/>
      <c r="J2239" s="134"/>
      <c r="K2239" s="134"/>
      <c r="L2239" s="134"/>
      <c r="M2239" s="134"/>
    </row>
    <row r="2240" spans="3:13" ht="12.75">
      <c r="C2240" s="134"/>
      <c r="D2240" s="134"/>
      <c r="E2240" s="134"/>
      <c r="F2240" s="134"/>
      <c r="G2240" s="134"/>
      <c r="H2240" s="134"/>
      <c r="I2240" s="134"/>
      <c r="J2240" s="134"/>
      <c r="K2240" s="134"/>
      <c r="L2240" s="134"/>
      <c r="M2240" s="134"/>
    </row>
    <row r="2241" spans="3:13" ht="12.75">
      <c r="C2241" s="134"/>
      <c r="D2241" s="134"/>
      <c r="E2241" s="134"/>
      <c r="F2241" s="134"/>
      <c r="G2241" s="134"/>
      <c r="H2241" s="134"/>
      <c r="I2241" s="134"/>
      <c r="J2241" s="134"/>
      <c r="K2241" s="134"/>
      <c r="L2241" s="134"/>
      <c r="M2241" s="134"/>
    </row>
    <row r="2242" spans="3:13" ht="12.75">
      <c r="C2242" s="134"/>
      <c r="D2242" s="134"/>
      <c r="E2242" s="134"/>
      <c r="F2242" s="134"/>
      <c r="G2242" s="134"/>
      <c r="H2242" s="134"/>
      <c r="I2242" s="134"/>
      <c r="J2242" s="134"/>
      <c r="K2242" s="134"/>
      <c r="L2242" s="134"/>
      <c r="M2242" s="134"/>
    </row>
    <row r="2243" spans="3:13" ht="12.75">
      <c r="C2243" s="134"/>
      <c r="D2243" s="134"/>
      <c r="E2243" s="134"/>
      <c r="F2243" s="134"/>
      <c r="G2243" s="134"/>
      <c r="H2243" s="134"/>
      <c r="I2243" s="134"/>
      <c r="J2243" s="134"/>
      <c r="K2243" s="134"/>
      <c r="L2243" s="134"/>
      <c r="M2243" s="134"/>
    </row>
    <row r="2244" spans="3:13" ht="12.75">
      <c r="C2244" s="134"/>
      <c r="D2244" s="134"/>
      <c r="E2244" s="134"/>
      <c r="F2244" s="134"/>
      <c r="G2244" s="134"/>
      <c r="H2244" s="134"/>
      <c r="I2244" s="134"/>
      <c r="J2244" s="134"/>
      <c r="K2244" s="134"/>
      <c r="L2244" s="134"/>
      <c r="M2244" s="134"/>
    </row>
    <row r="2245" spans="3:13" ht="12.75">
      <c r="C2245" s="134"/>
      <c r="D2245" s="134"/>
      <c r="E2245" s="134"/>
      <c r="F2245" s="134"/>
      <c r="G2245" s="134"/>
      <c r="H2245" s="134"/>
      <c r="I2245" s="134"/>
      <c r="J2245" s="134"/>
      <c r="K2245" s="134"/>
      <c r="L2245" s="134"/>
      <c r="M2245" s="134"/>
    </row>
    <row r="2246" spans="3:13" ht="12.75">
      <c r="C2246" s="134"/>
      <c r="D2246" s="134"/>
      <c r="E2246" s="134"/>
      <c r="F2246" s="134"/>
      <c r="G2246" s="134"/>
      <c r="H2246" s="134"/>
      <c r="I2246" s="134"/>
      <c r="J2246" s="134"/>
      <c r="K2246" s="134"/>
      <c r="L2246" s="134"/>
      <c r="M2246" s="134"/>
    </row>
    <row r="2247" spans="3:13" ht="12.75">
      <c r="C2247" s="134"/>
      <c r="D2247" s="134"/>
      <c r="E2247" s="134"/>
      <c r="F2247" s="134"/>
      <c r="G2247" s="134"/>
      <c r="H2247" s="134"/>
      <c r="I2247" s="134"/>
      <c r="J2247" s="134"/>
      <c r="K2247" s="134"/>
      <c r="L2247" s="134"/>
      <c r="M2247" s="134"/>
    </row>
    <row r="2248" spans="3:13" ht="12.75">
      <c r="C2248" s="134"/>
      <c r="D2248" s="134"/>
      <c r="E2248" s="134"/>
      <c r="F2248" s="134"/>
      <c r="G2248" s="134"/>
      <c r="H2248" s="134"/>
      <c r="I2248" s="134"/>
      <c r="J2248" s="134"/>
      <c r="K2248" s="134"/>
      <c r="L2248" s="134"/>
      <c r="M2248" s="134"/>
    </row>
    <row r="2249" spans="3:13" ht="12.75">
      <c r="C2249" s="134"/>
      <c r="D2249" s="134"/>
      <c r="E2249" s="134"/>
      <c r="F2249" s="134"/>
      <c r="G2249" s="134"/>
      <c r="H2249" s="134"/>
      <c r="I2249" s="134"/>
      <c r="J2249" s="134"/>
      <c r="K2249" s="134"/>
      <c r="L2249" s="134"/>
      <c r="M2249" s="134"/>
    </row>
    <row r="2250" spans="3:13" ht="12.75">
      <c r="C2250" s="134"/>
      <c r="D2250" s="134"/>
      <c r="E2250" s="134"/>
      <c r="F2250" s="134"/>
      <c r="G2250" s="134"/>
      <c r="H2250" s="134"/>
      <c r="I2250" s="134"/>
      <c r="J2250" s="134"/>
      <c r="K2250" s="134"/>
      <c r="L2250" s="134"/>
      <c r="M2250" s="134"/>
    </row>
    <row r="2251" spans="3:13" ht="12.75">
      <c r="C2251" s="134"/>
      <c r="D2251" s="134"/>
      <c r="E2251" s="134"/>
      <c r="F2251" s="134"/>
      <c r="G2251" s="134"/>
      <c r="H2251" s="134"/>
      <c r="I2251" s="134"/>
      <c r="J2251" s="134"/>
      <c r="K2251" s="134"/>
      <c r="L2251" s="134"/>
      <c r="M2251" s="134"/>
    </row>
    <row r="2252" spans="3:13" ht="12.75">
      <c r="C2252" s="134"/>
      <c r="D2252" s="134"/>
      <c r="E2252" s="134"/>
      <c r="F2252" s="134"/>
      <c r="G2252" s="134"/>
      <c r="H2252" s="134"/>
      <c r="I2252" s="134"/>
      <c r="J2252" s="134"/>
      <c r="K2252" s="134"/>
      <c r="L2252" s="134"/>
      <c r="M2252" s="134"/>
    </row>
    <row r="2253" spans="3:13" ht="12.75">
      <c r="C2253" s="134"/>
      <c r="D2253" s="134"/>
      <c r="E2253" s="134"/>
      <c r="F2253" s="134"/>
      <c r="G2253" s="134"/>
      <c r="H2253" s="134"/>
      <c r="I2253" s="134"/>
      <c r="J2253" s="134"/>
      <c r="K2253" s="134"/>
      <c r="L2253" s="134"/>
      <c r="M2253" s="134"/>
    </row>
    <row r="2254" spans="3:13" ht="12.75">
      <c r="C2254" s="134"/>
      <c r="D2254" s="134"/>
      <c r="E2254" s="134"/>
      <c r="F2254" s="134"/>
      <c r="G2254" s="134"/>
      <c r="H2254" s="134"/>
      <c r="I2254" s="134"/>
      <c r="J2254" s="134"/>
      <c r="K2254" s="134"/>
      <c r="L2254" s="134"/>
      <c r="M2254" s="134"/>
    </row>
    <row r="2255" spans="3:13" ht="12.75">
      <c r="C2255" s="134"/>
      <c r="D2255" s="134"/>
      <c r="E2255" s="134"/>
      <c r="F2255" s="134"/>
      <c r="G2255" s="134"/>
      <c r="H2255" s="134"/>
      <c r="I2255" s="134"/>
      <c r="J2255" s="134"/>
      <c r="K2255" s="134"/>
      <c r="L2255" s="134"/>
      <c r="M2255" s="134"/>
    </row>
    <row r="2256" spans="3:13" ht="12.75">
      <c r="C2256" s="134"/>
      <c r="D2256" s="134"/>
      <c r="E2256" s="134"/>
      <c r="F2256" s="134"/>
      <c r="G2256" s="134"/>
      <c r="H2256" s="134"/>
      <c r="I2256" s="134"/>
      <c r="J2256" s="134"/>
      <c r="K2256" s="134"/>
      <c r="L2256" s="134"/>
      <c r="M2256" s="134"/>
    </row>
    <row r="2257" spans="3:13" ht="12.75">
      <c r="C2257" s="134"/>
      <c r="D2257" s="134"/>
      <c r="E2257" s="134"/>
      <c r="F2257" s="134"/>
      <c r="G2257" s="134"/>
      <c r="H2257" s="134"/>
      <c r="I2257" s="134"/>
      <c r="J2257" s="134"/>
      <c r="K2257" s="134"/>
      <c r="L2257" s="134"/>
      <c r="M2257" s="134"/>
    </row>
    <row r="2258" spans="3:13" ht="12.75">
      <c r="C2258" s="134"/>
      <c r="D2258" s="134"/>
      <c r="E2258" s="134"/>
      <c r="F2258" s="134"/>
      <c r="G2258" s="134"/>
      <c r="H2258" s="134"/>
      <c r="I2258" s="134"/>
      <c r="J2258" s="134"/>
      <c r="K2258" s="134"/>
      <c r="L2258" s="134"/>
      <c r="M2258" s="134"/>
    </row>
    <row r="2259" spans="3:13" ht="12.75">
      <c r="C2259" s="134"/>
      <c r="D2259" s="134"/>
      <c r="E2259" s="134"/>
      <c r="F2259" s="134"/>
      <c r="G2259" s="134"/>
      <c r="H2259" s="134"/>
      <c r="I2259" s="134"/>
      <c r="J2259" s="134"/>
      <c r="K2259" s="134"/>
      <c r="L2259" s="134"/>
      <c r="M2259" s="134"/>
    </row>
    <row r="2260" spans="3:13" ht="12.75">
      <c r="C2260" s="134"/>
      <c r="D2260" s="134"/>
      <c r="E2260" s="134"/>
      <c r="F2260" s="134"/>
      <c r="G2260" s="134"/>
      <c r="H2260" s="134"/>
      <c r="I2260" s="134"/>
      <c r="J2260" s="134"/>
      <c r="K2260" s="134"/>
      <c r="L2260" s="134"/>
      <c r="M2260" s="134"/>
    </row>
    <row r="2261" spans="3:13" ht="12.75">
      <c r="C2261" s="134"/>
      <c r="D2261" s="134"/>
      <c r="E2261" s="134"/>
      <c r="F2261" s="134"/>
      <c r="G2261" s="134"/>
      <c r="H2261" s="134"/>
      <c r="I2261" s="134"/>
      <c r="J2261" s="134"/>
      <c r="K2261" s="134"/>
      <c r="L2261" s="134"/>
      <c r="M2261" s="134"/>
    </row>
    <row r="2262" spans="3:13" ht="12.75">
      <c r="C2262" s="134"/>
      <c r="D2262" s="134"/>
      <c r="E2262" s="134"/>
      <c r="F2262" s="134"/>
      <c r="G2262" s="134"/>
      <c r="H2262" s="134"/>
      <c r="I2262" s="134"/>
      <c r="J2262" s="134"/>
      <c r="K2262" s="134"/>
      <c r="L2262" s="134"/>
      <c r="M2262" s="134"/>
    </row>
    <row r="2263" spans="3:13" ht="12.75">
      <c r="C2263" s="134"/>
      <c r="D2263" s="134"/>
      <c r="E2263" s="134"/>
      <c r="F2263" s="134"/>
      <c r="G2263" s="134"/>
      <c r="H2263" s="134"/>
      <c r="I2263" s="134"/>
      <c r="J2263" s="134"/>
      <c r="K2263" s="134"/>
      <c r="L2263" s="134"/>
      <c r="M2263" s="134"/>
    </row>
    <row r="2264" spans="3:13" ht="12.75">
      <c r="C2264" s="134"/>
      <c r="D2264" s="134"/>
      <c r="E2264" s="134"/>
      <c r="F2264" s="134"/>
      <c r="G2264" s="134"/>
      <c r="H2264" s="134"/>
      <c r="I2264" s="134"/>
      <c r="J2264" s="134"/>
      <c r="K2264" s="134"/>
      <c r="L2264" s="134"/>
      <c r="M2264" s="134"/>
    </row>
    <row r="2265" spans="3:13" ht="12.75">
      <c r="C2265" s="134"/>
      <c r="D2265" s="134"/>
      <c r="E2265" s="134"/>
      <c r="F2265" s="134"/>
      <c r="G2265" s="134"/>
      <c r="H2265" s="134"/>
      <c r="I2265" s="134"/>
      <c r="J2265" s="134"/>
      <c r="K2265" s="134"/>
      <c r="L2265" s="134"/>
      <c r="M2265" s="134"/>
    </row>
    <row r="2266" spans="3:13" ht="12.75">
      <c r="C2266" s="134"/>
      <c r="D2266" s="134"/>
      <c r="E2266" s="134"/>
      <c r="F2266" s="134"/>
      <c r="G2266" s="134"/>
      <c r="H2266" s="134"/>
      <c r="I2266" s="134"/>
      <c r="J2266" s="134"/>
      <c r="K2266" s="134"/>
      <c r="L2266" s="134"/>
      <c r="M2266" s="134"/>
    </row>
    <row r="2267" spans="3:13" ht="12.75">
      <c r="C2267" s="134"/>
      <c r="D2267" s="134"/>
      <c r="E2267" s="134"/>
      <c r="F2267" s="134"/>
      <c r="G2267" s="134"/>
      <c r="H2267" s="134"/>
      <c r="I2267" s="134"/>
      <c r="J2267" s="134"/>
      <c r="K2267" s="134"/>
      <c r="L2267" s="134"/>
      <c r="M2267" s="134"/>
    </row>
    <row r="2268" spans="3:13" ht="12.75">
      <c r="C2268" s="134"/>
      <c r="D2268" s="134"/>
      <c r="E2268" s="134"/>
      <c r="F2268" s="134"/>
      <c r="G2268" s="134"/>
      <c r="H2268" s="134"/>
      <c r="I2268" s="134"/>
      <c r="J2268" s="134"/>
      <c r="K2268" s="134"/>
      <c r="L2268" s="134"/>
      <c r="M2268" s="134"/>
    </row>
    <row r="2269" spans="3:13" ht="12.75">
      <c r="C2269" s="134"/>
      <c r="D2269" s="134"/>
      <c r="E2269" s="134"/>
      <c r="F2269" s="134"/>
      <c r="G2269" s="134"/>
      <c r="H2269" s="134"/>
      <c r="I2269" s="134"/>
      <c r="J2269" s="134"/>
      <c r="K2269" s="134"/>
      <c r="L2269" s="134"/>
      <c r="M2269" s="134"/>
    </row>
    <row r="2270" spans="3:13" ht="12.75">
      <c r="C2270" s="134"/>
      <c r="D2270" s="134"/>
      <c r="E2270" s="134"/>
      <c r="F2270" s="134"/>
      <c r="G2270" s="134"/>
      <c r="H2270" s="134"/>
      <c r="I2270" s="134"/>
      <c r="J2270" s="134"/>
      <c r="K2270" s="134"/>
      <c r="L2270" s="134"/>
      <c r="M2270" s="134"/>
    </row>
    <row r="2271" spans="3:13" ht="12.75">
      <c r="C2271" s="134"/>
      <c r="D2271" s="134"/>
      <c r="E2271" s="134"/>
      <c r="F2271" s="134"/>
      <c r="G2271" s="134"/>
      <c r="H2271" s="134"/>
      <c r="I2271" s="134"/>
      <c r="J2271" s="134"/>
      <c r="K2271" s="134"/>
      <c r="L2271" s="134"/>
      <c r="M2271" s="134"/>
    </row>
    <row r="2272" spans="3:13" ht="12.75">
      <c r="C2272" s="134"/>
      <c r="D2272" s="134"/>
      <c r="E2272" s="134"/>
      <c r="F2272" s="134"/>
      <c r="G2272" s="134"/>
      <c r="H2272" s="134"/>
      <c r="I2272" s="134"/>
      <c r="J2272" s="134"/>
      <c r="K2272" s="134"/>
      <c r="L2272" s="134"/>
      <c r="M2272" s="134"/>
    </row>
    <row r="2273" spans="3:13" ht="12.75">
      <c r="C2273" s="134"/>
      <c r="D2273" s="134"/>
      <c r="E2273" s="134"/>
      <c r="F2273" s="134"/>
      <c r="G2273" s="134"/>
      <c r="H2273" s="134"/>
      <c r="I2273" s="134"/>
      <c r="J2273" s="134"/>
      <c r="K2273" s="134"/>
      <c r="L2273" s="134"/>
      <c r="M2273" s="134"/>
    </row>
    <row r="2274" spans="3:13" ht="12.75">
      <c r="C2274" s="134"/>
      <c r="D2274" s="134"/>
      <c r="E2274" s="134"/>
      <c r="F2274" s="134"/>
      <c r="G2274" s="134"/>
      <c r="H2274" s="134"/>
      <c r="I2274" s="134"/>
      <c r="J2274" s="134"/>
      <c r="K2274" s="134"/>
      <c r="L2274" s="134"/>
      <c r="M2274" s="134"/>
    </row>
    <row r="2275" spans="3:13" ht="12.75">
      <c r="C2275" s="134"/>
      <c r="D2275" s="134"/>
      <c r="E2275" s="134"/>
      <c r="F2275" s="134"/>
      <c r="G2275" s="134"/>
      <c r="H2275" s="134"/>
      <c r="I2275" s="134"/>
      <c r="J2275" s="134"/>
      <c r="K2275" s="134"/>
      <c r="L2275" s="134"/>
      <c r="M2275" s="134"/>
    </row>
    <row r="2276" spans="3:13" ht="12.75">
      <c r="C2276" s="134"/>
      <c r="D2276" s="134"/>
      <c r="E2276" s="134"/>
      <c r="F2276" s="134"/>
      <c r="G2276" s="134"/>
      <c r="H2276" s="134"/>
      <c r="I2276" s="134"/>
      <c r="J2276" s="134"/>
      <c r="K2276" s="134"/>
      <c r="L2276" s="134"/>
      <c r="M2276" s="134"/>
    </row>
    <row r="2277" spans="3:13" ht="12.75">
      <c r="C2277" s="134"/>
      <c r="D2277" s="134"/>
      <c r="E2277" s="134"/>
      <c r="F2277" s="134"/>
      <c r="G2277" s="134"/>
      <c r="H2277" s="134"/>
      <c r="I2277" s="134"/>
      <c r="J2277" s="134"/>
      <c r="K2277" s="134"/>
      <c r="L2277" s="134"/>
      <c r="M2277" s="134"/>
    </row>
    <row r="2278" spans="3:13" ht="12.75">
      <c r="C2278" s="134"/>
      <c r="D2278" s="134"/>
      <c r="E2278" s="134"/>
      <c r="F2278" s="134"/>
      <c r="G2278" s="134"/>
      <c r="H2278" s="134"/>
      <c r="I2278" s="134"/>
      <c r="J2278" s="134"/>
      <c r="K2278" s="134"/>
      <c r="L2278" s="134"/>
      <c r="M2278" s="134"/>
    </row>
    <row r="2279" spans="3:13" ht="12.75">
      <c r="C2279" s="134"/>
      <c r="D2279" s="134"/>
      <c r="E2279" s="134"/>
      <c r="F2279" s="134"/>
      <c r="G2279" s="134"/>
      <c r="H2279" s="134"/>
      <c r="I2279" s="134"/>
      <c r="J2279" s="134"/>
      <c r="K2279" s="134"/>
      <c r="L2279" s="134"/>
      <c r="M2279" s="134"/>
    </row>
    <row r="2280" spans="3:13" ht="12.75">
      <c r="C2280" s="134"/>
      <c r="D2280" s="134"/>
      <c r="E2280" s="134"/>
      <c r="F2280" s="134"/>
      <c r="G2280" s="134"/>
      <c r="H2280" s="134"/>
      <c r="I2280" s="134"/>
      <c r="J2280" s="134"/>
      <c r="K2280" s="134"/>
      <c r="L2280" s="134"/>
      <c r="M2280" s="134"/>
    </row>
    <row r="2281" spans="3:13" ht="12.75">
      <c r="C2281" s="134"/>
      <c r="D2281" s="134"/>
      <c r="E2281" s="134"/>
      <c r="F2281" s="134"/>
      <c r="G2281" s="134"/>
      <c r="H2281" s="134"/>
      <c r="I2281" s="134"/>
      <c r="J2281" s="134"/>
      <c r="K2281" s="134"/>
      <c r="L2281" s="134"/>
      <c r="M2281" s="134"/>
    </row>
    <row r="2282" spans="3:13" ht="12.75">
      <c r="C2282" s="134"/>
      <c r="D2282" s="134"/>
      <c r="E2282" s="134"/>
      <c r="F2282" s="134"/>
      <c r="G2282" s="134"/>
      <c r="H2282" s="134"/>
      <c r="I2282" s="134"/>
      <c r="J2282" s="134"/>
      <c r="K2282" s="134"/>
      <c r="L2282" s="134"/>
      <c r="M2282" s="134"/>
    </row>
    <row r="2283" spans="3:13" ht="12.75">
      <c r="C2283" s="134"/>
      <c r="D2283" s="134"/>
      <c r="E2283" s="134"/>
      <c r="F2283" s="134"/>
      <c r="G2283" s="134"/>
      <c r="H2283" s="134"/>
      <c r="I2283" s="134"/>
      <c r="J2283" s="134"/>
      <c r="K2283" s="134"/>
      <c r="L2283" s="134"/>
      <c r="M2283" s="134"/>
    </row>
    <row r="2284" spans="3:13" ht="12.75">
      <c r="C2284" s="134"/>
      <c r="D2284" s="134"/>
      <c r="E2284" s="134"/>
      <c r="F2284" s="134"/>
      <c r="G2284" s="134"/>
      <c r="H2284" s="134"/>
      <c r="I2284" s="134"/>
      <c r="J2284" s="134"/>
      <c r="K2284" s="134"/>
      <c r="L2284" s="134"/>
      <c r="M2284" s="134"/>
    </row>
    <row r="2285" spans="3:13" ht="12.75">
      <c r="C2285" s="134"/>
      <c r="D2285" s="134"/>
      <c r="E2285" s="134"/>
      <c r="F2285" s="134"/>
      <c r="G2285" s="134"/>
      <c r="H2285" s="134"/>
      <c r="I2285" s="134"/>
      <c r="J2285" s="134"/>
      <c r="K2285" s="134"/>
      <c r="L2285" s="134"/>
      <c r="M2285" s="134"/>
    </row>
    <row r="2286" spans="3:13" ht="12.75">
      <c r="C2286" s="134"/>
      <c r="D2286" s="134"/>
      <c r="E2286" s="134"/>
      <c r="F2286" s="134"/>
      <c r="G2286" s="134"/>
      <c r="H2286" s="134"/>
      <c r="I2286" s="134"/>
      <c r="J2286" s="134"/>
      <c r="K2286" s="134"/>
      <c r="L2286" s="134"/>
      <c r="M2286" s="134"/>
    </row>
    <row r="2287" spans="3:13" ht="12.75">
      <c r="C2287" s="134"/>
      <c r="D2287" s="134"/>
      <c r="E2287" s="134"/>
      <c r="F2287" s="134"/>
      <c r="G2287" s="134"/>
      <c r="H2287" s="134"/>
      <c r="I2287" s="134"/>
      <c r="J2287" s="134"/>
      <c r="K2287" s="134"/>
      <c r="L2287" s="134"/>
      <c r="M2287" s="134"/>
    </row>
    <row r="2288" spans="3:13" ht="12.75">
      <c r="C2288" s="134"/>
      <c r="D2288" s="134"/>
      <c r="E2288" s="134"/>
      <c r="F2288" s="134"/>
      <c r="G2288" s="134"/>
      <c r="H2288" s="134"/>
      <c r="I2288" s="134"/>
      <c r="J2288" s="134"/>
      <c r="K2288" s="134"/>
      <c r="L2288" s="134"/>
      <c r="M2288" s="134"/>
    </row>
    <row r="2289" spans="3:13" ht="12.75">
      <c r="C2289" s="134"/>
      <c r="D2289" s="134"/>
      <c r="E2289" s="134"/>
      <c r="F2289" s="134"/>
      <c r="G2289" s="134"/>
      <c r="H2289" s="134"/>
      <c r="I2289" s="134"/>
      <c r="J2289" s="134"/>
      <c r="K2289" s="134"/>
      <c r="L2289" s="134"/>
      <c r="M2289" s="134"/>
    </row>
    <row r="2290" spans="3:13" ht="12.75">
      <c r="C2290" s="134"/>
      <c r="D2290" s="134"/>
      <c r="E2290" s="134"/>
      <c r="F2290" s="134"/>
      <c r="G2290" s="134"/>
      <c r="H2290" s="134"/>
      <c r="I2290" s="134"/>
      <c r="J2290" s="134"/>
      <c r="K2290" s="134"/>
      <c r="L2290" s="134"/>
      <c r="M2290" s="134"/>
    </row>
    <row r="2291" spans="3:13" ht="12.75">
      <c r="C2291" s="134"/>
      <c r="D2291" s="134"/>
      <c r="E2291" s="134"/>
      <c r="F2291" s="134"/>
      <c r="G2291" s="134"/>
      <c r="H2291" s="134"/>
      <c r="I2291" s="134"/>
      <c r="J2291" s="134"/>
      <c r="K2291" s="134"/>
      <c r="L2291" s="134"/>
      <c r="M2291" s="134"/>
    </row>
    <row r="2292" spans="3:13" ht="12.75">
      <c r="C2292" s="134"/>
      <c r="D2292" s="134"/>
      <c r="E2292" s="134"/>
      <c r="F2292" s="134"/>
      <c r="G2292" s="134"/>
      <c r="H2292" s="134"/>
      <c r="I2292" s="134"/>
      <c r="J2292" s="134"/>
      <c r="K2292" s="134"/>
      <c r="L2292" s="134"/>
      <c r="M2292" s="134"/>
    </row>
    <row r="2293" spans="3:13" ht="12.75">
      <c r="C2293" s="134"/>
      <c r="D2293" s="134"/>
      <c r="E2293" s="134"/>
      <c r="F2293" s="134"/>
      <c r="G2293" s="134"/>
      <c r="H2293" s="134"/>
      <c r="I2293" s="134"/>
      <c r="J2293" s="134"/>
      <c r="K2293" s="134"/>
      <c r="L2293" s="134"/>
      <c r="M2293" s="134"/>
    </row>
    <row r="2294" spans="3:13" ht="12.75">
      <c r="C2294" s="134"/>
      <c r="D2294" s="134"/>
      <c r="E2294" s="134"/>
      <c r="F2294" s="134"/>
      <c r="G2294" s="134"/>
      <c r="H2294" s="134"/>
      <c r="I2294" s="134"/>
      <c r="J2294" s="134"/>
      <c r="K2294" s="134"/>
      <c r="L2294" s="134"/>
      <c r="M2294" s="134"/>
    </row>
    <row r="2295" spans="3:13" ht="12.75">
      <c r="C2295" s="134"/>
      <c r="D2295" s="134"/>
      <c r="E2295" s="134"/>
      <c r="F2295" s="134"/>
      <c r="G2295" s="134"/>
      <c r="H2295" s="134"/>
      <c r="I2295" s="134"/>
      <c r="J2295" s="134"/>
      <c r="K2295" s="134"/>
      <c r="L2295" s="134"/>
      <c r="M2295" s="134"/>
    </row>
    <row r="2296" spans="3:13" ht="12.75">
      <c r="C2296" s="134"/>
      <c r="D2296" s="134"/>
      <c r="E2296" s="134"/>
      <c r="F2296" s="134"/>
      <c r="G2296" s="134"/>
      <c r="H2296" s="134"/>
      <c r="I2296" s="134"/>
      <c r="J2296" s="134"/>
      <c r="K2296" s="134"/>
      <c r="L2296" s="134"/>
      <c r="M2296" s="134"/>
    </row>
    <row r="2297" spans="3:13" ht="12.75">
      <c r="C2297" s="134"/>
      <c r="D2297" s="134"/>
      <c r="E2297" s="134"/>
      <c r="F2297" s="134"/>
      <c r="G2297" s="134"/>
      <c r="H2297" s="134"/>
      <c r="I2297" s="134"/>
      <c r="J2297" s="134"/>
      <c r="K2297" s="134"/>
      <c r="L2297" s="134"/>
      <c r="M2297" s="134"/>
    </row>
    <row r="2298" spans="3:13" ht="12.75">
      <c r="C2298" s="134"/>
      <c r="D2298" s="134"/>
      <c r="E2298" s="134"/>
      <c r="F2298" s="134"/>
      <c r="G2298" s="134"/>
      <c r="H2298" s="134"/>
      <c r="I2298" s="134"/>
      <c r="J2298" s="134"/>
      <c r="K2298" s="134"/>
      <c r="L2298" s="134"/>
      <c r="M2298" s="134"/>
    </row>
    <row r="2299" spans="3:13" ht="12.75">
      <c r="C2299" s="134"/>
      <c r="D2299" s="134"/>
      <c r="E2299" s="134"/>
      <c r="F2299" s="134"/>
      <c r="G2299" s="134"/>
      <c r="H2299" s="134"/>
      <c r="I2299" s="134"/>
      <c r="J2299" s="134"/>
      <c r="K2299" s="134"/>
      <c r="L2299" s="134"/>
      <c r="M2299" s="134"/>
    </row>
    <row r="2300" spans="3:13" ht="12.75">
      <c r="C2300" s="134"/>
      <c r="D2300" s="134"/>
      <c r="E2300" s="134"/>
      <c r="F2300" s="134"/>
      <c r="G2300" s="134"/>
      <c r="H2300" s="134"/>
      <c r="I2300" s="134"/>
      <c r="J2300" s="134"/>
      <c r="K2300" s="134"/>
      <c r="L2300" s="134"/>
      <c r="M2300" s="134"/>
    </row>
    <row r="2301" spans="3:13" ht="12.75">
      <c r="C2301" s="134"/>
      <c r="D2301" s="134"/>
      <c r="E2301" s="134"/>
      <c r="F2301" s="134"/>
      <c r="G2301" s="134"/>
      <c r="H2301" s="134"/>
      <c r="I2301" s="134"/>
      <c r="J2301" s="134"/>
      <c r="K2301" s="134"/>
      <c r="L2301" s="134"/>
      <c r="M2301" s="134"/>
    </row>
    <row r="2302" spans="3:13" ht="12.75">
      <c r="C2302" s="134"/>
      <c r="D2302" s="134"/>
      <c r="E2302" s="134"/>
      <c r="F2302" s="134"/>
      <c r="G2302" s="134"/>
      <c r="H2302" s="134"/>
      <c r="I2302" s="134"/>
      <c r="J2302" s="134"/>
      <c r="K2302" s="134"/>
      <c r="L2302" s="134"/>
      <c r="M2302" s="134"/>
    </row>
    <row r="2303" spans="3:13" ht="12.75">
      <c r="C2303" s="134"/>
      <c r="D2303" s="134"/>
      <c r="E2303" s="134"/>
      <c r="F2303" s="134"/>
      <c r="G2303" s="134"/>
      <c r="H2303" s="134"/>
      <c r="I2303" s="134"/>
      <c r="J2303" s="134"/>
      <c r="K2303" s="134"/>
      <c r="L2303" s="134"/>
      <c r="M2303" s="134"/>
    </row>
    <row r="2304" spans="3:13" ht="12.75">
      <c r="C2304" s="134"/>
      <c r="D2304" s="134"/>
      <c r="E2304" s="134"/>
      <c r="F2304" s="134"/>
      <c r="G2304" s="134"/>
      <c r="H2304" s="134"/>
      <c r="I2304" s="134"/>
      <c r="J2304" s="134"/>
      <c r="K2304" s="134"/>
      <c r="L2304" s="134"/>
      <c r="M2304" s="134"/>
    </row>
    <row r="2305" spans="3:13" ht="12.75">
      <c r="C2305" s="134"/>
      <c r="D2305" s="134"/>
      <c r="E2305" s="134"/>
      <c r="F2305" s="134"/>
      <c r="G2305" s="134"/>
      <c r="H2305" s="134"/>
      <c r="I2305" s="134"/>
      <c r="J2305" s="134"/>
      <c r="K2305" s="134"/>
      <c r="L2305" s="134"/>
      <c r="M2305" s="134"/>
    </row>
    <row r="2306" spans="3:13" ht="12.75">
      <c r="C2306" s="134"/>
      <c r="D2306" s="134"/>
      <c r="E2306" s="134"/>
      <c r="F2306" s="134"/>
      <c r="G2306" s="134"/>
      <c r="H2306" s="134"/>
      <c r="I2306" s="134"/>
      <c r="J2306" s="134"/>
      <c r="K2306" s="134"/>
      <c r="L2306" s="134"/>
      <c r="M2306" s="134"/>
    </row>
    <row r="2307" spans="3:13" ht="12.75">
      <c r="C2307" s="134"/>
      <c r="D2307" s="134"/>
      <c r="E2307" s="134"/>
      <c r="F2307" s="134"/>
      <c r="G2307" s="134"/>
      <c r="H2307" s="134"/>
      <c r="I2307" s="134"/>
      <c r="J2307" s="134"/>
      <c r="K2307" s="134"/>
      <c r="L2307" s="134"/>
      <c r="M2307" s="134"/>
    </row>
    <row r="2308" spans="3:13" ht="12.75">
      <c r="C2308" s="134"/>
      <c r="D2308" s="134"/>
      <c r="E2308" s="134"/>
      <c r="F2308" s="134"/>
      <c r="G2308" s="134"/>
      <c r="H2308" s="134"/>
      <c r="I2308" s="134"/>
      <c r="J2308" s="134"/>
      <c r="K2308" s="134"/>
      <c r="L2308" s="134"/>
      <c r="M2308" s="134"/>
    </row>
    <row r="2309" spans="3:13" ht="12.75">
      <c r="C2309" s="134"/>
      <c r="D2309" s="134"/>
      <c r="E2309" s="134"/>
      <c r="F2309" s="134"/>
      <c r="G2309" s="134"/>
      <c r="H2309" s="134"/>
      <c r="I2309" s="134"/>
      <c r="J2309" s="134"/>
      <c r="K2309" s="134"/>
      <c r="L2309" s="134"/>
      <c r="M2309" s="134"/>
    </row>
    <row r="2310" spans="3:13" ht="12.75">
      <c r="C2310" s="134"/>
      <c r="D2310" s="134"/>
      <c r="E2310" s="134"/>
      <c r="F2310" s="134"/>
      <c r="G2310" s="134"/>
      <c r="H2310" s="134"/>
      <c r="I2310" s="134"/>
      <c r="J2310" s="134"/>
      <c r="K2310" s="134"/>
      <c r="L2310" s="134"/>
      <c r="M2310" s="134"/>
    </row>
    <row r="2311" spans="3:13" ht="12.75">
      <c r="C2311" s="134"/>
      <c r="D2311" s="134"/>
      <c r="E2311" s="134"/>
      <c r="F2311" s="134"/>
      <c r="G2311" s="134"/>
      <c r="H2311" s="134"/>
      <c r="I2311" s="134"/>
      <c r="J2311" s="134"/>
      <c r="K2311" s="134"/>
      <c r="L2311" s="134"/>
      <c r="M2311" s="134"/>
    </row>
    <row r="2312" spans="3:13" ht="12.75">
      <c r="C2312" s="134"/>
      <c r="D2312" s="134"/>
      <c r="E2312" s="134"/>
      <c r="F2312" s="134"/>
      <c r="G2312" s="134"/>
      <c r="H2312" s="134"/>
      <c r="I2312" s="134"/>
      <c r="J2312" s="134"/>
      <c r="K2312" s="134"/>
      <c r="L2312" s="134"/>
      <c r="M2312" s="134"/>
    </row>
    <row r="2313" spans="3:13" ht="12.75">
      <c r="C2313" s="134"/>
      <c r="D2313" s="134"/>
      <c r="E2313" s="134"/>
      <c r="F2313" s="134"/>
      <c r="G2313" s="134"/>
      <c r="H2313" s="134"/>
      <c r="I2313" s="134"/>
      <c r="J2313" s="134"/>
      <c r="K2313" s="134"/>
      <c r="L2313" s="134"/>
      <c r="M2313" s="134"/>
    </row>
    <row r="2314" spans="3:13" ht="12.75">
      <c r="C2314" s="134"/>
      <c r="D2314" s="134"/>
      <c r="E2314" s="134"/>
      <c r="F2314" s="134"/>
      <c r="G2314" s="134"/>
      <c r="H2314" s="134"/>
      <c r="I2314" s="134"/>
      <c r="J2314" s="134"/>
      <c r="K2314" s="134"/>
      <c r="L2314" s="134"/>
      <c r="M2314" s="134"/>
    </row>
    <row r="2315" spans="3:13" ht="12.75">
      <c r="C2315" s="134"/>
      <c r="D2315" s="134"/>
      <c r="E2315" s="134"/>
      <c r="F2315" s="134"/>
      <c r="G2315" s="134"/>
      <c r="H2315" s="134"/>
      <c r="I2315" s="134"/>
      <c r="J2315" s="134"/>
      <c r="K2315" s="134"/>
      <c r="L2315" s="134"/>
      <c r="M2315" s="134"/>
    </row>
    <row r="2316" spans="3:13" ht="12.75">
      <c r="C2316" s="134"/>
      <c r="D2316" s="134"/>
      <c r="E2316" s="134"/>
      <c r="F2316" s="134"/>
      <c r="G2316" s="134"/>
      <c r="H2316" s="134"/>
      <c r="I2316" s="134"/>
      <c r="J2316" s="134"/>
      <c r="K2316" s="134"/>
      <c r="L2316" s="134"/>
      <c r="M2316" s="134"/>
    </row>
    <row r="2317" spans="3:13" ht="12.75">
      <c r="C2317" s="134"/>
      <c r="D2317" s="134"/>
      <c r="E2317" s="134"/>
      <c r="F2317" s="134"/>
      <c r="G2317" s="134"/>
      <c r="H2317" s="134"/>
      <c r="I2317" s="134"/>
      <c r="J2317" s="134"/>
      <c r="K2317" s="134"/>
      <c r="L2317" s="134"/>
      <c r="M2317" s="134"/>
    </row>
    <row r="2318" spans="3:13" ht="12.75">
      <c r="C2318" s="134"/>
      <c r="D2318" s="134"/>
      <c r="E2318" s="134"/>
      <c r="F2318" s="134"/>
      <c r="G2318" s="134"/>
      <c r="H2318" s="134"/>
      <c r="I2318" s="134"/>
      <c r="J2318" s="134"/>
      <c r="K2318" s="134"/>
      <c r="L2318" s="134"/>
      <c r="M2318" s="134"/>
    </row>
    <row r="2319" spans="3:13" ht="12.75">
      <c r="C2319" s="134"/>
      <c r="D2319" s="134"/>
      <c r="E2319" s="134"/>
      <c r="F2319" s="134"/>
      <c r="G2319" s="134"/>
      <c r="H2319" s="134"/>
      <c r="I2319" s="134"/>
      <c r="J2319" s="134"/>
      <c r="K2319" s="134"/>
      <c r="L2319" s="134"/>
      <c r="M2319" s="134"/>
    </row>
    <row r="2320" spans="3:13" ht="12.75">
      <c r="C2320" s="134"/>
      <c r="D2320" s="134"/>
      <c r="E2320" s="134"/>
      <c r="F2320" s="134"/>
      <c r="G2320" s="134"/>
      <c r="H2320" s="134"/>
      <c r="I2320" s="134"/>
      <c r="J2320" s="134"/>
      <c r="K2320" s="134"/>
      <c r="L2320" s="134"/>
      <c r="M2320" s="134"/>
    </row>
    <row r="2321" spans="3:13" ht="12.75">
      <c r="C2321" s="134"/>
      <c r="D2321" s="134"/>
      <c r="E2321" s="134"/>
      <c r="F2321" s="134"/>
      <c r="G2321" s="134"/>
      <c r="H2321" s="134"/>
      <c r="I2321" s="134"/>
      <c r="J2321" s="134"/>
      <c r="K2321" s="134"/>
      <c r="L2321" s="134"/>
      <c r="M2321" s="134"/>
    </row>
    <row r="2322" spans="3:13" ht="12.75">
      <c r="C2322" s="134"/>
      <c r="D2322" s="134"/>
      <c r="E2322" s="134"/>
      <c r="F2322" s="134"/>
      <c r="G2322" s="134"/>
      <c r="H2322" s="134"/>
      <c r="I2322" s="134"/>
      <c r="J2322" s="134"/>
      <c r="K2322" s="134"/>
      <c r="L2322" s="134"/>
      <c r="M2322" s="134"/>
    </row>
    <row r="2323" spans="3:13" ht="12.75">
      <c r="C2323" s="134"/>
      <c r="D2323" s="134"/>
      <c r="E2323" s="134"/>
      <c r="F2323" s="134"/>
      <c r="G2323" s="134"/>
      <c r="H2323" s="134"/>
      <c r="I2323" s="134"/>
      <c r="J2323" s="134"/>
      <c r="K2323" s="134"/>
      <c r="L2323" s="134"/>
      <c r="M2323" s="134"/>
    </row>
    <row r="2324" spans="3:13" ht="12.75">
      <c r="C2324" s="134"/>
      <c r="D2324" s="134"/>
      <c r="E2324" s="134"/>
      <c r="F2324" s="134"/>
      <c r="G2324" s="134"/>
      <c r="H2324" s="134"/>
      <c r="I2324" s="134"/>
      <c r="J2324" s="134"/>
      <c r="K2324" s="134"/>
      <c r="L2324" s="134"/>
      <c r="M2324" s="134"/>
    </row>
    <row r="2325" spans="3:13" ht="12.75">
      <c r="C2325" s="134"/>
      <c r="D2325" s="134"/>
      <c r="E2325" s="134"/>
      <c r="F2325" s="134"/>
      <c r="G2325" s="134"/>
      <c r="H2325" s="134"/>
      <c r="I2325" s="134"/>
      <c r="J2325" s="134"/>
      <c r="K2325" s="134"/>
      <c r="L2325" s="134"/>
      <c r="M2325" s="134"/>
    </row>
    <row r="2326" spans="3:13" ht="12.75">
      <c r="C2326" s="134"/>
      <c r="D2326" s="134"/>
      <c r="E2326" s="134"/>
      <c r="F2326" s="134"/>
      <c r="G2326" s="134"/>
      <c r="H2326" s="134"/>
      <c r="I2326" s="134"/>
      <c r="J2326" s="134"/>
      <c r="K2326" s="134"/>
      <c r="L2326" s="134"/>
      <c r="M2326" s="134"/>
    </row>
    <row r="2327" spans="3:13" ht="12.75">
      <c r="C2327" s="134"/>
      <c r="D2327" s="134"/>
      <c r="E2327" s="134"/>
      <c r="F2327" s="134"/>
      <c r="G2327" s="134"/>
      <c r="H2327" s="134"/>
      <c r="I2327" s="134"/>
      <c r="J2327" s="134"/>
      <c r="K2327" s="134"/>
      <c r="L2327" s="134"/>
      <c r="M2327" s="134"/>
    </row>
    <row r="2328" spans="3:13" ht="12.75">
      <c r="C2328" s="134"/>
      <c r="D2328" s="134"/>
      <c r="E2328" s="134"/>
      <c r="F2328" s="134"/>
      <c r="G2328" s="134"/>
      <c r="H2328" s="134"/>
      <c r="I2328" s="134"/>
      <c r="J2328" s="134"/>
      <c r="K2328" s="134"/>
      <c r="L2328" s="134"/>
      <c r="M2328" s="134"/>
    </row>
    <row r="2329" spans="3:13" ht="12.75">
      <c r="C2329" s="134"/>
      <c r="D2329" s="134"/>
      <c r="E2329" s="134"/>
      <c r="F2329" s="134"/>
      <c r="G2329" s="134"/>
      <c r="H2329" s="134"/>
      <c r="I2329" s="134"/>
      <c r="J2329" s="134"/>
      <c r="K2329" s="134"/>
      <c r="L2329" s="134"/>
      <c r="M2329" s="134"/>
    </row>
    <row r="2330" spans="3:13" ht="12.75">
      <c r="C2330" s="134"/>
      <c r="D2330" s="134"/>
      <c r="E2330" s="134"/>
      <c r="F2330" s="134"/>
      <c r="G2330" s="134"/>
      <c r="H2330" s="134"/>
      <c r="I2330" s="134"/>
      <c r="J2330" s="134"/>
      <c r="K2330" s="134"/>
      <c r="L2330" s="134"/>
      <c r="M2330" s="134"/>
    </row>
    <row r="2331" spans="3:13" ht="12.75">
      <c r="C2331" s="134"/>
      <c r="D2331" s="134"/>
      <c r="E2331" s="134"/>
      <c r="F2331" s="134"/>
      <c r="G2331" s="134"/>
      <c r="H2331" s="134"/>
      <c r="I2331" s="134"/>
      <c r="J2331" s="134"/>
      <c r="K2331" s="134"/>
      <c r="L2331" s="134"/>
      <c r="M2331" s="134"/>
    </row>
    <row r="2332" spans="3:13" ht="12.75">
      <c r="C2332" s="134"/>
      <c r="D2332" s="134"/>
      <c r="E2332" s="134"/>
      <c r="F2332" s="134"/>
      <c r="G2332" s="134"/>
      <c r="H2332" s="134"/>
      <c r="I2332" s="134"/>
      <c r="J2332" s="134"/>
      <c r="K2332" s="134"/>
      <c r="L2332" s="134"/>
      <c r="M2332" s="134"/>
    </row>
    <row r="2333" spans="3:13" ht="12.75">
      <c r="C2333" s="134"/>
      <c r="D2333" s="134"/>
      <c r="E2333" s="134"/>
      <c r="F2333" s="134"/>
      <c r="G2333" s="134"/>
      <c r="H2333" s="134"/>
      <c r="I2333" s="134"/>
      <c r="J2333" s="134"/>
      <c r="K2333" s="134"/>
      <c r="L2333" s="134"/>
      <c r="M2333" s="134"/>
    </row>
    <row r="2334" spans="3:13" ht="12.75">
      <c r="C2334" s="134"/>
      <c r="D2334" s="134"/>
      <c r="E2334" s="134"/>
      <c r="F2334" s="134"/>
      <c r="G2334" s="134"/>
      <c r="H2334" s="134"/>
      <c r="I2334" s="134"/>
      <c r="J2334" s="134"/>
      <c r="K2334" s="134"/>
      <c r="L2334" s="134"/>
      <c r="M2334" s="134"/>
    </row>
    <row r="2335" spans="3:13" ht="12.75">
      <c r="C2335" s="134"/>
      <c r="D2335" s="134"/>
      <c r="E2335" s="134"/>
      <c r="F2335" s="134"/>
      <c r="G2335" s="134"/>
      <c r="H2335" s="134"/>
      <c r="I2335" s="134"/>
      <c r="J2335" s="134"/>
      <c r="K2335" s="134"/>
      <c r="L2335" s="134"/>
      <c r="M2335" s="134"/>
    </row>
    <row r="2336" spans="3:13" ht="12.75">
      <c r="C2336" s="134"/>
      <c r="D2336" s="134"/>
      <c r="E2336" s="134"/>
      <c r="F2336" s="134"/>
      <c r="G2336" s="134"/>
      <c r="H2336" s="134"/>
      <c r="I2336" s="134"/>
      <c r="J2336" s="134"/>
      <c r="K2336" s="134"/>
      <c r="L2336" s="134"/>
      <c r="M2336" s="134"/>
    </row>
    <row r="2337" spans="3:13" ht="12.75">
      <c r="C2337" s="134"/>
      <c r="D2337" s="134"/>
      <c r="E2337" s="134"/>
      <c r="F2337" s="134"/>
      <c r="G2337" s="134"/>
      <c r="H2337" s="134"/>
      <c r="I2337" s="134"/>
      <c r="J2337" s="134"/>
      <c r="K2337" s="134"/>
      <c r="L2337" s="134"/>
      <c r="M2337" s="134"/>
    </row>
    <row r="2338" spans="3:13" ht="12.75">
      <c r="C2338" s="134"/>
      <c r="D2338" s="134"/>
      <c r="E2338" s="134"/>
      <c r="F2338" s="134"/>
      <c r="G2338" s="134"/>
      <c r="H2338" s="134"/>
      <c r="I2338" s="134"/>
      <c r="J2338" s="134"/>
      <c r="K2338" s="134"/>
      <c r="L2338" s="134"/>
      <c r="M2338" s="134"/>
    </row>
    <row r="2339" spans="3:13" ht="12.75">
      <c r="C2339" s="134"/>
      <c r="D2339" s="134"/>
      <c r="E2339" s="134"/>
      <c r="F2339" s="134"/>
      <c r="G2339" s="134"/>
      <c r="H2339" s="134"/>
      <c r="I2339" s="134"/>
      <c r="J2339" s="134"/>
      <c r="K2339" s="134"/>
      <c r="L2339" s="134"/>
      <c r="M2339" s="134"/>
    </row>
    <row r="2340" spans="3:13" ht="12.75">
      <c r="C2340" s="134"/>
      <c r="D2340" s="134"/>
      <c r="E2340" s="134"/>
      <c r="F2340" s="134"/>
      <c r="G2340" s="134"/>
      <c r="H2340" s="134"/>
      <c r="I2340" s="134"/>
      <c r="J2340" s="134"/>
      <c r="K2340" s="134"/>
      <c r="L2340" s="134"/>
      <c r="M2340" s="134"/>
    </row>
    <row r="2341" spans="3:13" ht="12.75">
      <c r="C2341" s="134"/>
      <c r="D2341" s="134"/>
      <c r="E2341" s="134"/>
      <c r="F2341" s="134"/>
      <c r="G2341" s="134"/>
      <c r="H2341" s="134"/>
      <c r="I2341" s="134"/>
      <c r="J2341" s="134"/>
      <c r="K2341" s="134"/>
      <c r="L2341" s="134"/>
      <c r="M2341" s="134"/>
    </row>
    <row r="2342" spans="3:13" ht="12.75">
      <c r="C2342" s="134"/>
      <c r="D2342" s="134"/>
      <c r="E2342" s="134"/>
      <c r="F2342" s="134"/>
      <c r="G2342" s="134"/>
      <c r="H2342" s="134"/>
      <c r="I2342" s="134"/>
      <c r="J2342" s="134"/>
      <c r="K2342" s="134"/>
      <c r="L2342" s="134"/>
      <c r="M2342" s="134"/>
    </row>
    <row r="2343" spans="3:13" ht="12.75">
      <c r="C2343" s="134"/>
      <c r="D2343" s="134"/>
      <c r="E2343" s="134"/>
      <c r="F2343" s="134"/>
      <c r="G2343" s="134"/>
      <c r="H2343" s="134"/>
      <c r="I2343" s="134"/>
      <c r="J2343" s="134"/>
      <c r="K2343" s="134"/>
      <c r="L2343" s="134"/>
      <c r="M2343" s="134"/>
    </row>
    <row r="2344" spans="3:13" ht="12.75">
      <c r="C2344" s="134"/>
      <c r="D2344" s="134"/>
      <c r="E2344" s="134"/>
      <c r="F2344" s="134"/>
      <c r="G2344" s="134"/>
      <c r="H2344" s="134"/>
      <c r="I2344" s="134"/>
      <c r="J2344" s="134"/>
      <c r="K2344" s="134"/>
      <c r="L2344" s="134"/>
      <c r="M2344" s="134"/>
    </row>
    <row r="2345" spans="3:13" ht="12.75">
      <c r="C2345" s="134"/>
      <c r="D2345" s="134"/>
      <c r="E2345" s="134"/>
      <c r="F2345" s="134"/>
      <c r="G2345" s="134"/>
      <c r="H2345" s="134"/>
      <c r="I2345" s="134"/>
      <c r="J2345" s="134"/>
      <c r="K2345" s="134"/>
      <c r="L2345" s="134"/>
      <c r="M2345" s="134"/>
    </row>
    <row r="2346" spans="3:13" ht="12.75">
      <c r="C2346" s="134"/>
      <c r="D2346" s="134"/>
      <c r="E2346" s="134"/>
      <c r="F2346" s="134"/>
      <c r="G2346" s="134"/>
      <c r="H2346" s="134"/>
      <c r="I2346" s="134"/>
      <c r="J2346" s="134"/>
      <c r="K2346" s="134"/>
      <c r="L2346" s="134"/>
      <c r="M2346" s="134"/>
    </row>
    <row r="2347" spans="3:13" ht="12.75">
      <c r="C2347" s="134"/>
      <c r="D2347" s="134"/>
      <c r="E2347" s="134"/>
      <c r="F2347" s="134"/>
      <c r="G2347" s="134"/>
      <c r="H2347" s="134"/>
      <c r="I2347" s="134"/>
      <c r="J2347" s="134"/>
      <c r="K2347" s="134"/>
      <c r="L2347" s="134"/>
      <c r="M2347" s="134"/>
    </row>
    <row r="2348" spans="3:13" ht="12.75">
      <c r="C2348" s="134"/>
      <c r="D2348" s="134"/>
      <c r="E2348" s="134"/>
      <c r="F2348" s="134"/>
      <c r="G2348" s="134"/>
      <c r="H2348" s="134"/>
      <c r="I2348" s="134"/>
      <c r="J2348" s="134"/>
      <c r="K2348" s="134"/>
      <c r="L2348" s="134"/>
      <c r="M2348" s="134"/>
    </row>
    <row r="2349" spans="3:13" ht="12.75">
      <c r="C2349" s="134"/>
      <c r="D2349" s="134"/>
      <c r="E2349" s="134"/>
      <c r="F2349" s="134"/>
      <c r="G2349" s="134"/>
      <c r="H2349" s="134"/>
      <c r="I2349" s="134"/>
      <c r="J2349" s="134"/>
      <c r="K2349" s="134"/>
      <c r="L2349" s="134"/>
      <c r="M2349" s="134"/>
    </row>
    <row r="2350" spans="3:13" ht="12.75">
      <c r="C2350" s="134"/>
      <c r="D2350" s="134"/>
      <c r="E2350" s="134"/>
      <c r="F2350" s="134"/>
      <c r="G2350" s="134"/>
      <c r="H2350" s="134"/>
      <c r="I2350" s="134"/>
      <c r="J2350" s="134"/>
      <c r="K2350" s="134"/>
      <c r="L2350" s="134"/>
      <c r="M2350" s="134"/>
    </row>
    <row r="2351" spans="3:13" ht="12.75">
      <c r="C2351" s="134"/>
      <c r="D2351" s="134"/>
      <c r="E2351" s="134"/>
      <c r="F2351" s="134"/>
      <c r="G2351" s="134"/>
      <c r="H2351" s="134"/>
      <c r="I2351" s="134"/>
      <c r="J2351" s="134"/>
      <c r="K2351" s="134"/>
      <c r="L2351" s="134"/>
      <c r="M2351" s="134"/>
    </row>
    <row r="2352" spans="3:13" ht="12.75">
      <c r="C2352" s="134"/>
      <c r="D2352" s="134"/>
      <c r="E2352" s="134"/>
      <c r="F2352" s="134"/>
      <c r="G2352" s="134"/>
      <c r="H2352" s="134"/>
      <c r="I2352" s="134"/>
      <c r="J2352" s="134"/>
      <c r="K2352" s="134"/>
      <c r="L2352" s="134"/>
      <c r="M2352" s="134"/>
    </row>
    <row r="2353" spans="3:13" ht="12.75">
      <c r="C2353" s="134"/>
      <c r="D2353" s="134"/>
      <c r="E2353" s="134"/>
      <c r="F2353" s="134"/>
      <c r="G2353" s="134"/>
      <c r="H2353" s="134"/>
      <c r="I2353" s="134"/>
      <c r="J2353" s="134"/>
      <c r="K2353" s="134"/>
      <c r="L2353" s="134"/>
      <c r="M2353" s="134"/>
    </row>
    <row r="2354" spans="3:13" ht="12.75">
      <c r="C2354" s="134"/>
      <c r="D2354" s="134"/>
      <c r="E2354" s="134"/>
      <c r="F2354" s="134"/>
      <c r="G2354" s="134"/>
      <c r="H2354" s="134"/>
      <c r="I2354" s="134"/>
      <c r="J2354" s="134"/>
      <c r="K2354" s="134"/>
      <c r="L2354" s="134"/>
      <c r="M2354" s="134"/>
    </row>
    <row r="2355" spans="3:13" ht="12.75">
      <c r="C2355" s="134"/>
      <c r="D2355" s="134"/>
      <c r="E2355" s="134"/>
      <c r="F2355" s="134"/>
      <c r="G2355" s="134"/>
      <c r="H2355" s="134"/>
      <c r="I2355" s="134"/>
      <c r="J2355" s="134"/>
      <c r="K2355" s="134"/>
      <c r="L2355" s="134"/>
      <c r="M2355" s="134"/>
    </row>
    <row r="2356" spans="3:13" ht="12.75">
      <c r="C2356" s="134"/>
      <c r="D2356" s="134"/>
      <c r="E2356" s="134"/>
      <c r="F2356" s="134"/>
      <c r="G2356" s="134"/>
      <c r="H2356" s="134"/>
      <c r="I2356" s="134"/>
      <c r="J2356" s="134"/>
      <c r="K2356" s="134"/>
      <c r="L2356" s="134"/>
      <c r="M2356" s="134"/>
    </row>
    <row r="2357" spans="3:13" ht="12.75">
      <c r="C2357" s="134"/>
      <c r="D2357" s="134"/>
      <c r="E2357" s="134"/>
      <c r="F2357" s="134"/>
      <c r="G2357" s="134"/>
      <c r="H2357" s="134"/>
      <c r="I2357" s="134"/>
      <c r="J2357" s="134"/>
      <c r="K2357" s="134"/>
      <c r="L2357" s="134"/>
      <c r="M2357" s="134"/>
    </row>
    <row r="2358" spans="3:13" ht="12.75">
      <c r="C2358" s="134"/>
      <c r="D2358" s="134"/>
      <c r="E2358" s="134"/>
      <c r="F2358" s="134"/>
      <c r="G2358" s="134"/>
      <c r="H2358" s="134"/>
      <c r="I2358" s="134"/>
      <c r="J2358" s="134"/>
      <c r="K2358" s="134"/>
      <c r="L2358" s="134"/>
      <c r="M2358" s="134"/>
    </row>
    <row r="2359" spans="3:13" ht="12.75">
      <c r="C2359" s="134"/>
      <c r="D2359" s="134"/>
      <c r="E2359" s="134"/>
      <c r="F2359" s="134"/>
      <c r="G2359" s="134"/>
      <c r="H2359" s="134"/>
      <c r="I2359" s="134"/>
      <c r="J2359" s="134"/>
      <c r="K2359" s="134"/>
      <c r="L2359" s="134"/>
      <c r="M2359" s="134"/>
    </row>
    <row r="2360" spans="3:13" ht="12.75">
      <c r="C2360" s="134"/>
      <c r="D2360" s="134"/>
      <c r="E2360" s="134"/>
      <c r="F2360" s="134"/>
      <c r="G2360" s="134"/>
      <c r="H2360" s="134"/>
      <c r="I2360" s="134"/>
      <c r="J2360" s="134"/>
      <c r="K2360" s="134"/>
      <c r="L2360" s="134"/>
      <c r="M2360" s="134"/>
    </row>
    <row r="2361" spans="3:13" ht="12.75">
      <c r="C2361" s="134"/>
      <c r="D2361" s="134"/>
      <c r="E2361" s="134"/>
      <c r="F2361" s="134"/>
      <c r="G2361" s="134"/>
      <c r="H2361" s="134"/>
      <c r="I2361" s="134"/>
      <c r="J2361" s="134"/>
      <c r="K2361" s="134"/>
      <c r="L2361" s="134"/>
      <c r="M2361" s="134"/>
    </row>
    <row r="2362" spans="3:13" ht="12.75">
      <c r="C2362" s="134"/>
      <c r="D2362" s="134"/>
      <c r="E2362" s="134"/>
      <c r="F2362" s="134"/>
      <c r="G2362" s="134"/>
      <c r="H2362" s="134"/>
      <c r="I2362" s="134"/>
      <c r="J2362" s="134"/>
      <c r="K2362" s="134"/>
      <c r="L2362" s="134"/>
      <c r="M2362" s="134"/>
    </row>
    <row r="2363" spans="3:13" ht="12.75">
      <c r="C2363" s="134"/>
      <c r="D2363" s="134"/>
      <c r="E2363" s="134"/>
      <c r="F2363" s="134"/>
      <c r="G2363" s="134"/>
      <c r="H2363" s="134"/>
      <c r="I2363" s="134"/>
      <c r="J2363" s="134"/>
      <c r="K2363" s="134"/>
      <c r="L2363" s="134"/>
      <c r="M2363" s="134"/>
    </row>
    <row r="2364" spans="3:13" ht="12.75">
      <c r="C2364" s="134"/>
      <c r="D2364" s="134"/>
      <c r="E2364" s="134"/>
      <c r="F2364" s="134"/>
      <c r="G2364" s="134"/>
      <c r="H2364" s="134"/>
      <c r="I2364" s="134"/>
      <c r="J2364" s="134"/>
      <c r="K2364" s="134"/>
      <c r="L2364" s="134"/>
      <c r="M2364" s="134"/>
    </row>
    <row r="2365" spans="3:13" ht="12.75">
      <c r="C2365" s="134"/>
      <c r="D2365" s="134"/>
      <c r="E2365" s="134"/>
      <c r="F2365" s="134"/>
      <c r="G2365" s="134"/>
      <c r="H2365" s="134"/>
      <c r="I2365" s="134"/>
      <c r="J2365" s="134"/>
      <c r="K2365" s="134"/>
      <c r="L2365" s="134"/>
      <c r="M2365" s="134"/>
    </row>
    <row r="2366" spans="3:13" ht="12.75">
      <c r="C2366" s="134"/>
      <c r="D2366" s="134"/>
      <c r="E2366" s="134"/>
      <c r="F2366" s="134"/>
      <c r="G2366" s="134"/>
      <c r="H2366" s="134"/>
      <c r="I2366" s="134"/>
      <c r="J2366" s="134"/>
      <c r="K2366" s="134"/>
      <c r="L2366" s="134"/>
      <c r="M2366" s="134"/>
    </row>
    <row r="2367" spans="3:13" ht="12.75">
      <c r="C2367" s="134"/>
      <c r="D2367" s="134"/>
      <c r="E2367" s="134"/>
      <c r="F2367" s="134"/>
      <c r="G2367" s="134"/>
      <c r="H2367" s="134"/>
      <c r="I2367" s="134"/>
      <c r="J2367" s="134"/>
      <c r="K2367" s="134"/>
      <c r="L2367" s="134"/>
      <c r="M2367" s="134"/>
    </row>
    <row r="2368" spans="3:13" ht="12.75">
      <c r="C2368" s="134"/>
      <c r="D2368" s="134"/>
      <c r="E2368" s="134"/>
      <c r="F2368" s="134"/>
      <c r="G2368" s="134"/>
      <c r="H2368" s="134"/>
      <c r="I2368" s="134"/>
      <c r="J2368" s="134"/>
      <c r="K2368" s="134"/>
      <c r="L2368" s="134"/>
      <c r="M2368" s="134"/>
    </row>
    <row r="2369" spans="3:13" ht="12.75">
      <c r="C2369" s="134"/>
      <c r="D2369" s="134"/>
      <c r="E2369" s="134"/>
      <c r="F2369" s="134"/>
      <c r="G2369" s="134"/>
      <c r="H2369" s="134"/>
      <c r="I2369" s="134"/>
      <c r="J2369" s="134"/>
      <c r="K2369" s="134"/>
      <c r="L2369" s="134"/>
      <c r="M2369" s="134"/>
    </row>
    <row r="2370" spans="3:13" ht="12.75">
      <c r="C2370" s="134"/>
      <c r="D2370" s="134"/>
      <c r="E2370" s="134"/>
      <c r="F2370" s="134"/>
      <c r="G2370" s="134"/>
      <c r="H2370" s="134"/>
      <c r="I2370" s="134"/>
      <c r="J2370" s="134"/>
      <c r="K2370" s="134"/>
      <c r="L2370" s="134"/>
      <c r="M2370" s="134"/>
    </row>
    <row r="2371" spans="3:13" ht="12.75">
      <c r="C2371" s="134"/>
      <c r="D2371" s="134"/>
      <c r="E2371" s="134"/>
      <c r="F2371" s="134"/>
      <c r="G2371" s="134"/>
      <c r="H2371" s="134"/>
      <c r="I2371" s="134"/>
      <c r="J2371" s="134"/>
      <c r="K2371" s="134"/>
      <c r="L2371" s="134"/>
      <c r="M2371" s="134"/>
    </row>
    <row r="2372" spans="3:13" ht="12.75">
      <c r="C2372" s="134"/>
      <c r="D2372" s="134"/>
      <c r="E2372" s="134"/>
      <c r="F2372" s="134"/>
      <c r="G2372" s="134"/>
      <c r="H2372" s="134"/>
      <c r="I2372" s="134"/>
      <c r="J2372" s="134"/>
      <c r="K2372" s="134"/>
      <c r="L2372" s="134"/>
      <c r="M2372" s="134"/>
    </row>
    <row r="2373" spans="3:13" ht="12.75">
      <c r="C2373" s="134"/>
      <c r="D2373" s="134"/>
      <c r="E2373" s="134"/>
      <c r="F2373" s="134"/>
      <c r="G2373" s="134"/>
      <c r="H2373" s="134"/>
      <c r="I2373" s="134"/>
      <c r="J2373" s="134"/>
      <c r="K2373" s="134"/>
      <c r="L2373" s="134"/>
      <c r="M2373" s="134"/>
    </row>
    <row r="2374" spans="3:13" ht="12.75">
      <c r="C2374" s="134"/>
      <c r="D2374" s="134"/>
      <c r="E2374" s="134"/>
      <c r="F2374" s="134"/>
      <c r="G2374" s="134"/>
      <c r="H2374" s="134"/>
      <c r="I2374" s="134"/>
      <c r="J2374" s="134"/>
      <c r="K2374" s="134"/>
      <c r="L2374" s="134"/>
      <c r="M2374" s="134"/>
    </row>
    <row r="2375" spans="3:13" ht="12.75">
      <c r="C2375" s="134"/>
      <c r="D2375" s="134"/>
      <c r="E2375" s="134"/>
      <c r="F2375" s="134"/>
      <c r="G2375" s="134"/>
      <c r="H2375" s="134"/>
      <c r="I2375" s="134"/>
      <c r="J2375" s="134"/>
      <c r="K2375" s="134"/>
      <c r="L2375" s="134"/>
      <c r="M2375" s="134"/>
    </row>
    <row r="2376" spans="3:13" ht="12.75">
      <c r="C2376" s="134"/>
      <c r="D2376" s="134"/>
      <c r="E2376" s="134"/>
      <c r="F2376" s="134"/>
      <c r="G2376" s="134"/>
      <c r="H2376" s="134"/>
      <c r="I2376" s="134"/>
      <c r="J2376" s="134"/>
      <c r="K2376" s="134"/>
      <c r="L2376" s="134"/>
      <c r="M2376" s="134"/>
    </row>
    <row r="2377" spans="3:13" ht="12.75">
      <c r="C2377" s="134"/>
      <c r="D2377" s="134"/>
      <c r="E2377" s="134"/>
      <c r="F2377" s="134"/>
      <c r="G2377" s="134"/>
      <c r="H2377" s="134"/>
      <c r="I2377" s="134"/>
      <c r="J2377" s="134"/>
      <c r="K2377" s="134"/>
      <c r="L2377" s="134"/>
      <c r="M2377" s="134"/>
    </row>
    <row r="2378" spans="3:13" ht="12.75">
      <c r="C2378" s="134"/>
      <c r="D2378" s="134"/>
      <c r="E2378" s="134"/>
      <c r="F2378" s="134"/>
      <c r="G2378" s="134"/>
      <c r="H2378" s="134"/>
      <c r="I2378" s="134"/>
      <c r="J2378" s="134"/>
      <c r="K2378" s="134"/>
      <c r="L2378" s="134"/>
      <c r="M2378" s="134"/>
    </row>
    <row r="2379" spans="3:13" ht="12.75">
      <c r="C2379" s="134"/>
      <c r="D2379" s="134"/>
      <c r="E2379" s="134"/>
      <c r="F2379" s="134"/>
      <c r="G2379" s="134"/>
      <c r="H2379" s="134"/>
      <c r="I2379" s="134"/>
      <c r="J2379" s="134"/>
      <c r="K2379" s="134"/>
      <c r="L2379" s="134"/>
      <c r="M2379" s="134"/>
    </row>
    <row r="2380" spans="3:13" ht="12.75">
      <c r="C2380" s="134"/>
      <c r="D2380" s="134"/>
      <c r="E2380" s="134"/>
      <c r="F2380" s="134"/>
      <c r="G2380" s="134"/>
      <c r="H2380" s="134"/>
      <c r="I2380" s="134"/>
      <c r="J2380" s="134"/>
      <c r="K2380" s="134"/>
      <c r="L2380" s="134"/>
      <c r="M2380" s="134"/>
    </row>
    <row r="2381" spans="3:13" ht="12.75">
      <c r="C2381" s="134"/>
      <c r="D2381" s="134"/>
      <c r="E2381" s="134"/>
      <c r="F2381" s="134"/>
      <c r="G2381" s="134"/>
      <c r="H2381" s="134"/>
      <c r="I2381" s="134"/>
      <c r="J2381" s="134"/>
      <c r="K2381" s="134"/>
      <c r="L2381" s="134"/>
      <c r="M2381" s="134"/>
    </row>
    <row r="2382" spans="3:13" ht="12.75">
      <c r="C2382" s="134"/>
      <c r="D2382" s="134"/>
      <c r="E2382" s="134"/>
      <c r="F2382" s="134"/>
      <c r="G2382" s="134"/>
      <c r="H2382" s="134"/>
      <c r="I2382" s="134"/>
      <c r="J2382" s="134"/>
      <c r="K2382" s="134"/>
      <c r="L2382" s="134"/>
      <c r="M2382" s="134"/>
    </row>
    <row r="2383" spans="3:13" ht="12.75">
      <c r="C2383" s="134"/>
      <c r="D2383" s="134"/>
      <c r="E2383" s="134"/>
      <c r="F2383" s="134"/>
      <c r="G2383" s="134"/>
      <c r="H2383" s="134"/>
      <c r="I2383" s="134"/>
      <c r="J2383" s="134"/>
      <c r="K2383" s="134"/>
      <c r="L2383" s="134"/>
      <c r="M2383" s="134"/>
    </row>
    <row r="2384" spans="3:13" ht="12.75">
      <c r="C2384" s="134"/>
      <c r="D2384" s="134"/>
      <c r="E2384" s="134"/>
      <c r="F2384" s="134"/>
      <c r="G2384" s="134"/>
      <c r="H2384" s="134"/>
      <c r="I2384" s="134"/>
      <c r="J2384" s="134"/>
      <c r="K2384" s="134"/>
      <c r="L2384" s="134"/>
      <c r="M2384" s="134"/>
    </row>
    <row r="2385" spans="3:13" ht="12.75">
      <c r="C2385" s="134"/>
      <c r="D2385" s="134"/>
      <c r="E2385" s="134"/>
      <c r="F2385" s="134"/>
      <c r="G2385" s="134"/>
      <c r="H2385" s="134"/>
      <c r="I2385" s="134"/>
      <c r="J2385" s="134"/>
      <c r="K2385" s="134"/>
      <c r="L2385" s="134"/>
      <c r="M2385" s="134"/>
    </row>
    <row r="2386" spans="3:13" ht="12.75">
      <c r="C2386" s="134"/>
      <c r="D2386" s="134"/>
      <c r="E2386" s="134"/>
      <c r="F2386" s="134"/>
      <c r="G2386" s="134"/>
      <c r="H2386" s="134"/>
      <c r="I2386" s="134"/>
      <c r="J2386" s="134"/>
      <c r="K2386" s="134"/>
      <c r="L2386" s="134"/>
      <c r="M2386" s="134"/>
    </row>
    <row r="2387" spans="3:13" ht="12.75">
      <c r="C2387" s="134"/>
      <c r="D2387" s="134"/>
      <c r="E2387" s="134"/>
      <c r="F2387" s="134"/>
      <c r="G2387" s="134"/>
      <c r="H2387" s="134"/>
      <c r="I2387" s="134"/>
      <c r="J2387" s="134"/>
      <c r="K2387" s="134"/>
      <c r="L2387" s="134"/>
      <c r="M2387" s="134"/>
    </row>
    <row r="2388" spans="3:13" ht="12.75">
      <c r="C2388" s="134"/>
      <c r="D2388" s="134"/>
      <c r="E2388" s="134"/>
      <c r="F2388" s="134"/>
      <c r="G2388" s="134"/>
      <c r="H2388" s="134"/>
      <c r="I2388" s="134"/>
      <c r="J2388" s="134"/>
      <c r="K2388" s="134"/>
      <c r="L2388" s="134"/>
      <c r="M2388" s="134"/>
    </row>
    <row r="2389" spans="3:13" ht="12.75">
      <c r="C2389" s="134"/>
      <c r="D2389" s="134"/>
      <c r="E2389" s="134"/>
      <c r="F2389" s="134"/>
      <c r="G2389" s="134"/>
      <c r="H2389" s="134"/>
      <c r="I2389" s="134"/>
      <c r="J2389" s="134"/>
      <c r="K2389" s="134"/>
      <c r="L2389" s="134"/>
      <c r="M2389" s="134"/>
    </row>
    <row r="2390" spans="3:13" ht="12.75">
      <c r="C2390" s="134"/>
      <c r="D2390" s="134"/>
      <c r="E2390" s="134"/>
      <c r="F2390" s="134"/>
      <c r="G2390" s="134"/>
      <c r="H2390" s="134"/>
      <c r="I2390" s="134"/>
      <c r="J2390" s="134"/>
      <c r="K2390" s="134"/>
      <c r="L2390" s="134"/>
      <c r="M2390" s="134"/>
    </row>
    <row r="2391" spans="3:13" ht="12.75">
      <c r="C2391" s="134"/>
      <c r="D2391" s="134"/>
      <c r="E2391" s="134"/>
      <c r="F2391" s="134"/>
      <c r="G2391" s="134"/>
      <c r="H2391" s="134"/>
      <c r="I2391" s="134"/>
      <c r="J2391" s="134"/>
      <c r="K2391" s="134"/>
      <c r="L2391" s="134"/>
      <c r="M2391" s="134"/>
    </row>
    <row r="2392" spans="3:13" ht="12.75">
      <c r="C2392" s="134"/>
      <c r="D2392" s="134"/>
      <c r="E2392" s="134"/>
      <c r="F2392" s="134"/>
      <c r="G2392" s="134"/>
      <c r="H2392" s="134"/>
      <c r="I2392" s="134"/>
      <c r="J2392" s="134"/>
      <c r="K2392" s="134"/>
      <c r="L2392" s="134"/>
      <c r="M2392" s="134"/>
    </row>
    <row r="2393" spans="3:13" ht="12.75">
      <c r="C2393" s="134"/>
      <c r="D2393" s="134"/>
      <c r="E2393" s="134"/>
      <c r="F2393" s="134"/>
      <c r="G2393" s="134"/>
      <c r="H2393" s="134"/>
      <c r="I2393" s="134"/>
      <c r="J2393" s="134"/>
      <c r="K2393" s="134"/>
      <c r="L2393" s="134"/>
      <c r="M2393" s="134"/>
    </row>
    <row r="2394" spans="3:13" ht="12.75">
      <c r="C2394" s="134"/>
      <c r="D2394" s="134"/>
      <c r="E2394" s="134"/>
      <c r="F2394" s="134"/>
      <c r="G2394" s="134"/>
      <c r="H2394" s="134"/>
      <c r="I2394" s="134"/>
      <c r="J2394" s="134"/>
      <c r="K2394" s="134"/>
      <c r="L2394" s="134"/>
      <c r="M2394" s="134"/>
    </row>
    <row r="2395" spans="3:13" ht="12.75">
      <c r="C2395" s="134"/>
      <c r="D2395" s="134"/>
      <c r="E2395" s="134"/>
      <c r="F2395" s="134"/>
      <c r="G2395" s="134"/>
      <c r="H2395" s="134"/>
      <c r="I2395" s="134"/>
      <c r="J2395" s="134"/>
      <c r="K2395" s="134"/>
      <c r="L2395" s="134"/>
      <c r="M2395" s="134"/>
    </row>
    <row r="2396" spans="3:13" ht="12.75">
      <c r="C2396" s="134"/>
      <c r="D2396" s="134"/>
      <c r="E2396" s="134"/>
      <c r="F2396" s="134"/>
      <c r="G2396" s="134"/>
      <c r="H2396" s="134"/>
      <c r="I2396" s="134"/>
      <c r="J2396" s="134"/>
      <c r="K2396" s="134"/>
      <c r="L2396" s="134"/>
      <c r="M2396" s="134"/>
    </row>
    <row r="2397" spans="3:13" ht="12.75">
      <c r="C2397" s="134"/>
      <c r="D2397" s="134"/>
      <c r="E2397" s="134"/>
      <c r="F2397" s="134"/>
      <c r="G2397" s="134"/>
      <c r="H2397" s="134"/>
      <c r="I2397" s="134"/>
      <c r="J2397" s="134"/>
      <c r="K2397" s="134"/>
      <c r="L2397" s="134"/>
      <c r="M2397" s="134"/>
    </row>
    <row r="2398" spans="3:13" ht="12.75">
      <c r="C2398" s="134"/>
      <c r="D2398" s="134"/>
      <c r="E2398" s="134"/>
      <c r="F2398" s="134"/>
      <c r="G2398" s="134"/>
      <c r="H2398" s="134"/>
      <c r="I2398" s="134"/>
      <c r="J2398" s="134"/>
      <c r="K2398" s="134"/>
      <c r="L2398" s="134"/>
      <c r="M2398" s="134"/>
    </row>
    <row r="2399" spans="3:13" ht="12.75">
      <c r="C2399" s="134"/>
      <c r="D2399" s="134"/>
      <c r="E2399" s="134"/>
      <c r="F2399" s="134"/>
      <c r="G2399" s="134"/>
      <c r="H2399" s="134"/>
      <c r="I2399" s="134"/>
      <c r="J2399" s="134"/>
      <c r="K2399" s="134"/>
      <c r="L2399" s="134"/>
      <c r="M2399" s="134"/>
    </row>
    <row r="2400" spans="3:13" ht="12.75">
      <c r="C2400" s="134"/>
      <c r="D2400" s="134"/>
      <c r="E2400" s="134"/>
      <c r="F2400" s="134"/>
      <c r="G2400" s="134"/>
      <c r="H2400" s="134"/>
      <c r="I2400" s="134"/>
      <c r="J2400" s="134"/>
      <c r="K2400" s="134"/>
      <c r="L2400" s="134"/>
      <c r="M2400" s="134"/>
    </row>
    <row r="2401" spans="3:13" ht="12.75">
      <c r="C2401" s="134"/>
      <c r="D2401" s="134"/>
      <c r="E2401" s="134"/>
      <c r="F2401" s="134"/>
      <c r="G2401" s="134"/>
      <c r="H2401" s="134"/>
      <c r="I2401" s="134"/>
      <c r="J2401" s="134"/>
      <c r="K2401" s="134"/>
      <c r="L2401" s="134"/>
      <c r="M2401" s="134"/>
    </row>
    <row r="2402" spans="3:13" ht="12.75">
      <c r="C2402" s="134"/>
      <c r="D2402" s="134"/>
      <c r="E2402" s="134"/>
      <c r="F2402" s="134"/>
      <c r="G2402" s="134"/>
      <c r="H2402" s="134"/>
      <c r="I2402" s="134"/>
      <c r="J2402" s="134"/>
      <c r="K2402" s="134"/>
      <c r="L2402" s="134"/>
      <c r="M2402" s="134"/>
    </row>
    <row r="2403" spans="3:13" ht="12.75">
      <c r="C2403" s="134"/>
      <c r="D2403" s="134"/>
      <c r="E2403" s="134"/>
      <c r="F2403" s="134"/>
      <c r="G2403" s="134"/>
      <c r="H2403" s="134"/>
      <c r="I2403" s="134"/>
      <c r="J2403" s="134"/>
      <c r="K2403" s="134"/>
      <c r="L2403" s="134"/>
      <c r="M2403" s="134"/>
    </row>
    <row r="2404" spans="3:13" ht="12.75">
      <c r="C2404" s="134"/>
      <c r="D2404" s="134"/>
      <c r="E2404" s="134"/>
      <c r="F2404" s="134"/>
      <c r="G2404" s="134"/>
      <c r="H2404" s="134"/>
      <c r="I2404" s="134"/>
      <c r="J2404" s="134"/>
      <c r="K2404" s="134"/>
      <c r="L2404" s="134"/>
      <c r="M2404" s="134"/>
    </row>
    <row r="2405" spans="3:13" ht="12.75">
      <c r="C2405" s="134"/>
      <c r="D2405" s="134"/>
      <c r="E2405" s="134"/>
      <c r="F2405" s="134"/>
      <c r="G2405" s="134"/>
      <c r="H2405" s="134"/>
      <c r="I2405" s="134"/>
      <c r="J2405" s="134"/>
      <c r="K2405" s="134"/>
      <c r="L2405" s="134"/>
      <c r="M2405" s="134"/>
    </row>
    <row r="2406" spans="3:13" ht="12.75">
      <c r="C2406" s="134"/>
      <c r="D2406" s="134"/>
      <c r="E2406" s="134"/>
      <c r="F2406" s="134"/>
      <c r="G2406" s="134"/>
      <c r="H2406" s="134"/>
      <c r="I2406" s="134"/>
      <c r="J2406" s="134"/>
      <c r="K2406" s="134"/>
      <c r="L2406" s="134"/>
      <c r="M2406" s="134"/>
    </row>
    <row r="2407" spans="3:13" ht="12.75">
      <c r="C2407" s="134"/>
      <c r="D2407" s="134"/>
      <c r="E2407" s="134"/>
      <c r="F2407" s="134"/>
      <c r="G2407" s="134"/>
      <c r="H2407" s="134"/>
      <c r="I2407" s="134"/>
      <c r="J2407" s="134"/>
      <c r="K2407" s="134"/>
      <c r="L2407" s="134"/>
      <c r="M2407" s="134"/>
    </row>
    <row r="2408" spans="3:13" ht="12.75">
      <c r="C2408" s="134"/>
      <c r="D2408" s="134"/>
      <c r="E2408" s="134"/>
      <c r="F2408" s="134"/>
      <c r="G2408" s="134"/>
      <c r="H2408" s="134"/>
      <c r="I2408" s="134"/>
      <c r="J2408" s="134"/>
      <c r="K2408" s="134"/>
      <c r="L2408" s="134"/>
      <c r="M2408" s="134"/>
    </row>
    <row r="2409" spans="3:13" ht="12.75">
      <c r="C2409" s="134"/>
      <c r="D2409" s="134"/>
      <c r="E2409" s="134"/>
      <c r="F2409" s="134"/>
      <c r="G2409" s="134"/>
      <c r="H2409" s="134"/>
      <c r="I2409" s="134"/>
      <c r="J2409" s="134"/>
      <c r="K2409" s="134"/>
      <c r="L2409" s="134"/>
      <c r="M2409" s="134"/>
    </row>
    <row r="2410" spans="3:13" ht="12.75">
      <c r="C2410" s="134"/>
      <c r="D2410" s="134"/>
      <c r="E2410" s="134"/>
      <c r="F2410" s="134"/>
      <c r="G2410" s="134"/>
      <c r="H2410" s="134"/>
      <c r="I2410" s="134"/>
      <c r="J2410" s="134"/>
      <c r="K2410" s="134"/>
      <c r="L2410" s="134"/>
      <c r="M2410" s="134"/>
    </row>
    <row r="2411" spans="3:13" ht="12.75">
      <c r="C2411" s="134"/>
      <c r="D2411" s="134"/>
      <c r="E2411" s="134"/>
      <c r="F2411" s="134"/>
      <c r="G2411" s="134"/>
      <c r="H2411" s="134"/>
      <c r="I2411" s="134"/>
      <c r="J2411" s="134"/>
      <c r="K2411" s="134"/>
      <c r="L2411" s="134"/>
      <c r="M2411" s="134"/>
    </row>
    <row r="2412" spans="3:13" ht="12.75">
      <c r="C2412" s="134"/>
      <c r="D2412" s="134"/>
      <c r="E2412" s="134"/>
      <c r="F2412" s="134"/>
      <c r="G2412" s="134"/>
      <c r="H2412" s="134"/>
      <c r="I2412" s="134"/>
      <c r="J2412" s="134"/>
      <c r="K2412" s="134"/>
      <c r="L2412" s="134"/>
      <c r="M2412" s="134"/>
    </row>
    <row r="2413" spans="3:13" ht="12.75">
      <c r="C2413" s="134"/>
      <c r="D2413" s="134"/>
      <c r="E2413" s="134"/>
      <c r="F2413" s="134"/>
      <c r="G2413" s="134"/>
      <c r="H2413" s="134"/>
      <c r="I2413" s="134"/>
      <c r="J2413" s="134"/>
      <c r="K2413" s="134"/>
      <c r="L2413" s="134"/>
      <c r="M2413" s="134"/>
    </row>
    <row r="2414" spans="3:13" ht="12.75">
      <c r="C2414" s="134"/>
      <c r="D2414" s="134"/>
      <c r="E2414" s="134"/>
      <c r="F2414" s="134"/>
      <c r="G2414" s="134"/>
      <c r="H2414" s="134"/>
      <c r="I2414" s="134"/>
      <c r="J2414" s="134"/>
      <c r="K2414" s="134"/>
      <c r="L2414" s="134"/>
      <c r="M2414" s="134"/>
    </row>
    <row r="2415" spans="3:13" ht="12.75">
      <c r="C2415" s="134"/>
      <c r="D2415" s="134"/>
      <c r="E2415" s="134"/>
      <c r="F2415" s="134"/>
      <c r="G2415" s="134"/>
      <c r="H2415" s="134"/>
      <c r="I2415" s="134"/>
      <c r="J2415" s="134"/>
      <c r="K2415" s="134"/>
      <c r="L2415" s="134"/>
      <c r="M2415" s="134"/>
    </row>
    <row r="2416" spans="3:13" ht="12.75">
      <c r="C2416" s="134"/>
      <c r="D2416" s="134"/>
      <c r="E2416" s="134"/>
      <c r="F2416" s="134"/>
      <c r="G2416" s="134"/>
      <c r="H2416" s="134"/>
      <c r="I2416" s="134"/>
      <c r="J2416" s="134"/>
      <c r="K2416" s="134"/>
      <c r="L2416" s="134"/>
      <c r="M2416" s="134"/>
    </row>
    <row r="2417" spans="3:13" ht="12.75">
      <c r="C2417" s="134"/>
      <c r="D2417" s="134"/>
      <c r="E2417" s="134"/>
      <c r="F2417" s="134"/>
      <c r="G2417" s="134"/>
      <c r="H2417" s="134"/>
      <c r="I2417" s="134"/>
      <c r="J2417" s="134"/>
      <c r="K2417" s="134"/>
      <c r="L2417" s="134"/>
      <c r="M2417" s="134"/>
    </row>
    <row r="2418" spans="3:13" ht="12.75">
      <c r="C2418" s="134"/>
      <c r="D2418" s="134"/>
      <c r="E2418" s="134"/>
      <c r="F2418" s="134"/>
      <c r="G2418" s="134"/>
      <c r="H2418" s="134"/>
      <c r="I2418" s="134"/>
      <c r="J2418" s="134"/>
      <c r="K2418" s="134"/>
      <c r="L2418" s="134"/>
      <c r="M2418" s="134"/>
    </row>
    <row r="2419" spans="3:13" ht="12.75">
      <c r="C2419" s="134"/>
      <c r="D2419" s="134"/>
      <c r="E2419" s="134"/>
      <c r="F2419" s="134"/>
      <c r="G2419" s="134"/>
      <c r="H2419" s="134"/>
      <c r="I2419" s="134"/>
      <c r="J2419" s="134"/>
      <c r="K2419" s="134"/>
      <c r="L2419" s="134"/>
      <c r="M2419" s="134"/>
    </row>
    <row r="2420" spans="3:13" ht="12.75">
      <c r="C2420" s="134"/>
      <c r="D2420" s="134"/>
      <c r="E2420" s="134"/>
      <c r="F2420" s="134"/>
      <c r="G2420" s="134"/>
      <c r="H2420" s="134"/>
      <c r="I2420" s="134"/>
      <c r="J2420" s="134"/>
      <c r="K2420" s="134"/>
      <c r="L2420" s="134"/>
      <c r="M2420" s="134"/>
    </row>
    <row r="2421" spans="3:13" ht="12.75">
      <c r="C2421" s="134"/>
      <c r="D2421" s="134"/>
      <c r="E2421" s="134"/>
      <c r="F2421" s="134"/>
      <c r="G2421" s="134"/>
      <c r="H2421" s="134"/>
      <c r="I2421" s="134"/>
      <c r="J2421" s="134"/>
      <c r="K2421" s="134"/>
      <c r="L2421" s="134"/>
      <c r="M2421" s="134"/>
    </row>
    <row r="2422" spans="3:13" ht="12.75">
      <c r="C2422" s="134"/>
      <c r="D2422" s="134"/>
      <c r="E2422" s="134"/>
      <c r="F2422" s="134"/>
      <c r="G2422" s="134"/>
      <c r="H2422" s="134"/>
      <c r="I2422" s="134"/>
      <c r="J2422" s="134"/>
      <c r="K2422" s="134"/>
      <c r="L2422" s="134"/>
      <c r="M2422" s="134"/>
    </row>
    <row r="2423" spans="3:13" ht="12.75">
      <c r="C2423" s="134"/>
      <c r="D2423" s="134"/>
      <c r="E2423" s="134"/>
      <c r="F2423" s="134"/>
      <c r="G2423" s="134"/>
      <c r="H2423" s="134"/>
      <c r="I2423" s="134"/>
      <c r="J2423" s="134"/>
      <c r="K2423" s="134"/>
      <c r="L2423" s="134"/>
      <c r="M2423" s="134"/>
    </row>
    <row r="2424" spans="3:13" ht="12.75">
      <c r="C2424" s="134"/>
      <c r="D2424" s="134"/>
      <c r="E2424" s="134"/>
      <c r="F2424" s="134"/>
      <c r="G2424" s="134"/>
      <c r="H2424" s="134"/>
      <c r="I2424" s="134"/>
      <c r="J2424" s="134"/>
      <c r="K2424" s="134"/>
      <c r="L2424" s="134"/>
      <c r="M2424" s="134"/>
    </row>
    <row r="2425" spans="3:13" ht="12.75">
      <c r="C2425" s="134"/>
      <c r="D2425" s="134"/>
      <c r="E2425" s="134"/>
      <c r="F2425" s="134"/>
      <c r="G2425" s="134"/>
      <c r="H2425" s="134"/>
      <c r="I2425" s="134"/>
      <c r="J2425" s="134"/>
      <c r="K2425" s="134"/>
      <c r="L2425" s="134"/>
      <c r="M2425" s="134"/>
    </row>
    <row r="2426" spans="3:13" ht="12.75">
      <c r="C2426" s="134"/>
      <c r="D2426" s="134"/>
      <c r="E2426" s="134"/>
      <c r="F2426" s="134"/>
      <c r="G2426" s="134"/>
      <c r="H2426" s="134"/>
      <c r="I2426" s="134"/>
      <c r="J2426" s="134"/>
      <c r="K2426" s="134"/>
      <c r="L2426" s="134"/>
      <c r="M2426" s="134"/>
    </row>
    <row r="2427" spans="3:13" ht="12.75">
      <c r="C2427" s="134"/>
      <c r="D2427" s="134"/>
      <c r="E2427" s="134"/>
      <c r="F2427" s="134"/>
      <c r="G2427" s="134"/>
      <c r="H2427" s="134"/>
      <c r="I2427" s="134"/>
      <c r="J2427" s="134"/>
      <c r="K2427" s="134"/>
      <c r="L2427" s="134"/>
      <c r="M2427" s="134"/>
    </row>
    <row r="2428" spans="3:13" ht="12.75">
      <c r="C2428" s="134"/>
      <c r="D2428" s="134"/>
      <c r="E2428" s="134"/>
      <c r="F2428" s="134"/>
      <c r="G2428" s="134"/>
      <c r="H2428" s="134"/>
      <c r="I2428" s="134"/>
      <c r="J2428" s="134"/>
      <c r="K2428" s="134"/>
      <c r="L2428" s="134"/>
      <c r="M2428" s="134"/>
    </row>
    <row r="2429" spans="3:13" ht="12.75">
      <c r="C2429" s="134"/>
      <c r="D2429" s="134"/>
      <c r="E2429" s="134"/>
      <c r="F2429" s="134"/>
      <c r="G2429" s="134"/>
      <c r="H2429" s="134"/>
      <c r="I2429" s="134"/>
      <c r="J2429" s="134"/>
      <c r="K2429" s="134"/>
      <c r="L2429" s="134"/>
      <c r="M2429" s="134"/>
    </row>
    <row r="2430" spans="3:13" ht="12.75">
      <c r="C2430" s="134"/>
      <c r="D2430" s="134"/>
      <c r="E2430" s="134"/>
      <c r="F2430" s="134"/>
      <c r="G2430" s="134"/>
      <c r="H2430" s="134"/>
      <c r="I2430" s="134"/>
      <c r="J2430" s="134"/>
      <c r="K2430" s="134"/>
      <c r="L2430" s="134"/>
      <c r="M2430" s="134"/>
    </row>
    <row r="2431" spans="3:13" ht="12.75">
      <c r="C2431" s="134"/>
      <c r="D2431" s="134"/>
      <c r="E2431" s="134"/>
      <c r="F2431" s="134"/>
      <c r="G2431" s="134"/>
      <c r="H2431" s="134"/>
      <c r="I2431" s="134"/>
      <c r="J2431" s="134"/>
      <c r="K2431" s="134"/>
      <c r="L2431" s="134"/>
      <c r="M2431" s="134"/>
    </row>
    <row r="2432" spans="3:13" ht="12.75">
      <c r="C2432" s="134"/>
      <c r="D2432" s="134"/>
      <c r="E2432" s="134"/>
      <c r="F2432" s="134"/>
      <c r="G2432" s="134"/>
      <c r="H2432" s="134"/>
      <c r="I2432" s="134"/>
      <c r="J2432" s="134"/>
      <c r="K2432" s="134"/>
      <c r="L2432" s="134"/>
      <c r="M2432" s="134"/>
    </row>
    <row r="2433" spans="3:13" ht="12.75">
      <c r="C2433" s="134"/>
      <c r="D2433" s="134"/>
      <c r="E2433" s="134"/>
      <c r="F2433" s="134"/>
      <c r="G2433" s="134"/>
      <c r="H2433" s="134"/>
      <c r="I2433" s="134"/>
      <c r="J2433" s="134"/>
      <c r="K2433" s="134"/>
      <c r="L2433" s="134"/>
      <c r="M2433" s="134"/>
    </row>
    <row r="2434" spans="3:13" ht="12.75">
      <c r="C2434" s="134"/>
      <c r="D2434" s="134"/>
      <c r="E2434" s="134"/>
      <c r="F2434" s="134"/>
      <c r="G2434" s="134"/>
      <c r="H2434" s="134"/>
      <c r="I2434" s="134"/>
      <c r="J2434" s="134"/>
      <c r="K2434" s="134"/>
      <c r="L2434" s="134"/>
      <c r="M2434" s="134"/>
    </row>
    <row r="2435" spans="3:13" ht="12.75">
      <c r="C2435" s="134"/>
      <c r="D2435" s="134"/>
      <c r="E2435" s="134"/>
      <c r="F2435" s="134"/>
      <c r="G2435" s="134"/>
      <c r="H2435" s="134"/>
      <c r="I2435" s="134"/>
      <c r="J2435" s="134"/>
      <c r="K2435" s="134"/>
      <c r="L2435" s="134"/>
      <c r="M2435" s="134"/>
    </row>
    <row r="2436" spans="3:13" ht="12.75">
      <c r="C2436" s="134"/>
      <c r="D2436" s="134"/>
      <c r="E2436" s="134"/>
      <c r="F2436" s="134"/>
      <c r="G2436" s="134"/>
      <c r="H2436" s="134"/>
      <c r="I2436" s="134"/>
      <c r="J2436" s="134"/>
      <c r="K2436" s="134"/>
      <c r="L2436" s="134"/>
      <c r="M2436" s="134"/>
    </row>
    <row r="2437" spans="3:13" ht="12.75">
      <c r="C2437" s="134"/>
      <c r="D2437" s="134"/>
      <c r="E2437" s="134"/>
      <c r="F2437" s="134"/>
      <c r="G2437" s="134"/>
      <c r="H2437" s="134"/>
      <c r="I2437" s="134"/>
      <c r="J2437" s="134"/>
      <c r="K2437" s="134"/>
      <c r="L2437" s="134"/>
      <c r="M2437" s="134"/>
    </row>
    <row r="2438" spans="3:13" ht="12.75">
      <c r="C2438" s="134"/>
      <c r="D2438" s="134"/>
      <c r="E2438" s="134"/>
      <c r="F2438" s="134"/>
      <c r="G2438" s="134"/>
      <c r="H2438" s="134"/>
      <c r="I2438" s="134"/>
      <c r="J2438" s="134"/>
      <c r="K2438" s="134"/>
      <c r="L2438" s="134"/>
      <c r="M2438" s="134"/>
    </row>
    <row r="2439" spans="3:13" ht="12.75">
      <c r="C2439" s="134"/>
      <c r="D2439" s="134"/>
      <c r="E2439" s="134"/>
      <c r="F2439" s="134"/>
      <c r="G2439" s="134"/>
      <c r="H2439" s="134"/>
      <c r="I2439" s="134"/>
      <c r="J2439" s="134"/>
      <c r="K2439" s="134"/>
      <c r="L2439" s="134"/>
      <c r="M2439" s="134"/>
    </row>
    <row r="2440" spans="3:13" ht="12.75">
      <c r="C2440" s="134"/>
      <c r="D2440" s="134"/>
      <c r="E2440" s="134"/>
      <c r="F2440" s="134"/>
      <c r="G2440" s="134"/>
      <c r="H2440" s="134"/>
      <c r="I2440" s="134"/>
      <c r="J2440" s="134"/>
      <c r="K2440" s="134"/>
      <c r="L2440" s="134"/>
      <c r="M2440" s="134"/>
    </row>
    <row r="2441" spans="3:13" ht="12.75">
      <c r="C2441" s="134"/>
      <c r="D2441" s="134"/>
      <c r="E2441" s="134"/>
      <c r="F2441" s="134"/>
      <c r="G2441" s="134"/>
      <c r="H2441" s="134"/>
      <c r="I2441" s="134"/>
      <c r="J2441" s="134"/>
      <c r="K2441" s="134"/>
      <c r="L2441" s="134"/>
      <c r="M2441" s="134"/>
    </row>
    <row r="2442" spans="3:13" ht="12.75">
      <c r="C2442" s="134"/>
      <c r="D2442" s="134"/>
      <c r="E2442" s="134"/>
      <c r="F2442" s="134"/>
      <c r="G2442" s="134"/>
      <c r="H2442" s="134"/>
      <c r="I2442" s="134"/>
      <c r="J2442" s="134"/>
      <c r="K2442" s="134"/>
      <c r="L2442" s="134"/>
      <c r="M2442" s="134"/>
    </row>
    <row r="2443" spans="3:13" ht="12.75">
      <c r="C2443" s="134"/>
      <c r="D2443" s="134"/>
      <c r="E2443" s="134"/>
      <c r="F2443" s="134"/>
      <c r="G2443" s="134"/>
      <c r="H2443" s="134"/>
      <c r="I2443" s="134"/>
      <c r="J2443" s="134"/>
      <c r="K2443" s="134"/>
      <c r="L2443" s="134"/>
      <c r="M2443" s="134"/>
    </row>
    <row r="2444" spans="3:13" ht="12.75">
      <c r="C2444" s="134"/>
      <c r="D2444" s="134"/>
      <c r="E2444" s="134"/>
      <c r="F2444" s="134"/>
      <c r="G2444" s="134"/>
      <c r="H2444" s="134"/>
      <c r="I2444" s="134"/>
      <c r="J2444" s="134"/>
      <c r="K2444" s="134"/>
      <c r="L2444" s="134"/>
      <c r="M2444" s="134"/>
    </row>
    <row r="2445" spans="3:13" ht="12.75">
      <c r="C2445" s="134"/>
      <c r="D2445" s="134"/>
      <c r="E2445" s="134"/>
      <c r="F2445" s="134"/>
      <c r="G2445" s="134"/>
      <c r="H2445" s="134"/>
      <c r="I2445" s="134"/>
      <c r="J2445" s="134"/>
      <c r="K2445" s="134"/>
      <c r="L2445" s="134"/>
      <c r="M2445" s="134"/>
    </row>
    <row r="2446" spans="3:13" ht="12.75">
      <c r="C2446" s="134"/>
      <c r="D2446" s="134"/>
      <c r="E2446" s="134"/>
      <c r="F2446" s="134"/>
      <c r="G2446" s="134"/>
      <c r="H2446" s="134"/>
      <c r="I2446" s="134"/>
      <c r="J2446" s="134"/>
      <c r="K2446" s="134"/>
      <c r="L2446" s="134"/>
      <c r="M2446" s="134"/>
    </row>
    <row r="2447" spans="3:13" ht="12.75">
      <c r="C2447" s="134"/>
      <c r="D2447" s="134"/>
      <c r="E2447" s="134"/>
      <c r="F2447" s="134"/>
      <c r="G2447" s="134"/>
      <c r="H2447" s="134"/>
      <c r="I2447" s="134"/>
      <c r="J2447" s="134"/>
      <c r="K2447" s="134"/>
      <c r="L2447" s="134"/>
      <c r="M2447" s="134"/>
    </row>
    <row r="2448" spans="3:13" ht="12.75">
      <c r="C2448" s="134"/>
      <c r="D2448" s="134"/>
      <c r="E2448" s="134"/>
      <c r="F2448" s="134"/>
      <c r="G2448" s="134"/>
      <c r="H2448" s="134"/>
      <c r="I2448" s="134"/>
      <c r="J2448" s="134"/>
      <c r="K2448" s="134"/>
      <c r="L2448" s="134"/>
      <c r="M2448" s="134"/>
    </row>
    <row r="2449" spans="3:13" ht="12.75">
      <c r="C2449" s="134"/>
      <c r="D2449" s="134"/>
      <c r="E2449" s="134"/>
      <c r="F2449" s="134"/>
      <c r="G2449" s="134"/>
      <c r="H2449" s="134"/>
      <c r="I2449" s="134"/>
      <c r="J2449" s="134"/>
      <c r="K2449" s="134"/>
      <c r="L2449" s="134"/>
      <c r="M2449" s="134"/>
    </row>
    <row r="2450" spans="3:13" ht="12.75">
      <c r="C2450" s="134"/>
      <c r="D2450" s="134"/>
      <c r="E2450" s="134"/>
      <c r="F2450" s="134"/>
      <c r="G2450" s="134"/>
      <c r="H2450" s="134"/>
      <c r="I2450" s="134"/>
      <c r="J2450" s="134"/>
      <c r="K2450" s="134"/>
      <c r="L2450" s="134"/>
      <c r="M2450" s="134"/>
    </row>
    <row r="2451" spans="3:13" ht="12.75">
      <c r="C2451" s="134"/>
      <c r="D2451" s="134"/>
      <c r="E2451" s="134"/>
      <c r="F2451" s="134"/>
      <c r="G2451" s="134"/>
      <c r="H2451" s="134"/>
      <c r="I2451" s="134"/>
      <c r="J2451" s="134"/>
      <c r="K2451" s="134"/>
      <c r="L2451" s="134"/>
      <c r="M2451" s="134"/>
    </row>
    <row r="2452" spans="3:13" ht="12.75">
      <c r="C2452" s="134"/>
      <c r="D2452" s="134"/>
      <c r="E2452" s="134"/>
      <c r="F2452" s="134"/>
      <c r="G2452" s="134"/>
      <c r="H2452" s="134"/>
      <c r="I2452" s="134"/>
      <c r="J2452" s="134"/>
      <c r="K2452" s="134"/>
      <c r="L2452" s="134"/>
      <c r="M2452" s="134"/>
    </row>
    <row r="2453" spans="3:13" ht="12.75">
      <c r="C2453" s="134"/>
      <c r="D2453" s="134"/>
      <c r="E2453" s="134"/>
      <c r="F2453" s="134"/>
      <c r="G2453" s="134"/>
      <c r="H2453" s="134"/>
      <c r="I2453" s="134"/>
      <c r="J2453" s="134"/>
      <c r="K2453" s="134"/>
      <c r="L2453" s="134"/>
      <c r="M2453" s="134"/>
    </row>
    <row r="2454" spans="3:13" ht="12.75">
      <c r="C2454" s="134"/>
      <c r="D2454" s="134"/>
      <c r="E2454" s="134"/>
      <c r="F2454" s="134"/>
      <c r="G2454" s="134"/>
      <c r="H2454" s="134"/>
      <c r="I2454" s="134"/>
      <c r="J2454" s="134"/>
      <c r="K2454" s="134"/>
      <c r="L2454" s="134"/>
      <c r="M2454" s="134"/>
    </row>
    <row r="2455" spans="3:13" ht="12.75">
      <c r="C2455" s="134"/>
      <c r="D2455" s="134"/>
      <c r="E2455" s="134"/>
      <c r="F2455" s="134"/>
      <c r="G2455" s="134"/>
      <c r="H2455" s="134"/>
      <c r="I2455" s="134"/>
      <c r="J2455" s="134"/>
      <c r="K2455" s="134"/>
      <c r="L2455" s="134"/>
      <c r="M2455" s="134"/>
    </row>
    <row r="2456" spans="3:13" ht="12.75">
      <c r="C2456" s="134"/>
      <c r="D2456" s="134"/>
      <c r="E2456" s="134"/>
      <c r="F2456" s="134"/>
      <c r="G2456" s="134"/>
      <c r="H2456" s="134"/>
      <c r="I2456" s="134"/>
      <c r="J2456" s="134"/>
      <c r="K2456" s="134"/>
      <c r="L2456" s="134"/>
      <c r="M2456" s="134"/>
    </row>
    <row r="2457" spans="3:13" ht="12.75">
      <c r="C2457" s="134"/>
      <c r="D2457" s="134"/>
      <c r="E2457" s="134"/>
      <c r="F2457" s="134"/>
      <c r="G2457" s="134"/>
      <c r="H2457" s="134"/>
      <c r="I2457" s="134"/>
      <c r="J2457" s="134"/>
      <c r="K2457" s="134"/>
      <c r="L2457" s="134"/>
      <c r="M2457" s="134"/>
    </row>
    <row r="2458" spans="3:13" ht="12.75">
      <c r="C2458" s="134"/>
      <c r="D2458" s="134"/>
      <c r="E2458" s="134"/>
      <c r="F2458" s="134"/>
      <c r="G2458" s="134"/>
      <c r="H2458" s="134"/>
      <c r="I2458" s="134"/>
      <c r="J2458" s="134"/>
      <c r="K2458" s="134"/>
      <c r="L2458" s="134"/>
      <c r="M2458" s="134"/>
    </row>
    <row r="2459" spans="3:13" ht="12.75">
      <c r="C2459" s="134"/>
      <c r="D2459" s="134"/>
      <c r="E2459" s="134"/>
      <c r="F2459" s="134"/>
      <c r="G2459" s="134"/>
      <c r="H2459" s="134"/>
      <c r="I2459" s="134"/>
      <c r="J2459" s="134"/>
      <c r="K2459" s="134"/>
      <c r="L2459" s="134"/>
      <c r="M2459" s="134"/>
    </row>
    <row r="2460" spans="3:13" ht="12.75">
      <c r="C2460" s="134"/>
      <c r="D2460" s="134"/>
      <c r="E2460" s="134"/>
      <c r="F2460" s="134"/>
      <c r="G2460" s="134"/>
      <c r="H2460" s="134"/>
      <c r="I2460" s="134"/>
      <c r="J2460" s="134"/>
      <c r="K2460" s="134"/>
      <c r="L2460" s="134"/>
      <c r="M2460" s="134"/>
    </row>
    <row r="2461" spans="3:13" ht="12.75">
      <c r="C2461" s="134"/>
      <c r="D2461" s="134"/>
      <c r="E2461" s="134"/>
      <c r="F2461" s="134"/>
      <c r="G2461" s="134"/>
      <c r="H2461" s="134"/>
      <c r="I2461" s="134"/>
      <c r="J2461" s="134"/>
      <c r="K2461" s="134"/>
      <c r="L2461" s="134"/>
      <c r="M2461" s="134"/>
    </row>
    <row r="2462" spans="3:13" ht="12.75">
      <c r="C2462" s="134"/>
      <c r="D2462" s="134"/>
      <c r="E2462" s="134"/>
      <c r="F2462" s="134"/>
      <c r="G2462" s="134"/>
      <c r="H2462" s="134"/>
      <c r="I2462" s="134"/>
      <c r="J2462" s="134"/>
      <c r="K2462" s="134"/>
      <c r="L2462" s="134"/>
      <c r="M2462" s="134"/>
    </row>
    <row r="2463" spans="3:13" ht="12.75">
      <c r="C2463" s="134"/>
      <c r="D2463" s="134"/>
      <c r="E2463" s="134"/>
      <c r="F2463" s="134"/>
      <c r="G2463" s="134"/>
      <c r="H2463" s="134"/>
      <c r="I2463" s="134"/>
      <c r="J2463" s="134"/>
      <c r="K2463" s="134"/>
      <c r="L2463" s="134"/>
      <c r="M2463" s="134"/>
    </row>
    <row r="2464" spans="3:13" ht="12.75">
      <c r="C2464" s="134"/>
      <c r="D2464" s="134"/>
      <c r="E2464" s="134"/>
      <c r="F2464" s="134"/>
      <c r="G2464" s="134"/>
      <c r="H2464" s="134"/>
      <c r="I2464" s="134"/>
      <c r="J2464" s="134"/>
      <c r="K2464" s="134"/>
      <c r="L2464" s="134"/>
      <c r="M2464" s="134"/>
    </row>
    <row r="2465" spans="3:13" ht="12.75">
      <c r="C2465" s="134"/>
      <c r="D2465" s="134"/>
      <c r="E2465" s="134"/>
      <c r="F2465" s="134"/>
      <c r="G2465" s="134"/>
      <c r="H2465" s="134"/>
      <c r="I2465" s="134"/>
      <c r="J2465" s="134"/>
      <c r="K2465" s="134"/>
      <c r="L2465" s="134"/>
      <c r="M2465" s="134"/>
    </row>
    <row r="2466" spans="3:13" ht="12.75">
      <c r="C2466" s="134"/>
      <c r="D2466" s="134"/>
      <c r="E2466" s="134"/>
      <c r="F2466" s="134"/>
      <c r="G2466" s="134"/>
      <c r="H2466" s="134"/>
      <c r="I2466" s="134"/>
      <c r="J2466" s="134"/>
      <c r="K2466" s="134"/>
      <c r="L2466" s="134"/>
      <c r="M2466" s="134"/>
    </row>
    <row r="2467" spans="3:13" ht="12.75">
      <c r="C2467" s="134"/>
      <c r="D2467" s="134"/>
      <c r="E2467" s="134"/>
      <c r="F2467" s="134"/>
      <c r="G2467" s="134"/>
      <c r="H2467" s="134"/>
      <c r="I2467" s="134"/>
      <c r="J2467" s="134"/>
      <c r="K2467" s="134"/>
      <c r="L2467" s="134"/>
      <c r="M2467" s="134"/>
    </row>
    <row r="2468" spans="3:13" ht="12.75">
      <c r="C2468" s="134"/>
      <c r="D2468" s="134"/>
      <c r="E2468" s="134"/>
      <c r="F2468" s="134"/>
      <c r="G2468" s="134"/>
      <c r="H2468" s="134"/>
      <c r="I2468" s="134"/>
      <c r="J2468" s="134"/>
      <c r="K2468" s="134"/>
      <c r="L2468" s="134"/>
      <c r="M2468" s="134"/>
    </row>
    <row r="2469" spans="3:13" ht="12.75">
      <c r="C2469" s="134"/>
      <c r="D2469" s="134"/>
      <c r="E2469" s="134"/>
      <c r="F2469" s="134"/>
      <c r="G2469" s="134"/>
      <c r="H2469" s="134"/>
      <c r="I2469" s="134"/>
      <c r="J2469" s="134"/>
      <c r="K2469" s="134"/>
      <c r="L2469" s="134"/>
      <c r="M2469" s="134"/>
    </row>
    <row r="2470" spans="3:13" ht="12.75">
      <c r="C2470" s="134"/>
      <c r="D2470" s="134"/>
      <c r="E2470" s="134"/>
      <c r="F2470" s="134"/>
      <c r="G2470" s="134"/>
      <c r="H2470" s="134"/>
      <c r="I2470" s="134"/>
      <c r="J2470" s="134"/>
      <c r="K2470" s="134"/>
      <c r="L2470" s="134"/>
      <c r="M2470" s="134"/>
    </row>
    <row r="2471" spans="3:13" ht="12.75">
      <c r="C2471" s="134"/>
      <c r="D2471" s="134"/>
      <c r="E2471" s="134"/>
      <c r="F2471" s="134"/>
      <c r="G2471" s="134"/>
      <c r="H2471" s="134"/>
      <c r="I2471" s="134"/>
      <c r="J2471" s="134"/>
      <c r="K2471" s="134"/>
      <c r="L2471" s="134"/>
      <c r="M2471" s="134"/>
    </row>
    <row r="2472" spans="3:13" ht="12.75">
      <c r="C2472" s="134"/>
      <c r="D2472" s="134"/>
      <c r="E2472" s="134"/>
      <c r="F2472" s="134"/>
      <c r="G2472" s="134"/>
      <c r="H2472" s="134"/>
      <c r="I2472" s="134"/>
      <c r="J2472" s="134"/>
      <c r="K2472" s="134"/>
      <c r="L2472" s="134"/>
      <c r="M2472" s="134"/>
    </row>
    <row r="2473" spans="3:13" ht="12.75">
      <c r="C2473" s="134"/>
      <c r="D2473" s="134"/>
      <c r="E2473" s="134"/>
      <c r="F2473" s="134"/>
      <c r="G2473" s="134"/>
      <c r="H2473" s="134"/>
      <c r="I2473" s="134"/>
      <c r="J2473" s="134"/>
      <c r="K2473" s="134"/>
      <c r="L2473" s="134"/>
      <c r="M2473" s="134"/>
    </row>
    <row r="2474" spans="3:13" ht="12.75">
      <c r="C2474" s="134"/>
      <c r="D2474" s="134"/>
      <c r="E2474" s="134"/>
      <c r="F2474" s="134"/>
      <c r="G2474" s="134"/>
      <c r="H2474" s="134"/>
      <c r="I2474" s="134"/>
      <c r="J2474" s="134"/>
      <c r="K2474" s="134"/>
      <c r="L2474" s="134"/>
      <c r="M2474" s="134"/>
    </row>
    <row r="2475" spans="3:13" ht="12.75">
      <c r="C2475" s="134"/>
      <c r="D2475" s="134"/>
      <c r="E2475" s="134"/>
      <c r="F2475" s="134"/>
      <c r="G2475" s="134"/>
      <c r="H2475" s="134"/>
      <c r="I2475" s="134"/>
      <c r="J2475" s="134"/>
      <c r="K2475" s="134"/>
      <c r="L2475" s="134"/>
      <c r="M2475" s="134"/>
    </row>
    <row r="2476" spans="3:13" ht="12.75">
      <c r="C2476" s="134"/>
      <c r="D2476" s="134"/>
      <c r="E2476" s="134"/>
      <c r="F2476" s="134"/>
      <c r="G2476" s="134"/>
      <c r="H2476" s="134"/>
      <c r="I2476" s="134"/>
      <c r="J2476" s="134"/>
      <c r="K2476" s="134"/>
      <c r="L2476" s="134"/>
      <c r="M2476" s="134"/>
    </row>
    <row r="2477" spans="3:13" ht="12.75">
      <c r="C2477" s="134"/>
      <c r="D2477" s="134"/>
      <c r="E2477" s="134"/>
      <c r="F2477" s="134"/>
      <c r="G2477" s="134"/>
      <c r="H2477" s="134"/>
      <c r="I2477" s="134"/>
      <c r="J2477" s="134"/>
      <c r="K2477" s="134"/>
      <c r="L2477" s="134"/>
      <c r="M2477" s="134"/>
    </row>
    <row r="2478" spans="3:13" ht="12.75">
      <c r="C2478" s="134"/>
      <c r="D2478" s="134"/>
      <c r="E2478" s="134"/>
      <c r="F2478" s="134"/>
      <c r="G2478" s="134"/>
      <c r="H2478" s="134"/>
      <c r="I2478" s="134"/>
      <c r="J2478" s="134"/>
      <c r="K2478" s="134"/>
      <c r="L2478" s="134"/>
      <c r="M2478" s="134"/>
    </row>
    <row r="2479" spans="3:13" ht="12.75">
      <c r="C2479" s="134"/>
      <c r="D2479" s="134"/>
      <c r="E2479" s="134"/>
      <c r="F2479" s="134"/>
      <c r="G2479" s="134"/>
      <c r="H2479" s="134"/>
      <c r="I2479" s="134"/>
      <c r="J2479" s="134"/>
      <c r="K2479" s="134"/>
      <c r="L2479" s="134"/>
      <c r="M2479" s="134"/>
    </row>
    <row r="2480" spans="3:13" ht="12.75">
      <c r="C2480" s="134"/>
      <c r="D2480" s="134"/>
      <c r="E2480" s="134"/>
      <c r="F2480" s="134"/>
      <c r="G2480" s="134"/>
      <c r="H2480" s="134"/>
      <c r="I2480" s="134"/>
      <c r="J2480" s="134"/>
      <c r="K2480" s="134"/>
      <c r="L2480" s="134"/>
      <c r="M2480" s="134"/>
    </row>
    <row r="2481" spans="3:13" ht="12.75">
      <c r="C2481" s="134"/>
      <c r="D2481" s="134"/>
      <c r="E2481" s="134"/>
      <c r="F2481" s="134"/>
      <c r="G2481" s="134"/>
      <c r="H2481" s="134"/>
      <c r="I2481" s="134"/>
      <c r="J2481" s="134"/>
      <c r="K2481" s="134"/>
      <c r="L2481" s="134"/>
      <c r="M2481" s="134"/>
    </row>
    <row r="2482" spans="3:13" ht="12.75">
      <c r="C2482" s="134"/>
      <c r="D2482" s="134"/>
      <c r="E2482" s="134"/>
      <c r="F2482" s="134"/>
      <c r="G2482" s="134"/>
      <c r="H2482" s="134"/>
      <c r="I2482" s="134"/>
      <c r="J2482" s="134"/>
      <c r="K2482" s="134"/>
      <c r="L2482" s="134"/>
      <c r="M2482" s="134"/>
    </row>
    <row r="2483" spans="3:13" ht="12.75">
      <c r="C2483" s="134"/>
      <c r="D2483" s="134"/>
      <c r="E2483" s="134"/>
      <c r="F2483" s="134"/>
      <c r="G2483" s="134"/>
      <c r="H2483" s="134"/>
      <c r="I2483" s="134"/>
      <c r="J2483" s="134"/>
      <c r="K2483" s="134"/>
      <c r="L2483" s="134"/>
      <c r="M2483" s="134"/>
    </row>
    <row r="2484" spans="3:13" ht="12.75">
      <c r="C2484" s="134"/>
      <c r="D2484" s="134"/>
      <c r="E2484" s="134"/>
      <c r="F2484" s="134"/>
      <c r="G2484" s="134"/>
      <c r="H2484" s="134"/>
      <c r="I2484" s="134"/>
      <c r="J2484" s="134"/>
      <c r="K2484" s="134"/>
      <c r="L2484" s="134"/>
      <c r="M2484" s="134"/>
    </row>
    <row r="2485" spans="3:13" ht="12.75">
      <c r="C2485" s="134"/>
      <c r="D2485" s="134"/>
      <c r="E2485" s="134"/>
      <c r="F2485" s="134"/>
      <c r="G2485" s="134"/>
      <c r="H2485" s="134"/>
      <c r="I2485" s="134"/>
      <c r="J2485" s="134"/>
      <c r="K2485" s="134"/>
      <c r="L2485" s="134"/>
      <c r="M2485" s="134"/>
    </row>
    <row r="2486" spans="3:13" ht="12.75">
      <c r="C2486" s="134"/>
      <c r="D2486" s="134"/>
      <c r="E2486" s="134"/>
      <c r="F2486" s="134"/>
      <c r="G2486" s="134"/>
      <c r="H2486" s="134"/>
      <c r="I2486" s="134"/>
      <c r="J2486" s="134"/>
      <c r="K2486" s="134"/>
      <c r="L2486" s="134"/>
      <c r="M2486" s="134"/>
    </row>
    <row r="2487" spans="3:13" ht="12.75">
      <c r="C2487" s="134"/>
      <c r="D2487" s="134"/>
      <c r="E2487" s="134"/>
      <c r="F2487" s="134"/>
      <c r="G2487" s="134"/>
      <c r="H2487" s="134"/>
      <c r="I2487" s="134"/>
      <c r="J2487" s="134"/>
      <c r="K2487" s="134"/>
      <c r="L2487" s="134"/>
      <c r="M2487" s="134"/>
    </row>
    <row r="2488" spans="3:13" ht="12.75">
      <c r="C2488" s="134"/>
      <c r="D2488" s="134"/>
      <c r="E2488" s="134"/>
      <c r="F2488" s="134"/>
      <c r="G2488" s="134"/>
      <c r="H2488" s="134"/>
      <c r="I2488" s="134"/>
      <c r="J2488" s="134"/>
      <c r="K2488" s="134"/>
      <c r="L2488" s="134"/>
      <c r="M2488" s="134"/>
    </row>
    <row r="2489" spans="3:13" ht="12.75">
      <c r="C2489" s="134"/>
      <c r="D2489" s="134"/>
      <c r="E2489" s="134"/>
      <c r="F2489" s="134"/>
      <c r="G2489" s="134"/>
      <c r="H2489" s="134"/>
      <c r="I2489" s="134"/>
      <c r="J2489" s="134"/>
      <c r="K2489" s="134"/>
      <c r="L2489" s="134"/>
      <c r="M2489" s="134"/>
    </row>
    <row r="2490" spans="3:13" ht="12.75">
      <c r="C2490" s="134"/>
      <c r="D2490" s="134"/>
      <c r="E2490" s="134"/>
      <c r="F2490" s="134"/>
      <c r="G2490" s="134"/>
      <c r="H2490" s="134"/>
      <c r="I2490" s="134"/>
      <c r="J2490" s="134"/>
      <c r="K2490" s="134"/>
      <c r="L2490" s="134"/>
      <c r="M2490" s="134"/>
    </row>
    <row r="2491" spans="3:13" ht="12.75">
      <c r="C2491" s="134"/>
      <c r="D2491" s="134"/>
      <c r="E2491" s="134"/>
      <c r="F2491" s="134"/>
      <c r="G2491" s="134"/>
      <c r="H2491" s="134"/>
      <c r="I2491" s="134"/>
      <c r="J2491" s="134"/>
      <c r="K2491" s="134"/>
      <c r="L2491" s="134"/>
      <c r="M2491" s="134"/>
    </row>
    <row r="2492" spans="3:13" ht="12.75">
      <c r="C2492" s="134"/>
      <c r="D2492" s="134"/>
      <c r="E2492" s="134"/>
      <c r="F2492" s="134"/>
      <c r="G2492" s="134"/>
      <c r="H2492" s="134"/>
      <c r="I2492" s="134"/>
      <c r="J2492" s="134"/>
      <c r="K2492" s="134"/>
      <c r="L2492" s="134"/>
      <c r="M2492" s="134"/>
    </row>
    <row r="2493" spans="3:13" ht="12.75">
      <c r="C2493" s="134"/>
      <c r="D2493" s="134"/>
      <c r="E2493" s="134"/>
      <c r="F2493" s="134"/>
      <c r="G2493" s="134"/>
      <c r="H2493" s="134"/>
      <c r="I2493" s="134"/>
      <c r="J2493" s="134"/>
      <c r="K2493" s="134"/>
      <c r="L2493" s="134"/>
      <c r="M2493" s="134"/>
    </row>
    <row r="2494" spans="3:13" ht="12.75">
      <c r="C2494" s="134"/>
      <c r="D2494" s="134"/>
      <c r="E2494" s="134"/>
      <c r="F2494" s="134"/>
      <c r="G2494" s="134"/>
      <c r="H2494" s="134"/>
      <c r="I2494" s="134"/>
      <c r="J2494" s="134"/>
      <c r="K2494" s="134"/>
      <c r="L2494" s="134"/>
      <c r="M2494" s="134"/>
    </row>
    <row r="2495" spans="3:13" ht="12.75">
      <c r="C2495" s="134"/>
      <c r="D2495" s="134"/>
      <c r="E2495" s="134"/>
      <c r="F2495" s="134"/>
      <c r="G2495" s="134"/>
      <c r="H2495" s="134"/>
      <c r="I2495" s="134"/>
      <c r="J2495" s="134"/>
      <c r="K2495" s="134"/>
      <c r="L2495" s="134"/>
      <c r="M2495" s="134"/>
    </row>
    <row r="2496" spans="3:13" ht="12.75">
      <c r="C2496" s="134"/>
      <c r="D2496" s="134"/>
      <c r="E2496" s="134"/>
      <c r="F2496" s="134"/>
      <c r="G2496" s="134"/>
      <c r="H2496" s="134"/>
      <c r="I2496" s="134"/>
      <c r="J2496" s="134"/>
      <c r="K2496" s="134"/>
      <c r="L2496" s="134"/>
      <c r="M2496" s="134"/>
    </row>
    <row r="2497" spans="3:13" ht="12.75">
      <c r="C2497" s="134"/>
      <c r="D2497" s="134"/>
      <c r="E2497" s="134"/>
      <c r="F2497" s="134"/>
      <c r="G2497" s="134"/>
      <c r="H2497" s="134"/>
      <c r="I2497" s="134"/>
      <c r="J2497" s="134"/>
      <c r="K2497" s="134"/>
      <c r="L2497" s="134"/>
      <c r="M2497" s="134"/>
    </row>
    <row r="2498" spans="3:13" ht="12.75">
      <c r="C2498" s="134"/>
      <c r="D2498" s="134"/>
      <c r="E2498" s="134"/>
      <c r="F2498" s="134"/>
      <c r="G2498" s="134"/>
      <c r="H2498" s="134"/>
      <c r="I2498" s="134"/>
      <c r="J2498" s="134"/>
      <c r="K2498" s="134"/>
      <c r="L2498" s="134"/>
      <c r="M2498" s="134"/>
    </row>
    <row r="2499" spans="3:13" ht="12.75">
      <c r="C2499" s="134"/>
      <c r="D2499" s="134"/>
      <c r="E2499" s="134"/>
      <c r="F2499" s="134"/>
      <c r="G2499" s="134"/>
      <c r="H2499" s="134"/>
      <c r="I2499" s="134"/>
      <c r="J2499" s="134"/>
      <c r="K2499" s="134"/>
      <c r="L2499" s="134"/>
      <c r="M2499" s="134"/>
    </row>
    <row r="2500" spans="3:13" ht="12.75">
      <c r="C2500" s="134"/>
      <c r="D2500" s="134"/>
      <c r="E2500" s="134"/>
      <c r="F2500" s="134"/>
      <c r="G2500" s="134"/>
      <c r="H2500" s="134"/>
      <c r="I2500" s="134"/>
      <c r="J2500" s="134"/>
      <c r="K2500" s="134"/>
      <c r="L2500" s="134"/>
      <c r="M2500" s="134"/>
    </row>
    <row r="2501" spans="3:13" ht="12.75">
      <c r="C2501" s="134"/>
      <c r="D2501" s="134"/>
      <c r="E2501" s="134"/>
      <c r="F2501" s="134"/>
      <c r="G2501" s="134"/>
      <c r="H2501" s="134"/>
      <c r="I2501" s="134"/>
      <c r="J2501" s="134"/>
      <c r="K2501" s="134"/>
      <c r="L2501" s="134"/>
      <c r="M2501" s="134"/>
    </row>
    <row r="2502" spans="3:13" ht="12.75">
      <c r="C2502" s="134"/>
      <c r="D2502" s="134"/>
      <c r="E2502" s="134"/>
      <c r="F2502" s="134"/>
      <c r="G2502" s="134"/>
      <c r="H2502" s="134"/>
      <c r="I2502" s="134"/>
      <c r="J2502" s="134"/>
      <c r="K2502" s="134"/>
      <c r="L2502" s="134"/>
      <c r="M2502" s="134"/>
    </row>
    <row r="2503" spans="3:13" ht="12.75">
      <c r="C2503" s="134"/>
      <c r="D2503" s="134"/>
      <c r="E2503" s="134"/>
      <c r="F2503" s="134"/>
      <c r="G2503" s="134"/>
      <c r="H2503" s="134"/>
      <c r="I2503" s="134"/>
      <c r="J2503" s="134"/>
      <c r="K2503" s="134"/>
      <c r="L2503" s="134"/>
      <c r="M2503" s="134"/>
    </row>
    <row r="2504" spans="3:13" ht="12.75">
      <c r="C2504" s="134"/>
      <c r="D2504" s="134"/>
      <c r="E2504" s="134"/>
      <c r="F2504" s="134"/>
      <c r="G2504" s="134"/>
      <c r="H2504" s="134"/>
      <c r="I2504" s="134"/>
      <c r="J2504" s="134"/>
      <c r="K2504" s="134"/>
      <c r="L2504" s="134"/>
      <c r="M2504" s="134"/>
    </row>
    <row r="2505" spans="3:13" ht="12.75">
      <c r="C2505" s="134"/>
      <c r="D2505" s="134"/>
      <c r="E2505" s="134"/>
      <c r="F2505" s="134"/>
      <c r="G2505" s="134"/>
      <c r="H2505" s="134"/>
      <c r="I2505" s="134"/>
      <c r="J2505" s="134"/>
      <c r="K2505" s="134"/>
      <c r="L2505" s="134"/>
      <c r="M2505" s="134"/>
    </row>
    <row r="2506" spans="3:13" ht="12.75">
      <c r="C2506" s="134"/>
      <c r="D2506" s="134"/>
      <c r="E2506" s="134"/>
      <c r="F2506" s="134"/>
      <c r="G2506" s="134"/>
      <c r="H2506" s="134"/>
      <c r="I2506" s="134"/>
      <c r="J2506" s="134"/>
      <c r="K2506" s="134"/>
      <c r="L2506" s="134"/>
      <c r="M2506" s="134"/>
    </row>
    <row r="2507" spans="3:13" ht="12.75">
      <c r="C2507" s="134"/>
      <c r="D2507" s="134"/>
      <c r="E2507" s="134"/>
      <c r="F2507" s="134"/>
      <c r="G2507" s="134"/>
      <c r="H2507" s="134"/>
      <c r="I2507" s="134"/>
      <c r="J2507" s="134"/>
      <c r="K2507" s="134"/>
      <c r="L2507" s="134"/>
      <c r="M2507" s="134"/>
    </row>
    <row r="2508" spans="3:13" ht="12.75">
      <c r="C2508" s="134"/>
      <c r="D2508" s="134"/>
      <c r="E2508" s="134"/>
      <c r="F2508" s="134"/>
      <c r="G2508" s="134"/>
      <c r="H2508" s="134"/>
      <c r="I2508" s="134"/>
      <c r="J2508" s="134"/>
      <c r="K2508" s="134"/>
      <c r="L2508" s="134"/>
      <c r="M2508" s="134"/>
    </row>
    <row r="2509" spans="3:13" ht="12.75">
      <c r="C2509" s="134"/>
      <c r="D2509" s="134"/>
      <c r="E2509" s="134"/>
      <c r="F2509" s="134"/>
      <c r="G2509" s="134"/>
      <c r="H2509" s="134"/>
      <c r="I2509" s="134"/>
      <c r="J2509" s="134"/>
      <c r="K2509" s="134"/>
      <c r="L2509" s="134"/>
      <c r="M2509" s="134"/>
    </row>
    <row r="2510" spans="3:13" ht="12.75">
      <c r="C2510" s="134"/>
      <c r="D2510" s="134"/>
      <c r="E2510" s="134"/>
      <c r="F2510" s="134"/>
      <c r="G2510" s="134"/>
      <c r="H2510" s="134"/>
      <c r="I2510" s="134"/>
      <c r="J2510" s="134"/>
      <c r="K2510" s="134"/>
      <c r="L2510" s="134"/>
      <c r="M2510" s="134"/>
    </row>
    <row r="2511" spans="3:13" ht="12.75">
      <c r="C2511" s="134"/>
      <c r="D2511" s="134"/>
      <c r="E2511" s="134"/>
      <c r="F2511" s="134"/>
      <c r="G2511" s="134"/>
      <c r="H2511" s="134"/>
      <c r="I2511" s="134"/>
      <c r="J2511" s="134"/>
      <c r="K2511" s="134"/>
      <c r="L2511" s="134"/>
      <c r="M2511" s="134"/>
    </row>
    <row r="2512" spans="3:13" ht="12.75">
      <c r="C2512" s="134"/>
      <c r="D2512" s="134"/>
      <c r="E2512" s="134"/>
      <c r="F2512" s="134"/>
      <c r="G2512" s="134"/>
      <c r="H2512" s="134"/>
      <c r="I2512" s="134"/>
      <c r="J2512" s="134"/>
      <c r="K2512" s="134"/>
      <c r="L2512" s="134"/>
      <c r="M2512" s="134"/>
    </row>
    <row r="2513" spans="3:13" ht="12.75">
      <c r="C2513" s="134"/>
      <c r="D2513" s="134"/>
      <c r="E2513" s="134"/>
      <c r="F2513" s="134"/>
      <c r="G2513" s="134"/>
      <c r="H2513" s="134"/>
      <c r="I2513" s="134"/>
      <c r="J2513" s="134"/>
      <c r="K2513" s="134"/>
      <c r="L2513" s="134"/>
      <c r="M2513" s="134"/>
    </row>
    <row r="2514" spans="3:13" ht="12.75">
      <c r="C2514" s="134"/>
      <c r="D2514" s="134"/>
      <c r="E2514" s="134"/>
      <c r="F2514" s="134"/>
      <c r="G2514" s="134"/>
      <c r="H2514" s="134"/>
      <c r="I2514" s="134"/>
      <c r="J2514" s="134"/>
      <c r="K2514" s="134"/>
      <c r="L2514" s="134"/>
      <c r="M2514" s="134"/>
    </row>
    <row r="2515" spans="3:13" ht="12.75">
      <c r="C2515" s="134"/>
      <c r="D2515" s="134"/>
      <c r="E2515" s="134"/>
      <c r="F2515" s="134"/>
      <c r="G2515" s="134"/>
      <c r="H2515" s="134"/>
      <c r="I2515" s="134"/>
      <c r="J2515" s="134"/>
      <c r="K2515" s="134"/>
      <c r="L2515" s="134"/>
      <c r="M2515" s="134"/>
    </row>
    <row r="2516" spans="3:13" ht="12.75">
      <c r="C2516" s="134"/>
      <c r="D2516" s="134"/>
      <c r="E2516" s="134"/>
      <c r="F2516" s="134"/>
      <c r="G2516" s="134"/>
      <c r="H2516" s="134"/>
      <c r="I2516" s="134"/>
      <c r="J2516" s="134"/>
      <c r="K2516" s="134"/>
      <c r="L2516" s="134"/>
      <c r="M2516" s="134"/>
    </row>
    <row r="2517" spans="3:13" ht="12.75">
      <c r="C2517" s="134"/>
      <c r="D2517" s="134"/>
      <c r="E2517" s="134"/>
      <c r="F2517" s="134"/>
      <c r="G2517" s="134"/>
      <c r="H2517" s="134"/>
      <c r="I2517" s="134"/>
      <c r="J2517" s="134"/>
      <c r="K2517" s="134"/>
      <c r="L2517" s="134"/>
      <c r="M2517" s="134"/>
    </row>
    <row r="2518" spans="3:13" ht="12.75">
      <c r="C2518" s="134"/>
      <c r="D2518" s="134"/>
      <c r="E2518" s="134"/>
      <c r="F2518" s="134"/>
      <c r="G2518" s="134"/>
      <c r="H2518" s="134"/>
      <c r="I2518" s="134"/>
      <c r="J2518" s="134"/>
      <c r="K2518" s="134"/>
      <c r="L2518" s="134"/>
      <c r="M2518" s="134"/>
    </row>
    <row r="2519" spans="3:13" ht="12.75">
      <c r="C2519" s="134"/>
      <c r="D2519" s="134"/>
      <c r="E2519" s="134"/>
      <c r="F2519" s="134"/>
      <c r="G2519" s="134"/>
      <c r="H2519" s="134"/>
      <c r="I2519" s="134"/>
      <c r="J2519" s="134"/>
      <c r="K2519" s="134"/>
      <c r="L2519" s="134"/>
      <c r="M2519" s="134"/>
    </row>
    <row r="2520" spans="3:13" ht="12.75">
      <c r="C2520" s="134"/>
      <c r="D2520" s="134"/>
      <c r="E2520" s="134"/>
      <c r="F2520" s="134"/>
      <c r="G2520" s="134"/>
      <c r="H2520" s="134"/>
      <c r="I2520" s="134"/>
      <c r="J2520" s="134"/>
      <c r="K2520" s="134"/>
      <c r="L2520" s="134"/>
      <c r="M2520" s="134"/>
    </row>
    <row r="2521" spans="3:13" ht="12.75">
      <c r="C2521" s="134"/>
      <c r="D2521" s="134"/>
      <c r="E2521" s="134"/>
      <c r="F2521" s="134"/>
      <c r="G2521" s="134"/>
      <c r="H2521" s="134"/>
      <c r="I2521" s="134"/>
      <c r="J2521" s="134"/>
      <c r="K2521" s="134"/>
      <c r="L2521" s="134"/>
      <c r="M2521" s="134"/>
    </row>
    <row r="2522" spans="3:13" ht="12.75">
      <c r="C2522" s="134"/>
      <c r="D2522" s="134"/>
      <c r="E2522" s="134"/>
      <c r="F2522" s="134"/>
      <c r="G2522" s="134"/>
      <c r="H2522" s="134"/>
      <c r="I2522" s="134"/>
      <c r="J2522" s="134"/>
      <c r="K2522" s="134"/>
      <c r="L2522" s="134"/>
      <c r="M2522" s="134"/>
    </row>
    <row r="2523" spans="3:13" ht="12.75">
      <c r="C2523" s="134"/>
      <c r="D2523" s="134"/>
      <c r="E2523" s="134"/>
      <c r="F2523" s="134"/>
      <c r="G2523" s="134"/>
      <c r="H2523" s="134"/>
      <c r="I2523" s="134"/>
      <c r="J2523" s="134"/>
      <c r="K2523" s="134"/>
      <c r="L2523" s="134"/>
      <c r="M2523" s="134"/>
    </row>
    <row r="2524" spans="3:13" ht="12.75">
      <c r="C2524" s="134"/>
      <c r="D2524" s="134"/>
      <c r="E2524" s="134"/>
      <c r="F2524" s="134"/>
      <c r="G2524" s="134"/>
      <c r="H2524" s="134"/>
      <c r="I2524" s="134"/>
      <c r="J2524" s="134"/>
      <c r="K2524" s="134"/>
      <c r="L2524" s="134"/>
      <c r="M2524" s="134"/>
    </row>
    <row r="2525" spans="3:13" ht="12.75">
      <c r="C2525" s="134"/>
      <c r="D2525" s="134"/>
      <c r="E2525" s="134"/>
      <c r="F2525" s="134"/>
      <c r="G2525" s="134"/>
      <c r="H2525" s="134"/>
      <c r="I2525" s="134"/>
      <c r="J2525" s="134"/>
      <c r="K2525" s="134"/>
      <c r="L2525" s="134"/>
      <c r="M2525" s="134"/>
    </row>
    <row r="2526" spans="3:13" ht="12.75">
      <c r="C2526" s="134"/>
      <c r="D2526" s="134"/>
      <c r="E2526" s="134"/>
      <c r="F2526" s="134"/>
      <c r="G2526" s="134"/>
      <c r="H2526" s="134"/>
      <c r="I2526" s="134"/>
      <c r="J2526" s="134"/>
      <c r="K2526" s="134"/>
      <c r="L2526" s="134"/>
      <c r="M2526" s="134"/>
    </row>
    <row r="2527" spans="3:13" ht="12.75">
      <c r="C2527" s="134"/>
      <c r="D2527" s="134"/>
      <c r="E2527" s="134"/>
      <c r="F2527" s="134"/>
      <c r="G2527" s="134"/>
      <c r="H2527" s="134"/>
      <c r="I2527" s="134"/>
      <c r="J2527" s="134"/>
      <c r="K2527" s="134"/>
      <c r="L2527" s="134"/>
      <c r="M2527" s="134"/>
    </row>
    <row r="2528" spans="3:13" ht="12.75">
      <c r="C2528" s="134"/>
      <c r="D2528" s="134"/>
      <c r="E2528" s="134"/>
      <c r="F2528" s="134"/>
      <c r="G2528" s="134"/>
      <c r="H2528" s="134"/>
      <c r="I2528" s="134"/>
      <c r="J2528" s="134"/>
      <c r="K2528" s="134"/>
      <c r="L2528" s="134"/>
      <c r="M2528" s="134"/>
    </row>
    <row r="2529" spans="3:13" ht="12.75">
      <c r="C2529" s="134"/>
      <c r="D2529" s="134"/>
      <c r="E2529" s="134"/>
      <c r="F2529" s="134"/>
      <c r="G2529" s="134"/>
      <c r="H2529" s="134"/>
      <c r="I2529" s="134"/>
      <c r="J2529" s="134"/>
      <c r="K2529" s="134"/>
      <c r="L2529" s="134"/>
      <c r="M2529" s="134"/>
    </row>
    <row r="2530" spans="3:13" ht="12.75">
      <c r="C2530" s="134"/>
      <c r="D2530" s="134"/>
      <c r="E2530" s="134"/>
      <c r="F2530" s="134"/>
      <c r="G2530" s="134"/>
      <c r="H2530" s="134"/>
      <c r="I2530" s="134"/>
      <c r="J2530" s="134"/>
      <c r="K2530" s="134"/>
      <c r="L2530" s="134"/>
      <c r="M2530" s="134"/>
    </row>
    <row r="2531" spans="3:13" ht="12.75">
      <c r="C2531" s="134"/>
      <c r="D2531" s="134"/>
      <c r="E2531" s="134"/>
      <c r="F2531" s="134"/>
      <c r="G2531" s="134"/>
      <c r="H2531" s="134"/>
      <c r="I2531" s="134"/>
      <c r="J2531" s="134"/>
      <c r="K2531" s="134"/>
      <c r="L2531" s="134"/>
      <c r="M2531" s="134"/>
    </row>
    <row r="2532" spans="3:13" ht="12.75">
      <c r="C2532" s="134"/>
      <c r="D2532" s="134"/>
      <c r="E2532" s="134"/>
      <c r="F2532" s="134"/>
      <c r="G2532" s="134"/>
      <c r="H2532" s="134"/>
      <c r="I2532" s="134"/>
      <c r="J2532" s="134"/>
      <c r="K2532" s="134"/>
      <c r="L2532" s="134"/>
      <c r="M2532" s="134"/>
    </row>
    <row r="2533" spans="3:13" ht="12.75">
      <c r="C2533" s="134"/>
      <c r="D2533" s="134"/>
      <c r="E2533" s="134"/>
      <c r="F2533" s="134"/>
      <c r="G2533" s="134"/>
      <c r="H2533" s="134"/>
      <c r="I2533" s="134"/>
      <c r="J2533" s="134"/>
      <c r="K2533" s="134"/>
      <c r="L2533" s="134"/>
      <c r="M2533" s="134"/>
    </row>
    <row r="2534" spans="3:13" ht="12.75">
      <c r="C2534" s="134"/>
      <c r="D2534" s="134"/>
      <c r="E2534" s="134"/>
      <c r="F2534" s="134"/>
      <c r="G2534" s="134"/>
      <c r="H2534" s="134"/>
      <c r="I2534" s="134"/>
      <c r="J2534" s="134"/>
      <c r="K2534" s="134"/>
      <c r="L2534" s="134"/>
      <c r="M2534" s="134"/>
    </row>
    <row r="2535" spans="3:13" ht="12.75">
      <c r="C2535" s="134"/>
      <c r="D2535" s="134"/>
      <c r="E2535" s="134"/>
      <c r="F2535" s="134"/>
      <c r="G2535" s="134"/>
      <c r="H2535" s="134"/>
      <c r="I2535" s="134"/>
      <c r="J2535" s="134"/>
      <c r="K2535" s="134"/>
      <c r="L2535" s="134"/>
      <c r="M2535" s="134"/>
    </row>
    <row r="2536" spans="3:13" ht="12.75">
      <c r="C2536" s="134"/>
      <c r="D2536" s="134"/>
      <c r="E2536" s="134"/>
      <c r="F2536" s="134"/>
      <c r="G2536" s="134"/>
      <c r="H2536" s="134"/>
      <c r="I2536" s="134"/>
      <c r="J2536" s="134"/>
      <c r="K2536" s="134"/>
      <c r="L2536" s="134"/>
      <c r="M2536" s="134"/>
    </row>
    <row r="2537" spans="3:13" ht="12.75">
      <c r="C2537" s="134"/>
      <c r="D2537" s="134"/>
      <c r="E2537" s="134"/>
      <c r="F2537" s="134"/>
      <c r="G2537" s="134"/>
      <c r="H2537" s="134"/>
      <c r="I2537" s="134"/>
      <c r="J2537" s="134"/>
      <c r="K2537" s="134"/>
      <c r="L2537" s="134"/>
      <c r="M2537" s="134"/>
    </row>
    <row r="2538" spans="3:13" ht="12.75">
      <c r="C2538" s="134"/>
      <c r="D2538" s="134"/>
      <c r="E2538" s="134"/>
      <c r="F2538" s="134"/>
      <c r="G2538" s="134"/>
      <c r="H2538" s="134"/>
      <c r="I2538" s="134"/>
      <c r="J2538" s="134"/>
      <c r="K2538" s="134"/>
      <c r="L2538" s="134"/>
      <c r="M2538" s="134"/>
    </row>
    <row r="2539" spans="3:13" ht="12.75">
      <c r="C2539" s="134"/>
      <c r="D2539" s="134"/>
      <c r="E2539" s="134"/>
      <c r="F2539" s="134"/>
      <c r="G2539" s="134"/>
      <c r="H2539" s="134"/>
      <c r="I2539" s="134"/>
      <c r="J2539" s="134"/>
      <c r="K2539" s="134"/>
      <c r="L2539" s="134"/>
      <c r="M2539" s="134"/>
    </row>
    <row r="2540" spans="3:13" ht="12.75">
      <c r="C2540" s="134"/>
      <c r="D2540" s="134"/>
      <c r="E2540" s="134"/>
      <c r="F2540" s="134"/>
      <c r="G2540" s="134"/>
      <c r="H2540" s="134"/>
      <c r="I2540" s="134"/>
      <c r="J2540" s="134"/>
      <c r="K2540" s="134"/>
      <c r="L2540" s="134"/>
      <c r="M2540" s="134"/>
    </row>
    <row r="2541" spans="3:13" ht="12.75">
      <c r="C2541" s="134"/>
      <c r="D2541" s="134"/>
      <c r="E2541" s="134"/>
      <c r="F2541" s="134"/>
      <c r="G2541" s="134"/>
      <c r="H2541" s="134"/>
      <c r="I2541" s="134"/>
      <c r="J2541" s="134"/>
      <c r="K2541" s="134"/>
      <c r="L2541" s="134"/>
      <c r="M2541" s="134"/>
    </row>
    <row r="2542" spans="3:13" ht="12.75">
      <c r="C2542" s="134"/>
      <c r="D2542" s="134"/>
      <c r="E2542" s="134"/>
      <c r="F2542" s="134"/>
      <c r="G2542" s="134"/>
      <c r="H2542" s="134"/>
      <c r="I2542" s="134"/>
      <c r="J2542" s="134"/>
      <c r="K2542" s="134"/>
      <c r="L2542" s="134"/>
      <c r="M2542" s="134"/>
    </row>
    <row r="2543" spans="3:13" ht="12.75">
      <c r="C2543" s="134"/>
      <c r="D2543" s="134"/>
      <c r="E2543" s="134"/>
      <c r="F2543" s="134"/>
      <c r="G2543" s="134"/>
      <c r="H2543" s="134"/>
      <c r="I2543" s="134"/>
      <c r="J2543" s="134"/>
      <c r="K2543" s="134"/>
      <c r="L2543" s="134"/>
      <c r="M2543" s="134"/>
    </row>
    <row r="2544" spans="3:13" ht="12.75">
      <c r="C2544" s="134"/>
      <c r="D2544" s="134"/>
      <c r="E2544" s="134"/>
      <c r="F2544" s="134"/>
      <c r="G2544" s="134"/>
      <c r="H2544" s="134"/>
      <c r="I2544" s="134"/>
      <c r="J2544" s="134"/>
      <c r="K2544" s="134"/>
      <c r="L2544" s="134"/>
      <c r="M2544" s="134"/>
    </row>
    <row r="2545" spans="3:13" ht="12.75">
      <c r="C2545" s="134"/>
      <c r="D2545" s="134"/>
      <c r="E2545" s="134"/>
      <c r="F2545" s="134"/>
      <c r="G2545" s="134"/>
      <c r="H2545" s="134"/>
      <c r="I2545" s="134"/>
      <c r="J2545" s="134"/>
      <c r="K2545" s="134"/>
      <c r="L2545" s="134"/>
      <c r="M2545" s="134"/>
    </row>
    <row r="2546" spans="3:13" ht="12.75">
      <c r="C2546" s="134"/>
      <c r="D2546" s="134"/>
      <c r="E2546" s="134"/>
      <c r="F2546" s="134"/>
      <c r="G2546" s="134"/>
      <c r="H2546" s="134"/>
      <c r="I2546" s="134"/>
      <c r="J2546" s="134"/>
      <c r="K2546" s="134"/>
      <c r="L2546" s="134"/>
      <c r="M2546" s="134"/>
    </row>
    <row r="2547" spans="3:13" ht="12.75">
      <c r="C2547" s="134"/>
      <c r="D2547" s="134"/>
      <c r="E2547" s="134"/>
      <c r="F2547" s="134"/>
      <c r="G2547" s="134"/>
      <c r="H2547" s="134"/>
      <c r="I2547" s="134"/>
      <c r="J2547" s="134"/>
      <c r="K2547" s="134"/>
      <c r="L2547" s="134"/>
      <c r="M2547" s="134"/>
    </row>
    <row r="2548" spans="3:13" ht="12.75">
      <c r="C2548" s="134"/>
      <c r="D2548" s="134"/>
      <c r="E2548" s="134"/>
      <c r="F2548" s="134"/>
      <c r="G2548" s="134"/>
      <c r="H2548" s="134"/>
      <c r="I2548" s="134"/>
      <c r="J2548" s="134"/>
      <c r="K2548" s="134"/>
      <c r="L2548" s="134"/>
      <c r="M2548" s="134"/>
    </row>
    <row r="2549" spans="3:13" ht="12.75">
      <c r="C2549" s="134"/>
      <c r="D2549" s="134"/>
      <c r="E2549" s="134"/>
      <c r="F2549" s="134"/>
      <c r="G2549" s="134"/>
      <c r="H2549" s="134"/>
      <c r="I2549" s="134"/>
      <c r="J2549" s="134"/>
      <c r="K2549" s="134"/>
      <c r="L2549" s="134"/>
      <c r="M2549" s="134"/>
    </row>
    <row r="2550" spans="3:13" ht="12.75">
      <c r="C2550" s="134"/>
      <c r="D2550" s="134"/>
      <c r="E2550" s="134"/>
      <c r="F2550" s="134"/>
      <c r="G2550" s="134"/>
      <c r="H2550" s="134"/>
      <c r="I2550" s="134"/>
      <c r="J2550" s="134"/>
      <c r="K2550" s="134"/>
      <c r="L2550" s="134"/>
      <c r="M2550" s="134"/>
    </row>
    <row r="2551" spans="3:13" ht="12.75">
      <c r="C2551" s="134"/>
      <c r="D2551" s="134"/>
      <c r="E2551" s="134"/>
      <c r="F2551" s="134"/>
      <c r="G2551" s="134"/>
      <c r="H2551" s="134"/>
      <c r="I2551" s="134"/>
      <c r="J2551" s="134"/>
      <c r="K2551" s="134"/>
      <c r="L2551" s="134"/>
      <c r="M2551" s="134"/>
    </row>
    <row r="2552" spans="3:13" ht="12.75">
      <c r="C2552" s="134"/>
      <c r="D2552" s="134"/>
      <c r="E2552" s="134"/>
      <c r="F2552" s="134"/>
      <c r="G2552" s="134"/>
      <c r="H2552" s="134"/>
      <c r="I2552" s="134"/>
      <c r="J2552" s="134"/>
      <c r="K2552" s="134"/>
      <c r="L2552" s="134"/>
      <c r="M2552" s="134"/>
    </row>
    <row r="2553" spans="3:13" ht="12.75">
      <c r="C2553" s="134"/>
      <c r="D2553" s="134"/>
      <c r="E2553" s="134"/>
      <c r="F2553" s="134"/>
      <c r="G2553" s="134"/>
      <c r="H2553" s="134"/>
      <c r="I2553" s="134"/>
      <c r="J2553" s="134"/>
      <c r="K2553" s="134"/>
      <c r="L2553" s="134"/>
      <c r="M2553" s="134"/>
    </row>
    <row r="2554" spans="3:13" ht="12.75">
      <c r="C2554" s="134"/>
      <c r="D2554" s="134"/>
      <c r="E2554" s="134"/>
      <c r="F2554" s="134"/>
      <c r="G2554" s="134"/>
      <c r="H2554" s="134"/>
      <c r="I2554" s="134"/>
      <c r="J2554" s="134"/>
      <c r="K2554" s="134"/>
      <c r="L2554" s="134"/>
      <c r="M2554" s="134"/>
    </row>
    <row r="2555" spans="3:13" ht="12.75">
      <c r="C2555" s="134"/>
      <c r="D2555" s="134"/>
      <c r="E2555" s="134"/>
      <c r="F2555" s="134"/>
      <c r="G2555" s="134"/>
      <c r="H2555" s="134"/>
      <c r="I2555" s="134"/>
      <c r="J2555" s="134"/>
      <c r="K2555" s="134"/>
      <c r="L2555" s="134"/>
      <c r="M2555" s="134"/>
    </row>
    <row r="2556" spans="3:13" ht="12.75">
      <c r="C2556" s="134"/>
      <c r="D2556" s="134"/>
      <c r="E2556" s="134"/>
      <c r="F2556" s="134"/>
      <c r="G2556" s="134"/>
      <c r="H2556" s="134"/>
      <c r="I2556" s="134"/>
      <c r="J2556" s="134"/>
      <c r="K2556" s="134"/>
      <c r="L2556" s="134"/>
      <c r="M2556" s="134"/>
    </row>
    <row r="2557" spans="3:13" ht="12.75">
      <c r="C2557" s="134"/>
      <c r="D2557" s="134"/>
      <c r="E2557" s="134"/>
      <c r="F2557" s="134"/>
      <c r="G2557" s="134"/>
      <c r="H2557" s="134"/>
      <c r="I2557" s="134"/>
      <c r="J2557" s="134"/>
      <c r="K2557" s="134"/>
      <c r="L2557" s="134"/>
      <c r="M2557" s="134"/>
    </row>
    <row r="2558" spans="3:13" ht="12.75">
      <c r="C2558" s="134"/>
      <c r="D2558" s="134"/>
      <c r="E2558" s="134"/>
      <c r="F2558" s="134"/>
      <c r="G2558" s="134"/>
      <c r="H2558" s="134"/>
      <c r="I2558" s="134"/>
      <c r="J2558" s="134"/>
      <c r="K2558" s="134"/>
      <c r="L2558" s="134"/>
      <c r="M2558" s="134"/>
    </row>
    <row r="2559" spans="3:13" ht="12.75">
      <c r="C2559" s="134"/>
      <c r="D2559" s="134"/>
      <c r="E2559" s="134"/>
      <c r="F2559" s="134"/>
      <c r="G2559" s="134"/>
      <c r="H2559" s="134"/>
      <c r="I2559" s="134"/>
      <c r="J2559" s="134"/>
      <c r="K2559" s="134"/>
      <c r="L2559" s="134"/>
      <c r="M2559" s="134"/>
    </row>
    <row r="2560" spans="3:13" ht="12.75">
      <c r="C2560" s="134"/>
      <c r="D2560" s="134"/>
      <c r="E2560" s="134"/>
      <c r="F2560" s="134"/>
      <c r="G2560" s="134"/>
      <c r="H2560" s="134"/>
      <c r="I2560" s="134"/>
      <c r="J2560" s="134"/>
      <c r="K2560" s="134"/>
      <c r="L2560" s="134"/>
      <c r="M2560" s="134"/>
    </row>
    <row r="2561" spans="3:13" ht="12.75">
      <c r="C2561" s="134"/>
      <c r="D2561" s="134"/>
      <c r="E2561" s="134"/>
      <c r="F2561" s="134"/>
      <c r="G2561" s="134"/>
      <c r="H2561" s="134"/>
      <c r="I2561" s="134"/>
      <c r="J2561" s="134"/>
      <c r="K2561" s="134"/>
      <c r="L2561" s="134"/>
      <c r="M2561" s="134"/>
    </row>
    <row r="2562" spans="3:13" ht="12.75">
      <c r="C2562" s="134"/>
      <c r="D2562" s="134"/>
      <c r="E2562" s="134"/>
      <c r="F2562" s="134"/>
      <c r="G2562" s="134"/>
      <c r="H2562" s="134"/>
      <c r="I2562" s="134"/>
      <c r="J2562" s="134"/>
      <c r="K2562" s="134"/>
      <c r="L2562" s="134"/>
      <c r="M2562" s="134"/>
    </row>
    <row r="2563" spans="3:13" ht="12.75">
      <c r="C2563" s="134"/>
      <c r="D2563" s="134"/>
      <c r="E2563" s="134"/>
      <c r="F2563" s="134"/>
      <c r="G2563" s="134"/>
      <c r="H2563" s="134"/>
      <c r="I2563" s="134"/>
      <c r="J2563" s="134"/>
      <c r="K2563" s="134"/>
      <c r="L2563" s="134"/>
      <c r="M2563" s="134"/>
    </row>
    <row r="2564" spans="3:13" ht="12.75">
      <c r="C2564" s="134"/>
      <c r="D2564" s="134"/>
      <c r="E2564" s="134"/>
      <c r="F2564" s="134"/>
      <c r="G2564" s="134"/>
      <c r="H2564" s="134"/>
      <c r="I2564" s="134"/>
      <c r="J2564" s="134"/>
      <c r="K2564" s="134"/>
      <c r="L2564" s="134"/>
      <c r="M2564" s="134"/>
    </row>
    <row r="2565" spans="3:13" ht="12.75">
      <c r="C2565" s="134"/>
      <c r="D2565" s="134"/>
      <c r="E2565" s="134"/>
      <c r="F2565" s="134"/>
      <c r="G2565" s="134"/>
      <c r="H2565" s="134"/>
      <c r="I2565" s="134"/>
      <c r="J2565" s="134"/>
      <c r="K2565" s="134"/>
      <c r="L2565" s="134"/>
      <c r="M2565" s="134"/>
    </row>
    <row r="2566" spans="3:13" ht="12.75">
      <c r="C2566" s="134"/>
      <c r="D2566" s="134"/>
      <c r="E2566" s="134"/>
      <c r="F2566" s="134"/>
      <c r="G2566" s="134"/>
      <c r="H2566" s="134"/>
      <c r="I2566" s="134"/>
      <c r="J2566" s="134"/>
      <c r="K2566" s="134"/>
      <c r="L2566" s="134"/>
      <c r="M2566" s="134"/>
    </row>
    <row r="2567" spans="3:13" ht="12.75">
      <c r="C2567" s="134"/>
      <c r="D2567" s="134"/>
      <c r="E2567" s="134"/>
      <c r="F2567" s="134"/>
      <c r="G2567" s="134"/>
      <c r="H2567" s="134"/>
      <c r="I2567" s="134"/>
      <c r="J2567" s="134"/>
      <c r="K2567" s="134"/>
      <c r="L2567" s="134"/>
      <c r="M2567" s="134"/>
    </row>
    <row r="2568" spans="3:13" ht="12.75">
      <c r="C2568" s="134"/>
      <c r="D2568" s="134"/>
      <c r="E2568" s="134"/>
      <c r="F2568" s="134"/>
      <c r="G2568" s="134"/>
      <c r="H2568" s="134"/>
      <c r="I2568" s="134"/>
      <c r="J2568" s="134"/>
      <c r="K2568" s="134"/>
      <c r="L2568" s="134"/>
      <c r="M2568" s="134"/>
    </row>
    <row r="2569" spans="3:13" ht="12.75">
      <c r="C2569" s="134"/>
      <c r="D2569" s="134"/>
      <c r="E2569" s="134"/>
      <c r="F2569" s="134"/>
      <c r="G2569" s="134"/>
      <c r="H2569" s="134"/>
      <c r="I2569" s="134"/>
      <c r="J2569" s="134"/>
      <c r="K2569" s="134"/>
      <c r="L2569" s="134"/>
      <c r="M2569" s="134"/>
    </row>
    <row r="2570" spans="3:13" ht="12.75">
      <c r="C2570" s="134"/>
      <c r="D2570" s="134"/>
      <c r="E2570" s="134"/>
      <c r="F2570" s="134"/>
      <c r="G2570" s="134"/>
      <c r="H2570" s="134"/>
      <c r="I2570" s="134"/>
      <c r="J2570" s="134"/>
      <c r="K2570" s="134"/>
      <c r="L2570" s="134"/>
      <c r="M2570" s="134"/>
    </row>
    <row r="2571" spans="3:13" ht="12.75">
      <c r="C2571" s="134"/>
      <c r="D2571" s="134"/>
      <c r="E2571" s="134"/>
      <c r="F2571" s="134"/>
      <c r="G2571" s="134"/>
      <c r="H2571" s="134"/>
      <c r="I2571" s="134"/>
      <c r="J2571" s="134"/>
      <c r="K2571" s="134"/>
      <c r="L2571" s="134"/>
      <c r="M2571" s="134"/>
    </row>
    <row r="2572" spans="3:13" ht="12.75">
      <c r="C2572" s="134"/>
      <c r="D2572" s="134"/>
      <c r="E2572" s="134"/>
      <c r="F2572" s="134"/>
      <c r="G2572" s="134"/>
      <c r="H2572" s="134"/>
      <c r="I2572" s="134"/>
      <c r="J2572" s="134"/>
      <c r="K2572" s="134"/>
      <c r="L2572" s="134"/>
      <c r="M2572" s="134"/>
    </row>
    <row r="2573" spans="3:13" ht="12.75">
      <c r="C2573" s="134"/>
      <c r="D2573" s="134"/>
      <c r="E2573" s="134"/>
      <c r="F2573" s="134"/>
      <c r="G2573" s="134"/>
      <c r="H2573" s="134"/>
      <c r="I2573" s="134"/>
      <c r="J2573" s="134"/>
      <c r="K2573" s="134"/>
      <c r="L2573" s="134"/>
      <c r="M2573" s="134"/>
    </row>
    <row r="2574" spans="3:13" ht="12.75">
      <c r="C2574" s="134"/>
      <c r="D2574" s="134"/>
      <c r="E2574" s="134"/>
      <c r="F2574" s="134"/>
      <c r="G2574" s="134"/>
      <c r="H2574" s="134"/>
      <c r="I2574" s="134"/>
      <c r="J2574" s="134"/>
      <c r="K2574" s="134"/>
      <c r="L2574" s="134"/>
      <c r="M2574" s="134"/>
    </row>
    <row r="2575" spans="3:13" ht="12.75">
      <c r="C2575" s="134"/>
      <c r="D2575" s="134"/>
      <c r="E2575" s="134"/>
      <c r="F2575" s="134"/>
      <c r="G2575" s="134"/>
      <c r="H2575" s="134"/>
      <c r="I2575" s="134"/>
      <c r="J2575" s="134"/>
      <c r="K2575" s="134"/>
      <c r="L2575" s="134"/>
      <c r="M2575" s="134"/>
    </row>
    <row r="2576" spans="3:13" ht="12.75">
      <c r="C2576" s="134"/>
      <c r="D2576" s="134"/>
      <c r="E2576" s="134"/>
      <c r="F2576" s="134"/>
      <c r="G2576" s="134"/>
      <c r="H2576" s="134"/>
      <c r="I2576" s="134"/>
      <c r="J2576" s="134"/>
      <c r="K2576" s="134"/>
      <c r="L2576" s="134"/>
      <c r="M2576" s="134"/>
    </row>
    <row r="2577" spans="3:13" ht="12.75">
      <c r="C2577" s="134"/>
      <c r="D2577" s="134"/>
      <c r="E2577" s="134"/>
      <c r="F2577" s="134"/>
      <c r="G2577" s="134"/>
      <c r="H2577" s="134"/>
      <c r="I2577" s="134"/>
      <c r="J2577" s="134"/>
      <c r="K2577" s="134"/>
      <c r="L2577" s="134"/>
      <c r="M2577" s="134"/>
    </row>
    <row r="2578" spans="3:13" ht="12.75">
      <c r="C2578" s="134"/>
      <c r="D2578" s="134"/>
      <c r="E2578" s="134"/>
      <c r="F2578" s="134"/>
      <c r="G2578" s="134"/>
      <c r="H2578" s="134"/>
      <c r="I2578" s="134"/>
      <c r="J2578" s="134"/>
      <c r="K2578" s="134"/>
      <c r="L2578" s="134"/>
      <c r="M2578" s="134"/>
    </row>
    <row r="2579" spans="3:13" ht="12.75">
      <c r="C2579" s="134"/>
      <c r="D2579" s="134"/>
      <c r="E2579" s="134"/>
      <c r="F2579" s="134"/>
      <c r="G2579" s="134"/>
      <c r="H2579" s="134"/>
      <c r="I2579" s="134"/>
      <c r="J2579" s="134"/>
      <c r="K2579" s="134"/>
      <c r="L2579" s="134"/>
      <c r="M2579" s="134"/>
    </row>
    <row r="2580" spans="3:13" ht="12.75">
      <c r="C2580" s="134"/>
      <c r="D2580" s="134"/>
      <c r="E2580" s="134"/>
      <c r="F2580" s="134"/>
      <c r="G2580" s="134"/>
      <c r="H2580" s="134"/>
      <c r="I2580" s="134"/>
      <c r="J2580" s="134"/>
      <c r="K2580" s="134"/>
      <c r="L2580" s="134"/>
      <c r="M2580" s="134"/>
    </row>
    <row r="2581" spans="3:13" ht="12.75">
      <c r="C2581" s="134"/>
      <c r="D2581" s="134"/>
      <c r="E2581" s="134"/>
      <c r="F2581" s="134"/>
      <c r="G2581" s="134"/>
      <c r="H2581" s="134"/>
      <c r="I2581" s="134"/>
      <c r="J2581" s="134"/>
      <c r="K2581" s="134"/>
      <c r="L2581" s="134"/>
      <c r="M2581" s="134"/>
    </row>
    <row r="2582" spans="3:13" ht="12.75">
      <c r="C2582" s="134"/>
      <c r="D2582" s="134"/>
      <c r="E2582" s="134"/>
      <c r="F2582" s="134"/>
      <c r="G2582" s="134"/>
      <c r="H2582" s="134"/>
      <c r="I2582" s="134"/>
      <c r="J2582" s="134"/>
      <c r="K2582" s="134"/>
      <c r="L2582" s="134"/>
      <c r="M2582" s="134"/>
    </row>
    <row r="2583" spans="3:13" ht="12.75">
      <c r="C2583" s="134"/>
      <c r="D2583" s="134"/>
      <c r="E2583" s="134"/>
      <c r="F2583" s="134"/>
      <c r="G2583" s="134"/>
      <c r="H2583" s="134"/>
      <c r="I2583" s="134"/>
      <c r="J2583" s="134"/>
      <c r="K2583" s="134"/>
      <c r="L2583" s="134"/>
      <c r="M2583" s="134"/>
    </row>
    <row r="2584" spans="3:13" ht="12.75">
      <c r="C2584" s="134"/>
      <c r="D2584" s="134"/>
      <c r="E2584" s="134"/>
      <c r="F2584" s="134"/>
      <c r="G2584" s="134"/>
      <c r="H2584" s="134"/>
      <c r="I2584" s="134"/>
      <c r="J2584" s="134"/>
      <c r="K2584" s="134"/>
      <c r="L2584" s="134"/>
      <c r="M2584" s="134"/>
    </row>
    <row r="2585" spans="3:13" ht="12.75">
      <c r="C2585" s="134"/>
      <c r="D2585" s="134"/>
      <c r="E2585" s="134"/>
      <c r="F2585" s="134"/>
      <c r="G2585" s="134"/>
      <c r="H2585" s="134"/>
      <c r="I2585" s="134"/>
      <c r="J2585" s="134"/>
      <c r="K2585" s="134"/>
      <c r="L2585" s="134"/>
      <c r="M2585" s="134"/>
    </row>
    <row r="2586" spans="3:13" ht="12.75">
      <c r="C2586" s="134"/>
      <c r="D2586" s="134"/>
      <c r="E2586" s="134"/>
      <c r="F2586" s="134"/>
      <c r="G2586" s="134"/>
      <c r="H2586" s="134"/>
      <c r="I2586" s="134"/>
      <c r="J2586" s="134"/>
      <c r="K2586" s="134"/>
      <c r="L2586" s="134"/>
      <c r="M2586" s="134"/>
    </row>
    <row r="2587" spans="3:13" ht="12.75">
      <c r="C2587" s="134"/>
      <c r="D2587" s="134"/>
      <c r="E2587" s="134"/>
      <c r="F2587" s="134"/>
      <c r="G2587" s="134"/>
      <c r="H2587" s="134"/>
      <c r="I2587" s="134"/>
      <c r="J2587" s="134"/>
      <c r="K2587" s="134"/>
      <c r="L2587" s="134"/>
      <c r="M2587" s="134"/>
    </row>
    <row r="2588" spans="3:13" ht="12.75">
      <c r="C2588" s="134"/>
      <c r="D2588" s="134"/>
      <c r="E2588" s="134"/>
      <c r="F2588" s="134"/>
      <c r="G2588" s="134"/>
      <c r="H2588" s="134"/>
      <c r="I2588" s="134"/>
      <c r="J2588" s="134"/>
      <c r="K2588" s="134"/>
      <c r="L2588" s="134"/>
      <c r="M2588" s="134"/>
    </row>
    <row r="2589" spans="3:13" ht="12.75">
      <c r="C2589" s="134"/>
      <c r="D2589" s="134"/>
      <c r="E2589" s="134"/>
      <c r="F2589" s="134"/>
      <c r="G2589" s="134"/>
      <c r="H2589" s="134"/>
      <c r="I2589" s="134"/>
      <c r="J2589" s="134"/>
      <c r="K2589" s="134"/>
      <c r="L2589" s="134"/>
      <c r="M2589" s="134"/>
    </row>
    <row r="2590" spans="3:13" ht="12.75">
      <c r="C2590" s="134"/>
      <c r="D2590" s="134"/>
      <c r="E2590" s="134"/>
      <c r="F2590" s="134"/>
      <c r="G2590" s="134"/>
      <c r="H2590" s="134"/>
      <c r="I2590" s="134"/>
      <c r="J2590" s="134"/>
      <c r="K2590" s="134"/>
      <c r="L2590" s="134"/>
      <c r="M2590" s="134"/>
    </row>
    <row r="2591" spans="3:13" ht="12.75">
      <c r="C2591" s="134"/>
      <c r="D2591" s="134"/>
      <c r="E2591" s="134"/>
      <c r="F2591" s="134"/>
      <c r="G2591" s="134"/>
      <c r="H2591" s="134"/>
      <c r="I2591" s="134"/>
      <c r="J2591" s="134"/>
      <c r="K2591" s="134"/>
      <c r="L2591" s="134"/>
      <c r="M2591" s="134"/>
    </row>
    <row r="2592" spans="3:13" ht="12.75">
      <c r="C2592" s="134"/>
      <c r="D2592" s="134"/>
      <c r="E2592" s="134"/>
      <c r="F2592" s="134"/>
      <c r="G2592" s="134"/>
      <c r="H2592" s="134"/>
      <c r="I2592" s="134"/>
      <c r="J2592" s="134"/>
      <c r="K2592" s="134"/>
      <c r="L2592" s="134"/>
      <c r="M2592" s="134"/>
    </row>
    <row r="2593" spans="3:13" ht="12.75">
      <c r="C2593" s="134"/>
      <c r="D2593" s="134"/>
      <c r="E2593" s="134"/>
      <c r="F2593" s="134"/>
      <c r="G2593" s="134"/>
      <c r="H2593" s="134"/>
      <c r="I2593" s="134"/>
      <c r="J2593" s="134"/>
      <c r="K2593" s="134"/>
      <c r="L2593" s="134"/>
      <c r="M2593" s="134"/>
    </row>
    <row r="2594" spans="3:13" ht="12.75">
      <c r="C2594" s="134"/>
      <c r="D2594" s="134"/>
      <c r="E2594" s="134"/>
      <c r="F2594" s="134"/>
      <c r="G2594" s="134"/>
      <c r="H2594" s="134"/>
      <c r="I2594" s="134"/>
      <c r="J2594" s="134"/>
      <c r="K2594" s="134"/>
      <c r="L2594" s="134"/>
      <c r="M2594" s="134"/>
    </row>
    <row r="2595" spans="3:13" ht="12.75">
      <c r="C2595" s="134"/>
      <c r="D2595" s="134"/>
      <c r="E2595" s="134"/>
      <c r="F2595" s="134"/>
      <c r="G2595" s="134"/>
      <c r="H2595" s="134"/>
      <c r="I2595" s="134"/>
      <c r="J2595" s="134"/>
      <c r="K2595" s="134"/>
      <c r="L2595" s="134"/>
      <c r="M2595" s="134"/>
    </row>
    <row r="2596" spans="3:13" ht="12.75">
      <c r="C2596" s="134"/>
      <c r="D2596" s="134"/>
      <c r="E2596" s="134"/>
      <c r="F2596" s="134"/>
      <c r="G2596" s="134"/>
      <c r="H2596" s="134"/>
      <c r="I2596" s="134"/>
      <c r="J2596" s="134"/>
      <c r="K2596" s="134"/>
      <c r="L2596" s="134"/>
      <c r="M2596" s="134"/>
    </row>
    <row r="2597" spans="3:13" ht="12.75">
      <c r="C2597" s="134"/>
      <c r="D2597" s="134"/>
      <c r="E2597" s="134"/>
      <c r="F2597" s="134"/>
      <c r="G2597" s="134"/>
      <c r="H2597" s="134"/>
      <c r="I2597" s="134"/>
      <c r="J2597" s="134"/>
      <c r="K2597" s="134"/>
      <c r="L2597" s="134"/>
      <c r="M2597" s="134"/>
    </row>
    <row r="2598" spans="3:13" ht="12.75">
      <c r="C2598" s="134"/>
      <c r="D2598" s="134"/>
      <c r="E2598" s="134"/>
      <c r="F2598" s="134"/>
      <c r="G2598" s="134"/>
      <c r="H2598" s="134"/>
      <c r="I2598" s="134"/>
      <c r="J2598" s="134"/>
      <c r="K2598" s="134"/>
      <c r="L2598" s="134"/>
      <c r="M2598" s="134"/>
    </row>
    <row r="2599" spans="3:13" ht="12.75">
      <c r="C2599" s="134"/>
      <c r="D2599" s="134"/>
      <c r="E2599" s="134"/>
      <c r="F2599" s="134"/>
      <c r="G2599" s="134"/>
      <c r="H2599" s="134"/>
      <c r="I2599" s="134"/>
      <c r="J2599" s="134"/>
      <c r="K2599" s="134"/>
      <c r="L2599" s="134"/>
      <c r="M2599" s="134"/>
    </row>
    <row r="2600" spans="3:13" ht="12.75">
      <c r="C2600" s="134"/>
      <c r="D2600" s="134"/>
      <c r="E2600" s="134"/>
      <c r="F2600" s="134"/>
      <c r="G2600" s="134"/>
      <c r="H2600" s="134"/>
      <c r="I2600" s="134"/>
      <c r="J2600" s="134"/>
      <c r="K2600" s="134"/>
      <c r="L2600" s="134"/>
      <c r="M2600" s="134"/>
    </row>
    <row r="2601" spans="3:13" ht="12.75">
      <c r="C2601" s="134"/>
      <c r="D2601" s="134"/>
      <c r="E2601" s="134"/>
      <c r="F2601" s="134"/>
      <c r="G2601" s="134"/>
      <c r="H2601" s="134"/>
      <c r="I2601" s="134"/>
      <c r="J2601" s="134"/>
      <c r="K2601" s="134"/>
      <c r="L2601" s="134"/>
      <c r="M2601" s="134"/>
    </row>
    <row r="2602" spans="3:13" ht="12.75">
      <c r="C2602" s="134"/>
      <c r="D2602" s="134"/>
      <c r="E2602" s="134"/>
      <c r="F2602" s="134"/>
      <c r="G2602" s="134"/>
      <c r="H2602" s="134"/>
      <c r="I2602" s="134"/>
      <c r="J2602" s="134"/>
      <c r="K2602" s="134"/>
      <c r="L2602" s="134"/>
      <c r="M2602" s="134"/>
    </row>
    <row r="2603" spans="3:13" ht="12.75">
      <c r="C2603" s="134"/>
      <c r="D2603" s="134"/>
      <c r="E2603" s="134"/>
      <c r="F2603" s="134"/>
      <c r="G2603" s="134"/>
      <c r="H2603" s="134"/>
      <c r="I2603" s="134"/>
      <c r="J2603" s="134"/>
      <c r="K2603" s="134"/>
      <c r="L2603" s="134"/>
      <c r="M2603" s="134"/>
    </row>
    <row r="2604" spans="3:13" ht="12.75">
      <c r="C2604" s="134"/>
      <c r="D2604" s="134"/>
      <c r="E2604" s="134"/>
      <c r="F2604" s="134"/>
      <c r="G2604" s="134"/>
      <c r="H2604" s="134"/>
      <c r="I2604" s="134"/>
      <c r="J2604" s="134"/>
      <c r="K2604" s="134"/>
      <c r="L2604" s="134"/>
      <c r="M2604" s="134"/>
    </row>
    <row r="2605" spans="3:13" ht="12.75">
      <c r="C2605" s="134"/>
      <c r="D2605" s="134"/>
      <c r="E2605" s="134"/>
      <c r="F2605" s="134"/>
      <c r="G2605" s="134"/>
      <c r="H2605" s="134"/>
      <c r="I2605" s="134"/>
      <c r="J2605" s="134"/>
      <c r="K2605" s="134"/>
      <c r="L2605" s="134"/>
      <c r="M2605" s="134"/>
    </row>
    <row r="2606" spans="3:13" ht="12.75">
      <c r="C2606" s="134"/>
      <c r="D2606" s="134"/>
      <c r="E2606" s="134"/>
      <c r="F2606" s="134"/>
      <c r="G2606" s="134"/>
      <c r="H2606" s="134"/>
      <c r="I2606" s="134"/>
      <c r="J2606" s="134"/>
      <c r="K2606" s="134"/>
      <c r="L2606" s="134"/>
      <c r="M2606" s="134"/>
    </row>
    <row r="2607" spans="3:13" ht="12.75">
      <c r="C2607" s="134"/>
      <c r="D2607" s="134"/>
      <c r="E2607" s="134"/>
      <c r="F2607" s="134"/>
      <c r="G2607" s="134"/>
      <c r="H2607" s="134"/>
      <c r="I2607" s="134"/>
      <c r="J2607" s="134"/>
      <c r="K2607" s="134"/>
      <c r="L2607" s="134"/>
      <c r="M2607" s="134"/>
    </row>
    <row r="2608" spans="3:13" ht="12.75">
      <c r="C2608" s="134"/>
      <c r="D2608" s="134"/>
      <c r="E2608" s="134"/>
      <c r="F2608" s="134"/>
      <c r="G2608" s="134"/>
      <c r="H2608" s="134"/>
      <c r="I2608" s="134"/>
      <c r="J2608" s="134"/>
      <c r="K2608" s="134"/>
      <c r="L2608" s="134"/>
      <c r="M2608" s="134"/>
    </row>
    <row r="2609" spans="3:13" ht="12.75">
      <c r="C2609" s="134"/>
      <c r="D2609" s="134"/>
      <c r="E2609" s="134"/>
      <c r="F2609" s="134"/>
      <c r="G2609" s="134"/>
      <c r="H2609" s="134"/>
      <c r="I2609" s="134"/>
      <c r="J2609" s="134"/>
      <c r="K2609" s="134"/>
      <c r="L2609" s="134"/>
      <c r="M2609" s="134"/>
    </row>
    <row r="2610" spans="3:13" ht="12.75">
      <c r="C2610" s="134"/>
      <c r="D2610" s="134"/>
      <c r="E2610" s="134"/>
      <c r="F2610" s="134"/>
      <c r="G2610" s="134"/>
      <c r="H2610" s="134"/>
      <c r="I2610" s="134"/>
      <c r="J2610" s="134"/>
      <c r="K2610" s="134"/>
      <c r="L2610" s="134"/>
      <c r="M2610" s="134"/>
    </row>
    <row r="2611" spans="3:13" ht="12.75">
      <c r="C2611" s="134"/>
      <c r="D2611" s="134"/>
      <c r="E2611" s="134"/>
      <c r="F2611" s="134"/>
      <c r="G2611" s="134"/>
      <c r="H2611" s="134"/>
      <c r="I2611" s="134"/>
      <c r="J2611" s="134"/>
      <c r="K2611" s="134"/>
      <c r="L2611" s="134"/>
      <c r="M2611" s="134"/>
    </row>
    <row r="2612" spans="3:13" ht="12.75">
      <c r="C2612" s="134"/>
      <c r="D2612" s="134"/>
      <c r="E2612" s="134"/>
      <c r="F2612" s="134"/>
      <c r="G2612" s="134"/>
      <c r="H2612" s="134"/>
      <c r="I2612" s="134"/>
      <c r="J2612" s="134"/>
      <c r="K2612" s="134"/>
      <c r="L2612" s="134"/>
      <c r="M2612" s="134"/>
    </row>
    <row r="2613" spans="3:13" ht="12.75">
      <c r="C2613" s="134"/>
      <c r="D2613" s="134"/>
      <c r="E2613" s="134"/>
      <c r="F2613" s="134"/>
      <c r="G2613" s="134"/>
      <c r="H2613" s="134"/>
      <c r="I2613" s="134"/>
      <c r="J2613" s="134"/>
      <c r="K2613" s="134"/>
      <c r="L2613" s="134"/>
      <c r="M2613" s="134"/>
    </row>
    <row r="2614" spans="3:13" ht="12.75">
      <c r="C2614" s="134"/>
      <c r="D2614" s="134"/>
      <c r="E2614" s="134"/>
      <c r="F2614" s="134"/>
      <c r="G2614" s="134"/>
      <c r="H2614" s="134"/>
      <c r="I2614" s="134"/>
      <c r="J2614" s="134"/>
      <c r="K2614" s="134"/>
      <c r="L2614" s="134"/>
      <c r="M2614" s="134"/>
    </row>
    <row r="2615" spans="3:13" ht="12.75">
      <c r="C2615" s="134"/>
      <c r="D2615" s="134"/>
      <c r="E2615" s="134"/>
      <c r="F2615" s="134"/>
      <c r="G2615" s="134"/>
      <c r="H2615" s="134"/>
      <c r="I2615" s="134"/>
      <c r="J2615" s="134"/>
      <c r="K2615" s="134"/>
      <c r="L2615" s="134"/>
      <c r="M2615" s="134"/>
    </row>
    <row r="2616" spans="3:13" ht="12.75">
      <c r="C2616" s="134"/>
      <c r="D2616" s="134"/>
      <c r="E2616" s="134"/>
      <c r="F2616" s="134"/>
      <c r="G2616" s="134"/>
      <c r="H2616" s="134"/>
      <c r="I2616" s="134"/>
      <c r="J2616" s="134"/>
      <c r="K2616" s="134"/>
      <c r="L2616" s="134"/>
      <c r="M2616" s="134"/>
    </row>
    <row r="2617" spans="3:13" ht="12.75">
      <c r="C2617" s="134"/>
      <c r="D2617" s="134"/>
      <c r="E2617" s="134"/>
      <c r="F2617" s="134"/>
      <c r="G2617" s="134"/>
      <c r="H2617" s="134"/>
      <c r="I2617" s="134"/>
      <c r="J2617" s="134"/>
      <c r="K2617" s="134"/>
      <c r="L2617" s="134"/>
      <c r="M2617" s="134"/>
    </row>
    <row r="2618" spans="3:13" ht="12.75">
      <c r="C2618" s="134"/>
      <c r="D2618" s="134"/>
      <c r="E2618" s="134"/>
      <c r="F2618" s="134"/>
      <c r="G2618" s="134"/>
      <c r="H2618" s="134"/>
      <c r="I2618" s="134"/>
      <c r="J2618" s="134"/>
      <c r="K2618" s="134"/>
      <c r="L2618" s="134"/>
      <c r="M2618" s="134"/>
    </row>
    <row r="2619" spans="3:13" ht="12.75">
      <c r="C2619" s="134"/>
      <c r="D2619" s="134"/>
      <c r="E2619" s="134"/>
      <c r="F2619" s="134"/>
      <c r="G2619" s="134"/>
      <c r="H2619" s="134"/>
      <c r="I2619" s="134"/>
      <c r="J2619" s="134"/>
      <c r="K2619" s="134"/>
      <c r="L2619" s="134"/>
      <c r="M2619" s="134"/>
    </row>
    <row r="2620" spans="3:13" ht="12.75">
      <c r="C2620" s="134"/>
      <c r="D2620" s="134"/>
      <c r="E2620" s="134"/>
      <c r="F2620" s="134"/>
      <c r="G2620" s="134"/>
      <c r="H2620" s="134"/>
      <c r="I2620" s="134"/>
      <c r="J2620" s="134"/>
      <c r="K2620" s="134"/>
      <c r="L2620" s="134"/>
      <c r="M2620" s="134"/>
    </row>
    <row r="2621" spans="3:13" ht="12.75">
      <c r="C2621" s="134"/>
      <c r="D2621" s="134"/>
      <c r="E2621" s="134"/>
      <c r="F2621" s="134"/>
      <c r="G2621" s="134"/>
      <c r="H2621" s="134"/>
      <c r="I2621" s="134"/>
      <c r="J2621" s="134"/>
      <c r="K2621" s="134"/>
      <c r="L2621" s="134"/>
      <c r="M2621" s="134"/>
    </row>
    <row r="2622" spans="3:13" ht="12.75">
      <c r="C2622" s="134"/>
      <c r="D2622" s="134"/>
      <c r="E2622" s="134"/>
      <c r="F2622" s="134"/>
      <c r="G2622" s="134"/>
      <c r="H2622" s="134"/>
      <c r="I2622" s="134"/>
      <c r="J2622" s="134"/>
      <c r="K2622" s="134"/>
      <c r="L2622" s="134"/>
      <c r="M2622" s="134"/>
    </row>
    <row r="2623" spans="3:13" ht="12.75">
      <c r="C2623" s="134"/>
      <c r="D2623" s="134"/>
      <c r="E2623" s="134"/>
      <c r="F2623" s="134"/>
      <c r="G2623" s="134"/>
      <c r="H2623" s="134"/>
      <c r="I2623" s="134"/>
      <c r="J2623" s="134"/>
      <c r="K2623" s="134"/>
      <c r="L2623" s="134"/>
      <c r="M2623" s="134"/>
    </row>
    <row r="2624" spans="3:13" ht="12.75">
      <c r="C2624" s="134"/>
      <c r="D2624" s="134"/>
      <c r="E2624" s="134"/>
      <c r="F2624" s="134"/>
      <c r="G2624" s="134"/>
      <c r="H2624" s="134"/>
      <c r="I2624" s="134"/>
      <c r="J2624" s="134"/>
      <c r="K2624" s="134"/>
      <c r="L2624" s="134"/>
      <c r="M2624" s="134"/>
    </row>
    <row r="2625" spans="3:13" ht="12.75">
      <c r="C2625" s="134"/>
      <c r="D2625" s="134"/>
      <c r="E2625" s="134"/>
      <c r="F2625" s="134"/>
      <c r="G2625" s="134"/>
      <c r="H2625" s="134"/>
      <c r="I2625" s="134"/>
      <c r="J2625" s="134"/>
      <c r="K2625" s="134"/>
      <c r="L2625" s="134"/>
      <c r="M2625" s="134"/>
    </row>
    <row r="2626" spans="3:13" ht="12.75">
      <c r="C2626" s="134"/>
      <c r="D2626" s="134"/>
      <c r="E2626" s="134"/>
      <c r="F2626" s="134"/>
      <c r="G2626" s="134"/>
      <c r="H2626" s="134"/>
      <c r="I2626" s="134"/>
      <c r="J2626" s="134"/>
      <c r="K2626" s="134"/>
      <c r="L2626" s="134"/>
      <c r="M2626" s="134"/>
    </row>
    <row r="2627" spans="3:13" ht="12.75">
      <c r="C2627" s="134"/>
      <c r="D2627" s="134"/>
      <c r="E2627" s="134"/>
      <c r="F2627" s="134"/>
      <c r="G2627" s="134"/>
      <c r="H2627" s="134"/>
      <c r="I2627" s="134"/>
      <c r="J2627" s="134"/>
      <c r="K2627" s="134"/>
      <c r="L2627" s="134"/>
      <c r="M2627" s="134"/>
    </row>
    <row r="2628" spans="3:13" ht="12.75">
      <c r="C2628" s="134"/>
      <c r="D2628" s="134"/>
      <c r="E2628" s="134"/>
      <c r="F2628" s="134"/>
      <c r="G2628" s="134"/>
      <c r="H2628" s="134"/>
      <c r="I2628" s="134"/>
      <c r="J2628" s="134"/>
      <c r="K2628" s="134"/>
      <c r="L2628" s="134"/>
      <c r="M2628" s="134"/>
    </row>
    <row r="2629" spans="3:13" ht="12.75">
      <c r="C2629" s="134"/>
      <c r="D2629" s="134"/>
      <c r="E2629" s="134"/>
      <c r="F2629" s="134"/>
      <c r="G2629" s="134"/>
      <c r="H2629" s="134"/>
      <c r="I2629" s="134"/>
      <c r="J2629" s="134"/>
      <c r="K2629" s="134"/>
      <c r="L2629" s="134"/>
      <c r="M2629" s="134"/>
    </row>
    <row r="2630" spans="3:13" ht="12.75">
      <c r="C2630" s="134"/>
      <c r="D2630" s="134"/>
      <c r="E2630" s="134"/>
      <c r="F2630" s="134"/>
      <c r="G2630" s="134"/>
      <c r="H2630" s="134"/>
      <c r="I2630" s="134"/>
      <c r="J2630" s="134"/>
      <c r="K2630" s="134"/>
      <c r="L2630" s="134"/>
      <c r="M2630" s="134"/>
    </row>
    <row r="2631" spans="3:13" ht="12.75">
      <c r="C2631" s="134"/>
      <c r="D2631" s="134"/>
      <c r="E2631" s="134"/>
      <c r="F2631" s="134"/>
      <c r="G2631" s="134"/>
      <c r="H2631" s="134"/>
      <c r="I2631" s="134"/>
      <c r="J2631" s="134"/>
      <c r="K2631" s="134"/>
      <c r="L2631" s="134"/>
      <c r="M2631" s="134"/>
    </row>
    <row r="2632" spans="3:13" ht="12.75">
      <c r="C2632" s="134"/>
      <c r="D2632" s="134"/>
      <c r="E2632" s="134"/>
      <c r="F2632" s="134"/>
      <c r="G2632" s="134"/>
      <c r="H2632" s="134"/>
      <c r="I2632" s="134"/>
      <c r="J2632" s="134"/>
      <c r="K2632" s="134"/>
      <c r="L2632" s="134"/>
      <c r="M2632" s="134"/>
    </row>
    <row r="2633" spans="3:13" ht="12.75">
      <c r="C2633" s="134"/>
      <c r="D2633" s="134"/>
      <c r="E2633" s="134"/>
      <c r="F2633" s="134"/>
      <c r="G2633" s="134"/>
      <c r="H2633" s="134"/>
      <c r="I2633" s="134"/>
      <c r="J2633" s="134"/>
      <c r="K2633" s="134"/>
      <c r="L2633" s="134"/>
      <c r="M2633" s="134"/>
    </row>
    <row r="2634" spans="3:13" ht="12.75">
      <c r="C2634" s="134"/>
      <c r="D2634" s="134"/>
      <c r="E2634" s="134"/>
      <c r="F2634" s="134"/>
      <c r="G2634" s="134"/>
      <c r="H2634" s="134"/>
      <c r="I2634" s="134"/>
      <c r="J2634" s="134"/>
      <c r="K2634" s="134"/>
      <c r="L2634" s="134"/>
      <c r="M2634" s="134"/>
    </row>
    <row r="2635" spans="3:13" ht="12.75">
      <c r="C2635" s="134"/>
      <c r="D2635" s="134"/>
      <c r="E2635" s="134"/>
      <c r="F2635" s="134"/>
      <c r="G2635" s="134"/>
      <c r="H2635" s="134"/>
      <c r="I2635" s="134"/>
      <c r="J2635" s="134"/>
      <c r="K2635" s="134"/>
      <c r="L2635" s="134"/>
      <c r="M2635" s="134"/>
    </row>
    <row r="2636" spans="3:13" ht="12.75">
      <c r="C2636" s="134"/>
      <c r="D2636" s="134"/>
      <c r="E2636" s="134"/>
      <c r="F2636" s="134"/>
      <c r="G2636" s="134"/>
      <c r="H2636" s="134"/>
      <c r="I2636" s="134"/>
      <c r="J2636" s="134"/>
      <c r="K2636" s="134"/>
      <c r="L2636" s="134"/>
      <c r="M2636" s="134"/>
    </row>
    <row r="2637" spans="3:13" ht="12.75">
      <c r="C2637" s="134"/>
      <c r="D2637" s="134"/>
      <c r="E2637" s="134"/>
      <c r="F2637" s="134"/>
      <c r="G2637" s="134"/>
      <c r="H2637" s="134"/>
      <c r="I2637" s="134"/>
      <c r="J2637" s="134"/>
      <c r="K2637" s="134"/>
      <c r="L2637" s="134"/>
      <c r="M2637" s="134"/>
    </row>
    <row r="2638" spans="3:13" ht="12.75">
      <c r="C2638" s="134"/>
      <c r="D2638" s="134"/>
      <c r="E2638" s="134"/>
      <c r="F2638" s="134"/>
      <c r="G2638" s="134"/>
      <c r="H2638" s="134"/>
      <c r="I2638" s="134"/>
      <c r="J2638" s="134"/>
      <c r="K2638" s="134"/>
      <c r="L2638" s="134"/>
      <c r="M2638" s="134"/>
    </row>
    <row r="2639" spans="3:13" ht="12.75">
      <c r="C2639" s="134"/>
      <c r="D2639" s="134"/>
      <c r="E2639" s="134"/>
      <c r="F2639" s="134"/>
      <c r="G2639" s="134"/>
      <c r="H2639" s="134"/>
      <c r="I2639" s="134"/>
      <c r="J2639" s="134"/>
      <c r="K2639" s="134"/>
      <c r="L2639" s="134"/>
      <c r="M2639" s="134"/>
    </row>
    <row r="2640" spans="3:13" ht="12.75">
      <c r="C2640" s="134"/>
      <c r="D2640" s="134"/>
      <c r="E2640" s="134"/>
      <c r="F2640" s="134"/>
      <c r="G2640" s="134"/>
      <c r="H2640" s="134"/>
      <c r="I2640" s="134"/>
      <c r="J2640" s="134"/>
      <c r="K2640" s="134"/>
      <c r="L2640" s="134"/>
      <c r="M2640" s="134"/>
    </row>
    <row r="2641" spans="3:13" ht="12.75">
      <c r="C2641" s="134"/>
      <c r="D2641" s="134"/>
      <c r="E2641" s="134"/>
      <c r="F2641" s="134"/>
      <c r="G2641" s="134"/>
      <c r="H2641" s="134"/>
      <c r="I2641" s="134"/>
      <c r="J2641" s="134"/>
      <c r="K2641" s="134"/>
      <c r="L2641" s="134"/>
      <c r="M2641" s="134"/>
    </row>
    <row r="2642" spans="3:13" ht="12.75">
      <c r="C2642" s="134"/>
      <c r="D2642" s="134"/>
      <c r="E2642" s="134"/>
      <c r="F2642" s="134"/>
      <c r="G2642" s="134"/>
      <c r="H2642" s="134"/>
      <c r="I2642" s="134"/>
      <c r="J2642" s="134"/>
      <c r="K2642" s="134"/>
      <c r="L2642" s="134"/>
      <c r="M2642" s="134"/>
    </row>
    <row r="2643" spans="3:13" ht="12.75">
      <c r="C2643" s="134"/>
      <c r="D2643" s="134"/>
      <c r="E2643" s="134"/>
      <c r="F2643" s="134"/>
      <c r="G2643" s="134"/>
      <c r="H2643" s="134"/>
      <c r="I2643" s="134"/>
      <c r="J2643" s="134"/>
      <c r="K2643" s="134"/>
      <c r="L2643" s="134"/>
      <c r="M2643" s="134"/>
    </row>
    <row r="2644" spans="3:13" ht="12.75">
      <c r="C2644" s="134"/>
      <c r="D2644" s="134"/>
      <c r="E2644" s="134"/>
      <c r="F2644" s="134"/>
      <c r="G2644" s="134"/>
      <c r="H2644" s="134"/>
      <c r="I2644" s="134"/>
      <c r="J2644" s="134"/>
      <c r="K2644" s="134"/>
      <c r="L2644" s="134"/>
      <c r="M2644" s="134"/>
    </row>
    <row r="2645" spans="3:13" ht="12.75">
      <c r="C2645" s="134"/>
      <c r="D2645" s="134"/>
      <c r="E2645" s="134"/>
      <c r="F2645" s="134"/>
      <c r="G2645" s="134"/>
      <c r="H2645" s="134"/>
      <c r="I2645" s="134"/>
      <c r="J2645" s="134"/>
      <c r="K2645" s="134"/>
      <c r="L2645" s="134"/>
      <c r="M2645" s="134"/>
    </row>
    <row r="2646" spans="3:13" ht="12.75">
      <c r="C2646" s="134"/>
      <c r="D2646" s="134"/>
      <c r="E2646" s="134"/>
      <c r="F2646" s="134"/>
      <c r="G2646" s="134"/>
      <c r="H2646" s="134"/>
      <c r="I2646" s="134"/>
      <c r="J2646" s="134"/>
      <c r="K2646" s="134"/>
      <c r="L2646" s="134"/>
      <c r="M2646" s="134"/>
    </row>
    <row r="2647" spans="3:13" ht="12.75">
      <c r="C2647" s="134"/>
      <c r="D2647" s="134"/>
      <c r="E2647" s="134"/>
      <c r="F2647" s="134"/>
      <c r="G2647" s="134"/>
      <c r="H2647" s="134"/>
      <c r="I2647" s="134"/>
      <c r="J2647" s="134"/>
      <c r="K2647" s="134"/>
      <c r="L2647" s="134"/>
      <c r="M2647" s="134"/>
    </row>
    <row r="2648" spans="3:13" ht="12.75">
      <c r="C2648" s="134"/>
      <c r="D2648" s="134"/>
      <c r="E2648" s="134"/>
      <c r="F2648" s="134"/>
      <c r="G2648" s="134"/>
      <c r="H2648" s="134"/>
      <c r="I2648" s="134"/>
      <c r="J2648" s="134"/>
      <c r="K2648" s="134"/>
      <c r="L2648" s="134"/>
      <c r="M2648" s="134"/>
    </row>
    <row r="2649" spans="3:13" ht="12.75">
      <c r="C2649" s="134"/>
      <c r="D2649" s="134"/>
      <c r="E2649" s="134"/>
      <c r="F2649" s="134"/>
      <c r="G2649" s="134"/>
      <c r="H2649" s="134"/>
      <c r="I2649" s="134"/>
      <c r="J2649" s="134"/>
      <c r="K2649" s="134"/>
      <c r="L2649" s="134"/>
      <c r="M2649" s="134"/>
    </row>
    <row r="2650" spans="3:13" ht="12.75">
      <c r="C2650" s="134"/>
      <c r="D2650" s="134"/>
      <c r="E2650" s="134"/>
      <c r="F2650" s="134"/>
      <c r="G2650" s="134"/>
      <c r="H2650" s="134"/>
      <c r="I2650" s="134"/>
      <c r="J2650" s="134"/>
      <c r="K2650" s="134"/>
      <c r="L2650" s="134"/>
      <c r="M2650" s="134"/>
    </row>
    <row r="2651" spans="3:13" ht="12.75">
      <c r="C2651" s="134"/>
      <c r="D2651" s="134"/>
      <c r="E2651" s="134"/>
      <c r="F2651" s="134"/>
      <c r="G2651" s="134"/>
      <c r="H2651" s="134"/>
      <c r="I2651" s="134"/>
      <c r="J2651" s="134"/>
      <c r="K2651" s="134"/>
      <c r="L2651" s="134"/>
      <c r="M2651" s="134"/>
    </row>
    <row r="2652" spans="3:13" ht="12.75">
      <c r="C2652" s="134"/>
      <c r="D2652" s="134"/>
      <c r="E2652" s="134"/>
      <c r="F2652" s="134"/>
      <c r="G2652" s="134"/>
      <c r="H2652" s="134"/>
      <c r="I2652" s="134"/>
      <c r="J2652" s="134"/>
      <c r="K2652" s="134"/>
      <c r="L2652" s="134"/>
      <c r="M2652" s="134"/>
    </row>
    <row r="2653" spans="3:13" ht="12.75">
      <c r="C2653" s="134"/>
      <c r="D2653" s="134"/>
      <c r="E2653" s="134"/>
      <c r="F2653" s="134"/>
      <c r="G2653" s="134"/>
      <c r="H2653" s="134"/>
      <c r="I2653" s="134"/>
      <c r="J2653" s="134"/>
      <c r="K2653" s="134"/>
      <c r="L2653" s="134"/>
      <c r="M2653" s="134"/>
    </row>
    <row r="2654" spans="3:13" ht="12.75">
      <c r="C2654" s="134"/>
      <c r="D2654" s="134"/>
      <c r="E2654" s="134"/>
      <c r="F2654" s="134"/>
      <c r="G2654" s="134"/>
      <c r="H2654" s="134"/>
      <c r="I2654" s="134"/>
      <c r="J2654" s="134"/>
      <c r="K2654" s="134"/>
      <c r="L2654" s="134"/>
      <c r="M2654" s="134"/>
    </row>
    <row r="2655" spans="3:13" ht="12.75">
      <c r="C2655" s="134"/>
      <c r="D2655" s="134"/>
      <c r="E2655" s="134"/>
      <c r="F2655" s="134"/>
      <c r="G2655" s="134"/>
      <c r="H2655" s="134"/>
      <c r="I2655" s="134"/>
      <c r="J2655" s="134"/>
      <c r="K2655" s="134"/>
      <c r="L2655" s="134"/>
      <c r="M2655" s="134"/>
    </row>
    <row r="2656" spans="3:13" ht="12.75">
      <c r="C2656" s="134"/>
      <c r="D2656" s="134"/>
      <c r="E2656" s="134"/>
      <c r="F2656" s="134"/>
      <c r="G2656" s="134"/>
      <c r="H2656" s="134"/>
      <c r="I2656" s="134"/>
      <c r="J2656" s="134"/>
      <c r="K2656" s="134"/>
      <c r="L2656" s="134"/>
      <c r="M2656" s="134"/>
    </row>
    <row r="2657" spans="3:13" ht="12.75">
      <c r="C2657" s="134"/>
      <c r="D2657" s="134"/>
      <c r="E2657" s="134"/>
      <c r="F2657" s="134"/>
      <c r="G2657" s="134"/>
      <c r="H2657" s="134"/>
      <c r="I2657" s="134"/>
      <c r="J2657" s="134"/>
      <c r="K2657" s="134"/>
      <c r="L2657" s="134"/>
      <c r="M2657" s="134"/>
    </row>
    <row r="2658" spans="3:13" ht="12.75">
      <c r="C2658" s="134"/>
      <c r="D2658" s="134"/>
      <c r="E2658" s="134"/>
      <c r="F2658" s="134"/>
      <c r="G2658" s="134"/>
      <c r="H2658" s="134"/>
      <c r="I2658" s="134"/>
      <c r="J2658" s="134"/>
      <c r="K2658" s="134"/>
      <c r="L2658" s="134"/>
      <c r="M2658" s="134"/>
    </row>
    <row r="2659" spans="3:13" ht="12.75">
      <c r="C2659" s="134"/>
      <c r="D2659" s="134"/>
      <c r="E2659" s="134"/>
      <c r="F2659" s="134"/>
      <c r="G2659" s="134"/>
      <c r="H2659" s="134"/>
      <c r="I2659" s="134"/>
      <c r="J2659" s="134"/>
      <c r="K2659" s="134"/>
      <c r="L2659" s="134"/>
      <c r="M2659" s="134"/>
    </row>
    <row r="2660" spans="3:13" ht="12.75">
      <c r="C2660" s="134"/>
      <c r="D2660" s="134"/>
      <c r="E2660" s="134"/>
      <c r="F2660" s="134"/>
      <c r="G2660" s="134"/>
      <c r="H2660" s="134"/>
      <c r="I2660" s="134"/>
      <c r="J2660" s="134"/>
      <c r="K2660" s="134"/>
      <c r="L2660" s="134"/>
      <c r="M2660" s="134"/>
    </row>
    <row r="2661" spans="3:13" ht="12.75">
      <c r="C2661" s="134"/>
      <c r="D2661" s="134"/>
      <c r="E2661" s="134"/>
      <c r="F2661" s="134"/>
      <c r="G2661" s="134"/>
      <c r="H2661" s="134"/>
      <c r="I2661" s="134"/>
      <c r="J2661" s="134"/>
      <c r="K2661" s="134"/>
      <c r="L2661" s="134"/>
      <c r="M2661" s="134"/>
    </row>
    <row r="2662" spans="3:13" ht="12.75">
      <c r="C2662" s="134"/>
      <c r="D2662" s="134"/>
      <c r="E2662" s="134"/>
      <c r="F2662" s="134"/>
      <c r="G2662" s="134"/>
      <c r="H2662" s="134"/>
      <c r="I2662" s="134"/>
      <c r="J2662" s="134"/>
      <c r="K2662" s="134"/>
      <c r="L2662" s="134"/>
      <c r="M2662" s="134"/>
    </row>
    <row r="2663" spans="3:13" ht="12.75">
      <c r="C2663" s="134"/>
      <c r="D2663" s="134"/>
      <c r="E2663" s="134"/>
      <c r="F2663" s="134"/>
      <c r="G2663" s="134"/>
      <c r="H2663" s="134"/>
      <c r="I2663" s="134"/>
      <c r="J2663" s="134"/>
      <c r="K2663" s="134"/>
      <c r="L2663" s="134"/>
      <c r="M2663" s="134"/>
    </row>
    <row r="2664" spans="3:13" ht="12.75">
      <c r="C2664" s="134"/>
      <c r="D2664" s="134"/>
      <c r="E2664" s="134"/>
      <c r="F2664" s="134"/>
      <c r="G2664" s="134"/>
      <c r="H2664" s="134"/>
      <c r="I2664" s="134"/>
      <c r="J2664" s="134"/>
      <c r="K2664" s="134"/>
      <c r="L2664" s="134"/>
      <c r="M2664" s="134"/>
    </row>
    <row r="2665" spans="3:13" ht="12.75">
      <c r="C2665" s="134"/>
      <c r="D2665" s="134"/>
      <c r="E2665" s="134"/>
      <c r="F2665" s="134"/>
      <c r="G2665" s="134"/>
      <c r="H2665" s="134"/>
      <c r="I2665" s="134"/>
      <c r="J2665" s="134"/>
      <c r="K2665" s="134"/>
      <c r="L2665" s="134"/>
      <c r="M2665" s="134"/>
    </row>
    <row r="2666" spans="3:13" ht="12.75">
      <c r="C2666" s="134"/>
      <c r="D2666" s="134"/>
      <c r="E2666" s="134"/>
      <c r="F2666" s="134"/>
      <c r="G2666" s="134"/>
      <c r="H2666" s="134"/>
      <c r="I2666" s="134"/>
      <c r="J2666" s="134"/>
      <c r="K2666" s="134"/>
      <c r="L2666" s="134"/>
      <c r="M2666" s="134"/>
    </row>
    <row r="2667" spans="3:13" ht="12.75">
      <c r="C2667" s="134"/>
      <c r="D2667" s="134"/>
      <c r="E2667" s="134"/>
      <c r="F2667" s="134"/>
      <c r="G2667" s="134"/>
      <c r="H2667" s="134"/>
      <c r="I2667" s="134"/>
      <c r="J2667" s="134"/>
      <c r="K2667" s="134"/>
      <c r="L2667" s="134"/>
      <c r="M2667" s="134"/>
    </row>
    <row r="2668" spans="3:13" ht="12.75">
      <c r="C2668" s="134"/>
      <c r="D2668" s="134"/>
      <c r="E2668" s="134"/>
      <c r="F2668" s="134"/>
      <c r="G2668" s="134"/>
      <c r="H2668" s="134"/>
      <c r="I2668" s="134"/>
      <c r="J2668" s="134"/>
      <c r="K2668" s="134"/>
      <c r="L2668" s="134"/>
      <c r="M2668" s="134"/>
    </row>
    <row r="2669" spans="3:13" ht="12.75">
      <c r="C2669" s="134"/>
      <c r="D2669" s="134"/>
      <c r="E2669" s="134"/>
      <c r="F2669" s="134"/>
      <c r="G2669" s="134"/>
      <c r="H2669" s="134"/>
      <c r="I2669" s="134"/>
      <c r="J2669" s="134"/>
      <c r="K2669" s="134"/>
      <c r="L2669" s="134"/>
      <c r="M2669" s="134"/>
    </row>
    <row r="2670" spans="3:13" ht="12.75">
      <c r="C2670" s="134"/>
      <c r="D2670" s="134"/>
      <c r="E2670" s="134"/>
      <c r="F2670" s="134"/>
      <c r="G2670" s="134"/>
      <c r="H2670" s="134"/>
      <c r="I2670" s="134"/>
      <c r="J2670" s="134"/>
      <c r="K2670" s="134"/>
      <c r="L2670" s="134"/>
      <c r="M2670" s="134"/>
    </row>
    <row r="2671" spans="3:13" ht="12.75">
      <c r="C2671" s="134"/>
      <c r="D2671" s="134"/>
      <c r="E2671" s="134"/>
      <c r="F2671" s="134"/>
      <c r="G2671" s="134"/>
      <c r="H2671" s="134"/>
      <c r="I2671" s="134"/>
      <c r="J2671" s="134"/>
      <c r="K2671" s="134"/>
      <c r="L2671" s="134"/>
      <c r="M2671" s="134"/>
    </row>
    <row r="2672" spans="3:13" ht="12.75">
      <c r="C2672" s="134"/>
      <c r="D2672" s="134"/>
      <c r="E2672" s="134"/>
      <c r="F2672" s="134"/>
      <c r="G2672" s="134"/>
      <c r="H2672" s="134"/>
      <c r="I2672" s="134"/>
      <c r="J2672" s="134"/>
      <c r="K2672" s="134"/>
      <c r="L2672" s="134"/>
      <c r="M2672" s="134"/>
    </row>
    <row r="2673" spans="3:13" ht="12.75">
      <c r="C2673" s="134"/>
      <c r="D2673" s="134"/>
      <c r="E2673" s="134"/>
      <c r="F2673" s="134"/>
      <c r="G2673" s="134"/>
      <c r="H2673" s="134"/>
      <c r="I2673" s="134"/>
      <c r="J2673" s="134"/>
      <c r="K2673" s="134"/>
      <c r="L2673" s="134"/>
      <c r="M2673" s="134"/>
    </row>
    <row r="2674" spans="3:13" ht="12.75">
      <c r="C2674" s="134"/>
      <c r="D2674" s="134"/>
      <c r="E2674" s="134"/>
      <c r="F2674" s="134"/>
      <c r="G2674" s="134"/>
      <c r="H2674" s="134"/>
      <c r="I2674" s="134"/>
      <c r="J2674" s="134"/>
      <c r="K2674" s="134"/>
      <c r="L2674" s="134"/>
      <c r="M2674" s="134"/>
    </row>
    <row r="2675" spans="3:13" ht="12.75">
      <c r="C2675" s="134"/>
      <c r="D2675" s="134"/>
      <c r="E2675" s="134"/>
      <c r="F2675" s="134"/>
      <c r="G2675" s="134"/>
      <c r="H2675" s="134"/>
      <c r="I2675" s="134"/>
      <c r="J2675" s="134"/>
      <c r="K2675" s="134"/>
      <c r="L2675" s="134"/>
      <c r="M2675" s="134"/>
    </row>
    <row r="2676" spans="3:13" ht="12.75">
      <c r="C2676" s="134"/>
      <c r="D2676" s="134"/>
      <c r="E2676" s="134"/>
      <c r="F2676" s="134"/>
      <c r="G2676" s="134"/>
      <c r="H2676" s="134"/>
      <c r="I2676" s="134"/>
      <c r="J2676" s="134"/>
      <c r="K2676" s="134"/>
      <c r="L2676" s="134"/>
      <c r="M2676" s="134"/>
    </row>
    <row r="2677" spans="3:13" ht="12.75">
      <c r="C2677" s="134"/>
      <c r="D2677" s="134"/>
      <c r="E2677" s="134"/>
      <c r="F2677" s="134"/>
      <c r="G2677" s="134"/>
      <c r="H2677" s="134"/>
      <c r="I2677" s="134"/>
      <c r="J2677" s="134"/>
      <c r="K2677" s="134"/>
      <c r="L2677" s="134"/>
      <c r="M2677" s="134"/>
    </row>
    <row r="2678" spans="3:13" ht="12.75">
      <c r="C2678" s="134"/>
      <c r="D2678" s="134"/>
      <c r="E2678" s="134"/>
      <c r="F2678" s="134"/>
      <c r="G2678" s="134"/>
      <c r="H2678" s="134"/>
      <c r="I2678" s="134"/>
      <c r="J2678" s="134"/>
      <c r="K2678" s="134"/>
      <c r="L2678" s="134"/>
      <c r="M2678" s="134"/>
    </row>
    <row r="2679" spans="3:13" ht="12.75">
      <c r="C2679" s="134"/>
      <c r="D2679" s="134"/>
      <c r="E2679" s="134"/>
      <c r="F2679" s="134"/>
      <c r="G2679" s="134"/>
      <c r="H2679" s="134"/>
      <c r="I2679" s="134"/>
      <c r="J2679" s="134"/>
      <c r="K2679" s="134"/>
      <c r="L2679" s="134"/>
      <c r="M2679" s="134"/>
    </row>
    <row r="2680" spans="3:13" ht="12.75">
      <c r="C2680" s="134"/>
      <c r="D2680" s="134"/>
      <c r="E2680" s="134"/>
      <c r="F2680" s="134"/>
      <c r="G2680" s="134"/>
      <c r="H2680" s="134"/>
      <c r="I2680" s="134"/>
      <c r="J2680" s="134"/>
      <c r="K2680" s="134"/>
      <c r="L2680" s="134"/>
      <c r="M2680" s="134"/>
    </row>
    <row r="2681" spans="3:13" ht="12.75">
      <c r="C2681" s="134"/>
      <c r="D2681" s="134"/>
      <c r="E2681" s="134"/>
      <c r="F2681" s="134"/>
      <c r="G2681" s="134"/>
      <c r="H2681" s="134"/>
      <c r="I2681" s="134"/>
      <c r="J2681" s="134"/>
      <c r="K2681" s="134"/>
      <c r="L2681" s="134"/>
      <c r="M2681" s="134"/>
    </row>
    <row r="2682" spans="3:13" ht="12.75">
      <c r="C2682" s="134"/>
      <c r="D2682" s="134"/>
      <c r="E2682" s="134"/>
      <c r="F2682" s="134"/>
      <c r="G2682" s="134"/>
      <c r="H2682" s="134"/>
      <c r="I2682" s="134"/>
      <c r="J2682" s="134"/>
      <c r="K2682" s="134"/>
      <c r="L2682" s="134"/>
      <c r="M2682" s="134"/>
    </row>
    <row r="2683" spans="3:13" ht="12.75">
      <c r="C2683" s="134"/>
      <c r="D2683" s="134"/>
      <c r="E2683" s="134"/>
      <c r="F2683" s="134"/>
      <c r="G2683" s="134"/>
      <c r="H2683" s="134"/>
      <c r="I2683" s="134"/>
      <c r="J2683" s="134"/>
      <c r="K2683" s="134"/>
      <c r="L2683" s="134"/>
      <c r="M2683" s="134"/>
    </row>
    <row r="2684" spans="3:13" ht="12.75">
      <c r="C2684" s="134"/>
      <c r="D2684" s="134"/>
      <c r="E2684" s="134"/>
      <c r="F2684" s="134"/>
      <c r="G2684" s="134"/>
      <c r="H2684" s="134"/>
      <c r="I2684" s="134"/>
      <c r="J2684" s="134"/>
      <c r="K2684" s="134"/>
      <c r="L2684" s="134"/>
      <c r="M2684" s="134"/>
    </row>
    <row r="2685" spans="3:13" ht="12.75">
      <c r="C2685" s="134"/>
      <c r="D2685" s="134"/>
      <c r="E2685" s="134"/>
      <c r="F2685" s="134"/>
      <c r="G2685" s="134"/>
      <c r="H2685" s="134"/>
      <c r="I2685" s="134"/>
      <c r="J2685" s="134"/>
      <c r="K2685" s="134"/>
      <c r="L2685" s="134"/>
      <c r="M2685" s="134"/>
    </row>
    <row r="2686" spans="3:13" ht="12.75">
      <c r="C2686" s="134"/>
      <c r="D2686" s="134"/>
      <c r="E2686" s="134"/>
      <c r="F2686" s="134"/>
      <c r="G2686" s="134"/>
      <c r="H2686" s="134"/>
      <c r="I2686" s="134"/>
      <c r="J2686" s="134"/>
      <c r="K2686" s="134"/>
      <c r="L2686" s="134"/>
      <c r="M2686" s="134"/>
    </row>
    <row r="2687" spans="3:13" ht="12.75">
      <c r="C2687" s="134"/>
      <c r="D2687" s="134"/>
      <c r="E2687" s="134"/>
      <c r="F2687" s="134"/>
      <c r="G2687" s="134"/>
      <c r="H2687" s="134"/>
      <c r="I2687" s="134"/>
      <c r="J2687" s="134"/>
      <c r="K2687" s="134"/>
      <c r="L2687" s="134"/>
      <c r="M2687" s="134"/>
    </row>
    <row r="2688" spans="3:13" ht="12.75">
      <c r="C2688" s="134"/>
      <c r="D2688" s="134"/>
      <c r="E2688" s="134"/>
      <c r="F2688" s="134"/>
      <c r="G2688" s="134"/>
      <c r="H2688" s="134"/>
      <c r="I2688" s="134"/>
      <c r="J2688" s="134"/>
      <c r="K2688" s="134"/>
      <c r="L2688" s="134"/>
      <c r="M2688" s="134"/>
    </row>
    <row r="2689" spans="3:13" ht="12.75">
      <c r="C2689" s="134"/>
      <c r="D2689" s="134"/>
      <c r="E2689" s="134"/>
      <c r="F2689" s="134"/>
      <c r="G2689" s="134"/>
      <c r="H2689" s="134"/>
      <c r="I2689" s="134"/>
      <c r="J2689" s="134"/>
      <c r="K2689" s="134"/>
      <c r="L2689" s="134"/>
      <c r="M2689" s="134"/>
    </row>
    <row r="2690" spans="3:13" ht="12.75">
      <c r="C2690" s="134"/>
      <c r="D2690" s="134"/>
      <c r="E2690" s="134"/>
      <c r="F2690" s="134"/>
      <c r="G2690" s="134"/>
      <c r="H2690" s="134"/>
      <c r="I2690" s="134"/>
      <c r="J2690" s="134"/>
      <c r="K2690" s="134"/>
      <c r="L2690" s="134"/>
      <c r="M2690" s="134"/>
    </row>
    <row r="2691" spans="3:13" ht="12.75">
      <c r="C2691" s="134"/>
      <c r="D2691" s="134"/>
      <c r="E2691" s="134"/>
      <c r="F2691" s="134"/>
      <c r="G2691" s="134"/>
      <c r="H2691" s="134"/>
      <c r="I2691" s="134"/>
      <c r="J2691" s="134"/>
      <c r="K2691" s="134"/>
      <c r="L2691" s="134"/>
      <c r="M2691" s="134"/>
    </row>
    <row r="2692" spans="3:13" ht="12.75">
      <c r="C2692" s="134"/>
      <c r="D2692" s="134"/>
      <c r="E2692" s="134"/>
      <c r="F2692" s="134"/>
      <c r="G2692" s="134"/>
      <c r="H2692" s="134"/>
      <c r="I2692" s="134"/>
      <c r="J2692" s="134"/>
      <c r="K2692" s="134"/>
      <c r="L2692" s="134"/>
      <c r="M2692" s="134"/>
    </row>
    <row r="2693" spans="3:13" ht="12.75">
      <c r="C2693" s="134"/>
      <c r="D2693" s="134"/>
      <c r="E2693" s="134"/>
      <c r="F2693" s="134"/>
      <c r="G2693" s="134"/>
      <c r="H2693" s="134"/>
      <c r="I2693" s="134"/>
      <c r="J2693" s="134"/>
      <c r="K2693" s="134"/>
      <c r="L2693" s="134"/>
      <c r="M2693" s="134"/>
    </row>
    <row r="2694" spans="3:13" ht="12.75">
      <c r="C2694" s="134"/>
      <c r="D2694" s="134"/>
      <c r="E2694" s="134"/>
      <c r="F2694" s="134"/>
      <c r="G2694" s="134"/>
      <c r="H2694" s="134"/>
      <c r="I2694" s="134"/>
      <c r="J2694" s="134"/>
      <c r="K2694" s="134"/>
      <c r="L2694" s="134"/>
      <c r="M2694" s="134"/>
    </row>
    <row r="2695" spans="3:13" ht="12.75">
      <c r="C2695" s="134"/>
      <c r="D2695" s="134"/>
      <c r="E2695" s="134"/>
      <c r="F2695" s="134"/>
      <c r="G2695" s="134"/>
      <c r="H2695" s="134"/>
      <c r="I2695" s="134"/>
      <c r="J2695" s="134"/>
      <c r="K2695" s="134"/>
      <c r="L2695" s="134"/>
      <c r="M2695" s="134"/>
    </row>
    <row r="2696" spans="3:13" ht="12.75">
      <c r="C2696" s="134"/>
      <c r="D2696" s="134"/>
      <c r="E2696" s="134"/>
      <c r="F2696" s="134"/>
      <c r="G2696" s="134"/>
      <c r="H2696" s="134"/>
      <c r="I2696" s="134"/>
      <c r="J2696" s="134"/>
      <c r="K2696" s="134"/>
      <c r="L2696" s="134"/>
      <c r="M2696" s="134"/>
    </row>
    <row r="2697" spans="3:13" ht="12.75">
      <c r="C2697" s="134"/>
      <c r="D2697" s="134"/>
      <c r="E2697" s="134"/>
      <c r="F2697" s="134"/>
      <c r="G2697" s="134"/>
      <c r="H2697" s="134"/>
      <c r="I2697" s="134"/>
      <c r="J2697" s="134"/>
      <c r="K2697" s="134"/>
      <c r="L2697" s="134"/>
      <c r="M2697" s="134"/>
    </row>
    <row r="2698" spans="3:13" ht="12.75">
      <c r="C2698" s="134"/>
      <c r="D2698" s="134"/>
      <c r="E2698" s="134"/>
      <c r="F2698" s="134"/>
      <c r="G2698" s="134"/>
      <c r="H2698" s="134"/>
      <c r="I2698" s="134"/>
      <c r="J2698" s="134"/>
      <c r="K2698" s="134"/>
      <c r="L2698" s="134"/>
      <c r="M2698" s="134"/>
    </row>
    <row r="2699" spans="3:13" ht="12.75">
      <c r="C2699" s="134"/>
      <c r="D2699" s="134"/>
      <c r="E2699" s="134"/>
      <c r="F2699" s="134"/>
      <c r="G2699" s="134"/>
      <c r="H2699" s="134"/>
      <c r="I2699" s="134"/>
      <c r="J2699" s="134"/>
      <c r="K2699" s="134"/>
      <c r="L2699" s="134"/>
      <c r="M2699" s="134"/>
    </row>
    <row r="2700" spans="3:13" ht="12.75">
      <c r="C2700" s="134"/>
      <c r="D2700" s="134"/>
      <c r="E2700" s="134"/>
      <c r="F2700" s="134"/>
      <c r="G2700" s="134"/>
      <c r="H2700" s="134"/>
      <c r="I2700" s="134"/>
      <c r="J2700" s="134"/>
      <c r="K2700" s="134"/>
      <c r="L2700" s="134"/>
      <c r="M2700" s="134"/>
    </row>
    <row r="2701" spans="3:13" ht="12.75">
      <c r="C2701" s="134"/>
      <c r="D2701" s="134"/>
      <c r="E2701" s="134"/>
      <c r="F2701" s="134"/>
      <c r="G2701" s="134"/>
      <c r="H2701" s="134"/>
      <c r="I2701" s="134"/>
      <c r="J2701" s="134"/>
      <c r="K2701" s="134"/>
      <c r="L2701" s="134"/>
      <c r="M2701" s="134"/>
    </row>
    <row r="2702" spans="3:13" ht="12.75">
      <c r="C2702" s="134"/>
      <c r="D2702" s="134"/>
      <c r="E2702" s="134"/>
      <c r="F2702" s="134"/>
      <c r="G2702" s="134"/>
      <c r="H2702" s="134"/>
      <c r="I2702" s="134"/>
      <c r="J2702" s="134"/>
      <c r="K2702" s="134"/>
      <c r="L2702" s="134"/>
      <c r="M2702" s="134"/>
    </row>
    <row r="2703" spans="3:13" ht="12.75">
      <c r="C2703" s="134"/>
      <c r="D2703" s="134"/>
      <c r="E2703" s="134"/>
      <c r="F2703" s="134"/>
      <c r="G2703" s="134"/>
      <c r="H2703" s="134"/>
      <c r="I2703" s="134"/>
      <c r="J2703" s="134"/>
      <c r="K2703" s="134"/>
      <c r="L2703" s="134"/>
      <c r="M2703" s="134"/>
    </row>
    <row r="2704" spans="3:13" ht="12.75">
      <c r="C2704" s="134"/>
      <c r="D2704" s="134"/>
      <c r="E2704" s="134"/>
      <c r="F2704" s="134"/>
      <c r="G2704" s="134"/>
      <c r="H2704" s="134"/>
      <c r="I2704" s="134"/>
      <c r="J2704" s="134"/>
      <c r="K2704" s="134"/>
      <c r="L2704" s="134"/>
      <c r="M2704" s="134"/>
    </row>
    <row r="2705" spans="3:13" ht="12.75">
      <c r="C2705" s="134"/>
      <c r="D2705" s="134"/>
      <c r="E2705" s="134"/>
      <c r="F2705" s="134"/>
      <c r="G2705" s="134"/>
      <c r="H2705" s="134"/>
      <c r="I2705" s="134"/>
      <c r="J2705" s="134"/>
      <c r="K2705" s="134"/>
      <c r="L2705" s="134"/>
      <c r="M2705" s="134"/>
    </row>
    <row r="2706" spans="3:13" ht="12.75">
      <c r="C2706" s="134"/>
      <c r="D2706" s="134"/>
      <c r="E2706" s="134"/>
      <c r="F2706" s="134"/>
      <c r="G2706" s="134"/>
      <c r="H2706" s="134"/>
      <c r="I2706" s="134"/>
      <c r="J2706" s="134"/>
      <c r="K2706" s="134"/>
      <c r="L2706" s="134"/>
      <c r="M2706" s="134"/>
    </row>
    <row r="2707" spans="3:13" ht="12.75">
      <c r="C2707" s="134"/>
      <c r="D2707" s="134"/>
      <c r="E2707" s="134"/>
      <c r="F2707" s="134"/>
      <c r="G2707" s="134"/>
      <c r="H2707" s="134"/>
      <c r="I2707" s="134"/>
      <c r="J2707" s="134"/>
      <c r="K2707" s="134"/>
      <c r="L2707" s="134"/>
      <c r="M2707" s="134"/>
    </row>
    <row r="2708" spans="3:13" ht="12.75">
      <c r="C2708" s="134"/>
      <c r="D2708" s="134"/>
      <c r="E2708" s="134"/>
      <c r="F2708" s="134"/>
      <c r="G2708" s="134"/>
      <c r="H2708" s="134"/>
      <c r="I2708" s="134"/>
      <c r="J2708" s="134"/>
      <c r="K2708" s="134"/>
      <c r="L2708" s="134"/>
      <c r="M2708" s="134"/>
    </row>
    <row r="2709" spans="3:13" ht="12.75">
      <c r="C2709" s="134"/>
      <c r="D2709" s="134"/>
      <c r="E2709" s="134"/>
      <c r="F2709" s="134"/>
      <c r="G2709" s="134"/>
      <c r="H2709" s="134"/>
      <c r="I2709" s="134"/>
      <c r="J2709" s="134"/>
      <c r="K2709" s="134"/>
      <c r="L2709" s="134"/>
      <c r="M2709" s="134"/>
    </row>
    <row r="2710" spans="3:13" ht="12.75">
      <c r="C2710" s="134"/>
      <c r="D2710" s="134"/>
      <c r="E2710" s="134"/>
      <c r="F2710" s="134"/>
      <c r="G2710" s="134"/>
      <c r="H2710" s="134"/>
      <c r="I2710" s="134"/>
      <c r="J2710" s="134"/>
      <c r="K2710" s="134"/>
      <c r="L2710" s="134"/>
      <c r="M2710" s="134"/>
    </row>
    <row r="2711" spans="3:13" ht="12.75">
      <c r="C2711" s="134"/>
      <c r="D2711" s="134"/>
      <c r="E2711" s="134"/>
      <c r="F2711" s="134"/>
      <c r="G2711" s="134"/>
      <c r="H2711" s="134"/>
      <c r="I2711" s="134"/>
      <c r="J2711" s="134"/>
      <c r="K2711" s="134"/>
      <c r="L2711" s="134"/>
      <c r="M2711" s="134"/>
    </row>
    <row r="2712" spans="3:13" ht="12.75">
      <c r="C2712" s="134"/>
      <c r="D2712" s="134"/>
      <c r="E2712" s="134"/>
      <c r="F2712" s="134"/>
      <c r="G2712" s="134"/>
      <c r="H2712" s="134"/>
      <c r="I2712" s="134"/>
      <c r="J2712" s="134"/>
      <c r="K2712" s="134"/>
      <c r="L2712" s="134"/>
      <c r="M2712" s="134"/>
    </row>
    <row r="2713" spans="3:13" ht="12.75">
      <c r="C2713" s="134"/>
      <c r="D2713" s="134"/>
      <c r="E2713" s="134"/>
      <c r="F2713" s="134"/>
      <c r="G2713" s="134"/>
      <c r="H2713" s="134"/>
      <c r="I2713" s="134"/>
      <c r="J2713" s="134"/>
      <c r="K2713" s="134"/>
      <c r="L2713" s="134"/>
      <c r="M2713" s="134"/>
    </row>
    <row r="2714" spans="3:13" ht="12.75">
      <c r="C2714" s="134"/>
      <c r="D2714" s="134"/>
      <c r="E2714" s="134"/>
      <c r="F2714" s="134"/>
      <c r="G2714" s="134"/>
      <c r="H2714" s="134"/>
      <c r="I2714" s="134"/>
      <c r="J2714" s="134"/>
      <c r="K2714" s="134"/>
      <c r="L2714" s="134"/>
      <c r="M2714" s="134"/>
    </row>
    <row r="2715" spans="3:13" ht="12.75">
      <c r="C2715" s="134"/>
      <c r="D2715" s="134"/>
      <c r="E2715" s="134"/>
      <c r="F2715" s="134"/>
      <c r="G2715" s="134"/>
      <c r="H2715" s="134"/>
      <c r="I2715" s="134"/>
      <c r="J2715" s="134"/>
      <c r="K2715" s="134"/>
      <c r="L2715" s="134"/>
      <c r="M2715" s="134"/>
    </row>
    <row r="2716" spans="3:13" ht="12.75">
      <c r="C2716" s="134"/>
      <c r="D2716" s="134"/>
      <c r="E2716" s="134"/>
      <c r="F2716" s="134"/>
      <c r="G2716" s="134"/>
      <c r="H2716" s="134"/>
      <c r="I2716" s="134"/>
      <c r="J2716" s="134"/>
      <c r="K2716" s="134"/>
      <c r="L2716" s="134"/>
      <c r="M2716" s="134"/>
    </row>
    <row r="2717" spans="3:13" ht="12.75">
      <c r="C2717" s="134"/>
      <c r="D2717" s="134"/>
      <c r="E2717" s="134"/>
      <c r="F2717" s="134"/>
      <c r="G2717" s="134"/>
      <c r="H2717" s="134"/>
      <c r="I2717" s="134"/>
      <c r="J2717" s="134"/>
      <c r="K2717" s="134"/>
      <c r="L2717" s="134"/>
      <c r="M2717" s="134"/>
    </row>
    <row r="2718" spans="3:13" ht="12.75">
      <c r="C2718" s="134"/>
      <c r="D2718" s="134"/>
      <c r="E2718" s="134"/>
      <c r="F2718" s="134"/>
      <c r="G2718" s="134"/>
      <c r="H2718" s="134"/>
      <c r="I2718" s="134"/>
      <c r="J2718" s="134"/>
      <c r="K2718" s="134"/>
      <c r="L2718" s="134"/>
      <c r="M2718" s="134"/>
    </row>
    <row r="2719" spans="3:13" ht="12.75">
      <c r="C2719" s="134"/>
      <c r="D2719" s="134"/>
      <c r="E2719" s="134"/>
      <c r="F2719" s="134"/>
      <c r="G2719" s="134"/>
      <c r="H2719" s="134"/>
      <c r="I2719" s="134"/>
      <c r="J2719" s="134"/>
      <c r="K2719" s="134"/>
      <c r="L2719" s="134"/>
      <c r="M2719" s="134"/>
    </row>
    <row r="2720" spans="3:13" ht="12.75">
      <c r="C2720" s="134"/>
      <c r="D2720" s="134"/>
      <c r="E2720" s="134"/>
      <c r="F2720" s="134"/>
      <c r="G2720" s="134"/>
      <c r="H2720" s="134"/>
      <c r="I2720" s="134"/>
      <c r="J2720" s="134"/>
      <c r="K2720" s="134"/>
      <c r="L2720" s="134"/>
      <c r="M2720" s="134"/>
    </row>
    <row r="2721" spans="3:13" ht="12.75">
      <c r="C2721" s="134"/>
      <c r="D2721" s="134"/>
      <c r="E2721" s="134"/>
      <c r="F2721" s="134"/>
      <c r="G2721" s="134"/>
      <c r="H2721" s="134"/>
      <c r="I2721" s="134"/>
      <c r="J2721" s="134"/>
      <c r="K2721" s="134"/>
      <c r="L2721" s="134"/>
      <c r="M2721" s="134"/>
    </row>
    <row r="2722" spans="3:13" ht="12.75">
      <c r="C2722" s="134"/>
      <c r="D2722" s="134"/>
      <c r="E2722" s="134"/>
      <c r="F2722" s="134"/>
      <c r="G2722" s="134"/>
      <c r="H2722" s="134"/>
      <c r="I2722" s="134"/>
      <c r="J2722" s="134"/>
      <c r="K2722" s="134"/>
      <c r="L2722" s="134"/>
      <c r="M2722" s="134"/>
    </row>
    <row r="2723" spans="3:13" ht="12.75">
      <c r="C2723" s="134"/>
      <c r="D2723" s="134"/>
      <c r="E2723" s="134"/>
      <c r="F2723" s="134"/>
      <c r="G2723" s="134"/>
      <c r="H2723" s="134"/>
      <c r="I2723" s="134"/>
      <c r="J2723" s="134"/>
      <c r="K2723" s="134"/>
      <c r="L2723" s="134"/>
      <c r="M2723" s="134"/>
    </row>
    <row r="2724" spans="3:13" ht="12.75">
      <c r="C2724" s="134"/>
      <c r="D2724" s="134"/>
      <c r="E2724" s="134"/>
      <c r="F2724" s="134"/>
      <c r="G2724" s="134"/>
      <c r="H2724" s="134"/>
      <c r="I2724" s="134"/>
      <c r="J2724" s="134"/>
      <c r="K2724" s="134"/>
      <c r="L2724" s="134"/>
      <c r="M2724" s="134"/>
    </row>
    <row r="2725" spans="3:13" ht="12.75">
      <c r="C2725" s="134"/>
      <c r="D2725" s="134"/>
      <c r="E2725" s="134"/>
      <c r="F2725" s="134"/>
      <c r="G2725" s="134"/>
      <c r="H2725" s="134"/>
      <c r="I2725" s="134"/>
      <c r="J2725" s="134"/>
      <c r="K2725" s="134"/>
      <c r="L2725" s="134"/>
      <c r="M2725" s="134"/>
    </row>
    <row r="2726" spans="3:13" ht="12.75">
      <c r="C2726" s="134"/>
      <c r="D2726" s="134"/>
      <c r="E2726" s="134"/>
      <c r="F2726" s="134"/>
      <c r="G2726" s="134"/>
      <c r="H2726" s="134"/>
      <c r="I2726" s="134"/>
      <c r="J2726" s="134"/>
      <c r="K2726" s="134"/>
      <c r="L2726" s="134"/>
      <c r="M2726" s="134"/>
    </row>
    <row r="2727" spans="3:13" ht="12.75">
      <c r="C2727" s="134"/>
      <c r="D2727" s="134"/>
      <c r="E2727" s="134"/>
      <c r="F2727" s="134"/>
      <c r="G2727" s="134"/>
      <c r="H2727" s="134"/>
      <c r="I2727" s="134"/>
      <c r="J2727" s="134"/>
      <c r="K2727" s="134"/>
      <c r="L2727" s="134"/>
      <c r="M2727" s="134"/>
    </row>
    <row r="2728" spans="3:13" ht="12.75">
      <c r="C2728" s="134"/>
      <c r="D2728" s="134"/>
      <c r="E2728" s="134"/>
      <c r="F2728" s="134"/>
      <c r="G2728" s="134"/>
      <c r="H2728" s="134"/>
      <c r="I2728" s="134"/>
      <c r="J2728" s="134"/>
      <c r="K2728" s="134"/>
      <c r="L2728" s="134"/>
      <c r="M2728" s="134"/>
    </row>
    <row r="2729" spans="3:13" ht="12.75">
      <c r="C2729" s="134"/>
      <c r="D2729" s="134"/>
      <c r="E2729" s="134"/>
      <c r="F2729" s="134"/>
      <c r="G2729" s="134"/>
      <c r="H2729" s="134"/>
      <c r="I2729" s="134"/>
      <c r="J2729" s="134"/>
      <c r="K2729" s="134"/>
      <c r="L2729" s="134"/>
      <c r="M2729" s="134"/>
    </row>
    <row r="2730" spans="3:13" ht="12.75">
      <c r="C2730" s="134"/>
      <c r="D2730" s="134"/>
      <c r="E2730" s="134"/>
      <c r="F2730" s="134"/>
      <c r="G2730" s="134"/>
      <c r="H2730" s="134"/>
      <c r="I2730" s="134"/>
      <c r="J2730" s="134"/>
      <c r="K2730" s="134"/>
      <c r="L2730" s="134"/>
      <c r="M2730" s="134"/>
    </row>
    <row r="2731" spans="3:13" ht="12.75">
      <c r="C2731" s="134"/>
      <c r="D2731" s="134"/>
      <c r="E2731" s="134"/>
      <c r="F2731" s="134"/>
      <c r="G2731" s="134"/>
      <c r="H2731" s="134"/>
      <c r="I2731" s="134"/>
      <c r="J2731" s="134"/>
      <c r="K2731" s="134"/>
      <c r="L2731" s="134"/>
      <c r="M2731" s="134"/>
    </row>
    <row r="2732" spans="3:13" ht="12.75">
      <c r="C2732" s="134"/>
      <c r="D2732" s="134"/>
      <c r="E2732" s="134"/>
      <c r="F2732" s="134"/>
      <c r="G2732" s="134"/>
      <c r="H2732" s="134"/>
      <c r="I2732" s="134"/>
      <c r="J2732" s="134"/>
      <c r="K2732" s="134"/>
      <c r="L2732" s="134"/>
      <c r="M2732" s="134"/>
    </row>
    <row r="2733" spans="3:13" ht="12.75">
      <c r="C2733" s="134"/>
      <c r="D2733" s="134"/>
      <c r="E2733" s="134"/>
      <c r="F2733" s="134"/>
      <c r="G2733" s="134"/>
      <c r="H2733" s="134"/>
      <c r="I2733" s="134"/>
      <c r="J2733" s="134"/>
      <c r="K2733" s="134"/>
      <c r="L2733" s="134"/>
      <c r="M2733" s="134"/>
    </row>
    <row r="2734" spans="3:13" ht="12.75">
      <c r="C2734" s="134"/>
      <c r="D2734" s="134"/>
      <c r="E2734" s="134"/>
      <c r="F2734" s="134"/>
      <c r="G2734" s="134"/>
      <c r="H2734" s="134"/>
      <c r="I2734" s="134"/>
      <c r="J2734" s="134"/>
      <c r="K2734" s="134"/>
      <c r="L2734" s="134"/>
      <c r="M2734" s="134"/>
    </row>
    <row r="2735" spans="3:13" ht="12.75">
      <c r="C2735" s="134"/>
      <c r="D2735" s="134"/>
      <c r="E2735" s="134"/>
      <c r="F2735" s="134"/>
      <c r="G2735" s="134"/>
      <c r="H2735" s="134"/>
      <c r="I2735" s="134"/>
      <c r="J2735" s="134"/>
      <c r="K2735" s="134"/>
      <c r="L2735" s="134"/>
      <c r="M2735" s="134"/>
    </row>
    <row r="2736" spans="3:13" ht="12.75">
      <c r="C2736" s="134"/>
      <c r="D2736" s="134"/>
      <c r="E2736" s="134"/>
      <c r="F2736" s="134"/>
      <c r="G2736" s="134"/>
      <c r="H2736" s="134"/>
      <c r="I2736" s="134"/>
      <c r="J2736" s="134"/>
      <c r="K2736" s="134"/>
      <c r="L2736" s="134"/>
      <c r="M2736" s="134"/>
    </row>
    <row r="2737" spans="3:13" ht="12.75">
      <c r="C2737" s="134"/>
      <c r="D2737" s="134"/>
      <c r="E2737" s="134"/>
      <c r="F2737" s="134"/>
      <c r="G2737" s="134"/>
      <c r="H2737" s="134"/>
      <c r="I2737" s="134"/>
      <c r="J2737" s="134"/>
      <c r="K2737" s="134"/>
      <c r="L2737" s="134"/>
      <c r="M2737" s="134"/>
    </row>
    <row r="2738" spans="3:13" ht="12.75">
      <c r="C2738" s="134"/>
      <c r="D2738" s="134"/>
      <c r="E2738" s="134"/>
      <c r="F2738" s="134"/>
      <c r="G2738" s="134"/>
      <c r="H2738" s="134"/>
      <c r="I2738" s="134"/>
      <c r="J2738" s="134"/>
      <c r="K2738" s="134"/>
      <c r="L2738" s="134"/>
      <c r="M2738" s="134"/>
    </row>
    <row r="2739" spans="3:13" ht="12.75">
      <c r="C2739" s="134"/>
      <c r="D2739" s="134"/>
      <c r="E2739" s="134"/>
      <c r="F2739" s="134"/>
      <c r="G2739" s="134"/>
      <c r="H2739" s="134"/>
      <c r="I2739" s="134"/>
      <c r="J2739" s="134"/>
      <c r="K2739" s="134"/>
      <c r="L2739" s="134"/>
      <c r="M2739" s="134"/>
    </row>
    <row r="2740" spans="3:13" ht="12.75">
      <c r="C2740" s="134"/>
      <c r="D2740" s="134"/>
      <c r="E2740" s="134"/>
      <c r="F2740" s="134"/>
      <c r="G2740" s="134"/>
      <c r="H2740" s="134"/>
      <c r="I2740" s="134"/>
      <c r="J2740" s="134"/>
      <c r="K2740" s="134"/>
      <c r="L2740" s="134"/>
      <c r="M2740" s="134"/>
    </row>
    <row r="2741" spans="3:13" ht="12.75">
      <c r="C2741" s="134"/>
      <c r="D2741" s="134"/>
      <c r="E2741" s="134"/>
      <c r="F2741" s="134"/>
      <c r="G2741" s="134"/>
      <c r="H2741" s="134"/>
      <c r="I2741" s="134"/>
      <c r="J2741" s="134"/>
      <c r="K2741" s="134"/>
      <c r="L2741" s="134"/>
      <c r="M2741" s="134"/>
    </row>
    <row r="2742" spans="3:13" ht="12.75">
      <c r="C2742" s="134"/>
      <c r="D2742" s="134"/>
      <c r="E2742" s="134"/>
      <c r="F2742" s="134"/>
      <c r="G2742" s="134"/>
      <c r="H2742" s="134"/>
      <c r="I2742" s="134"/>
      <c r="J2742" s="134"/>
      <c r="K2742" s="134"/>
      <c r="L2742" s="134"/>
      <c r="M2742" s="134"/>
    </row>
    <row r="2743" spans="3:13" ht="12.75">
      <c r="C2743" s="134"/>
      <c r="D2743" s="134"/>
      <c r="E2743" s="134"/>
      <c r="F2743" s="134"/>
      <c r="G2743" s="134"/>
      <c r="H2743" s="134"/>
      <c r="I2743" s="134"/>
      <c r="J2743" s="134"/>
      <c r="K2743" s="134"/>
      <c r="L2743" s="134"/>
      <c r="M2743" s="134"/>
    </row>
    <row r="2744" spans="3:13" ht="12.75">
      <c r="C2744" s="134"/>
      <c r="D2744" s="134"/>
      <c r="E2744" s="134"/>
      <c r="F2744" s="134"/>
      <c r="G2744" s="134"/>
      <c r="H2744" s="134"/>
      <c r="I2744" s="134"/>
      <c r="J2744" s="134"/>
      <c r="K2744" s="134"/>
      <c r="L2744" s="134"/>
      <c r="M2744" s="134"/>
    </row>
    <row r="2745" spans="3:13" ht="12.75">
      <c r="C2745" s="134"/>
      <c r="D2745" s="134"/>
      <c r="E2745" s="134"/>
      <c r="F2745" s="134"/>
      <c r="G2745" s="134"/>
      <c r="H2745" s="134"/>
      <c r="I2745" s="134"/>
      <c r="J2745" s="134"/>
      <c r="K2745" s="134"/>
      <c r="L2745" s="134"/>
      <c r="M2745" s="134"/>
    </row>
    <row r="2746" spans="3:13" ht="12.75">
      <c r="C2746" s="134"/>
      <c r="D2746" s="134"/>
      <c r="E2746" s="134"/>
      <c r="F2746" s="134"/>
      <c r="G2746" s="134"/>
      <c r="H2746" s="134"/>
      <c r="I2746" s="134"/>
      <c r="J2746" s="134"/>
      <c r="K2746" s="134"/>
      <c r="L2746" s="134"/>
      <c r="M2746" s="134"/>
    </row>
    <row r="2747" spans="3:13" ht="12.75">
      <c r="C2747" s="134"/>
      <c r="D2747" s="134"/>
      <c r="E2747" s="134"/>
      <c r="F2747" s="134"/>
      <c r="G2747" s="134"/>
      <c r="H2747" s="134"/>
      <c r="I2747" s="134"/>
      <c r="J2747" s="134"/>
      <c r="K2747" s="134"/>
      <c r="L2747" s="134"/>
      <c r="M2747" s="134"/>
    </row>
    <row r="2748" spans="3:13" ht="12.75">
      <c r="C2748" s="134"/>
      <c r="D2748" s="134"/>
      <c r="E2748" s="134"/>
      <c r="F2748" s="134"/>
      <c r="G2748" s="134"/>
      <c r="H2748" s="134"/>
      <c r="I2748" s="134"/>
      <c r="J2748" s="134"/>
      <c r="K2748" s="134"/>
      <c r="L2748" s="134"/>
      <c r="M2748" s="134"/>
    </row>
    <row r="2749" spans="3:13" ht="12.75">
      <c r="C2749" s="134"/>
      <c r="D2749" s="134"/>
      <c r="E2749" s="134"/>
      <c r="F2749" s="134"/>
      <c r="G2749" s="134"/>
      <c r="H2749" s="134"/>
      <c r="I2749" s="134"/>
      <c r="J2749" s="134"/>
      <c r="K2749" s="134"/>
      <c r="L2749" s="134"/>
      <c r="M2749" s="134"/>
    </row>
    <row r="2750" spans="3:13" ht="12.75">
      <c r="C2750" s="134"/>
      <c r="D2750" s="134"/>
      <c r="E2750" s="134"/>
      <c r="F2750" s="134"/>
      <c r="G2750" s="134"/>
      <c r="H2750" s="134"/>
      <c r="I2750" s="134"/>
      <c r="J2750" s="134"/>
      <c r="K2750" s="134"/>
      <c r="L2750" s="134"/>
      <c r="M2750" s="134"/>
    </row>
    <row r="2751" spans="3:13" ht="12.75">
      <c r="C2751" s="134"/>
      <c r="D2751" s="134"/>
      <c r="E2751" s="134"/>
      <c r="F2751" s="134"/>
      <c r="G2751" s="134"/>
      <c r="H2751" s="134"/>
      <c r="I2751" s="134"/>
      <c r="J2751" s="134"/>
      <c r="K2751" s="134"/>
      <c r="L2751" s="134"/>
      <c r="M2751" s="134"/>
    </row>
    <row r="2752" spans="3:13" ht="12.75">
      <c r="C2752" s="134"/>
      <c r="D2752" s="134"/>
      <c r="E2752" s="134"/>
      <c r="F2752" s="134"/>
      <c r="G2752" s="134"/>
      <c r="H2752" s="134"/>
      <c r="I2752" s="134"/>
      <c r="J2752" s="134"/>
      <c r="K2752" s="134"/>
      <c r="L2752" s="134"/>
      <c r="M2752" s="134"/>
    </row>
    <row r="2753" spans="3:13" ht="12.75">
      <c r="C2753" s="134"/>
      <c r="D2753" s="134"/>
      <c r="E2753" s="134"/>
      <c r="F2753" s="134"/>
      <c r="G2753" s="134"/>
      <c r="H2753" s="134"/>
      <c r="I2753" s="134"/>
      <c r="J2753" s="134"/>
      <c r="K2753" s="134"/>
      <c r="L2753" s="134"/>
      <c r="M2753" s="134"/>
    </row>
    <row r="2754" spans="3:13" ht="12.75">
      <c r="C2754" s="134"/>
      <c r="D2754" s="134"/>
      <c r="E2754" s="134"/>
      <c r="F2754" s="134"/>
      <c r="G2754" s="134"/>
      <c r="H2754" s="134"/>
      <c r="I2754" s="134"/>
      <c r="J2754" s="134"/>
      <c r="K2754" s="134"/>
      <c r="L2754" s="134"/>
      <c r="M2754" s="134"/>
    </row>
    <row r="2755" spans="3:13" ht="12.75">
      <c r="C2755" s="134"/>
      <c r="D2755" s="134"/>
      <c r="E2755" s="134"/>
      <c r="F2755" s="134"/>
      <c r="G2755" s="134"/>
      <c r="H2755" s="134"/>
      <c r="I2755" s="134"/>
      <c r="J2755" s="134"/>
      <c r="K2755" s="134"/>
      <c r="L2755" s="134"/>
      <c r="M2755" s="134"/>
    </row>
    <row r="2756" spans="3:13" ht="12.75">
      <c r="C2756" s="134"/>
      <c r="D2756" s="134"/>
      <c r="E2756" s="134"/>
      <c r="F2756" s="134"/>
      <c r="G2756" s="134"/>
      <c r="H2756" s="134"/>
      <c r="I2756" s="134"/>
      <c r="J2756" s="134"/>
      <c r="K2756" s="134"/>
      <c r="L2756" s="134"/>
      <c r="M2756" s="134"/>
    </row>
    <row r="2757" spans="3:13" ht="12.75">
      <c r="C2757" s="134"/>
      <c r="D2757" s="134"/>
      <c r="E2757" s="134"/>
      <c r="F2757" s="134"/>
      <c r="G2757" s="134"/>
      <c r="H2757" s="134"/>
      <c r="I2757" s="134"/>
      <c r="J2757" s="134"/>
      <c r="K2757" s="134"/>
      <c r="L2757" s="134"/>
      <c r="M2757" s="134"/>
    </row>
    <row r="2758" spans="3:13" ht="12.75">
      <c r="C2758" s="134"/>
      <c r="D2758" s="134"/>
      <c r="E2758" s="134"/>
      <c r="F2758" s="134"/>
      <c r="G2758" s="134"/>
      <c r="H2758" s="134"/>
      <c r="I2758" s="134"/>
      <c r="J2758" s="134"/>
      <c r="K2758" s="134"/>
      <c r="L2758" s="134"/>
      <c r="M2758" s="134"/>
    </row>
    <row r="2759" spans="3:13" ht="12.75">
      <c r="C2759" s="134"/>
      <c r="D2759" s="134"/>
      <c r="E2759" s="134"/>
      <c r="F2759" s="134"/>
      <c r="G2759" s="134"/>
      <c r="H2759" s="134"/>
      <c r="I2759" s="134"/>
      <c r="J2759" s="134"/>
      <c r="K2759" s="134"/>
      <c r="L2759" s="134"/>
      <c r="M2759" s="134"/>
    </row>
    <row r="2760" spans="3:13" ht="12.75">
      <c r="C2760" s="134"/>
      <c r="D2760" s="134"/>
      <c r="E2760" s="134"/>
      <c r="F2760" s="134"/>
      <c r="G2760" s="134"/>
      <c r="H2760" s="134"/>
      <c r="I2760" s="134"/>
      <c r="J2760" s="134"/>
      <c r="K2760" s="134"/>
      <c r="L2760" s="134"/>
      <c r="M2760" s="134"/>
    </row>
    <row r="2761" spans="3:13" ht="12.75">
      <c r="C2761" s="134"/>
      <c r="D2761" s="134"/>
      <c r="E2761" s="134"/>
      <c r="F2761" s="134"/>
      <c r="G2761" s="134"/>
      <c r="H2761" s="134"/>
      <c r="I2761" s="134"/>
      <c r="J2761" s="134"/>
      <c r="K2761" s="134"/>
      <c r="L2761" s="134"/>
      <c r="M2761" s="134"/>
    </row>
    <row r="2762" spans="3:13" ht="12.75">
      <c r="C2762" s="134"/>
      <c r="D2762" s="134"/>
      <c r="E2762" s="134"/>
      <c r="F2762" s="134"/>
      <c r="G2762" s="134"/>
      <c r="H2762" s="134"/>
      <c r="I2762" s="134"/>
      <c r="J2762" s="134"/>
      <c r="K2762" s="134"/>
      <c r="L2762" s="134"/>
      <c r="M2762" s="134"/>
    </row>
    <row r="2763" spans="3:13" ht="12.75">
      <c r="C2763" s="134"/>
      <c r="D2763" s="134"/>
      <c r="E2763" s="134"/>
      <c r="F2763" s="134"/>
      <c r="G2763" s="134"/>
      <c r="H2763" s="134"/>
      <c r="I2763" s="134"/>
      <c r="J2763" s="134"/>
      <c r="K2763" s="134"/>
      <c r="L2763" s="134"/>
      <c r="M2763" s="134"/>
    </row>
    <row r="2764" spans="3:13" ht="12.75">
      <c r="C2764" s="134"/>
      <c r="D2764" s="134"/>
      <c r="E2764" s="134"/>
      <c r="F2764" s="134"/>
      <c r="G2764" s="134"/>
      <c r="H2764" s="134"/>
      <c r="I2764" s="134"/>
      <c r="J2764" s="134"/>
      <c r="K2764" s="134"/>
      <c r="L2764" s="134"/>
      <c r="M2764" s="134"/>
    </row>
    <row r="2765" spans="3:13" ht="12.75">
      <c r="C2765" s="134"/>
      <c r="D2765" s="134"/>
      <c r="E2765" s="134"/>
      <c r="F2765" s="134"/>
      <c r="G2765" s="134"/>
      <c r="H2765" s="134"/>
      <c r="I2765" s="134"/>
      <c r="J2765" s="134"/>
      <c r="K2765" s="134"/>
      <c r="L2765" s="134"/>
      <c r="M2765" s="134"/>
    </row>
    <row r="2766" spans="3:13" ht="12.75">
      <c r="C2766" s="134"/>
      <c r="D2766" s="134"/>
      <c r="E2766" s="134"/>
      <c r="F2766" s="134"/>
      <c r="G2766" s="134"/>
      <c r="H2766" s="134"/>
      <c r="I2766" s="134"/>
      <c r="J2766" s="134"/>
      <c r="K2766" s="134"/>
      <c r="L2766" s="134"/>
      <c r="M2766" s="134"/>
    </row>
    <row r="2767" spans="3:13" ht="12.75">
      <c r="C2767" s="134"/>
      <c r="D2767" s="134"/>
      <c r="E2767" s="134"/>
      <c r="F2767" s="134"/>
      <c r="G2767" s="134"/>
      <c r="H2767" s="134"/>
      <c r="I2767" s="134"/>
      <c r="J2767" s="134"/>
      <c r="K2767" s="134"/>
      <c r="L2767" s="134"/>
      <c r="M2767" s="134"/>
    </row>
    <row r="2768" spans="3:13" ht="12.75">
      <c r="C2768" s="134"/>
      <c r="D2768" s="134"/>
      <c r="E2768" s="134"/>
      <c r="F2768" s="134"/>
      <c r="G2768" s="134"/>
      <c r="H2768" s="134"/>
      <c r="I2768" s="134"/>
      <c r="J2768" s="134"/>
      <c r="K2768" s="134"/>
      <c r="L2768" s="134"/>
      <c r="M2768" s="134"/>
    </row>
    <row r="2769" spans="3:13" ht="12.75">
      <c r="C2769" s="134"/>
      <c r="D2769" s="134"/>
      <c r="E2769" s="134"/>
      <c r="F2769" s="134"/>
      <c r="G2769" s="134"/>
      <c r="H2769" s="134"/>
      <c r="I2769" s="134"/>
      <c r="J2769" s="134"/>
      <c r="K2769" s="134"/>
      <c r="L2769" s="134"/>
      <c r="M2769" s="134"/>
    </row>
    <row r="2770" spans="3:13" ht="12.75">
      <c r="C2770" s="134"/>
      <c r="D2770" s="134"/>
      <c r="E2770" s="134"/>
      <c r="F2770" s="134"/>
      <c r="G2770" s="134"/>
      <c r="H2770" s="134"/>
      <c r="I2770" s="134"/>
      <c r="J2770" s="134"/>
      <c r="K2770" s="134"/>
      <c r="L2770" s="134"/>
      <c r="M2770" s="134"/>
    </row>
    <row r="2771" spans="3:13" ht="12.75">
      <c r="C2771" s="134"/>
      <c r="D2771" s="134"/>
      <c r="E2771" s="134"/>
      <c r="F2771" s="134"/>
      <c r="G2771" s="134"/>
      <c r="H2771" s="134"/>
      <c r="I2771" s="134"/>
      <c r="J2771" s="134"/>
      <c r="K2771" s="134"/>
      <c r="L2771" s="134"/>
      <c r="M2771" s="134"/>
    </row>
    <row r="2772" spans="3:13" ht="12.75">
      <c r="C2772" s="134"/>
      <c r="D2772" s="134"/>
      <c r="E2772" s="134"/>
      <c r="F2772" s="134"/>
      <c r="G2772" s="134"/>
      <c r="H2772" s="134"/>
      <c r="I2772" s="134"/>
      <c r="J2772" s="134"/>
      <c r="K2772" s="134"/>
      <c r="L2772" s="134"/>
      <c r="M2772" s="134"/>
    </row>
    <row r="2773" spans="3:13" ht="12.75">
      <c r="C2773" s="134"/>
      <c r="D2773" s="134"/>
      <c r="E2773" s="134"/>
      <c r="F2773" s="134"/>
      <c r="G2773" s="134"/>
      <c r="H2773" s="134"/>
      <c r="I2773" s="134"/>
      <c r="J2773" s="134"/>
      <c r="K2773" s="134"/>
      <c r="L2773" s="134"/>
      <c r="M2773" s="134"/>
    </row>
    <row r="2774" spans="3:13" ht="12.75">
      <c r="C2774" s="134"/>
      <c r="D2774" s="134"/>
      <c r="E2774" s="134"/>
      <c r="F2774" s="134"/>
      <c r="G2774" s="134"/>
      <c r="H2774" s="134"/>
      <c r="I2774" s="134"/>
      <c r="J2774" s="134"/>
      <c r="K2774" s="134"/>
      <c r="L2774" s="134"/>
      <c r="M2774" s="134"/>
    </row>
    <row r="2775" spans="3:13" ht="12.75">
      <c r="C2775" s="134"/>
      <c r="D2775" s="134"/>
      <c r="E2775" s="134"/>
      <c r="F2775" s="134"/>
      <c r="G2775" s="134"/>
      <c r="H2775" s="134"/>
      <c r="I2775" s="134"/>
      <c r="J2775" s="134"/>
      <c r="K2775" s="134"/>
      <c r="L2775" s="134"/>
      <c r="M2775" s="134"/>
    </row>
    <row r="2776" spans="3:13" ht="12.75">
      <c r="C2776" s="134"/>
      <c r="D2776" s="134"/>
      <c r="E2776" s="134"/>
      <c r="F2776" s="134"/>
      <c r="G2776" s="134"/>
      <c r="H2776" s="134"/>
      <c r="I2776" s="134"/>
      <c r="J2776" s="134"/>
      <c r="K2776" s="134"/>
      <c r="L2776" s="134"/>
      <c r="M2776" s="134"/>
    </row>
    <row r="2777" spans="3:13" ht="12.75">
      <c r="C2777" s="134"/>
      <c r="D2777" s="134"/>
      <c r="E2777" s="134"/>
      <c r="F2777" s="134"/>
      <c r="G2777" s="134"/>
      <c r="H2777" s="134"/>
      <c r="I2777" s="134"/>
      <c r="J2777" s="134"/>
      <c r="K2777" s="134"/>
      <c r="L2777" s="134"/>
      <c r="M2777" s="134"/>
    </row>
    <row r="2778" spans="3:13" ht="12.75">
      <c r="C2778" s="134"/>
      <c r="D2778" s="134"/>
      <c r="E2778" s="134"/>
      <c r="F2778" s="134"/>
      <c r="G2778" s="134"/>
      <c r="H2778" s="134"/>
      <c r="I2778" s="134"/>
      <c r="J2778" s="134"/>
      <c r="K2778" s="134"/>
      <c r="L2778" s="134"/>
      <c r="M2778" s="134"/>
    </row>
    <row r="2779" spans="3:13" ht="12.75">
      <c r="C2779" s="134"/>
      <c r="D2779" s="134"/>
      <c r="E2779" s="134"/>
      <c r="F2779" s="134"/>
      <c r="G2779" s="134"/>
      <c r="H2779" s="134"/>
      <c r="I2779" s="134"/>
      <c r="J2779" s="134"/>
      <c r="K2779" s="134"/>
      <c r="L2779" s="134"/>
      <c r="M2779" s="134"/>
    </row>
    <row r="2780" spans="3:13" ht="12.75">
      <c r="C2780" s="134"/>
      <c r="D2780" s="134"/>
      <c r="E2780" s="134"/>
      <c r="F2780" s="134"/>
      <c r="G2780" s="134"/>
      <c r="H2780" s="134"/>
      <c r="I2780" s="134"/>
      <c r="J2780" s="134"/>
      <c r="K2780" s="134"/>
      <c r="L2780" s="134"/>
      <c r="M2780" s="134"/>
    </row>
    <row r="2781" spans="3:13" ht="12.75">
      <c r="C2781" s="134"/>
      <c r="D2781" s="134"/>
      <c r="E2781" s="134"/>
      <c r="F2781" s="134"/>
      <c r="G2781" s="134"/>
      <c r="H2781" s="134"/>
      <c r="I2781" s="134"/>
      <c r="J2781" s="134"/>
      <c r="K2781" s="134"/>
      <c r="L2781" s="134"/>
      <c r="M2781" s="134"/>
    </row>
    <row r="2782" spans="3:13" ht="12.75">
      <c r="C2782" s="134"/>
      <c r="D2782" s="134"/>
      <c r="E2782" s="134"/>
      <c r="F2782" s="134"/>
      <c r="G2782" s="134"/>
      <c r="H2782" s="134"/>
      <c r="I2782" s="134"/>
      <c r="J2782" s="134"/>
      <c r="K2782" s="134"/>
      <c r="L2782" s="134"/>
      <c r="M2782" s="134"/>
    </row>
    <row r="2783" spans="3:13" ht="12.75">
      <c r="C2783" s="134"/>
      <c r="D2783" s="134"/>
      <c r="E2783" s="134"/>
      <c r="F2783" s="134"/>
      <c r="G2783" s="134"/>
      <c r="H2783" s="134"/>
      <c r="I2783" s="134"/>
      <c r="J2783" s="134"/>
      <c r="K2783" s="134"/>
      <c r="L2783" s="134"/>
      <c r="M2783" s="134"/>
    </row>
    <row r="2784" spans="3:13" ht="12.75">
      <c r="C2784" s="134"/>
      <c r="D2784" s="134"/>
      <c r="E2784" s="134"/>
      <c r="F2784" s="134"/>
      <c r="G2784" s="134"/>
      <c r="H2784" s="134"/>
      <c r="I2784" s="134"/>
      <c r="J2784" s="134"/>
      <c r="K2784" s="134"/>
      <c r="L2784" s="134"/>
      <c r="M2784" s="134"/>
    </row>
    <row r="2785" spans="3:13" ht="12.75">
      <c r="C2785" s="134"/>
      <c r="D2785" s="134"/>
      <c r="E2785" s="134"/>
      <c r="F2785" s="134"/>
      <c r="G2785" s="134"/>
      <c r="H2785" s="134"/>
      <c r="I2785" s="134"/>
      <c r="J2785" s="134"/>
      <c r="K2785" s="134"/>
      <c r="L2785" s="134"/>
      <c r="M2785" s="134"/>
    </row>
    <row r="2786" spans="3:13" ht="12.75">
      <c r="C2786" s="134"/>
      <c r="D2786" s="134"/>
      <c r="E2786" s="134"/>
      <c r="F2786" s="134"/>
      <c r="G2786" s="134"/>
      <c r="H2786" s="134"/>
      <c r="I2786" s="134"/>
      <c r="J2786" s="134"/>
      <c r="K2786" s="134"/>
      <c r="L2786" s="134"/>
      <c r="M2786" s="134"/>
    </row>
    <row r="2787" spans="3:13" ht="12.75">
      <c r="C2787" s="134"/>
      <c r="D2787" s="134"/>
      <c r="E2787" s="134"/>
      <c r="F2787" s="134"/>
      <c r="G2787" s="134"/>
      <c r="H2787" s="134"/>
      <c r="I2787" s="134"/>
      <c r="J2787" s="134"/>
      <c r="K2787" s="134"/>
      <c r="L2787" s="134"/>
      <c r="M2787" s="134"/>
    </row>
    <row r="2788" spans="3:13" ht="12.75">
      <c r="C2788" s="134"/>
      <c r="D2788" s="134"/>
      <c r="E2788" s="134"/>
      <c r="F2788" s="134"/>
      <c r="G2788" s="134"/>
      <c r="H2788" s="134"/>
      <c r="I2788" s="134"/>
      <c r="J2788" s="134"/>
      <c r="K2788" s="134"/>
      <c r="L2788" s="134"/>
      <c r="M2788" s="134"/>
    </row>
    <row r="2789" spans="3:13" ht="12.75">
      <c r="C2789" s="134"/>
      <c r="D2789" s="134"/>
      <c r="E2789" s="134"/>
      <c r="F2789" s="134"/>
      <c r="G2789" s="134"/>
      <c r="H2789" s="134"/>
      <c r="I2789" s="134"/>
      <c r="J2789" s="134"/>
      <c r="K2789" s="134"/>
      <c r="L2789" s="134"/>
      <c r="M2789" s="134"/>
    </row>
    <row r="2790" spans="3:13" ht="12.75">
      <c r="C2790" s="134"/>
      <c r="D2790" s="134"/>
      <c r="E2790" s="134"/>
      <c r="F2790" s="134"/>
      <c r="G2790" s="134"/>
      <c r="H2790" s="134"/>
      <c r="I2790" s="134"/>
      <c r="J2790" s="134"/>
      <c r="K2790" s="134"/>
      <c r="L2790" s="134"/>
      <c r="M2790" s="134"/>
    </row>
    <row r="2791" spans="3:13" ht="12.75">
      <c r="C2791" s="134"/>
      <c r="D2791" s="134"/>
      <c r="E2791" s="134"/>
      <c r="F2791" s="134"/>
      <c r="G2791" s="134"/>
      <c r="H2791" s="134"/>
      <c r="I2791" s="134"/>
      <c r="J2791" s="134"/>
      <c r="K2791" s="134"/>
      <c r="L2791" s="134"/>
      <c r="M2791" s="134"/>
    </row>
    <row r="2792" spans="3:13" ht="12.75">
      <c r="C2792" s="134"/>
      <c r="D2792" s="134"/>
      <c r="E2792" s="134"/>
      <c r="F2792" s="134"/>
      <c r="G2792" s="134"/>
      <c r="H2792" s="134"/>
      <c r="I2792" s="134"/>
      <c r="J2792" s="134"/>
      <c r="K2792" s="134"/>
      <c r="L2792" s="134"/>
      <c r="M2792" s="134"/>
    </row>
    <row r="2793" spans="3:13" ht="12.75">
      <c r="C2793" s="134"/>
      <c r="D2793" s="134"/>
      <c r="E2793" s="134"/>
      <c r="F2793" s="134"/>
      <c r="G2793" s="134"/>
      <c r="H2793" s="134"/>
      <c r="I2793" s="134"/>
      <c r="J2793" s="134"/>
      <c r="K2793" s="134"/>
      <c r="L2793" s="134"/>
      <c r="M2793" s="134"/>
    </row>
    <row r="2794" spans="3:13" ht="12.75">
      <c r="C2794" s="134"/>
      <c r="D2794" s="134"/>
      <c r="E2794" s="134"/>
      <c r="F2794" s="134"/>
      <c r="G2794" s="134"/>
      <c r="H2794" s="134"/>
      <c r="I2794" s="134"/>
      <c r="J2794" s="134"/>
      <c r="K2794" s="134"/>
      <c r="L2794" s="134"/>
      <c r="M2794" s="134"/>
    </row>
    <row r="2795" spans="3:13" ht="12.75">
      <c r="C2795" s="134"/>
      <c r="D2795" s="134"/>
      <c r="E2795" s="134"/>
      <c r="F2795" s="134"/>
      <c r="G2795" s="134"/>
      <c r="H2795" s="134"/>
      <c r="I2795" s="134"/>
      <c r="J2795" s="134"/>
      <c r="K2795" s="134"/>
      <c r="L2795" s="134"/>
      <c r="M2795" s="134"/>
    </row>
    <row r="2796" spans="3:13" ht="12.75">
      <c r="C2796" s="134"/>
      <c r="D2796" s="134"/>
      <c r="E2796" s="134"/>
      <c r="F2796" s="134"/>
      <c r="G2796" s="134"/>
      <c r="H2796" s="134"/>
      <c r="I2796" s="134"/>
      <c r="J2796" s="134"/>
      <c r="K2796" s="134"/>
      <c r="L2796" s="134"/>
      <c r="M2796" s="134"/>
    </row>
    <row r="2797" spans="3:13" ht="12.75">
      <c r="C2797" s="134"/>
      <c r="D2797" s="134"/>
      <c r="E2797" s="134"/>
      <c r="F2797" s="134"/>
      <c r="G2797" s="134"/>
      <c r="H2797" s="134"/>
      <c r="I2797" s="134"/>
      <c r="J2797" s="134"/>
      <c r="K2797" s="134"/>
      <c r="L2797" s="134"/>
      <c r="M2797" s="134"/>
    </row>
    <row r="2798" spans="3:13" ht="12.75">
      <c r="C2798" s="134"/>
      <c r="D2798" s="134"/>
      <c r="E2798" s="134"/>
      <c r="F2798" s="134"/>
      <c r="G2798" s="134"/>
      <c r="H2798" s="134"/>
      <c r="I2798" s="134"/>
      <c r="J2798" s="134"/>
      <c r="K2798" s="134"/>
      <c r="L2798" s="134"/>
      <c r="M2798" s="134"/>
    </row>
    <row r="2799" spans="3:13" ht="12.75">
      <c r="C2799" s="134"/>
      <c r="D2799" s="134"/>
      <c r="E2799" s="134"/>
      <c r="F2799" s="134"/>
      <c r="G2799" s="134"/>
      <c r="H2799" s="134"/>
      <c r="I2799" s="134"/>
      <c r="J2799" s="134"/>
      <c r="K2799" s="134"/>
      <c r="L2799" s="134"/>
      <c r="M2799" s="134"/>
    </row>
    <row r="2800" spans="3:13" ht="12.75">
      <c r="C2800" s="134"/>
      <c r="D2800" s="134"/>
      <c r="E2800" s="134"/>
      <c r="F2800" s="134"/>
      <c r="G2800" s="134"/>
      <c r="H2800" s="134"/>
      <c r="I2800" s="134"/>
      <c r="J2800" s="134"/>
      <c r="K2800" s="134"/>
      <c r="L2800" s="134"/>
      <c r="M2800" s="134"/>
    </row>
    <row r="2801" spans="3:13" ht="12.75">
      <c r="C2801" s="134"/>
      <c r="D2801" s="134"/>
      <c r="E2801" s="134"/>
      <c r="F2801" s="134"/>
      <c r="G2801" s="134"/>
      <c r="H2801" s="134"/>
      <c r="I2801" s="134"/>
      <c r="J2801" s="134"/>
      <c r="K2801" s="134"/>
      <c r="L2801" s="134"/>
      <c r="M2801" s="134"/>
    </row>
    <row r="2802" spans="3:13" ht="12.75">
      <c r="C2802" s="134"/>
      <c r="D2802" s="134"/>
      <c r="E2802" s="134"/>
      <c r="F2802" s="134"/>
      <c r="G2802" s="134"/>
      <c r="H2802" s="134"/>
      <c r="I2802" s="134"/>
      <c r="J2802" s="134"/>
      <c r="K2802" s="134"/>
      <c r="L2802" s="134"/>
      <c r="M2802" s="134"/>
    </row>
    <row r="2803" spans="3:13" ht="12.75">
      <c r="C2803" s="134"/>
      <c r="D2803" s="134"/>
      <c r="E2803" s="134"/>
      <c r="F2803" s="134"/>
      <c r="G2803" s="134"/>
      <c r="H2803" s="134"/>
      <c r="I2803" s="134"/>
      <c r="J2803" s="134"/>
      <c r="K2803" s="134"/>
      <c r="L2803" s="134"/>
      <c r="M2803" s="134"/>
    </row>
    <row r="2804" spans="3:13" ht="12.75">
      <c r="C2804" s="134"/>
      <c r="D2804" s="134"/>
      <c r="E2804" s="134"/>
      <c r="F2804" s="134"/>
      <c r="G2804" s="134"/>
      <c r="H2804" s="134"/>
      <c r="I2804" s="134"/>
      <c r="J2804" s="134"/>
      <c r="K2804" s="134"/>
      <c r="L2804" s="134"/>
      <c r="M2804" s="134"/>
    </row>
    <row r="2805" spans="3:13" ht="12.75">
      <c r="C2805" s="134"/>
      <c r="D2805" s="134"/>
      <c r="E2805" s="134"/>
      <c r="F2805" s="134"/>
      <c r="G2805" s="134"/>
      <c r="H2805" s="134"/>
      <c r="I2805" s="134"/>
      <c r="J2805" s="134"/>
      <c r="K2805" s="134"/>
      <c r="L2805" s="134"/>
      <c r="M2805" s="134"/>
    </row>
    <row r="2806" spans="3:13" ht="12.75">
      <c r="C2806" s="134"/>
      <c r="D2806" s="134"/>
      <c r="E2806" s="134"/>
      <c r="F2806" s="134"/>
      <c r="G2806" s="134"/>
      <c r="H2806" s="134"/>
      <c r="I2806" s="134"/>
      <c r="J2806" s="134"/>
      <c r="K2806" s="134"/>
      <c r="L2806" s="134"/>
      <c r="M2806" s="134"/>
    </row>
    <row r="2807" spans="3:13" ht="12.75">
      <c r="C2807" s="134"/>
      <c r="D2807" s="134"/>
      <c r="E2807" s="134"/>
      <c r="F2807" s="134"/>
      <c r="G2807" s="134"/>
      <c r="H2807" s="134"/>
      <c r="I2807" s="134"/>
      <c r="J2807" s="134"/>
      <c r="K2807" s="134"/>
      <c r="L2807" s="134"/>
      <c r="M2807" s="134"/>
    </row>
    <row r="2808" spans="3:13" ht="12.75">
      <c r="C2808" s="134"/>
      <c r="D2808" s="134"/>
      <c r="E2808" s="134"/>
      <c r="F2808" s="134"/>
      <c r="G2808" s="134"/>
      <c r="H2808" s="134"/>
      <c r="I2808" s="134"/>
      <c r="J2808" s="134"/>
      <c r="K2808" s="134"/>
      <c r="L2808" s="134"/>
      <c r="M2808" s="134"/>
    </row>
    <row r="2809" spans="3:13" ht="12.75">
      <c r="C2809" s="134"/>
      <c r="D2809" s="134"/>
      <c r="E2809" s="134"/>
      <c r="F2809" s="134"/>
      <c r="G2809" s="134"/>
      <c r="H2809" s="134"/>
      <c r="I2809" s="134"/>
      <c r="J2809" s="134"/>
      <c r="K2809" s="134"/>
      <c r="L2809" s="134"/>
      <c r="M2809" s="134"/>
    </row>
    <row r="2810" spans="3:13" ht="12.75">
      <c r="C2810" s="134"/>
      <c r="D2810" s="134"/>
      <c r="E2810" s="134"/>
      <c r="F2810" s="134"/>
      <c r="G2810" s="134"/>
      <c r="H2810" s="134"/>
      <c r="I2810" s="134"/>
      <c r="J2810" s="134"/>
      <c r="K2810" s="134"/>
      <c r="L2810" s="134"/>
      <c r="M2810" s="134"/>
    </row>
    <row r="2811" spans="3:13" ht="12.75">
      <c r="C2811" s="134"/>
      <c r="D2811" s="134"/>
      <c r="E2811" s="134"/>
      <c r="F2811" s="134"/>
      <c r="G2811" s="134"/>
      <c r="H2811" s="134"/>
      <c r="I2811" s="134"/>
      <c r="J2811" s="134"/>
      <c r="K2811" s="134"/>
      <c r="L2811" s="134"/>
      <c r="M2811" s="134"/>
    </row>
    <row r="2812" spans="3:13" ht="12.75">
      <c r="C2812" s="134"/>
      <c r="D2812" s="134"/>
      <c r="E2812" s="134"/>
      <c r="F2812" s="134"/>
      <c r="G2812" s="134"/>
      <c r="H2812" s="134"/>
      <c r="I2812" s="134"/>
      <c r="J2812" s="134"/>
      <c r="K2812" s="134"/>
      <c r="L2812" s="134"/>
      <c r="M2812" s="134"/>
    </row>
    <row r="2813" spans="3:13" ht="12.75">
      <c r="C2813" s="134"/>
      <c r="D2813" s="134"/>
      <c r="E2813" s="134"/>
      <c r="F2813" s="134"/>
      <c r="G2813" s="134"/>
      <c r="H2813" s="134"/>
      <c r="I2813" s="134"/>
      <c r="J2813" s="134"/>
      <c r="K2813" s="134"/>
      <c r="L2813" s="134"/>
      <c r="M2813" s="134"/>
    </row>
    <row r="2814" spans="3:13" ht="12.75">
      <c r="C2814" s="134"/>
      <c r="D2814" s="134"/>
      <c r="E2814" s="134"/>
      <c r="F2814" s="134"/>
      <c r="G2814" s="134"/>
      <c r="H2814" s="134"/>
      <c r="I2814" s="134"/>
      <c r="J2814" s="134"/>
      <c r="K2814" s="134"/>
      <c r="L2814" s="134"/>
      <c r="M2814" s="134"/>
    </row>
    <row r="2815" spans="3:13" ht="12.75">
      <c r="C2815" s="134"/>
      <c r="D2815" s="134"/>
      <c r="E2815" s="134"/>
      <c r="F2815" s="134"/>
      <c r="G2815" s="134"/>
      <c r="H2815" s="134"/>
      <c r="I2815" s="134"/>
      <c r="J2815" s="134"/>
      <c r="K2815" s="134"/>
      <c r="L2815" s="134"/>
      <c r="M2815" s="134"/>
    </row>
    <row r="2816" spans="3:13" ht="12.75">
      <c r="C2816" s="134"/>
      <c r="D2816" s="134"/>
      <c r="E2816" s="134"/>
      <c r="F2816" s="134"/>
      <c r="G2816" s="134"/>
      <c r="H2816" s="134"/>
      <c r="I2816" s="134"/>
      <c r="J2816" s="134"/>
      <c r="K2816" s="134"/>
      <c r="L2816" s="134"/>
      <c r="M2816" s="134"/>
    </row>
    <row r="2817" spans="3:13" ht="12.75">
      <c r="C2817" s="134"/>
      <c r="D2817" s="134"/>
      <c r="E2817" s="134"/>
      <c r="F2817" s="134"/>
      <c r="G2817" s="134"/>
      <c r="H2817" s="134"/>
      <c r="I2817" s="134"/>
      <c r="J2817" s="134"/>
      <c r="K2817" s="134"/>
      <c r="L2817" s="134"/>
      <c r="M2817" s="134"/>
    </row>
    <row r="2818" spans="3:13" ht="12.75">
      <c r="C2818" s="134"/>
      <c r="D2818" s="134"/>
      <c r="E2818" s="134"/>
      <c r="F2818" s="134"/>
      <c r="G2818" s="134"/>
      <c r="H2818" s="134"/>
      <c r="I2818" s="134"/>
      <c r="J2818" s="134"/>
      <c r="K2818" s="134"/>
      <c r="L2818" s="134"/>
      <c r="M2818" s="134"/>
    </row>
    <row r="2819" spans="3:13" ht="12.75">
      <c r="C2819" s="134"/>
      <c r="D2819" s="134"/>
      <c r="E2819" s="134"/>
      <c r="F2819" s="134"/>
      <c r="G2819" s="134"/>
      <c r="H2819" s="134"/>
      <c r="I2819" s="134"/>
      <c r="J2819" s="134"/>
      <c r="K2819" s="134"/>
      <c r="L2819" s="134"/>
      <c r="M2819" s="134"/>
    </row>
    <row r="2820" spans="3:13" ht="12.75">
      <c r="C2820" s="134"/>
      <c r="D2820" s="134"/>
      <c r="E2820" s="134"/>
      <c r="F2820" s="134"/>
      <c r="G2820" s="134"/>
      <c r="H2820" s="134"/>
      <c r="I2820" s="134"/>
      <c r="J2820" s="134"/>
      <c r="K2820" s="134"/>
      <c r="L2820" s="134"/>
      <c r="M2820" s="134"/>
    </row>
    <row r="2821" spans="3:13" ht="12.75">
      <c r="C2821" s="134"/>
      <c r="D2821" s="134"/>
      <c r="E2821" s="134"/>
      <c r="F2821" s="134"/>
      <c r="G2821" s="134"/>
      <c r="H2821" s="134"/>
      <c r="I2821" s="134"/>
      <c r="J2821" s="134"/>
      <c r="K2821" s="134"/>
      <c r="L2821" s="134"/>
      <c r="M2821" s="134"/>
    </row>
    <row r="2822" spans="3:13" ht="12.75">
      <c r="C2822" s="134"/>
      <c r="D2822" s="134"/>
      <c r="E2822" s="134"/>
      <c r="F2822" s="134"/>
      <c r="G2822" s="134"/>
      <c r="H2822" s="134"/>
      <c r="I2822" s="134"/>
      <c r="J2822" s="134"/>
      <c r="K2822" s="134"/>
      <c r="L2822" s="134"/>
      <c r="M2822" s="134"/>
    </row>
    <row r="2823" spans="3:13" ht="12.75">
      <c r="C2823" s="134"/>
      <c r="D2823" s="134"/>
      <c r="E2823" s="134"/>
      <c r="F2823" s="134"/>
      <c r="G2823" s="134"/>
      <c r="H2823" s="134"/>
      <c r="I2823" s="134"/>
      <c r="J2823" s="134"/>
      <c r="K2823" s="134"/>
      <c r="L2823" s="134"/>
      <c r="M2823" s="134"/>
    </row>
    <row r="2824" spans="3:13" ht="12.75">
      <c r="C2824" s="134"/>
      <c r="D2824" s="134"/>
      <c r="E2824" s="134"/>
      <c r="F2824" s="134"/>
      <c r="G2824" s="134"/>
      <c r="H2824" s="134"/>
      <c r="I2824" s="134"/>
      <c r="J2824" s="134"/>
      <c r="K2824" s="134"/>
      <c r="L2824" s="134"/>
      <c r="M2824" s="134"/>
    </row>
    <row r="2825" spans="3:13" ht="12.75">
      <c r="C2825" s="134"/>
      <c r="D2825" s="134"/>
      <c r="E2825" s="134"/>
      <c r="F2825" s="134"/>
      <c r="G2825" s="134"/>
      <c r="H2825" s="134"/>
      <c r="I2825" s="134"/>
      <c r="J2825" s="134"/>
      <c r="K2825" s="134"/>
      <c r="L2825" s="134"/>
      <c r="M2825" s="134"/>
    </row>
    <row r="2826" spans="3:13" ht="12.75">
      <c r="C2826" s="134"/>
      <c r="D2826" s="134"/>
      <c r="E2826" s="134"/>
      <c r="F2826" s="134"/>
      <c r="G2826" s="134"/>
      <c r="H2826" s="134"/>
      <c r="I2826" s="134"/>
      <c r="J2826" s="134"/>
      <c r="K2826" s="134"/>
      <c r="L2826" s="134"/>
      <c r="M2826" s="134"/>
    </row>
    <row r="2827" spans="3:13" ht="12.75">
      <c r="C2827" s="134"/>
      <c r="D2827" s="134"/>
      <c r="E2827" s="134"/>
      <c r="F2827" s="134"/>
      <c r="G2827" s="134"/>
      <c r="H2827" s="134"/>
      <c r="I2827" s="134"/>
      <c r="J2827" s="134"/>
      <c r="K2827" s="134"/>
      <c r="L2827" s="134"/>
      <c r="M2827" s="134"/>
    </row>
    <row r="2828" spans="3:13" ht="12.75">
      <c r="C2828" s="134"/>
      <c r="D2828" s="134"/>
      <c r="E2828" s="134"/>
      <c r="F2828" s="134"/>
      <c r="G2828" s="134"/>
      <c r="H2828" s="134"/>
      <c r="I2828" s="134"/>
      <c r="J2828" s="134"/>
      <c r="K2828" s="134"/>
      <c r="L2828" s="134"/>
      <c r="M2828" s="134"/>
    </row>
    <row r="2829" spans="3:13" ht="12.75">
      <c r="C2829" s="134"/>
      <c r="D2829" s="134"/>
      <c r="E2829" s="134"/>
      <c r="F2829" s="134"/>
      <c r="G2829" s="134"/>
      <c r="H2829" s="134"/>
      <c r="I2829" s="134"/>
      <c r="J2829" s="134"/>
      <c r="K2829" s="134"/>
      <c r="L2829" s="134"/>
      <c r="M2829" s="134"/>
    </row>
    <row r="2830" spans="3:13" ht="12.75">
      <c r="C2830" s="134"/>
      <c r="D2830" s="134"/>
      <c r="E2830" s="134"/>
      <c r="F2830" s="134"/>
      <c r="G2830" s="134"/>
      <c r="H2830" s="134"/>
      <c r="I2830" s="134"/>
      <c r="J2830" s="134"/>
      <c r="K2830" s="134"/>
      <c r="L2830" s="134"/>
      <c r="M2830" s="134"/>
    </row>
    <row r="2831" spans="3:13" ht="12.75">
      <c r="C2831" s="134"/>
      <c r="D2831" s="134"/>
      <c r="E2831" s="134"/>
      <c r="F2831" s="134"/>
      <c r="G2831" s="134"/>
      <c r="H2831" s="134"/>
      <c r="I2831" s="134"/>
      <c r="J2831" s="134"/>
      <c r="K2831" s="134"/>
      <c r="L2831" s="134"/>
      <c r="M2831" s="134"/>
    </row>
    <row r="2832" spans="3:13" ht="12.75">
      <c r="C2832" s="134"/>
      <c r="D2832" s="134"/>
      <c r="E2832" s="134"/>
      <c r="F2832" s="134"/>
      <c r="G2832" s="134"/>
      <c r="H2832" s="134"/>
      <c r="I2832" s="134"/>
      <c r="J2832" s="134"/>
      <c r="K2832" s="134"/>
      <c r="L2832" s="134"/>
      <c r="M2832" s="134"/>
    </row>
    <row r="2833" spans="3:13" ht="12.75">
      <c r="C2833" s="134"/>
      <c r="D2833" s="134"/>
      <c r="E2833" s="134"/>
      <c r="F2833" s="134"/>
      <c r="G2833" s="134"/>
      <c r="H2833" s="134"/>
      <c r="I2833" s="134"/>
      <c r="J2833" s="134"/>
      <c r="K2833" s="134"/>
      <c r="L2833" s="134"/>
      <c r="M2833" s="134"/>
    </row>
    <row r="2834" spans="3:13" ht="12.75">
      <c r="C2834" s="134"/>
      <c r="D2834" s="134"/>
      <c r="E2834" s="134"/>
      <c r="F2834" s="134"/>
      <c r="G2834" s="134"/>
      <c r="H2834" s="134"/>
      <c r="I2834" s="134"/>
      <c r="J2834" s="134"/>
      <c r="K2834" s="134"/>
      <c r="L2834" s="134"/>
      <c r="M2834" s="134"/>
    </row>
    <row r="2835" spans="3:13" ht="12.75">
      <c r="C2835" s="134"/>
      <c r="D2835" s="134"/>
      <c r="E2835" s="134"/>
      <c r="F2835" s="134"/>
      <c r="G2835" s="134"/>
      <c r="H2835" s="134"/>
      <c r="I2835" s="134"/>
      <c r="J2835" s="134"/>
      <c r="K2835" s="134"/>
      <c r="L2835" s="134"/>
      <c r="M2835" s="134"/>
    </row>
    <row r="2836" spans="3:13" ht="12.75">
      <c r="C2836" s="134"/>
      <c r="D2836" s="134"/>
      <c r="E2836" s="134"/>
      <c r="F2836" s="134"/>
      <c r="G2836" s="134"/>
      <c r="H2836" s="134"/>
      <c r="I2836" s="134"/>
      <c r="J2836" s="134"/>
      <c r="K2836" s="134"/>
      <c r="L2836" s="134"/>
      <c r="M2836" s="134"/>
    </row>
    <row r="2837" spans="3:13" ht="12.75">
      <c r="C2837" s="134"/>
      <c r="D2837" s="134"/>
      <c r="E2837" s="134"/>
      <c r="F2837" s="134"/>
      <c r="G2837" s="134"/>
      <c r="H2837" s="134"/>
      <c r="I2837" s="134"/>
      <c r="J2837" s="134"/>
      <c r="K2837" s="134"/>
      <c r="L2837" s="134"/>
      <c r="M2837" s="134"/>
    </row>
    <row r="2838" spans="3:13" ht="12.75">
      <c r="C2838" s="134"/>
      <c r="D2838" s="134"/>
      <c r="E2838" s="134"/>
      <c r="F2838" s="134"/>
      <c r="G2838" s="134"/>
      <c r="H2838" s="134"/>
      <c r="I2838" s="134"/>
      <c r="J2838" s="134"/>
      <c r="K2838" s="134"/>
      <c r="L2838" s="134"/>
      <c r="M2838" s="134"/>
    </row>
    <row r="2839" spans="3:13" ht="12.75">
      <c r="C2839" s="134"/>
      <c r="D2839" s="134"/>
      <c r="E2839" s="134"/>
      <c r="F2839" s="134"/>
      <c r="G2839" s="134"/>
      <c r="H2839" s="134"/>
      <c r="I2839" s="134"/>
      <c r="J2839" s="134"/>
      <c r="K2839" s="134"/>
      <c r="L2839" s="134"/>
      <c r="M2839" s="134"/>
    </row>
    <row r="2840" spans="3:13" ht="12.75">
      <c r="C2840" s="134"/>
      <c r="D2840" s="134"/>
      <c r="E2840" s="134"/>
      <c r="F2840" s="134"/>
      <c r="G2840" s="134"/>
      <c r="H2840" s="134"/>
      <c r="I2840" s="134"/>
      <c r="J2840" s="134"/>
      <c r="K2840" s="134"/>
      <c r="L2840" s="134"/>
      <c r="M2840" s="134"/>
    </row>
    <row r="2841" spans="3:13" ht="12.75">
      <c r="C2841" s="134"/>
      <c r="D2841" s="134"/>
      <c r="E2841" s="134"/>
      <c r="F2841" s="134"/>
      <c r="G2841" s="134"/>
      <c r="H2841" s="134"/>
      <c r="I2841" s="134"/>
      <c r="J2841" s="134"/>
      <c r="K2841" s="134"/>
      <c r="L2841" s="134"/>
      <c r="M2841" s="134"/>
    </row>
    <row r="2842" spans="3:13" ht="12.75">
      <c r="C2842" s="134"/>
      <c r="D2842" s="134"/>
      <c r="E2842" s="134"/>
      <c r="F2842" s="134"/>
      <c r="G2842" s="134"/>
      <c r="H2842" s="134"/>
      <c r="I2842" s="134"/>
      <c r="J2842" s="134"/>
      <c r="K2842" s="134"/>
      <c r="L2842" s="134"/>
      <c r="M2842" s="134"/>
    </row>
    <row r="2843" spans="3:13" ht="12.75">
      <c r="C2843" s="134"/>
      <c r="D2843" s="134"/>
      <c r="E2843" s="134"/>
      <c r="F2843" s="134"/>
      <c r="G2843" s="134"/>
      <c r="H2843" s="134"/>
      <c r="I2843" s="134"/>
      <c r="J2843" s="134"/>
      <c r="K2843" s="134"/>
      <c r="L2843" s="134"/>
      <c r="M2843" s="134"/>
    </row>
    <row r="2844" spans="3:13" ht="12.75">
      <c r="C2844" s="134"/>
      <c r="D2844" s="134"/>
      <c r="E2844" s="134"/>
      <c r="F2844" s="134"/>
      <c r="G2844" s="134"/>
      <c r="H2844" s="134"/>
      <c r="I2844" s="134"/>
      <c r="J2844" s="134"/>
      <c r="K2844" s="134"/>
      <c r="L2844" s="134"/>
      <c r="M2844" s="134"/>
    </row>
    <row r="2845" spans="3:13" ht="12.75">
      <c r="C2845" s="134"/>
      <c r="D2845" s="134"/>
      <c r="E2845" s="134"/>
      <c r="F2845" s="134"/>
      <c r="G2845" s="134"/>
      <c r="H2845" s="134"/>
      <c r="I2845" s="134"/>
      <c r="J2845" s="134"/>
      <c r="K2845" s="134"/>
      <c r="L2845" s="134"/>
      <c r="M2845" s="134"/>
    </row>
    <row r="2846" spans="3:13" ht="12.75">
      <c r="C2846" s="134"/>
      <c r="D2846" s="134"/>
      <c r="E2846" s="134"/>
      <c r="F2846" s="134"/>
      <c r="G2846" s="134"/>
      <c r="H2846" s="134"/>
      <c r="I2846" s="134"/>
      <c r="J2846" s="134"/>
      <c r="K2846" s="134"/>
      <c r="L2846" s="134"/>
      <c r="M2846" s="134"/>
    </row>
    <row r="2847" spans="3:13" ht="12.75">
      <c r="C2847" s="134"/>
      <c r="D2847" s="134"/>
      <c r="E2847" s="134"/>
      <c r="F2847" s="134"/>
      <c r="G2847" s="134"/>
      <c r="H2847" s="134"/>
      <c r="I2847" s="134"/>
      <c r="J2847" s="134"/>
      <c r="K2847" s="134"/>
      <c r="L2847" s="134"/>
      <c r="M2847" s="134"/>
    </row>
    <row r="2848" spans="3:13" ht="12.75">
      <c r="C2848" s="134"/>
      <c r="D2848" s="134"/>
      <c r="E2848" s="134"/>
      <c r="F2848" s="134"/>
      <c r="G2848" s="134"/>
      <c r="H2848" s="134"/>
      <c r="I2848" s="134"/>
      <c r="J2848" s="134"/>
      <c r="K2848" s="134"/>
      <c r="L2848" s="134"/>
      <c r="M2848" s="134"/>
    </row>
    <row r="2849" spans="3:13" ht="12.75">
      <c r="C2849" s="134"/>
      <c r="D2849" s="134"/>
      <c r="E2849" s="134"/>
      <c r="F2849" s="134"/>
      <c r="G2849" s="134"/>
      <c r="H2849" s="134"/>
      <c r="I2849" s="134"/>
      <c r="J2849" s="134"/>
      <c r="K2849" s="134"/>
      <c r="L2849" s="134"/>
      <c r="M2849" s="134"/>
    </row>
    <row r="2850" spans="3:13" ht="12.75">
      <c r="C2850" s="134"/>
      <c r="D2850" s="134"/>
      <c r="E2850" s="134"/>
      <c r="F2850" s="134"/>
      <c r="G2850" s="134"/>
      <c r="H2850" s="134"/>
      <c r="I2850" s="134"/>
      <c r="J2850" s="134"/>
      <c r="K2850" s="134"/>
      <c r="L2850" s="134"/>
      <c r="M2850" s="134"/>
    </row>
    <row r="2851" spans="3:13" ht="12.75">
      <c r="C2851" s="134"/>
      <c r="D2851" s="134"/>
      <c r="E2851" s="134"/>
      <c r="F2851" s="134"/>
      <c r="G2851" s="134"/>
      <c r="H2851" s="134"/>
      <c r="I2851" s="134"/>
      <c r="J2851" s="134"/>
      <c r="K2851" s="134"/>
      <c r="L2851" s="134"/>
      <c r="M2851" s="134"/>
    </row>
    <row r="2852" spans="3:13" ht="12.75">
      <c r="C2852" s="134"/>
      <c r="D2852" s="134"/>
      <c r="E2852" s="134"/>
      <c r="F2852" s="134"/>
      <c r="G2852" s="134"/>
      <c r="H2852" s="134"/>
      <c r="I2852" s="134"/>
      <c r="J2852" s="134"/>
      <c r="K2852" s="134"/>
      <c r="L2852" s="134"/>
      <c r="M2852" s="134"/>
    </row>
    <row r="2853" spans="3:13" ht="12.75">
      <c r="C2853" s="134"/>
      <c r="D2853" s="134"/>
      <c r="E2853" s="134"/>
      <c r="F2853" s="134"/>
      <c r="G2853" s="134"/>
      <c r="H2853" s="134"/>
      <c r="I2853" s="134"/>
      <c r="J2853" s="134"/>
      <c r="K2853" s="134"/>
      <c r="L2853" s="134"/>
      <c r="M2853" s="134"/>
    </row>
    <row r="2854" spans="3:13" ht="12.75">
      <c r="C2854" s="134"/>
      <c r="D2854" s="134"/>
      <c r="E2854" s="134"/>
      <c r="F2854" s="134"/>
      <c r="G2854" s="134"/>
      <c r="H2854" s="134"/>
      <c r="I2854" s="134"/>
      <c r="J2854" s="134"/>
      <c r="K2854" s="134"/>
      <c r="L2854" s="134"/>
      <c r="M2854" s="134"/>
    </row>
    <row r="2855" spans="3:13" ht="12.75">
      <c r="C2855" s="134"/>
      <c r="D2855" s="134"/>
      <c r="E2855" s="134"/>
      <c r="F2855" s="134"/>
      <c r="G2855" s="134"/>
      <c r="H2855" s="134"/>
      <c r="I2855" s="134"/>
      <c r="J2855" s="134"/>
      <c r="K2855" s="134"/>
      <c r="L2855" s="134"/>
      <c r="M2855" s="134"/>
    </row>
    <row r="2856" spans="3:13" ht="12.75">
      <c r="C2856" s="134"/>
      <c r="D2856" s="134"/>
      <c r="E2856" s="134"/>
      <c r="F2856" s="134"/>
      <c r="G2856" s="134"/>
      <c r="H2856" s="134"/>
      <c r="I2856" s="134"/>
      <c r="J2856" s="134"/>
      <c r="K2856" s="134"/>
      <c r="L2856" s="134"/>
      <c r="M2856" s="134"/>
    </row>
    <row r="2857" spans="3:13" ht="12.75">
      <c r="C2857" s="134"/>
      <c r="D2857" s="134"/>
      <c r="E2857" s="134"/>
      <c r="F2857" s="134"/>
      <c r="G2857" s="134"/>
      <c r="H2857" s="134"/>
      <c r="I2857" s="134"/>
      <c r="J2857" s="134"/>
      <c r="K2857" s="134"/>
      <c r="L2857" s="134"/>
      <c r="M2857" s="134"/>
    </row>
    <row r="2858" spans="3:13" ht="12.75">
      <c r="C2858" s="134"/>
      <c r="D2858" s="134"/>
      <c r="E2858" s="134"/>
      <c r="F2858" s="134"/>
      <c r="G2858" s="134"/>
      <c r="H2858" s="134"/>
      <c r="I2858" s="134"/>
      <c r="J2858" s="134"/>
      <c r="K2858" s="134"/>
      <c r="L2858" s="134"/>
      <c r="M2858" s="134"/>
    </row>
    <row r="2859" spans="3:13" ht="12.75">
      <c r="C2859" s="134"/>
      <c r="D2859" s="134"/>
      <c r="E2859" s="134"/>
      <c r="F2859" s="134"/>
      <c r="G2859" s="134"/>
      <c r="H2859" s="134"/>
      <c r="I2859" s="134"/>
      <c r="J2859" s="134"/>
      <c r="K2859" s="134"/>
      <c r="L2859" s="134"/>
      <c r="M2859" s="134"/>
    </row>
    <row r="2860" spans="3:13" ht="12.75">
      <c r="C2860" s="134"/>
      <c r="D2860" s="134"/>
      <c r="E2860" s="134"/>
      <c r="F2860" s="134"/>
      <c r="G2860" s="134"/>
      <c r="H2860" s="134"/>
      <c r="I2860" s="134"/>
      <c r="J2860" s="134"/>
      <c r="K2860" s="134"/>
      <c r="L2860" s="134"/>
      <c r="M2860" s="134"/>
    </row>
    <row r="2861" spans="3:13" ht="12.75">
      <c r="C2861" s="134"/>
      <c r="D2861" s="134"/>
      <c r="E2861" s="134"/>
      <c r="F2861" s="134"/>
      <c r="G2861" s="134"/>
      <c r="H2861" s="134"/>
      <c r="I2861" s="134"/>
      <c r="J2861" s="134"/>
      <c r="K2861" s="134"/>
      <c r="L2861" s="134"/>
      <c r="M2861" s="134"/>
    </row>
    <row r="2862" spans="3:13" ht="12.75">
      <c r="C2862" s="134"/>
      <c r="D2862" s="134"/>
      <c r="E2862" s="134"/>
      <c r="F2862" s="134"/>
      <c r="G2862" s="134"/>
      <c r="H2862" s="134"/>
      <c r="I2862" s="134"/>
      <c r="J2862" s="134"/>
      <c r="K2862" s="134"/>
      <c r="L2862" s="134"/>
      <c r="M2862" s="134"/>
    </row>
    <row r="2863" spans="3:13" ht="12.75">
      <c r="C2863" s="134"/>
      <c r="D2863" s="134"/>
      <c r="E2863" s="134"/>
      <c r="F2863" s="134"/>
      <c r="G2863" s="134"/>
      <c r="H2863" s="134"/>
      <c r="I2863" s="134"/>
      <c r="J2863" s="134"/>
      <c r="K2863" s="134"/>
      <c r="L2863" s="134"/>
      <c r="M2863" s="134"/>
    </row>
    <row r="2864" spans="3:13" ht="12.75">
      <c r="C2864" s="134"/>
      <c r="D2864" s="134"/>
      <c r="E2864" s="134"/>
      <c r="F2864" s="134"/>
      <c r="G2864" s="134"/>
      <c r="H2864" s="134"/>
      <c r="I2864" s="134"/>
      <c r="J2864" s="134"/>
      <c r="K2864" s="134"/>
      <c r="L2864" s="134"/>
      <c r="M2864" s="134"/>
    </row>
    <row r="2865" spans="3:13" ht="12.75">
      <c r="C2865" s="134"/>
      <c r="D2865" s="134"/>
      <c r="E2865" s="134"/>
      <c r="F2865" s="134"/>
      <c r="G2865" s="134"/>
      <c r="H2865" s="134"/>
      <c r="I2865" s="134"/>
      <c r="J2865" s="134"/>
      <c r="K2865" s="134"/>
      <c r="L2865" s="134"/>
      <c r="M2865" s="134"/>
    </row>
    <row r="2866" spans="3:13" ht="12.75">
      <c r="C2866" s="134"/>
      <c r="D2866" s="134"/>
      <c r="E2866" s="134"/>
      <c r="F2866" s="134"/>
      <c r="G2866" s="134"/>
      <c r="H2866" s="134"/>
      <c r="I2866" s="134"/>
      <c r="J2866" s="134"/>
      <c r="K2866" s="134"/>
      <c r="L2866" s="134"/>
      <c r="M2866" s="134"/>
    </row>
    <row r="2867" spans="3:13" ht="12.75">
      <c r="C2867" s="134"/>
      <c r="D2867" s="134"/>
      <c r="E2867" s="134"/>
      <c r="F2867" s="134"/>
      <c r="G2867" s="134"/>
      <c r="H2867" s="134"/>
      <c r="I2867" s="134"/>
      <c r="J2867" s="134"/>
      <c r="K2867" s="134"/>
      <c r="L2867" s="134"/>
      <c r="M2867" s="134"/>
    </row>
    <row r="2868" spans="3:13" ht="12.75">
      <c r="C2868" s="134"/>
      <c r="D2868" s="134"/>
      <c r="E2868" s="134"/>
      <c r="F2868" s="134"/>
      <c r="G2868" s="134"/>
      <c r="H2868" s="134"/>
      <c r="I2868" s="134"/>
      <c r="J2868" s="134"/>
      <c r="K2868" s="134"/>
      <c r="L2868" s="134"/>
      <c r="M2868" s="134"/>
    </row>
    <row r="2869" spans="3:13" ht="12.75">
      <c r="C2869" s="134"/>
      <c r="D2869" s="134"/>
      <c r="E2869" s="134"/>
      <c r="F2869" s="134"/>
      <c r="G2869" s="134"/>
      <c r="H2869" s="134"/>
      <c r="I2869" s="134"/>
      <c r="J2869" s="134"/>
      <c r="K2869" s="134"/>
      <c r="L2869" s="134"/>
      <c r="M2869" s="134"/>
    </row>
    <row r="2870" spans="3:13" ht="12.75">
      <c r="C2870" s="134"/>
      <c r="D2870" s="134"/>
      <c r="E2870" s="134"/>
      <c r="F2870" s="134"/>
      <c r="G2870" s="134"/>
      <c r="H2870" s="134"/>
      <c r="I2870" s="134"/>
      <c r="J2870" s="134"/>
      <c r="K2870" s="134"/>
      <c r="L2870" s="134"/>
      <c r="M2870" s="134"/>
    </row>
    <row r="2871" spans="3:13" ht="12.75">
      <c r="C2871" s="134"/>
      <c r="D2871" s="134"/>
      <c r="E2871" s="134"/>
      <c r="F2871" s="134"/>
      <c r="G2871" s="134"/>
      <c r="H2871" s="134"/>
      <c r="I2871" s="134"/>
      <c r="J2871" s="134"/>
      <c r="K2871" s="134"/>
      <c r="L2871" s="134"/>
      <c r="M2871" s="134"/>
    </row>
    <row r="2872" spans="3:13" ht="12.75">
      <c r="C2872" s="134"/>
      <c r="D2872" s="134"/>
      <c r="E2872" s="134"/>
      <c r="F2872" s="134"/>
      <c r="G2872" s="134"/>
      <c r="H2872" s="134"/>
      <c r="I2872" s="134"/>
      <c r="J2872" s="134"/>
      <c r="K2872" s="134"/>
      <c r="L2872" s="134"/>
      <c r="M2872" s="134"/>
    </row>
    <row r="2873" spans="3:13" ht="12.75">
      <c r="C2873" s="134"/>
      <c r="D2873" s="134"/>
      <c r="E2873" s="134"/>
      <c r="F2873" s="134"/>
      <c r="G2873" s="134"/>
      <c r="H2873" s="134"/>
      <c r="I2873" s="134"/>
      <c r="J2873" s="134"/>
      <c r="K2873" s="134"/>
      <c r="L2873" s="134"/>
      <c r="M2873" s="134"/>
    </row>
    <row r="2874" spans="3:13" ht="12.75">
      <c r="C2874" s="134"/>
      <c r="D2874" s="134"/>
      <c r="E2874" s="134"/>
      <c r="F2874" s="134"/>
      <c r="G2874" s="134"/>
      <c r="H2874" s="134"/>
      <c r="I2874" s="134"/>
      <c r="J2874" s="134"/>
      <c r="K2874" s="134"/>
      <c r="L2874" s="134"/>
      <c r="M2874" s="134"/>
    </row>
    <row r="2875" spans="3:13" ht="12.75">
      <c r="C2875" s="134"/>
      <c r="D2875" s="134"/>
      <c r="E2875" s="134"/>
      <c r="F2875" s="134"/>
      <c r="G2875" s="134"/>
      <c r="H2875" s="134"/>
      <c r="I2875" s="134"/>
      <c r="J2875" s="134"/>
      <c r="K2875" s="134"/>
      <c r="L2875" s="134"/>
      <c r="M2875" s="134"/>
    </row>
    <row r="2876" spans="3:13" ht="12.75">
      <c r="C2876" s="134"/>
      <c r="D2876" s="134"/>
      <c r="E2876" s="134"/>
      <c r="F2876" s="134"/>
      <c r="G2876" s="134"/>
      <c r="H2876" s="134"/>
      <c r="I2876" s="134"/>
      <c r="J2876" s="134"/>
      <c r="K2876" s="134"/>
      <c r="L2876" s="134"/>
      <c r="M2876" s="134"/>
    </row>
    <row r="2877" spans="3:13" ht="12.75">
      <c r="C2877" s="134"/>
      <c r="D2877" s="134"/>
      <c r="E2877" s="134"/>
      <c r="F2877" s="134"/>
      <c r="G2877" s="134"/>
      <c r="H2877" s="134"/>
      <c r="I2877" s="134"/>
      <c r="J2877" s="134"/>
      <c r="K2877" s="134"/>
      <c r="L2877" s="134"/>
      <c r="M2877" s="134"/>
    </row>
    <row r="2878" spans="3:13" ht="12.75">
      <c r="C2878" s="134"/>
      <c r="D2878" s="134"/>
      <c r="E2878" s="134"/>
      <c r="F2878" s="134"/>
      <c r="G2878" s="134"/>
      <c r="H2878" s="134"/>
      <c r="I2878" s="134"/>
      <c r="J2878" s="134"/>
      <c r="K2878" s="134"/>
      <c r="L2878" s="134"/>
      <c r="M2878" s="134"/>
    </row>
    <row r="2879" spans="3:13" ht="12.75">
      <c r="C2879" s="134"/>
      <c r="D2879" s="134"/>
      <c r="E2879" s="134"/>
      <c r="F2879" s="134"/>
      <c r="G2879" s="134"/>
      <c r="H2879" s="134"/>
      <c r="I2879" s="134"/>
      <c r="J2879" s="134"/>
      <c r="K2879" s="134"/>
      <c r="L2879" s="134"/>
      <c r="M2879" s="134"/>
    </row>
    <row r="2880" spans="3:13" ht="12.75">
      <c r="C2880" s="134"/>
      <c r="D2880" s="134"/>
      <c r="E2880" s="134"/>
      <c r="F2880" s="134"/>
      <c r="G2880" s="134"/>
      <c r="H2880" s="134"/>
      <c r="I2880" s="134"/>
      <c r="J2880" s="134"/>
      <c r="K2880" s="134"/>
      <c r="L2880" s="134"/>
      <c r="M2880" s="134"/>
    </row>
    <row r="2881" spans="3:13" ht="12.75">
      <c r="C2881" s="134"/>
      <c r="D2881" s="134"/>
      <c r="E2881" s="134"/>
      <c r="F2881" s="134"/>
      <c r="G2881" s="134"/>
      <c r="H2881" s="134"/>
      <c r="I2881" s="134"/>
      <c r="J2881" s="134"/>
      <c r="K2881" s="134"/>
      <c r="L2881" s="134"/>
      <c r="M2881" s="134"/>
    </row>
    <row r="2882" spans="3:13" ht="12.75">
      <c r="C2882" s="134"/>
      <c r="D2882" s="134"/>
      <c r="E2882" s="134"/>
      <c r="F2882" s="134"/>
      <c r="G2882" s="134"/>
      <c r="H2882" s="134"/>
      <c r="I2882" s="134"/>
      <c r="J2882" s="134"/>
      <c r="K2882" s="134"/>
      <c r="L2882" s="134"/>
      <c r="M2882" s="134"/>
    </row>
    <row r="2883" spans="3:13" ht="12.75">
      <c r="C2883" s="134"/>
      <c r="D2883" s="134"/>
      <c r="E2883" s="134"/>
      <c r="F2883" s="134"/>
      <c r="G2883" s="134"/>
      <c r="H2883" s="134"/>
      <c r="I2883" s="134"/>
      <c r="J2883" s="134"/>
      <c r="K2883" s="134"/>
      <c r="L2883" s="134"/>
      <c r="M2883" s="134"/>
    </row>
    <row r="2884" spans="3:13" ht="12.75">
      <c r="C2884" s="134"/>
      <c r="D2884" s="134"/>
      <c r="E2884" s="134"/>
      <c r="F2884" s="134"/>
      <c r="G2884" s="134"/>
      <c r="H2884" s="134"/>
      <c r="I2884" s="134"/>
      <c r="J2884" s="134"/>
      <c r="K2884" s="134"/>
      <c r="L2884" s="134"/>
      <c r="M2884" s="134"/>
    </row>
    <row r="2885" spans="3:13" ht="12.75">
      <c r="C2885" s="134"/>
      <c r="D2885" s="134"/>
      <c r="E2885" s="134"/>
      <c r="F2885" s="134"/>
      <c r="G2885" s="134"/>
      <c r="H2885" s="134"/>
      <c r="I2885" s="134"/>
      <c r="J2885" s="134"/>
      <c r="K2885" s="134"/>
      <c r="L2885" s="134"/>
      <c r="M2885" s="134"/>
    </row>
    <row r="2886" spans="3:13" ht="12.75">
      <c r="C2886" s="134"/>
      <c r="D2886" s="134"/>
      <c r="E2886" s="134"/>
      <c r="F2886" s="134"/>
      <c r="G2886" s="134"/>
      <c r="H2886" s="134"/>
      <c r="I2886" s="134"/>
      <c r="J2886" s="134"/>
      <c r="K2886" s="134"/>
      <c r="L2886" s="134"/>
      <c r="M2886" s="134"/>
    </row>
    <row r="2887" spans="3:13" ht="12.75">
      <c r="C2887" s="134"/>
      <c r="D2887" s="134"/>
      <c r="E2887" s="134"/>
      <c r="F2887" s="134"/>
      <c r="G2887" s="134"/>
      <c r="H2887" s="134"/>
      <c r="I2887" s="134"/>
      <c r="J2887" s="134"/>
      <c r="K2887" s="134"/>
      <c r="L2887" s="134"/>
      <c r="M2887" s="134"/>
    </row>
    <row r="2888" spans="3:13" ht="12.75">
      <c r="C2888" s="134"/>
      <c r="D2888" s="134"/>
      <c r="E2888" s="134"/>
      <c r="F2888" s="134"/>
      <c r="G2888" s="134"/>
      <c r="H2888" s="134"/>
      <c r="I2888" s="134"/>
      <c r="J2888" s="134"/>
      <c r="K2888" s="134"/>
      <c r="L2888" s="134"/>
      <c r="M2888" s="134"/>
    </row>
    <row r="2889" spans="3:13" ht="12.75">
      <c r="C2889" s="134"/>
      <c r="D2889" s="134"/>
      <c r="E2889" s="134"/>
      <c r="F2889" s="134"/>
      <c r="G2889" s="134"/>
      <c r="H2889" s="134"/>
      <c r="I2889" s="134"/>
      <c r="J2889" s="134"/>
      <c r="K2889" s="134"/>
      <c r="L2889" s="134"/>
      <c r="M2889" s="134"/>
    </row>
    <row r="2890" spans="3:13" ht="12.75">
      <c r="C2890" s="134"/>
      <c r="D2890" s="134"/>
      <c r="E2890" s="134"/>
      <c r="F2890" s="134"/>
      <c r="G2890" s="134"/>
      <c r="H2890" s="134"/>
      <c r="I2890" s="134"/>
      <c r="J2890" s="134"/>
      <c r="K2890" s="134"/>
      <c r="L2890" s="134"/>
      <c r="M2890" s="134"/>
    </row>
    <row r="2891" spans="3:13" ht="12.75">
      <c r="C2891" s="134"/>
      <c r="D2891" s="134"/>
      <c r="E2891" s="134"/>
      <c r="F2891" s="134"/>
      <c r="G2891" s="134"/>
      <c r="H2891" s="134"/>
      <c r="I2891" s="134"/>
      <c r="J2891" s="134"/>
      <c r="K2891" s="134"/>
      <c r="L2891" s="134"/>
      <c r="M2891" s="134"/>
    </row>
    <row r="2892" spans="3:13" ht="12.75">
      <c r="C2892" s="134"/>
      <c r="D2892" s="134"/>
      <c r="E2892" s="134"/>
      <c r="F2892" s="134"/>
      <c r="G2892" s="134"/>
      <c r="H2892" s="134"/>
      <c r="I2892" s="134"/>
      <c r="J2892" s="134"/>
      <c r="K2892" s="134"/>
      <c r="L2892" s="134"/>
      <c r="M2892" s="134"/>
    </row>
    <row r="2893" spans="3:13" ht="12.75">
      <c r="C2893" s="134"/>
      <c r="D2893" s="134"/>
      <c r="E2893" s="134"/>
      <c r="F2893" s="134"/>
      <c r="G2893" s="134"/>
      <c r="H2893" s="134"/>
      <c r="I2893" s="134"/>
      <c r="J2893" s="134"/>
      <c r="K2893" s="134"/>
      <c r="L2893" s="134"/>
      <c r="M2893" s="134"/>
    </row>
    <row r="2894" spans="3:13" ht="12.75">
      <c r="C2894" s="134"/>
      <c r="D2894" s="134"/>
      <c r="E2894" s="134"/>
      <c r="F2894" s="134"/>
      <c r="G2894" s="134"/>
      <c r="H2894" s="134"/>
      <c r="I2894" s="134"/>
      <c r="J2894" s="134"/>
      <c r="K2894" s="134"/>
      <c r="L2894" s="134"/>
      <c r="M2894" s="134"/>
    </row>
    <row r="2895" spans="3:13" ht="12.75">
      <c r="C2895" s="134"/>
      <c r="D2895" s="134"/>
      <c r="E2895" s="134"/>
      <c r="F2895" s="134"/>
      <c r="G2895" s="134"/>
      <c r="H2895" s="134"/>
      <c r="I2895" s="134"/>
      <c r="J2895" s="134"/>
      <c r="K2895" s="134"/>
      <c r="L2895" s="134"/>
      <c r="M2895" s="134"/>
    </row>
    <row r="2896" spans="3:13" ht="12.75">
      <c r="C2896" s="134"/>
      <c r="D2896" s="134"/>
      <c r="E2896" s="134"/>
      <c r="F2896" s="134"/>
      <c r="G2896" s="134"/>
      <c r="H2896" s="134"/>
      <c r="I2896" s="134"/>
      <c r="J2896" s="134"/>
      <c r="K2896" s="134"/>
      <c r="L2896" s="134"/>
      <c r="M2896" s="134"/>
    </row>
    <row r="2897" spans="3:13" ht="12.75">
      <c r="C2897" s="134"/>
      <c r="D2897" s="134"/>
      <c r="E2897" s="134"/>
      <c r="F2897" s="134"/>
      <c r="G2897" s="134"/>
      <c r="H2897" s="134"/>
      <c r="I2897" s="134"/>
      <c r="J2897" s="134"/>
      <c r="K2897" s="134"/>
      <c r="L2897" s="134"/>
      <c r="M2897" s="134"/>
    </row>
    <row r="2898" spans="3:13" ht="12.75">
      <c r="C2898" s="134"/>
      <c r="D2898" s="134"/>
      <c r="E2898" s="134"/>
      <c r="F2898" s="134"/>
      <c r="G2898" s="134"/>
      <c r="H2898" s="134"/>
      <c r="I2898" s="134"/>
      <c r="J2898" s="134"/>
      <c r="K2898" s="134"/>
      <c r="L2898" s="134"/>
      <c r="M2898" s="134"/>
    </row>
    <row r="2899" spans="3:13" ht="12.75">
      <c r="C2899" s="134"/>
      <c r="D2899" s="134"/>
      <c r="E2899" s="134"/>
      <c r="F2899" s="134"/>
      <c r="G2899" s="134"/>
      <c r="H2899" s="134"/>
      <c r="I2899" s="134"/>
      <c r="J2899" s="134"/>
      <c r="K2899" s="134"/>
      <c r="L2899" s="134"/>
      <c r="M2899" s="134"/>
    </row>
    <row r="2900" spans="3:13" ht="12.75">
      <c r="C2900" s="134"/>
      <c r="D2900" s="134"/>
      <c r="E2900" s="134"/>
      <c r="F2900" s="134"/>
      <c r="G2900" s="134"/>
      <c r="H2900" s="134"/>
      <c r="I2900" s="134"/>
      <c r="J2900" s="134"/>
      <c r="K2900" s="134"/>
      <c r="L2900" s="134"/>
      <c r="M2900" s="134"/>
    </row>
    <row r="2901" spans="3:13" ht="12.75">
      <c r="C2901" s="134"/>
      <c r="D2901" s="134"/>
      <c r="E2901" s="134"/>
      <c r="F2901" s="134"/>
      <c r="G2901" s="134"/>
      <c r="H2901" s="134"/>
      <c r="I2901" s="134"/>
      <c r="J2901" s="134"/>
      <c r="K2901" s="134"/>
      <c r="L2901" s="134"/>
      <c r="M2901" s="134"/>
    </row>
    <row r="2902" spans="3:13" ht="12.75">
      <c r="C2902" s="134"/>
      <c r="D2902" s="134"/>
      <c r="E2902" s="134"/>
      <c r="F2902" s="134"/>
      <c r="G2902" s="134"/>
      <c r="H2902" s="134"/>
      <c r="I2902" s="134"/>
      <c r="J2902" s="134"/>
      <c r="K2902" s="134"/>
      <c r="L2902" s="134"/>
      <c r="M2902" s="134"/>
    </row>
    <row r="2903" spans="3:13" ht="12.75">
      <c r="C2903" s="134"/>
      <c r="D2903" s="134"/>
      <c r="E2903" s="134"/>
      <c r="F2903" s="134"/>
      <c r="G2903" s="134"/>
      <c r="H2903" s="134"/>
      <c r="I2903" s="134"/>
      <c r="J2903" s="134"/>
      <c r="K2903" s="134"/>
      <c r="L2903" s="134"/>
      <c r="M2903" s="134"/>
    </row>
    <row r="2904" spans="3:13" ht="12.75">
      <c r="C2904" s="134"/>
      <c r="D2904" s="134"/>
      <c r="E2904" s="134"/>
      <c r="F2904" s="134"/>
      <c r="G2904" s="134"/>
      <c r="H2904" s="134"/>
      <c r="I2904" s="134"/>
      <c r="J2904" s="134"/>
      <c r="K2904" s="134"/>
      <c r="L2904" s="134"/>
      <c r="M2904" s="134"/>
    </row>
    <row r="2905" spans="3:13" ht="12.75">
      <c r="C2905" s="134"/>
      <c r="D2905" s="134"/>
      <c r="E2905" s="134"/>
      <c r="F2905" s="134"/>
      <c r="G2905" s="134"/>
      <c r="H2905" s="134"/>
      <c r="I2905" s="134"/>
      <c r="J2905" s="134"/>
      <c r="K2905" s="134"/>
      <c r="L2905" s="134"/>
      <c r="M2905" s="134"/>
    </row>
    <row r="2906" spans="3:13" ht="12.75">
      <c r="C2906" s="134"/>
      <c r="D2906" s="134"/>
      <c r="E2906" s="134"/>
      <c r="F2906" s="134"/>
      <c r="G2906" s="134"/>
      <c r="H2906" s="134"/>
      <c r="I2906" s="134"/>
      <c r="J2906" s="134"/>
      <c r="K2906" s="134"/>
      <c r="L2906" s="134"/>
      <c r="M2906" s="134"/>
    </row>
    <row r="2907" spans="3:13" ht="12.75">
      <c r="C2907" s="134"/>
      <c r="D2907" s="134"/>
      <c r="E2907" s="134"/>
      <c r="F2907" s="134"/>
      <c r="G2907" s="134"/>
      <c r="H2907" s="134"/>
      <c r="I2907" s="134"/>
      <c r="J2907" s="134"/>
      <c r="K2907" s="134"/>
      <c r="L2907" s="134"/>
      <c r="M2907" s="134"/>
    </row>
    <row r="2908" spans="3:13" ht="12.75">
      <c r="C2908" s="134"/>
      <c r="D2908" s="134"/>
      <c r="E2908" s="134"/>
      <c r="F2908" s="134"/>
      <c r="G2908" s="134"/>
      <c r="H2908" s="134"/>
      <c r="I2908" s="134"/>
      <c r="J2908" s="134"/>
      <c r="K2908" s="134"/>
      <c r="L2908" s="134"/>
      <c r="M2908" s="134"/>
    </row>
    <row r="2909" spans="3:13" ht="12.75">
      <c r="C2909" s="134"/>
      <c r="D2909" s="134"/>
      <c r="E2909" s="134"/>
      <c r="F2909" s="134"/>
      <c r="G2909" s="134"/>
      <c r="H2909" s="134"/>
      <c r="I2909" s="134"/>
      <c r="J2909" s="134"/>
      <c r="K2909" s="134"/>
      <c r="L2909" s="134"/>
      <c r="M2909" s="134"/>
    </row>
    <row r="2910" spans="3:13" ht="12.75">
      <c r="C2910" s="134"/>
      <c r="D2910" s="134"/>
      <c r="E2910" s="134"/>
      <c r="F2910" s="134"/>
      <c r="G2910" s="134"/>
      <c r="H2910" s="134"/>
      <c r="I2910" s="134"/>
      <c r="J2910" s="134"/>
      <c r="K2910" s="134"/>
      <c r="L2910" s="134"/>
      <c r="M2910" s="134"/>
    </row>
    <row r="2911" spans="3:13" ht="12.75">
      <c r="C2911" s="134"/>
      <c r="D2911" s="134"/>
      <c r="E2911" s="134"/>
      <c r="F2911" s="134"/>
      <c r="G2911" s="134"/>
      <c r="H2911" s="134"/>
      <c r="I2911" s="134"/>
      <c r="J2911" s="134"/>
      <c r="K2911" s="134"/>
      <c r="L2911" s="134"/>
      <c r="M2911" s="134"/>
    </row>
    <row r="2912" spans="3:13" ht="12.75">
      <c r="C2912" s="134"/>
      <c r="D2912" s="134"/>
      <c r="E2912" s="134"/>
      <c r="F2912" s="134"/>
      <c r="G2912" s="134"/>
      <c r="H2912" s="134"/>
      <c r="I2912" s="134"/>
      <c r="J2912" s="134"/>
      <c r="K2912" s="134"/>
      <c r="L2912" s="134"/>
      <c r="M2912" s="134"/>
    </row>
    <row r="2913" spans="3:13" ht="12.75">
      <c r="C2913" s="134"/>
      <c r="D2913" s="134"/>
      <c r="E2913" s="134"/>
      <c r="F2913" s="134"/>
      <c r="G2913" s="134"/>
      <c r="H2913" s="134"/>
      <c r="I2913" s="134"/>
      <c r="J2913" s="134"/>
      <c r="K2913" s="134"/>
      <c r="L2913" s="134"/>
      <c r="M2913" s="134"/>
    </row>
    <row r="2914" spans="3:13" ht="12.75">
      <c r="C2914" s="134"/>
      <c r="D2914" s="134"/>
      <c r="E2914" s="134"/>
      <c r="F2914" s="134"/>
      <c r="G2914" s="134"/>
      <c r="H2914" s="134"/>
      <c r="I2914" s="134"/>
      <c r="J2914" s="134"/>
      <c r="K2914" s="134"/>
      <c r="L2914" s="134"/>
      <c r="M2914" s="134"/>
    </row>
    <row r="2915" spans="3:13" ht="12.75">
      <c r="C2915" s="134"/>
      <c r="D2915" s="134"/>
      <c r="E2915" s="134"/>
      <c r="F2915" s="134"/>
      <c r="G2915" s="134"/>
      <c r="H2915" s="134"/>
      <c r="I2915" s="134"/>
      <c r="J2915" s="134"/>
      <c r="K2915" s="134"/>
      <c r="L2915" s="134"/>
      <c r="M2915" s="134"/>
    </row>
    <row r="2916" spans="3:13" ht="12.75">
      <c r="C2916" s="134"/>
      <c r="D2916" s="134"/>
      <c r="E2916" s="134"/>
      <c r="F2916" s="134"/>
      <c r="G2916" s="134"/>
      <c r="H2916" s="134"/>
      <c r="I2916" s="134"/>
      <c r="J2916" s="134"/>
      <c r="K2916" s="134"/>
      <c r="L2916" s="134"/>
      <c r="M2916" s="134"/>
    </row>
    <row r="2917" spans="3:13" ht="12.75">
      <c r="C2917" s="134"/>
      <c r="D2917" s="134"/>
      <c r="E2917" s="134"/>
      <c r="F2917" s="134"/>
      <c r="G2917" s="134"/>
      <c r="H2917" s="134"/>
      <c r="I2917" s="134"/>
      <c r="J2917" s="134"/>
      <c r="K2917" s="134"/>
      <c r="L2917" s="134"/>
      <c r="M2917" s="134"/>
    </row>
    <row r="2918" spans="3:13" ht="12.75">
      <c r="C2918" s="134"/>
      <c r="D2918" s="134"/>
      <c r="E2918" s="134"/>
      <c r="F2918" s="134"/>
      <c r="G2918" s="134"/>
      <c r="H2918" s="134"/>
      <c r="I2918" s="134"/>
      <c r="J2918" s="134"/>
      <c r="K2918" s="134"/>
      <c r="L2918" s="134"/>
      <c r="M2918" s="134"/>
    </row>
    <row r="2919" spans="3:13" ht="12.75">
      <c r="C2919" s="134"/>
      <c r="D2919" s="134"/>
      <c r="E2919" s="134"/>
      <c r="F2919" s="134"/>
      <c r="G2919" s="134"/>
      <c r="H2919" s="134"/>
      <c r="I2919" s="134"/>
      <c r="J2919" s="134"/>
      <c r="K2919" s="134"/>
      <c r="L2919" s="134"/>
      <c r="M2919" s="134"/>
    </row>
    <row r="2920" spans="3:13" ht="12.75">
      <c r="C2920" s="134"/>
      <c r="D2920" s="134"/>
      <c r="E2920" s="134"/>
      <c r="F2920" s="134"/>
      <c r="G2920" s="134"/>
      <c r="H2920" s="134"/>
      <c r="I2920" s="134"/>
      <c r="J2920" s="134"/>
      <c r="K2920" s="134"/>
      <c r="L2920" s="134"/>
      <c r="M2920" s="134"/>
    </row>
    <row r="2921" spans="3:13" ht="12.75">
      <c r="C2921" s="134"/>
      <c r="D2921" s="134"/>
      <c r="E2921" s="134"/>
      <c r="F2921" s="134"/>
      <c r="G2921" s="134"/>
      <c r="H2921" s="134"/>
      <c r="I2921" s="134"/>
      <c r="J2921" s="134"/>
      <c r="K2921" s="134"/>
      <c r="L2921" s="134"/>
      <c r="M2921" s="134"/>
    </row>
    <row r="2922" spans="3:13" ht="12.75">
      <c r="C2922" s="134"/>
      <c r="D2922" s="134"/>
      <c r="E2922" s="134"/>
      <c r="F2922" s="134"/>
      <c r="G2922" s="134"/>
      <c r="H2922" s="134"/>
      <c r="I2922" s="134"/>
      <c r="J2922" s="134"/>
      <c r="K2922" s="134"/>
      <c r="L2922" s="134"/>
      <c r="M2922" s="134"/>
    </row>
    <row r="2923" spans="3:13" ht="12.75">
      <c r="C2923" s="134"/>
      <c r="D2923" s="134"/>
      <c r="E2923" s="134"/>
      <c r="F2923" s="134"/>
      <c r="G2923" s="134"/>
      <c r="H2923" s="134"/>
      <c r="I2923" s="134"/>
      <c r="J2923" s="134"/>
      <c r="K2923" s="134"/>
      <c r="L2923" s="134"/>
      <c r="M2923" s="134"/>
    </row>
    <row r="2924" spans="3:13" ht="12.75">
      <c r="C2924" s="134"/>
      <c r="D2924" s="134"/>
      <c r="E2924" s="134"/>
      <c r="F2924" s="134"/>
      <c r="G2924" s="134"/>
      <c r="H2924" s="134"/>
      <c r="I2924" s="134"/>
      <c r="J2924" s="134"/>
      <c r="K2924" s="134"/>
      <c r="L2924" s="134"/>
      <c r="M2924" s="134"/>
    </row>
    <row r="2925" spans="3:13" ht="12.75">
      <c r="C2925" s="134"/>
      <c r="D2925" s="134"/>
      <c r="E2925" s="134"/>
      <c r="F2925" s="134"/>
      <c r="G2925" s="134"/>
      <c r="H2925" s="134"/>
      <c r="I2925" s="134"/>
      <c r="J2925" s="134"/>
      <c r="K2925" s="134"/>
      <c r="L2925" s="134"/>
      <c r="M2925" s="134"/>
    </row>
    <row r="2926" spans="3:13" ht="12.75">
      <c r="C2926" s="134"/>
      <c r="D2926" s="134"/>
      <c r="E2926" s="134"/>
      <c r="F2926" s="134"/>
      <c r="G2926" s="134"/>
      <c r="H2926" s="134"/>
      <c r="I2926" s="134"/>
      <c r="J2926" s="134"/>
      <c r="K2926" s="134"/>
      <c r="L2926" s="134"/>
      <c r="M2926" s="134"/>
    </row>
    <row r="2927" spans="3:13" ht="12.75">
      <c r="C2927" s="134"/>
      <c r="D2927" s="134"/>
      <c r="E2927" s="134"/>
      <c r="F2927" s="134"/>
      <c r="G2927" s="134"/>
      <c r="H2927" s="134"/>
      <c r="I2927" s="134"/>
      <c r="J2927" s="134"/>
      <c r="K2927" s="134"/>
      <c r="L2927" s="134"/>
      <c r="M2927" s="134"/>
    </row>
    <row r="2928" spans="3:13" ht="12.75">
      <c r="C2928" s="134"/>
      <c r="D2928" s="134"/>
      <c r="E2928" s="134"/>
      <c r="F2928" s="134"/>
      <c r="G2928" s="134"/>
      <c r="H2928" s="134"/>
      <c r="I2928" s="134"/>
      <c r="J2928" s="134"/>
      <c r="K2928" s="134"/>
      <c r="L2928" s="134"/>
      <c r="M2928" s="134"/>
    </row>
    <row r="2929" spans="3:13" ht="12.75">
      <c r="C2929" s="134"/>
      <c r="D2929" s="134"/>
      <c r="E2929" s="134"/>
      <c r="F2929" s="134"/>
      <c r="G2929" s="134"/>
      <c r="H2929" s="134"/>
      <c r="I2929" s="134"/>
      <c r="J2929" s="134"/>
      <c r="K2929" s="134"/>
      <c r="L2929" s="134"/>
      <c r="M2929" s="134"/>
    </row>
    <row r="2930" spans="3:13" ht="12.75">
      <c r="C2930" s="134"/>
      <c r="D2930" s="134"/>
      <c r="E2930" s="134"/>
      <c r="F2930" s="134"/>
      <c r="G2930" s="134"/>
      <c r="H2930" s="134"/>
      <c r="I2930" s="134"/>
      <c r="J2930" s="134"/>
      <c r="K2930" s="134"/>
      <c r="L2930" s="134"/>
      <c r="M2930" s="134"/>
    </row>
    <row r="2931" spans="3:13" ht="12.75">
      <c r="C2931" s="134"/>
      <c r="D2931" s="134"/>
      <c r="E2931" s="134"/>
      <c r="F2931" s="134"/>
      <c r="G2931" s="134"/>
      <c r="H2931" s="134"/>
      <c r="I2931" s="134"/>
      <c r="J2931" s="134"/>
      <c r="K2931" s="134"/>
      <c r="L2931" s="134"/>
      <c r="M2931" s="134"/>
    </row>
    <row r="2932" spans="3:13" ht="12.75">
      <c r="C2932" s="134"/>
      <c r="D2932" s="134"/>
      <c r="E2932" s="134"/>
      <c r="F2932" s="134"/>
      <c r="G2932" s="134"/>
      <c r="H2932" s="134"/>
      <c r="I2932" s="134"/>
      <c r="J2932" s="134"/>
      <c r="K2932" s="134"/>
      <c r="L2932" s="134"/>
      <c r="M2932" s="134"/>
    </row>
    <row r="2933" spans="3:13" ht="12.75">
      <c r="C2933" s="134"/>
      <c r="D2933" s="134"/>
      <c r="E2933" s="134"/>
      <c r="F2933" s="134"/>
      <c r="G2933" s="134"/>
      <c r="H2933" s="134"/>
      <c r="I2933" s="134"/>
      <c r="J2933" s="134"/>
      <c r="K2933" s="134"/>
      <c r="L2933" s="134"/>
      <c r="M2933" s="134"/>
    </row>
    <row r="2934" spans="3:13" ht="12.75">
      <c r="C2934" s="134"/>
      <c r="D2934" s="134"/>
      <c r="E2934" s="134"/>
      <c r="F2934" s="134"/>
      <c r="G2934" s="134"/>
      <c r="H2934" s="134"/>
      <c r="I2934" s="134"/>
      <c r="J2934" s="134"/>
      <c r="K2934" s="134"/>
      <c r="L2934" s="134"/>
      <c r="M2934" s="134"/>
    </row>
    <row r="2935" spans="3:13" ht="12.75">
      <c r="C2935" s="134"/>
      <c r="D2935" s="134"/>
      <c r="E2935" s="134"/>
      <c r="F2935" s="134"/>
      <c r="G2935" s="134"/>
      <c r="H2935" s="134"/>
      <c r="I2935" s="134"/>
      <c r="J2935" s="134"/>
      <c r="K2935" s="134"/>
      <c r="L2935" s="134"/>
      <c r="M2935" s="134"/>
    </row>
    <row r="2936" spans="3:13" ht="12.75">
      <c r="C2936" s="134"/>
      <c r="D2936" s="134"/>
      <c r="E2936" s="134"/>
      <c r="F2936" s="134"/>
      <c r="G2936" s="134"/>
      <c r="H2936" s="134"/>
      <c r="I2936" s="134"/>
      <c r="J2936" s="134"/>
      <c r="K2936" s="134"/>
      <c r="L2936" s="134"/>
      <c r="M2936" s="134"/>
    </row>
    <row r="2937" spans="3:13" ht="12.75">
      <c r="C2937" s="134"/>
      <c r="D2937" s="134"/>
      <c r="E2937" s="134"/>
      <c r="F2937" s="134"/>
      <c r="G2937" s="134"/>
      <c r="H2937" s="134"/>
      <c r="I2937" s="134"/>
      <c r="J2937" s="134"/>
      <c r="K2937" s="134"/>
      <c r="L2937" s="134"/>
      <c r="M2937" s="134"/>
    </row>
    <row r="2938" spans="3:13" ht="12.75">
      <c r="C2938" s="134"/>
      <c r="D2938" s="134"/>
      <c r="E2938" s="134"/>
      <c r="F2938" s="134"/>
      <c r="G2938" s="134"/>
      <c r="H2938" s="134"/>
      <c r="I2938" s="134"/>
      <c r="J2938" s="134"/>
      <c r="K2938" s="134"/>
      <c r="L2938" s="134"/>
      <c r="M2938" s="134"/>
    </row>
    <row r="2939" spans="3:13" ht="12.75">
      <c r="C2939" s="134"/>
      <c r="D2939" s="134"/>
      <c r="E2939" s="134"/>
      <c r="F2939" s="134"/>
      <c r="G2939" s="134"/>
      <c r="H2939" s="134"/>
      <c r="I2939" s="134"/>
      <c r="J2939" s="134"/>
      <c r="K2939" s="134"/>
      <c r="L2939" s="134"/>
      <c r="M2939" s="134"/>
    </row>
    <row r="2940" spans="3:13" ht="12.75">
      <c r="C2940" s="134"/>
      <c r="D2940" s="134"/>
      <c r="E2940" s="134"/>
      <c r="F2940" s="134"/>
      <c r="G2940" s="134"/>
      <c r="H2940" s="134"/>
      <c r="I2940" s="134"/>
      <c r="J2940" s="134"/>
      <c r="K2940" s="134"/>
      <c r="L2940" s="134"/>
      <c r="M2940" s="134"/>
    </row>
    <row r="2941" spans="3:13" ht="12.75">
      <c r="C2941" s="134"/>
      <c r="D2941" s="134"/>
      <c r="E2941" s="134"/>
      <c r="F2941" s="134"/>
      <c r="G2941" s="134"/>
      <c r="H2941" s="134"/>
      <c r="I2941" s="134"/>
      <c r="J2941" s="134"/>
      <c r="K2941" s="134"/>
      <c r="L2941" s="134"/>
      <c r="M2941" s="134"/>
    </row>
    <row r="2942" spans="3:13" ht="12.75">
      <c r="C2942" s="134"/>
      <c r="D2942" s="134"/>
      <c r="E2942" s="134"/>
      <c r="F2942" s="134"/>
      <c r="G2942" s="134"/>
      <c r="H2942" s="134"/>
      <c r="I2942" s="134"/>
      <c r="J2942" s="134"/>
      <c r="K2942" s="134"/>
      <c r="L2942" s="134"/>
      <c r="M2942" s="134"/>
    </row>
    <row r="2943" spans="3:13" ht="12.75">
      <c r="C2943" s="134"/>
      <c r="D2943" s="134"/>
      <c r="E2943" s="134"/>
      <c r="F2943" s="134"/>
      <c r="G2943" s="134"/>
      <c r="H2943" s="134"/>
      <c r="I2943" s="134"/>
      <c r="J2943" s="134"/>
      <c r="K2943" s="134"/>
      <c r="L2943" s="134"/>
      <c r="M2943" s="134"/>
    </row>
    <row r="2944" spans="3:13" ht="12.75">
      <c r="C2944" s="134"/>
      <c r="D2944" s="134"/>
      <c r="E2944" s="134"/>
      <c r="F2944" s="134"/>
      <c r="G2944" s="134"/>
      <c r="H2944" s="134"/>
      <c r="I2944" s="134"/>
      <c r="J2944" s="134"/>
      <c r="K2944" s="134"/>
      <c r="L2944" s="134"/>
      <c r="M2944" s="134"/>
    </row>
    <row r="2945" spans="3:13" ht="12.75">
      <c r="C2945" s="134"/>
      <c r="D2945" s="134"/>
      <c r="E2945" s="134"/>
      <c r="F2945" s="134"/>
      <c r="G2945" s="134"/>
      <c r="H2945" s="134"/>
      <c r="I2945" s="134"/>
      <c r="J2945" s="134"/>
      <c r="K2945" s="134"/>
      <c r="L2945" s="134"/>
      <c r="M2945" s="134"/>
    </row>
    <row r="2946" spans="3:13" ht="12.75">
      <c r="C2946" s="134"/>
      <c r="D2946" s="134"/>
      <c r="E2946" s="134"/>
      <c r="F2946" s="134"/>
      <c r="G2946" s="134"/>
      <c r="H2946" s="134"/>
      <c r="I2946" s="134"/>
      <c r="J2946" s="134"/>
      <c r="K2946" s="134"/>
      <c r="L2946" s="134"/>
      <c r="M2946" s="134"/>
    </row>
    <row r="2947" spans="3:13" ht="12.75">
      <c r="C2947" s="134"/>
      <c r="D2947" s="134"/>
      <c r="E2947" s="134"/>
      <c r="F2947" s="134"/>
      <c r="G2947" s="134"/>
      <c r="H2947" s="134"/>
      <c r="I2947" s="134"/>
      <c r="J2947" s="134"/>
      <c r="K2947" s="134"/>
      <c r="L2947" s="134"/>
      <c r="M2947" s="134"/>
    </row>
    <row r="2948" spans="3:13" ht="12.75">
      <c r="C2948" s="134"/>
      <c r="D2948" s="134"/>
      <c r="E2948" s="134"/>
      <c r="F2948" s="134"/>
      <c r="G2948" s="134"/>
      <c r="H2948" s="134"/>
      <c r="I2948" s="134"/>
      <c r="J2948" s="134"/>
      <c r="K2948" s="134"/>
      <c r="L2948" s="134"/>
      <c r="M2948" s="134"/>
    </row>
    <row r="2949" spans="3:13" ht="12.75">
      <c r="C2949" s="134"/>
      <c r="D2949" s="134"/>
      <c r="E2949" s="134"/>
      <c r="F2949" s="134"/>
      <c r="G2949" s="134"/>
      <c r="H2949" s="134"/>
      <c r="I2949" s="134"/>
      <c r="J2949" s="134"/>
      <c r="K2949" s="134"/>
      <c r="L2949" s="134"/>
      <c r="M2949" s="134"/>
    </row>
    <row r="2950" spans="3:13" ht="12.75">
      <c r="C2950" s="134"/>
      <c r="D2950" s="134"/>
      <c r="E2950" s="134"/>
      <c r="F2950" s="134"/>
      <c r="G2950" s="134"/>
      <c r="H2950" s="134"/>
      <c r="I2950" s="134"/>
      <c r="J2950" s="134"/>
      <c r="K2950" s="134"/>
      <c r="L2950" s="134"/>
      <c r="M2950" s="134"/>
    </row>
    <row r="2951" spans="3:13" ht="12.75">
      <c r="C2951" s="134"/>
      <c r="D2951" s="134"/>
      <c r="E2951" s="134"/>
      <c r="F2951" s="134"/>
      <c r="G2951" s="134"/>
      <c r="H2951" s="134"/>
      <c r="I2951" s="134"/>
      <c r="J2951" s="134"/>
      <c r="K2951" s="134"/>
      <c r="L2951" s="134"/>
      <c r="M2951" s="134"/>
    </row>
    <row r="2952" spans="3:13" ht="12.75">
      <c r="C2952" s="134"/>
      <c r="D2952" s="134"/>
      <c r="E2952" s="134"/>
      <c r="F2952" s="134"/>
      <c r="G2952" s="134"/>
      <c r="H2952" s="134"/>
      <c r="I2952" s="134"/>
      <c r="J2952" s="134"/>
      <c r="K2952" s="134"/>
      <c r="L2952" s="134"/>
      <c r="M2952" s="134"/>
    </row>
    <row r="2953" spans="3:13" ht="12.75">
      <c r="C2953" s="134"/>
      <c r="D2953" s="134"/>
      <c r="E2953" s="134"/>
      <c r="F2953" s="134"/>
      <c r="G2953" s="134"/>
      <c r="H2953" s="134"/>
      <c r="I2953" s="134"/>
      <c r="J2953" s="134"/>
      <c r="K2953" s="134"/>
      <c r="L2953" s="134"/>
      <c r="M2953" s="134"/>
    </row>
    <row r="2954" spans="3:13" ht="12.75">
      <c r="C2954" s="134"/>
      <c r="D2954" s="134"/>
      <c r="E2954" s="134"/>
      <c r="F2954" s="134"/>
      <c r="G2954" s="134"/>
      <c r="H2954" s="134"/>
      <c r="I2954" s="134"/>
      <c r="J2954" s="134"/>
      <c r="K2954" s="134"/>
      <c r="L2954" s="134"/>
      <c r="M2954" s="134"/>
    </row>
    <row r="2955" spans="3:13" ht="12.75">
      <c r="C2955" s="134"/>
      <c r="D2955" s="134"/>
      <c r="E2955" s="134"/>
      <c r="F2955" s="134"/>
      <c r="G2955" s="134"/>
      <c r="H2955" s="134"/>
      <c r="I2955" s="134"/>
      <c r="J2955" s="134"/>
      <c r="K2955" s="134"/>
      <c r="L2955" s="134"/>
      <c r="M2955" s="134"/>
    </row>
    <row r="2956" spans="3:13" ht="12.75">
      <c r="C2956" s="134"/>
      <c r="D2956" s="134"/>
      <c r="E2956" s="134"/>
      <c r="F2956" s="134"/>
      <c r="G2956" s="134"/>
      <c r="H2956" s="134"/>
      <c r="I2956" s="134"/>
      <c r="J2956" s="134"/>
      <c r="K2956" s="134"/>
      <c r="L2956" s="134"/>
      <c r="M2956" s="134"/>
    </row>
    <row r="2957" spans="3:13" ht="12.75">
      <c r="C2957" s="134"/>
      <c r="D2957" s="134"/>
      <c r="E2957" s="134"/>
      <c r="F2957" s="134"/>
      <c r="G2957" s="134"/>
      <c r="H2957" s="134"/>
      <c r="I2957" s="134"/>
      <c r="J2957" s="134"/>
      <c r="K2957" s="134"/>
      <c r="L2957" s="134"/>
      <c r="M2957" s="134"/>
    </row>
    <row r="2958" spans="3:13" ht="12.75">
      <c r="C2958" s="134"/>
      <c r="D2958" s="134"/>
      <c r="E2958" s="134"/>
      <c r="F2958" s="134"/>
      <c r="G2958" s="134"/>
      <c r="H2958" s="134"/>
      <c r="I2958" s="134"/>
      <c r="J2958" s="134"/>
      <c r="K2958" s="134"/>
      <c r="L2958" s="134"/>
      <c r="M2958" s="134"/>
    </row>
    <row r="2959" spans="3:13" ht="12.75">
      <c r="C2959" s="134"/>
      <c r="D2959" s="134"/>
      <c r="E2959" s="134"/>
      <c r="F2959" s="134"/>
      <c r="G2959" s="134"/>
      <c r="H2959" s="134"/>
      <c r="I2959" s="134"/>
      <c r="J2959" s="134"/>
      <c r="K2959" s="134"/>
      <c r="L2959" s="134"/>
      <c r="M2959" s="134"/>
    </row>
    <row r="2960" spans="3:13" ht="12.75">
      <c r="C2960" s="134"/>
      <c r="D2960" s="134"/>
      <c r="E2960" s="134"/>
      <c r="F2960" s="134"/>
      <c r="G2960" s="134"/>
      <c r="H2960" s="134"/>
      <c r="I2960" s="134"/>
      <c r="J2960" s="134"/>
      <c r="K2960" s="134"/>
      <c r="L2960" s="134"/>
      <c r="M2960" s="134"/>
    </row>
    <row r="2961" spans="3:13" ht="12.75">
      <c r="C2961" s="134"/>
      <c r="D2961" s="134"/>
      <c r="E2961" s="134"/>
      <c r="F2961" s="134"/>
      <c r="G2961" s="134"/>
      <c r="H2961" s="134"/>
      <c r="I2961" s="134"/>
      <c r="J2961" s="134"/>
      <c r="K2961" s="134"/>
      <c r="L2961" s="134"/>
      <c r="M2961" s="134"/>
    </row>
    <row r="2962" spans="3:13" ht="12.75">
      <c r="C2962" s="134"/>
      <c r="D2962" s="134"/>
      <c r="E2962" s="134"/>
      <c r="F2962" s="134"/>
      <c r="G2962" s="134"/>
      <c r="H2962" s="134"/>
      <c r="I2962" s="134"/>
      <c r="J2962" s="134"/>
      <c r="K2962" s="134"/>
      <c r="L2962" s="134"/>
      <c r="M2962" s="134"/>
    </row>
    <row r="2963" spans="3:13" ht="12.75">
      <c r="C2963" s="134"/>
      <c r="D2963" s="134"/>
      <c r="E2963" s="134"/>
      <c r="F2963" s="134"/>
      <c r="G2963" s="134"/>
      <c r="H2963" s="134"/>
      <c r="I2963" s="134"/>
      <c r="J2963" s="134"/>
      <c r="K2963" s="134"/>
      <c r="L2963" s="134"/>
      <c r="M2963" s="134"/>
    </row>
    <row r="2964" spans="3:13" ht="12.75">
      <c r="C2964" s="134"/>
      <c r="D2964" s="134"/>
      <c r="E2964" s="134"/>
      <c r="F2964" s="134"/>
      <c r="G2964" s="134"/>
      <c r="H2964" s="134"/>
      <c r="I2964" s="134"/>
      <c r="J2964" s="134"/>
      <c r="K2964" s="134"/>
      <c r="L2964" s="134"/>
      <c r="M2964" s="134"/>
    </row>
    <row r="2965" spans="3:13" ht="12.75">
      <c r="C2965" s="134"/>
      <c r="D2965" s="134"/>
      <c r="E2965" s="134"/>
      <c r="F2965" s="134"/>
      <c r="G2965" s="134"/>
      <c r="H2965" s="134"/>
      <c r="I2965" s="134"/>
      <c r="J2965" s="134"/>
      <c r="K2965" s="134"/>
      <c r="L2965" s="134"/>
      <c r="M2965" s="134"/>
    </row>
    <row r="2966" spans="3:13" ht="12.75">
      <c r="C2966" s="134"/>
      <c r="D2966" s="134"/>
      <c r="E2966" s="134"/>
      <c r="F2966" s="134"/>
      <c r="G2966" s="134"/>
      <c r="H2966" s="134"/>
      <c r="I2966" s="134"/>
      <c r="J2966" s="134"/>
      <c r="K2966" s="134"/>
      <c r="L2966" s="134"/>
      <c r="M2966" s="134"/>
    </row>
    <row r="2967" spans="3:13" ht="12.75">
      <c r="C2967" s="134"/>
      <c r="D2967" s="134"/>
      <c r="E2967" s="134"/>
      <c r="F2967" s="134"/>
      <c r="G2967" s="134"/>
      <c r="H2967" s="134"/>
      <c r="I2967" s="134"/>
      <c r="J2967" s="134"/>
      <c r="K2967" s="134"/>
      <c r="L2967" s="134"/>
      <c r="M2967" s="134"/>
    </row>
    <row r="2968" spans="3:13" ht="12.75">
      <c r="C2968" s="134"/>
      <c r="D2968" s="134"/>
      <c r="E2968" s="134"/>
      <c r="F2968" s="134"/>
      <c r="G2968" s="134"/>
      <c r="H2968" s="134"/>
      <c r="I2968" s="134"/>
      <c r="J2968" s="134"/>
      <c r="K2968" s="134"/>
      <c r="L2968" s="134"/>
      <c r="M2968" s="134"/>
    </row>
    <row r="2969" spans="3:13" ht="12.75">
      <c r="C2969" s="134"/>
      <c r="D2969" s="134"/>
      <c r="E2969" s="134"/>
      <c r="F2969" s="134"/>
      <c r="G2969" s="134"/>
      <c r="H2969" s="134"/>
      <c r="I2969" s="134"/>
      <c r="J2969" s="134"/>
      <c r="K2969" s="134"/>
      <c r="L2969" s="134"/>
      <c r="M2969" s="134"/>
    </row>
    <row r="2970" spans="3:13" ht="12.75">
      <c r="C2970" s="134"/>
      <c r="D2970" s="134"/>
      <c r="E2970" s="134"/>
      <c r="F2970" s="134"/>
      <c r="G2970" s="134"/>
      <c r="H2970" s="134"/>
      <c r="I2970" s="134"/>
      <c r="J2970" s="134"/>
      <c r="K2970" s="134"/>
      <c r="L2970" s="134"/>
      <c r="M2970" s="134"/>
    </row>
    <row r="2971" spans="3:13" ht="12.75">
      <c r="C2971" s="134"/>
      <c r="D2971" s="134"/>
      <c r="E2971" s="134"/>
      <c r="F2971" s="134"/>
      <c r="G2971" s="134"/>
      <c r="H2971" s="134"/>
      <c r="I2971" s="134"/>
      <c r="J2971" s="134"/>
      <c r="K2971" s="134"/>
      <c r="L2971" s="134"/>
      <c r="M2971" s="134"/>
    </row>
    <row r="2972" spans="3:13" ht="12.75">
      <c r="C2972" s="134"/>
      <c r="D2972" s="134"/>
      <c r="E2972" s="134"/>
      <c r="F2972" s="134"/>
      <c r="G2972" s="134"/>
      <c r="H2972" s="134"/>
      <c r="I2972" s="134"/>
      <c r="J2972" s="134"/>
      <c r="K2972" s="134"/>
      <c r="L2972" s="134"/>
      <c r="M2972" s="134"/>
    </row>
    <row r="2973" spans="3:13" ht="12.75">
      <c r="C2973" s="134"/>
      <c r="D2973" s="134"/>
      <c r="E2973" s="134"/>
      <c r="F2973" s="134"/>
      <c r="G2973" s="134"/>
      <c r="H2973" s="134"/>
      <c r="I2973" s="134"/>
      <c r="J2973" s="134"/>
      <c r="K2973" s="134"/>
      <c r="L2973" s="134"/>
      <c r="M2973" s="134"/>
    </row>
    <row r="2974" spans="3:13" ht="12.75">
      <c r="C2974" s="134"/>
      <c r="D2974" s="134"/>
      <c r="E2974" s="134"/>
      <c r="F2974" s="134"/>
      <c r="G2974" s="134"/>
      <c r="H2974" s="134"/>
      <c r="I2974" s="134"/>
      <c r="J2974" s="134"/>
      <c r="K2974" s="134"/>
      <c r="L2974" s="134"/>
      <c r="M2974" s="134"/>
    </row>
    <row r="2975" spans="3:13" ht="12.75">
      <c r="C2975" s="134"/>
      <c r="D2975" s="134"/>
      <c r="E2975" s="134"/>
      <c r="F2975" s="134"/>
      <c r="G2975" s="134"/>
      <c r="H2975" s="134"/>
      <c r="I2975" s="134"/>
      <c r="J2975" s="134"/>
      <c r="K2975" s="134"/>
      <c r="L2975" s="134"/>
      <c r="M2975" s="134"/>
    </row>
    <row r="2976" spans="3:13" ht="12.75">
      <c r="C2976" s="134"/>
      <c r="D2976" s="134"/>
      <c r="E2976" s="134"/>
      <c r="F2976" s="134"/>
      <c r="G2976" s="134"/>
      <c r="H2976" s="134"/>
      <c r="I2976" s="134"/>
      <c r="J2976" s="134"/>
      <c r="K2976" s="134"/>
      <c r="L2976" s="134"/>
      <c r="M2976" s="134"/>
    </row>
    <row r="2977" spans="3:13" ht="12.75">
      <c r="C2977" s="134"/>
      <c r="D2977" s="134"/>
      <c r="E2977" s="134"/>
      <c r="F2977" s="134"/>
      <c r="G2977" s="134"/>
      <c r="H2977" s="134"/>
      <c r="I2977" s="134"/>
      <c r="J2977" s="134"/>
      <c r="K2977" s="134"/>
      <c r="L2977" s="134"/>
      <c r="M2977" s="134"/>
    </row>
    <row r="2978" spans="3:13" ht="12.75">
      <c r="C2978" s="134"/>
      <c r="D2978" s="134"/>
      <c r="E2978" s="134"/>
      <c r="F2978" s="134"/>
      <c r="G2978" s="134"/>
      <c r="H2978" s="134"/>
      <c r="I2978" s="134"/>
      <c r="J2978" s="134"/>
      <c r="K2978" s="134"/>
      <c r="L2978" s="134"/>
      <c r="M2978" s="134"/>
    </row>
    <row r="2979" spans="3:13" ht="12.75">
      <c r="C2979" s="134"/>
      <c r="D2979" s="134"/>
      <c r="E2979" s="134"/>
      <c r="F2979" s="134"/>
      <c r="G2979" s="134"/>
      <c r="H2979" s="134"/>
      <c r="I2979" s="134"/>
      <c r="J2979" s="134"/>
      <c r="K2979" s="134"/>
      <c r="L2979" s="134"/>
      <c r="M2979" s="134"/>
    </row>
    <row r="2980" spans="3:13" ht="12.75">
      <c r="C2980" s="134"/>
      <c r="D2980" s="134"/>
      <c r="E2980" s="134"/>
      <c r="F2980" s="134"/>
      <c r="G2980" s="134"/>
      <c r="H2980" s="134"/>
      <c r="I2980" s="134"/>
      <c r="J2980" s="134"/>
      <c r="K2980" s="134"/>
      <c r="L2980" s="134"/>
      <c r="M2980" s="134"/>
    </row>
    <row r="2981" spans="3:13" ht="12.75">
      <c r="C2981" s="134"/>
      <c r="D2981" s="134"/>
      <c r="E2981" s="134"/>
      <c r="F2981" s="134"/>
      <c r="G2981" s="134"/>
      <c r="H2981" s="134"/>
      <c r="I2981" s="134"/>
      <c r="J2981" s="134"/>
      <c r="K2981" s="134"/>
      <c r="L2981" s="134"/>
      <c r="M2981" s="134"/>
    </row>
    <row r="2982" spans="3:13" ht="12.75">
      <c r="C2982" s="134"/>
      <c r="D2982" s="134"/>
      <c r="E2982" s="134"/>
      <c r="F2982" s="134"/>
      <c r="G2982" s="134"/>
      <c r="H2982" s="134"/>
      <c r="I2982" s="134"/>
      <c r="J2982" s="134"/>
      <c r="K2982" s="134"/>
      <c r="L2982" s="134"/>
      <c r="M2982" s="134"/>
    </row>
    <row r="2983" spans="3:13" ht="12.75">
      <c r="C2983" s="134"/>
      <c r="D2983" s="134"/>
      <c r="E2983" s="134"/>
      <c r="F2983" s="134"/>
      <c r="G2983" s="134"/>
      <c r="H2983" s="134"/>
      <c r="I2983" s="134"/>
      <c r="J2983" s="134"/>
      <c r="K2983" s="134"/>
      <c r="L2983" s="134"/>
      <c r="M2983" s="134"/>
    </row>
    <row r="2984" spans="3:13" ht="12.75">
      <c r="C2984" s="134"/>
      <c r="D2984" s="134"/>
      <c r="E2984" s="134"/>
      <c r="F2984" s="134"/>
      <c r="G2984" s="134"/>
      <c r="H2984" s="134"/>
      <c r="I2984" s="134"/>
      <c r="J2984" s="134"/>
      <c r="K2984" s="134"/>
      <c r="L2984" s="134"/>
      <c r="M2984" s="134"/>
    </row>
    <row r="2985" spans="3:13" ht="12.75">
      <c r="C2985" s="134"/>
      <c r="D2985" s="134"/>
      <c r="E2985" s="134"/>
      <c r="F2985" s="134"/>
      <c r="G2985" s="134"/>
      <c r="H2985" s="134"/>
      <c r="I2985" s="134"/>
      <c r="J2985" s="134"/>
      <c r="K2985" s="134"/>
      <c r="L2985" s="134"/>
      <c r="M2985" s="134"/>
    </row>
    <row r="2986" spans="3:13" ht="12.75">
      <c r="C2986" s="134"/>
      <c r="D2986" s="134"/>
      <c r="E2986" s="134"/>
      <c r="F2986" s="134"/>
      <c r="G2986" s="134"/>
      <c r="H2986" s="134"/>
      <c r="I2986" s="134"/>
      <c r="J2986" s="134"/>
      <c r="K2986" s="134"/>
      <c r="L2986" s="134"/>
      <c r="M2986" s="134"/>
    </row>
    <row r="2987" spans="3:13" ht="12.75">
      <c r="C2987" s="134"/>
      <c r="D2987" s="134"/>
      <c r="E2987" s="134"/>
      <c r="F2987" s="134"/>
      <c r="G2987" s="134"/>
      <c r="H2987" s="134"/>
      <c r="I2987" s="134"/>
      <c r="J2987" s="134"/>
      <c r="K2987" s="134"/>
      <c r="L2987" s="134"/>
      <c r="M2987" s="134"/>
    </row>
    <row r="2988" spans="3:13" ht="12.75">
      <c r="C2988" s="134"/>
      <c r="D2988" s="134"/>
      <c r="E2988" s="134"/>
      <c r="F2988" s="134"/>
      <c r="G2988" s="134"/>
      <c r="H2988" s="134"/>
      <c r="I2988" s="134"/>
      <c r="J2988" s="134"/>
      <c r="K2988" s="134"/>
      <c r="L2988" s="134"/>
      <c r="M2988" s="134"/>
    </row>
    <row r="2989" spans="3:13" ht="12.75">
      <c r="C2989" s="134"/>
      <c r="D2989" s="134"/>
      <c r="E2989" s="134"/>
      <c r="F2989" s="134"/>
      <c r="G2989" s="134"/>
      <c r="H2989" s="134"/>
      <c r="I2989" s="134"/>
      <c r="J2989" s="134"/>
      <c r="K2989" s="134"/>
      <c r="L2989" s="134"/>
      <c r="M2989" s="134"/>
    </row>
    <row r="2990" spans="3:13" ht="12.75">
      <c r="C2990" s="134"/>
      <c r="D2990" s="134"/>
      <c r="E2990" s="134"/>
      <c r="F2990" s="134"/>
      <c r="G2990" s="134"/>
      <c r="H2990" s="134"/>
      <c r="I2990" s="134"/>
      <c r="J2990" s="134"/>
      <c r="K2990" s="134"/>
      <c r="L2990" s="134"/>
      <c r="M2990" s="134"/>
    </row>
    <row r="2991" spans="3:13" ht="12.75">
      <c r="C2991" s="134"/>
      <c r="D2991" s="134"/>
      <c r="E2991" s="134"/>
      <c r="F2991" s="134"/>
      <c r="G2991" s="134"/>
      <c r="H2991" s="134"/>
      <c r="I2991" s="134"/>
      <c r="J2991" s="134"/>
      <c r="K2991" s="134"/>
      <c r="L2991" s="134"/>
      <c r="M2991" s="134"/>
    </row>
    <row r="2992" spans="3:13" ht="12.75">
      <c r="C2992" s="134"/>
      <c r="D2992" s="134"/>
      <c r="E2992" s="134"/>
      <c r="F2992" s="134"/>
      <c r="G2992" s="134"/>
      <c r="H2992" s="134"/>
      <c r="I2992" s="134"/>
      <c r="J2992" s="134"/>
      <c r="K2992" s="134"/>
      <c r="L2992" s="134"/>
      <c r="M2992" s="134"/>
    </row>
    <row r="2993" spans="3:13" ht="12.75">
      <c r="C2993" s="134"/>
      <c r="D2993" s="134"/>
      <c r="E2993" s="134"/>
      <c r="F2993" s="134"/>
      <c r="G2993" s="134"/>
      <c r="H2993" s="134"/>
      <c r="I2993" s="134"/>
      <c r="J2993" s="134"/>
      <c r="K2993" s="134"/>
      <c r="L2993" s="134"/>
      <c r="M2993" s="134"/>
    </row>
    <row r="2994" spans="3:13" ht="12.75">
      <c r="C2994" s="134"/>
      <c r="D2994" s="134"/>
      <c r="E2994" s="134"/>
      <c r="F2994" s="134"/>
      <c r="G2994" s="134"/>
      <c r="H2994" s="134"/>
      <c r="I2994" s="134"/>
      <c r="J2994" s="134"/>
      <c r="K2994" s="134"/>
      <c r="L2994" s="134"/>
      <c r="M2994" s="134"/>
    </row>
    <row r="2995" spans="3:13" ht="12.75">
      <c r="C2995" s="134"/>
      <c r="D2995" s="134"/>
      <c r="E2995" s="134"/>
      <c r="F2995" s="134"/>
      <c r="G2995" s="134"/>
      <c r="H2995" s="134"/>
      <c r="I2995" s="134"/>
      <c r="J2995" s="134"/>
      <c r="K2995" s="134"/>
      <c r="L2995" s="134"/>
      <c r="M2995" s="134"/>
    </row>
    <row r="2996" spans="3:13" ht="12.75">
      <c r="C2996" s="134"/>
      <c r="D2996" s="134"/>
      <c r="E2996" s="134"/>
      <c r="F2996" s="134"/>
      <c r="G2996" s="134"/>
      <c r="H2996" s="134"/>
      <c r="I2996" s="134"/>
      <c r="J2996" s="134"/>
      <c r="K2996" s="134"/>
      <c r="L2996" s="134"/>
      <c r="M2996" s="134"/>
    </row>
    <row r="2997" spans="3:13" ht="12.75">
      <c r="C2997" s="134"/>
      <c r="D2997" s="134"/>
      <c r="E2997" s="134"/>
      <c r="F2997" s="134"/>
      <c r="G2997" s="134"/>
      <c r="H2997" s="134"/>
      <c r="I2997" s="134"/>
      <c r="J2997" s="134"/>
      <c r="K2997" s="134"/>
      <c r="L2997" s="134"/>
      <c r="M2997" s="134"/>
    </row>
    <row r="2998" spans="3:13" ht="12.75">
      <c r="C2998" s="134"/>
      <c r="D2998" s="134"/>
      <c r="E2998" s="134"/>
      <c r="F2998" s="134"/>
      <c r="G2998" s="134"/>
      <c r="H2998" s="134"/>
      <c r="I2998" s="134"/>
      <c r="J2998" s="134"/>
      <c r="K2998" s="134"/>
      <c r="L2998" s="134"/>
      <c r="M2998" s="134"/>
    </row>
    <row r="2999" spans="3:13" ht="12.75">
      <c r="C2999" s="134"/>
      <c r="D2999" s="134"/>
      <c r="E2999" s="134"/>
      <c r="F2999" s="134"/>
      <c r="G2999" s="134"/>
      <c r="H2999" s="134"/>
      <c r="I2999" s="134"/>
      <c r="J2999" s="134"/>
      <c r="K2999" s="134"/>
      <c r="L2999" s="134"/>
      <c r="M2999" s="134"/>
    </row>
    <row r="3000" spans="3:13" ht="12.75">
      <c r="C3000" s="134"/>
      <c r="D3000" s="134"/>
      <c r="E3000" s="134"/>
      <c r="F3000" s="134"/>
      <c r="G3000" s="134"/>
      <c r="H3000" s="134"/>
      <c r="I3000" s="134"/>
      <c r="J3000" s="134"/>
      <c r="K3000" s="134"/>
      <c r="L3000" s="134"/>
      <c r="M3000" s="134"/>
    </row>
    <row r="3001" spans="3:13" ht="12.75">
      <c r="C3001" s="134"/>
      <c r="D3001" s="134"/>
      <c r="E3001" s="134"/>
      <c r="F3001" s="134"/>
      <c r="G3001" s="134"/>
      <c r="H3001" s="134"/>
      <c r="I3001" s="134"/>
      <c r="J3001" s="134"/>
      <c r="K3001" s="134"/>
      <c r="L3001" s="134"/>
      <c r="M3001" s="134"/>
    </row>
    <row r="3002" spans="3:13" ht="12.75">
      <c r="C3002" s="134"/>
      <c r="D3002" s="134"/>
      <c r="E3002" s="134"/>
      <c r="F3002" s="134"/>
      <c r="G3002" s="134"/>
      <c r="H3002" s="134"/>
      <c r="I3002" s="134"/>
      <c r="J3002" s="134"/>
      <c r="K3002" s="134"/>
      <c r="L3002" s="134"/>
      <c r="M3002" s="134"/>
    </row>
    <row r="3003" spans="3:13" ht="12.75">
      <c r="C3003" s="134"/>
      <c r="D3003" s="134"/>
      <c r="E3003" s="134"/>
      <c r="F3003" s="134"/>
      <c r="G3003" s="134"/>
      <c r="H3003" s="134"/>
      <c r="I3003" s="134"/>
      <c r="J3003" s="134"/>
      <c r="K3003" s="134"/>
      <c r="L3003" s="134"/>
      <c r="M3003" s="134"/>
    </row>
    <row r="3004" spans="3:13" ht="12.75">
      <c r="C3004" s="134"/>
      <c r="D3004" s="134"/>
      <c r="E3004" s="134"/>
      <c r="F3004" s="134"/>
      <c r="G3004" s="134"/>
      <c r="H3004" s="134"/>
      <c r="I3004" s="134"/>
      <c r="J3004" s="134"/>
      <c r="K3004" s="134"/>
      <c r="L3004" s="134"/>
      <c r="M3004" s="134"/>
    </row>
    <row r="3005" spans="3:13" ht="12.75">
      <c r="C3005" s="134"/>
      <c r="D3005" s="134"/>
      <c r="E3005" s="134"/>
      <c r="F3005" s="134"/>
      <c r="G3005" s="134"/>
      <c r="H3005" s="134"/>
      <c r="I3005" s="134"/>
      <c r="J3005" s="134"/>
      <c r="K3005" s="134"/>
      <c r="L3005" s="134"/>
      <c r="M3005" s="134"/>
    </row>
    <row r="3006" spans="3:13" ht="12.75">
      <c r="C3006" s="134"/>
      <c r="D3006" s="134"/>
      <c r="E3006" s="134"/>
      <c r="F3006" s="134"/>
      <c r="G3006" s="134"/>
      <c r="H3006" s="134"/>
      <c r="I3006" s="134"/>
      <c r="J3006" s="134"/>
      <c r="K3006" s="134"/>
      <c r="L3006" s="134"/>
      <c r="M3006" s="134"/>
    </row>
    <row r="3007" spans="3:13" ht="12.75">
      <c r="C3007" s="134"/>
      <c r="D3007" s="134"/>
      <c r="E3007" s="134"/>
      <c r="F3007" s="134"/>
      <c r="G3007" s="134"/>
      <c r="H3007" s="134"/>
      <c r="I3007" s="134"/>
      <c r="J3007" s="134"/>
      <c r="K3007" s="134"/>
      <c r="L3007" s="134"/>
      <c r="M3007" s="134"/>
    </row>
    <row r="3008" spans="3:13" ht="12.75">
      <c r="C3008" s="134"/>
      <c r="D3008" s="134"/>
      <c r="E3008" s="134"/>
      <c r="F3008" s="134"/>
      <c r="G3008" s="134"/>
      <c r="H3008" s="134"/>
      <c r="I3008" s="134"/>
      <c r="J3008" s="134"/>
      <c r="K3008" s="134"/>
      <c r="L3008" s="134"/>
      <c r="M3008" s="134"/>
    </row>
    <row r="3009" spans="3:13" ht="12.75">
      <c r="C3009" s="134"/>
      <c r="D3009" s="134"/>
      <c r="E3009" s="134"/>
      <c r="F3009" s="134"/>
      <c r="G3009" s="134"/>
      <c r="H3009" s="134"/>
      <c r="I3009" s="134"/>
      <c r="J3009" s="134"/>
      <c r="K3009" s="134"/>
      <c r="L3009" s="134"/>
      <c r="M3009" s="134"/>
    </row>
    <row r="3010" spans="3:13" ht="12.75">
      <c r="C3010" s="134"/>
      <c r="D3010" s="134"/>
      <c r="E3010" s="134"/>
      <c r="F3010" s="134"/>
      <c r="G3010" s="134"/>
      <c r="H3010" s="134"/>
      <c r="I3010" s="134"/>
      <c r="J3010" s="134"/>
      <c r="K3010" s="134"/>
      <c r="L3010" s="134"/>
      <c r="M3010" s="134"/>
    </row>
    <row r="3011" spans="3:13" ht="12.75">
      <c r="C3011" s="134"/>
      <c r="D3011" s="134"/>
      <c r="E3011" s="134"/>
      <c r="F3011" s="134"/>
      <c r="G3011" s="134"/>
      <c r="H3011" s="134"/>
      <c r="I3011" s="134"/>
      <c r="J3011" s="134"/>
      <c r="K3011" s="134"/>
      <c r="L3011" s="134"/>
      <c r="M3011" s="134"/>
    </row>
    <row r="3012" spans="3:13" ht="12.75">
      <c r="C3012" s="134"/>
      <c r="D3012" s="134"/>
      <c r="E3012" s="134"/>
      <c r="F3012" s="134"/>
      <c r="G3012" s="134"/>
      <c r="H3012" s="134"/>
      <c r="I3012" s="134"/>
      <c r="J3012" s="134"/>
      <c r="K3012" s="134"/>
      <c r="L3012" s="134"/>
      <c r="M3012" s="134"/>
    </row>
    <row r="3013" spans="3:13" ht="12.75">
      <c r="C3013" s="134"/>
      <c r="D3013" s="134"/>
      <c r="E3013" s="134"/>
      <c r="F3013" s="134"/>
      <c r="G3013" s="134"/>
      <c r="H3013" s="134"/>
      <c r="I3013" s="134"/>
      <c r="J3013" s="134"/>
      <c r="K3013" s="134"/>
      <c r="L3013" s="134"/>
      <c r="M3013" s="134"/>
    </row>
    <row r="3014" spans="3:13" ht="12.75">
      <c r="C3014" s="134"/>
      <c r="D3014" s="134"/>
      <c r="E3014" s="134"/>
      <c r="F3014" s="134"/>
      <c r="G3014" s="134"/>
      <c r="H3014" s="134"/>
      <c r="I3014" s="134"/>
      <c r="J3014" s="134"/>
      <c r="K3014" s="134"/>
      <c r="L3014" s="134"/>
      <c r="M3014" s="134"/>
    </row>
    <row r="3015" spans="3:13" ht="12.75">
      <c r="C3015" s="134"/>
      <c r="D3015" s="134"/>
      <c r="E3015" s="134"/>
      <c r="F3015" s="134"/>
      <c r="G3015" s="134"/>
      <c r="H3015" s="134"/>
      <c r="I3015" s="134"/>
      <c r="J3015" s="134"/>
      <c r="K3015" s="134"/>
      <c r="L3015" s="134"/>
      <c r="M3015" s="134"/>
    </row>
    <row r="3016" spans="3:13" ht="12.75">
      <c r="C3016" s="134"/>
      <c r="D3016" s="134"/>
      <c r="E3016" s="134"/>
      <c r="F3016" s="134"/>
      <c r="G3016" s="134"/>
      <c r="H3016" s="134"/>
      <c r="I3016" s="134"/>
      <c r="J3016" s="134"/>
      <c r="K3016" s="134"/>
      <c r="L3016" s="134"/>
      <c r="M3016" s="134"/>
    </row>
    <row r="3017" spans="3:13" ht="12.75">
      <c r="C3017" s="134"/>
      <c r="D3017" s="134"/>
      <c r="E3017" s="134"/>
      <c r="F3017" s="134"/>
      <c r="G3017" s="134"/>
      <c r="H3017" s="134"/>
      <c r="I3017" s="134"/>
      <c r="J3017" s="134"/>
      <c r="K3017" s="134"/>
      <c r="L3017" s="134"/>
      <c r="M3017" s="134"/>
    </row>
    <row r="3018" spans="3:13" ht="12.75">
      <c r="C3018" s="134"/>
      <c r="D3018" s="134"/>
      <c r="E3018" s="134"/>
      <c r="F3018" s="134"/>
      <c r="G3018" s="134"/>
      <c r="H3018" s="134"/>
      <c r="I3018" s="134"/>
      <c r="J3018" s="134"/>
      <c r="K3018" s="134"/>
      <c r="L3018" s="134"/>
      <c r="M3018" s="134"/>
    </row>
    <row r="3019" spans="3:13" ht="12.75">
      <c r="C3019" s="134"/>
      <c r="D3019" s="134"/>
      <c r="E3019" s="134"/>
      <c r="F3019" s="134"/>
      <c r="G3019" s="134"/>
      <c r="H3019" s="134"/>
      <c r="I3019" s="134"/>
      <c r="J3019" s="134"/>
      <c r="K3019" s="134"/>
      <c r="L3019" s="134"/>
      <c r="M3019" s="134"/>
    </row>
    <row r="3020" spans="3:13" ht="12.75">
      <c r="C3020" s="134"/>
      <c r="D3020" s="134"/>
      <c r="E3020" s="134"/>
      <c r="F3020" s="134"/>
      <c r="G3020" s="134"/>
      <c r="H3020" s="134"/>
      <c r="I3020" s="134"/>
      <c r="J3020" s="134"/>
      <c r="K3020" s="134"/>
      <c r="L3020" s="134"/>
      <c r="M3020" s="134"/>
    </row>
    <row r="3021" spans="3:13" ht="12.75">
      <c r="C3021" s="134"/>
      <c r="D3021" s="134"/>
      <c r="E3021" s="134"/>
      <c r="F3021" s="134"/>
      <c r="G3021" s="134"/>
      <c r="H3021" s="134"/>
      <c r="I3021" s="134"/>
      <c r="J3021" s="134"/>
      <c r="K3021" s="134"/>
      <c r="L3021" s="134"/>
      <c r="M3021" s="134"/>
    </row>
    <row r="3022" spans="3:13" ht="12.75">
      <c r="C3022" s="134"/>
      <c r="D3022" s="134"/>
      <c r="E3022" s="134"/>
      <c r="F3022" s="134"/>
      <c r="G3022" s="134"/>
      <c r="H3022" s="134"/>
      <c r="I3022" s="134"/>
      <c r="J3022" s="134"/>
      <c r="K3022" s="134"/>
      <c r="L3022" s="134"/>
      <c r="M3022" s="134"/>
    </row>
    <row r="3023" spans="3:13" ht="12.75">
      <c r="C3023" s="134"/>
      <c r="D3023" s="134"/>
      <c r="E3023" s="134"/>
      <c r="F3023" s="134"/>
      <c r="G3023" s="134"/>
      <c r="H3023" s="134"/>
      <c r="I3023" s="134"/>
      <c r="J3023" s="134"/>
      <c r="K3023" s="134"/>
      <c r="L3023" s="134"/>
      <c r="M3023" s="134"/>
    </row>
    <row r="3024" spans="3:13" ht="12.75">
      <c r="C3024" s="134"/>
      <c r="D3024" s="134"/>
      <c r="E3024" s="134"/>
      <c r="F3024" s="134"/>
      <c r="G3024" s="134"/>
      <c r="H3024" s="134"/>
      <c r="I3024" s="134"/>
      <c r="J3024" s="134"/>
      <c r="K3024" s="134"/>
      <c r="L3024" s="134"/>
      <c r="M3024" s="134"/>
    </row>
    <row r="3025" spans="3:13" ht="12.75">
      <c r="C3025" s="134"/>
      <c r="D3025" s="134"/>
      <c r="E3025" s="134"/>
      <c r="F3025" s="134"/>
      <c r="G3025" s="134"/>
      <c r="H3025" s="134"/>
      <c r="I3025" s="134"/>
      <c r="J3025" s="134"/>
      <c r="K3025" s="134"/>
      <c r="L3025" s="134"/>
      <c r="M3025" s="134"/>
    </row>
    <row r="3026" spans="3:13" ht="12.75">
      <c r="C3026" s="134"/>
      <c r="D3026" s="134"/>
      <c r="E3026" s="134"/>
      <c r="F3026" s="134"/>
      <c r="G3026" s="134"/>
      <c r="H3026" s="134"/>
      <c r="I3026" s="134"/>
      <c r="J3026" s="134"/>
      <c r="K3026" s="134"/>
      <c r="L3026" s="134"/>
      <c r="M3026" s="134"/>
    </row>
    <row r="3027" spans="3:13" ht="12.75">
      <c r="C3027" s="134"/>
      <c r="D3027" s="134"/>
      <c r="E3027" s="134"/>
      <c r="F3027" s="134"/>
      <c r="G3027" s="134"/>
      <c r="H3027" s="134"/>
      <c r="I3027" s="134"/>
      <c r="J3027" s="134"/>
      <c r="K3027" s="134"/>
      <c r="L3027" s="134"/>
      <c r="M3027" s="134"/>
    </row>
    <row r="3028" spans="3:13" ht="12.75">
      <c r="C3028" s="134"/>
      <c r="D3028" s="134"/>
      <c r="E3028" s="134"/>
      <c r="F3028" s="134"/>
      <c r="G3028" s="134"/>
      <c r="H3028" s="134"/>
      <c r="I3028" s="134"/>
      <c r="J3028" s="134"/>
      <c r="K3028" s="134"/>
      <c r="L3028" s="134"/>
      <c r="M3028" s="134"/>
    </row>
    <row r="3029" spans="3:13" ht="12.75">
      <c r="C3029" s="134"/>
      <c r="D3029" s="134"/>
      <c r="E3029" s="134"/>
      <c r="F3029" s="134"/>
      <c r="G3029" s="134"/>
      <c r="H3029" s="134"/>
      <c r="I3029" s="134"/>
      <c r="J3029" s="134"/>
      <c r="K3029" s="134"/>
      <c r="L3029" s="134"/>
      <c r="M3029" s="134"/>
    </row>
    <row r="3030" spans="3:13" ht="12.75">
      <c r="C3030" s="134"/>
      <c r="D3030" s="134"/>
      <c r="E3030" s="134"/>
      <c r="F3030" s="134"/>
      <c r="G3030" s="134"/>
      <c r="H3030" s="134"/>
      <c r="I3030" s="134"/>
      <c r="J3030" s="134"/>
      <c r="K3030" s="134"/>
      <c r="L3030" s="134"/>
      <c r="M3030" s="134"/>
    </row>
    <row r="3031" spans="3:13" ht="12.75">
      <c r="C3031" s="134"/>
      <c r="D3031" s="134"/>
      <c r="E3031" s="134"/>
      <c r="F3031" s="134"/>
      <c r="G3031" s="134"/>
      <c r="H3031" s="134"/>
      <c r="I3031" s="134"/>
      <c r="J3031" s="134"/>
      <c r="K3031" s="134"/>
      <c r="L3031" s="134"/>
      <c r="M3031" s="134"/>
    </row>
    <row r="3032" spans="3:13" ht="12.75">
      <c r="C3032" s="134"/>
      <c r="D3032" s="134"/>
      <c r="E3032" s="134"/>
      <c r="F3032" s="134"/>
      <c r="G3032" s="134"/>
      <c r="H3032" s="134"/>
      <c r="I3032" s="134"/>
      <c r="J3032" s="134"/>
      <c r="K3032" s="134"/>
      <c r="L3032" s="134"/>
      <c r="M3032" s="134"/>
    </row>
    <row r="3033" spans="3:13" ht="12.75">
      <c r="C3033" s="134"/>
      <c r="D3033" s="134"/>
      <c r="E3033" s="134"/>
      <c r="F3033" s="134"/>
      <c r="G3033" s="134"/>
      <c r="H3033" s="134"/>
      <c r="I3033" s="134"/>
      <c r="J3033" s="134"/>
      <c r="K3033" s="134"/>
      <c r="L3033" s="134"/>
      <c r="M3033" s="134"/>
    </row>
    <row r="3034" spans="3:13" ht="12.75">
      <c r="C3034" s="134"/>
      <c r="D3034" s="134"/>
      <c r="E3034" s="134"/>
      <c r="F3034" s="134"/>
      <c r="G3034" s="134"/>
      <c r="H3034" s="134"/>
      <c r="I3034" s="134"/>
      <c r="J3034" s="134"/>
      <c r="K3034" s="134"/>
      <c r="L3034" s="134"/>
      <c r="M3034" s="134"/>
    </row>
    <row r="3035" spans="3:13" ht="12.75">
      <c r="C3035" s="134"/>
      <c r="D3035" s="134"/>
      <c r="E3035" s="134"/>
      <c r="F3035" s="134"/>
      <c r="G3035" s="134"/>
      <c r="H3035" s="134"/>
      <c r="I3035" s="134"/>
      <c r="J3035" s="134"/>
      <c r="K3035" s="134"/>
      <c r="L3035" s="134"/>
      <c r="M3035" s="134"/>
    </row>
    <row r="3036" spans="3:13" ht="12.75">
      <c r="C3036" s="134"/>
      <c r="D3036" s="134"/>
      <c r="E3036" s="134"/>
      <c r="F3036" s="134"/>
      <c r="G3036" s="134"/>
      <c r="H3036" s="134"/>
      <c r="I3036" s="134"/>
      <c r="J3036" s="134"/>
      <c r="K3036" s="134"/>
      <c r="L3036" s="134"/>
      <c r="M3036" s="134"/>
    </row>
    <row r="3037" spans="3:13" ht="12.75">
      <c r="C3037" s="134"/>
      <c r="D3037" s="134"/>
      <c r="E3037" s="134"/>
      <c r="F3037" s="134"/>
      <c r="G3037" s="134"/>
      <c r="H3037" s="134"/>
      <c r="I3037" s="134"/>
      <c r="J3037" s="134"/>
      <c r="K3037" s="134"/>
      <c r="L3037" s="134"/>
      <c r="M3037" s="134"/>
    </row>
    <row r="3038" spans="3:13" ht="12.75">
      <c r="C3038" s="134"/>
      <c r="D3038" s="134"/>
      <c r="E3038" s="134"/>
      <c r="F3038" s="134"/>
      <c r="G3038" s="134"/>
      <c r="H3038" s="134"/>
      <c r="I3038" s="134"/>
      <c r="J3038" s="134"/>
      <c r="K3038" s="134"/>
      <c r="L3038" s="134"/>
      <c r="M3038" s="134"/>
    </row>
    <row r="3039" spans="3:13" ht="12.75">
      <c r="C3039" s="134"/>
      <c r="D3039" s="134"/>
      <c r="E3039" s="134"/>
      <c r="F3039" s="134"/>
      <c r="G3039" s="134"/>
      <c r="H3039" s="134"/>
      <c r="I3039" s="134"/>
      <c r="J3039" s="134"/>
      <c r="K3039" s="134"/>
      <c r="L3039" s="134"/>
      <c r="M3039" s="134"/>
    </row>
    <row r="3040" spans="3:13" ht="12.75">
      <c r="C3040" s="134"/>
      <c r="D3040" s="134"/>
      <c r="E3040" s="134"/>
      <c r="F3040" s="134"/>
      <c r="G3040" s="134"/>
      <c r="H3040" s="134"/>
      <c r="I3040" s="134"/>
      <c r="J3040" s="134"/>
      <c r="K3040" s="134"/>
      <c r="L3040" s="134"/>
      <c r="M3040" s="134"/>
    </row>
    <row r="3041" spans="3:13" ht="12.75">
      <c r="C3041" s="134"/>
      <c r="D3041" s="134"/>
      <c r="E3041" s="134"/>
      <c r="F3041" s="134"/>
      <c r="G3041" s="134"/>
      <c r="H3041" s="134"/>
      <c r="I3041" s="134"/>
      <c r="J3041" s="134"/>
      <c r="K3041" s="134"/>
      <c r="L3041" s="134"/>
      <c r="M3041" s="134"/>
    </row>
    <row r="3042" spans="3:13" ht="12.75">
      <c r="C3042" s="134"/>
      <c r="D3042" s="134"/>
      <c r="E3042" s="134"/>
      <c r="F3042" s="134"/>
      <c r="G3042" s="134"/>
      <c r="H3042" s="134"/>
      <c r="I3042" s="134"/>
      <c r="J3042" s="134"/>
      <c r="K3042" s="134"/>
      <c r="L3042" s="134"/>
      <c r="M3042" s="134"/>
    </row>
    <row r="3043" spans="3:13" ht="12.75">
      <c r="C3043" s="134"/>
      <c r="D3043" s="134"/>
      <c r="E3043" s="134"/>
      <c r="F3043" s="134"/>
      <c r="G3043" s="134"/>
      <c r="H3043" s="134"/>
      <c r="I3043" s="134"/>
      <c r="J3043" s="134"/>
      <c r="K3043" s="134"/>
      <c r="L3043" s="134"/>
      <c r="M3043" s="134"/>
    </row>
    <row r="3044" spans="3:13" ht="12.75">
      <c r="C3044" s="134"/>
      <c r="D3044" s="134"/>
      <c r="E3044" s="134"/>
      <c r="F3044" s="134"/>
      <c r="G3044" s="134"/>
      <c r="H3044" s="134"/>
      <c r="I3044" s="134"/>
      <c r="J3044" s="134"/>
      <c r="K3044" s="134"/>
      <c r="L3044" s="134"/>
      <c r="M3044" s="134"/>
    </row>
    <row r="3045" spans="3:13" ht="12.75">
      <c r="C3045" s="134"/>
      <c r="D3045" s="134"/>
      <c r="E3045" s="134"/>
      <c r="F3045" s="134"/>
      <c r="G3045" s="134"/>
      <c r="H3045" s="134"/>
      <c r="I3045" s="134"/>
      <c r="J3045" s="134"/>
      <c r="K3045" s="134"/>
      <c r="L3045" s="134"/>
      <c r="M3045" s="134"/>
    </row>
    <row r="3046" spans="3:13" ht="12.75">
      <c r="C3046" s="134"/>
      <c r="D3046" s="134"/>
      <c r="E3046" s="134"/>
      <c r="F3046" s="134"/>
      <c r="G3046" s="134"/>
      <c r="H3046" s="134"/>
      <c r="I3046" s="134"/>
      <c r="J3046" s="134"/>
      <c r="K3046" s="134"/>
      <c r="L3046" s="134"/>
      <c r="M3046" s="134"/>
    </row>
    <row r="3047" spans="3:13" ht="12.75">
      <c r="C3047" s="134"/>
      <c r="D3047" s="134"/>
      <c r="E3047" s="134"/>
      <c r="F3047" s="134"/>
      <c r="G3047" s="134"/>
      <c r="H3047" s="134"/>
      <c r="I3047" s="134"/>
      <c r="J3047" s="134"/>
      <c r="K3047" s="134"/>
      <c r="L3047" s="134"/>
      <c r="M3047" s="134"/>
    </row>
    <row r="3048" spans="3:13" ht="12.75">
      <c r="C3048" s="134"/>
      <c r="D3048" s="134"/>
      <c r="E3048" s="134"/>
      <c r="F3048" s="134"/>
      <c r="G3048" s="134"/>
      <c r="H3048" s="134"/>
      <c r="I3048" s="134"/>
      <c r="J3048" s="134"/>
      <c r="K3048" s="134"/>
      <c r="L3048" s="134"/>
      <c r="M3048" s="134"/>
    </row>
    <row r="3049" spans="3:13" ht="12.75">
      <c r="C3049" s="134"/>
      <c r="D3049" s="134"/>
      <c r="E3049" s="134"/>
      <c r="F3049" s="134"/>
      <c r="G3049" s="134"/>
      <c r="H3049" s="134"/>
      <c r="I3049" s="134"/>
      <c r="J3049" s="134"/>
      <c r="K3049" s="134"/>
      <c r="L3049" s="134"/>
      <c r="M3049" s="134"/>
    </row>
    <row r="3050" spans="3:13" ht="12.75">
      <c r="C3050" s="134"/>
      <c r="D3050" s="134"/>
      <c r="E3050" s="134"/>
      <c r="F3050" s="134"/>
      <c r="G3050" s="134"/>
      <c r="H3050" s="134"/>
      <c r="I3050" s="134"/>
      <c r="J3050" s="134"/>
      <c r="K3050" s="134"/>
      <c r="L3050" s="134"/>
      <c r="M3050" s="134"/>
    </row>
    <row r="3051" spans="3:13" ht="12.75">
      <c r="C3051" s="134"/>
      <c r="D3051" s="134"/>
      <c r="E3051" s="134"/>
      <c r="F3051" s="134"/>
      <c r="G3051" s="134"/>
      <c r="H3051" s="134"/>
      <c r="I3051" s="134"/>
      <c r="J3051" s="134"/>
      <c r="K3051" s="134"/>
      <c r="L3051" s="134"/>
      <c r="M3051" s="134"/>
    </row>
    <row r="3052" spans="3:13" ht="12.75">
      <c r="C3052" s="134"/>
      <c r="D3052" s="134"/>
      <c r="E3052" s="134"/>
      <c r="F3052" s="134"/>
      <c r="G3052" s="134"/>
      <c r="H3052" s="134"/>
      <c r="I3052" s="134"/>
      <c r="J3052" s="134"/>
      <c r="K3052" s="134"/>
      <c r="L3052" s="134"/>
      <c r="M3052" s="134"/>
    </row>
    <row r="3053" spans="3:13" ht="12.75">
      <c r="C3053" s="134"/>
      <c r="D3053" s="134"/>
      <c r="E3053" s="134"/>
      <c r="F3053" s="134"/>
      <c r="G3053" s="134"/>
      <c r="H3053" s="134"/>
      <c r="I3053" s="134"/>
      <c r="J3053" s="134"/>
      <c r="K3053" s="134"/>
      <c r="L3053" s="134"/>
      <c r="M3053" s="134"/>
    </row>
    <row r="3054" spans="3:13" ht="12.75">
      <c r="C3054" s="134"/>
      <c r="D3054" s="134"/>
      <c r="E3054" s="134"/>
      <c r="F3054" s="134"/>
      <c r="G3054" s="134"/>
      <c r="H3054" s="134"/>
      <c r="I3054" s="134"/>
      <c r="J3054" s="134"/>
      <c r="K3054" s="134"/>
      <c r="L3054" s="134"/>
      <c r="M3054" s="134"/>
    </row>
    <row r="3055" spans="3:13" ht="12.75">
      <c r="C3055" s="134"/>
      <c r="D3055" s="134"/>
      <c r="E3055" s="134"/>
      <c r="F3055" s="134"/>
      <c r="G3055" s="134"/>
      <c r="H3055" s="134"/>
      <c r="I3055" s="134"/>
      <c r="J3055" s="134"/>
      <c r="K3055" s="134"/>
      <c r="L3055" s="134"/>
      <c r="M3055" s="134"/>
    </row>
    <row r="3056" spans="3:13" ht="12.75">
      <c r="C3056" s="134"/>
      <c r="D3056" s="134"/>
      <c r="E3056" s="134"/>
      <c r="F3056" s="134"/>
      <c r="G3056" s="134"/>
      <c r="H3056" s="134"/>
      <c r="I3056" s="134"/>
      <c r="J3056" s="134"/>
      <c r="K3056" s="134"/>
      <c r="L3056" s="134"/>
      <c r="M3056" s="134"/>
    </row>
    <row r="3057" spans="3:13" ht="12.75">
      <c r="C3057" s="134"/>
      <c r="D3057" s="134"/>
      <c r="E3057" s="134"/>
      <c r="F3057" s="134"/>
      <c r="G3057" s="134"/>
      <c r="H3057" s="134"/>
      <c r="I3057" s="134"/>
      <c r="J3057" s="134"/>
      <c r="K3057" s="134"/>
      <c r="L3057" s="134"/>
      <c r="M3057" s="134"/>
    </row>
    <row r="3058" spans="3:13" ht="12.75">
      <c r="C3058" s="134"/>
      <c r="D3058" s="134"/>
      <c r="E3058" s="134"/>
      <c r="F3058" s="134"/>
      <c r="G3058" s="134"/>
      <c r="H3058" s="134"/>
      <c r="I3058" s="134"/>
      <c r="J3058" s="134"/>
      <c r="K3058" s="134"/>
      <c r="L3058" s="134"/>
      <c r="M3058" s="134"/>
    </row>
    <row r="3059" spans="3:13" ht="12.75">
      <c r="C3059" s="134"/>
      <c r="D3059" s="134"/>
      <c r="E3059" s="134"/>
      <c r="F3059" s="134"/>
      <c r="G3059" s="134"/>
      <c r="H3059" s="134"/>
      <c r="I3059" s="134"/>
      <c r="J3059" s="134"/>
      <c r="K3059" s="134"/>
      <c r="L3059" s="134"/>
      <c r="M3059" s="134"/>
    </row>
    <row r="3060" spans="3:13" ht="12.75">
      <c r="C3060" s="134"/>
      <c r="D3060" s="134"/>
      <c r="E3060" s="134"/>
      <c r="F3060" s="134"/>
      <c r="G3060" s="134"/>
      <c r="H3060" s="134"/>
      <c r="I3060" s="134"/>
      <c r="J3060" s="134"/>
      <c r="K3060" s="134"/>
      <c r="L3060" s="134"/>
      <c r="M3060" s="134"/>
    </row>
    <row r="3061" spans="3:13" ht="12.75">
      <c r="C3061" s="134"/>
      <c r="D3061" s="134"/>
      <c r="E3061" s="134"/>
      <c r="F3061" s="134"/>
      <c r="G3061" s="134"/>
      <c r="H3061" s="134"/>
      <c r="I3061" s="134"/>
      <c r="J3061" s="134"/>
      <c r="K3061" s="134"/>
      <c r="L3061" s="134"/>
      <c r="M3061" s="134"/>
    </row>
    <row r="3062" spans="3:13" ht="12.75">
      <c r="C3062" s="134"/>
      <c r="D3062" s="134"/>
      <c r="E3062" s="134"/>
      <c r="F3062" s="134"/>
      <c r="G3062" s="134"/>
      <c r="H3062" s="134"/>
      <c r="I3062" s="134"/>
      <c r="J3062" s="134"/>
      <c r="K3062" s="134"/>
      <c r="L3062" s="134"/>
      <c r="M3062" s="134"/>
    </row>
    <row r="3063" spans="3:13" ht="12.75">
      <c r="C3063" s="134"/>
      <c r="D3063" s="134"/>
      <c r="E3063" s="134"/>
      <c r="F3063" s="134"/>
      <c r="G3063" s="134"/>
      <c r="H3063" s="134"/>
      <c r="I3063" s="134"/>
      <c r="J3063" s="134"/>
      <c r="K3063" s="134"/>
      <c r="L3063" s="134"/>
      <c r="M3063" s="134"/>
    </row>
    <row r="3064" spans="3:13" ht="12.75">
      <c r="C3064" s="134"/>
      <c r="D3064" s="134"/>
      <c r="E3064" s="134"/>
      <c r="F3064" s="134"/>
      <c r="G3064" s="134"/>
      <c r="H3064" s="134"/>
      <c r="I3064" s="134"/>
      <c r="J3064" s="134"/>
      <c r="K3064" s="134"/>
      <c r="L3064" s="134"/>
      <c r="M3064" s="134"/>
    </row>
    <row r="3065" spans="3:13" ht="12.75">
      <c r="C3065" s="134"/>
      <c r="D3065" s="134"/>
      <c r="E3065" s="134"/>
      <c r="F3065" s="134"/>
      <c r="G3065" s="134"/>
      <c r="H3065" s="134"/>
      <c r="I3065" s="134"/>
      <c r="J3065" s="134"/>
      <c r="K3065" s="134"/>
      <c r="L3065" s="134"/>
      <c r="M3065" s="134"/>
    </row>
    <row r="3066" spans="3:13" ht="12.75">
      <c r="C3066" s="134"/>
      <c r="D3066" s="134"/>
      <c r="E3066" s="134"/>
      <c r="F3066" s="134"/>
      <c r="G3066" s="134"/>
      <c r="H3066" s="134"/>
      <c r="I3066" s="134"/>
      <c r="J3066" s="134"/>
      <c r="K3066" s="134"/>
      <c r="L3066" s="134"/>
      <c r="M3066" s="134"/>
    </row>
    <row r="3067" spans="3:13" ht="12.75">
      <c r="C3067" s="134"/>
      <c r="D3067" s="134"/>
      <c r="E3067" s="134"/>
      <c r="F3067" s="134"/>
      <c r="G3067" s="134"/>
      <c r="H3067" s="134"/>
      <c r="I3067" s="134"/>
      <c r="J3067" s="134"/>
      <c r="K3067" s="134"/>
      <c r="L3067" s="134"/>
      <c r="M3067" s="134"/>
    </row>
    <row r="3068" spans="3:13" ht="12.75">
      <c r="C3068" s="134"/>
      <c r="D3068" s="134"/>
      <c r="E3068" s="134"/>
      <c r="F3068" s="134"/>
      <c r="G3068" s="134"/>
      <c r="H3068" s="134"/>
      <c r="I3068" s="134"/>
      <c r="J3068" s="134"/>
      <c r="K3068" s="134"/>
      <c r="L3068" s="134"/>
      <c r="M3068" s="134"/>
    </row>
    <row r="3069" spans="3:13" ht="12.75">
      <c r="C3069" s="134"/>
      <c r="D3069" s="134"/>
      <c r="E3069" s="134"/>
      <c r="F3069" s="134"/>
      <c r="G3069" s="134"/>
      <c r="H3069" s="134"/>
      <c r="I3069" s="134"/>
      <c r="J3069" s="134"/>
      <c r="K3069" s="134"/>
      <c r="L3069" s="134"/>
      <c r="M3069" s="134"/>
    </row>
    <row r="3070" spans="3:13" ht="12.75">
      <c r="C3070" s="134"/>
      <c r="D3070" s="134"/>
      <c r="E3070" s="134"/>
      <c r="F3070" s="134"/>
      <c r="G3070" s="134"/>
      <c r="H3070" s="134"/>
      <c r="I3070" s="134"/>
      <c r="J3070" s="134"/>
      <c r="K3070" s="134"/>
      <c r="L3070" s="134"/>
      <c r="M3070" s="134"/>
    </row>
    <row r="3071" spans="3:13" ht="12.75">
      <c r="C3071" s="134"/>
      <c r="D3071" s="134"/>
      <c r="E3071" s="134"/>
      <c r="F3071" s="134"/>
      <c r="G3071" s="134"/>
      <c r="H3071" s="134"/>
      <c r="I3071" s="134"/>
      <c r="J3071" s="134"/>
      <c r="K3071" s="134"/>
      <c r="L3071" s="134"/>
      <c r="M3071" s="134"/>
    </row>
    <row r="3072" spans="3:13" ht="12.75">
      <c r="C3072" s="134"/>
      <c r="D3072" s="134"/>
      <c r="E3072" s="134"/>
      <c r="F3072" s="134"/>
      <c r="G3072" s="134"/>
      <c r="H3072" s="134"/>
      <c r="I3072" s="134"/>
      <c r="J3072" s="134"/>
      <c r="K3072" s="134"/>
      <c r="L3072" s="134"/>
      <c r="M3072" s="134"/>
    </row>
    <row r="3073" spans="3:13" ht="12.75">
      <c r="C3073" s="134"/>
      <c r="D3073" s="134"/>
      <c r="E3073" s="134"/>
      <c r="F3073" s="134"/>
      <c r="G3073" s="134"/>
      <c r="H3073" s="134"/>
      <c r="I3073" s="134"/>
      <c r="J3073" s="134"/>
      <c r="K3073" s="134"/>
      <c r="L3073" s="134"/>
      <c r="M3073" s="134"/>
    </row>
    <row r="3074" spans="3:13" ht="12.75">
      <c r="C3074" s="134"/>
      <c r="D3074" s="134"/>
      <c r="E3074" s="134"/>
      <c r="F3074" s="134"/>
      <c r="G3074" s="134"/>
      <c r="H3074" s="134"/>
      <c r="I3074" s="134"/>
      <c r="J3074" s="134"/>
      <c r="K3074" s="134"/>
      <c r="L3074" s="134"/>
      <c r="M3074" s="134"/>
    </row>
    <row r="3075" spans="3:13" ht="12.75">
      <c r="C3075" s="134"/>
      <c r="D3075" s="134"/>
      <c r="E3075" s="134"/>
      <c r="F3075" s="134"/>
      <c r="G3075" s="134"/>
      <c r="H3075" s="134"/>
      <c r="I3075" s="134"/>
      <c r="J3075" s="134"/>
      <c r="K3075" s="134"/>
      <c r="L3075" s="134"/>
      <c r="M3075" s="134"/>
    </row>
    <row r="3076" spans="3:13" ht="12.75">
      <c r="C3076" s="134"/>
      <c r="D3076" s="134"/>
      <c r="E3076" s="134"/>
      <c r="F3076" s="134"/>
      <c r="G3076" s="134"/>
      <c r="H3076" s="134"/>
      <c r="I3076" s="134"/>
      <c r="J3076" s="134"/>
      <c r="K3076" s="134"/>
      <c r="L3076" s="134"/>
      <c r="M3076" s="134"/>
    </row>
    <row r="3077" spans="3:13" ht="12.75">
      <c r="C3077" s="134"/>
      <c r="D3077" s="134"/>
      <c r="E3077" s="134"/>
      <c r="F3077" s="134"/>
      <c r="G3077" s="134"/>
      <c r="H3077" s="134"/>
      <c r="I3077" s="134"/>
      <c r="J3077" s="134"/>
      <c r="K3077" s="134"/>
      <c r="L3077" s="134"/>
      <c r="M3077" s="134"/>
    </row>
    <row r="3078" spans="3:13" ht="12.75">
      <c r="C3078" s="134"/>
      <c r="D3078" s="134"/>
      <c r="E3078" s="134"/>
      <c r="F3078" s="134"/>
      <c r="G3078" s="134"/>
      <c r="H3078" s="134"/>
      <c r="I3078" s="134"/>
      <c r="J3078" s="134"/>
      <c r="K3078" s="134"/>
      <c r="L3078" s="134"/>
      <c r="M3078" s="134"/>
    </row>
    <row r="3079" spans="3:13" ht="12.75">
      <c r="C3079" s="134"/>
      <c r="D3079" s="134"/>
      <c r="E3079" s="134"/>
      <c r="F3079" s="134"/>
      <c r="G3079" s="134"/>
      <c r="H3079" s="134"/>
      <c r="I3079" s="134"/>
      <c r="J3079" s="134"/>
      <c r="K3079" s="134"/>
      <c r="L3079" s="134"/>
      <c r="M3079" s="134"/>
    </row>
    <row r="3080" spans="3:13" ht="12.75">
      <c r="C3080" s="134"/>
      <c r="D3080" s="134"/>
      <c r="E3080" s="134"/>
      <c r="F3080" s="134"/>
      <c r="G3080" s="134"/>
      <c r="H3080" s="134"/>
      <c r="I3080" s="134"/>
      <c r="J3080" s="134"/>
      <c r="K3080" s="134"/>
      <c r="L3080" s="134"/>
      <c r="M3080" s="134"/>
    </row>
    <row r="3081" spans="3:13" ht="12.75">
      <c r="C3081" s="134"/>
      <c r="D3081" s="134"/>
      <c r="E3081" s="134"/>
      <c r="F3081" s="134"/>
      <c r="G3081" s="134"/>
      <c r="H3081" s="134"/>
      <c r="I3081" s="134"/>
      <c r="J3081" s="134"/>
      <c r="K3081" s="134"/>
      <c r="L3081" s="134"/>
      <c r="M3081" s="134"/>
    </row>
    <row r="3082" spans="3:13" ht="12.75">
      <c r="C3082" s="134"/>
      <c r="D3082" s="134"/>
      <c r="E3082" s="134"/>
      <c r="F3082" s="134"/>
      <c r="G3082" s="134"/>
      <c r="H3082" s="134"/>
      <c r="I3082" s="134"/>
      <c r="J3082" s="134"/>
      <c r="K3082" s="134"/>
      <c r="L3082" s="134"/>
      <c r="M3082" s="134"/>
    </row>
    <row r="3083" spans="3:13" ht="12.75">
      <c r="C3083" s="134"/>
      <c r="D3083" s="134"/>
      <c r="E3083" s="134"/>
      <c r="F3083" s="134"/>
      <c r="G3083" s="134"/>
      <c r="H3083" s="134"/>
      <c r="I3083" s="134"/>
      <c r="J3083" s="134"/>
      <c r="K3083" s="134"/>
      <c r="L3083" s="134"/>
      <c r="M3083" s="134"/>
    </row>
    <row r="3084" spans="3:13" ht="12.75">
      <c r="C3084" s="134"/>
      <c r="D3084" s="134"/>
      <c r="E3084" s="134"/>
      <c r="F3084" s="134"/>
      <c r="G3084" s="134"/>
      <c r="H3084" s="134"/>
      <c r="I3084" s="134"/>
      <c r="J3084" s="134"/>
      <c r="K3084" s="134"/>
      <c r="L3084" s="134"/>
      <c r="M3084" s="134"/>
    </row>
    <row r="3085" spans="3:13" ht="12.75">
      <c r="C3085" s="134"/>
      <c r="D3085" s="134"/>
      <c r="E3085" s="134"/>
      <c r="F3085" s="134"/>
      <c r="G3085" s="134"/>
      <c r="H3085" s="134"/>
      <c r="I3085" s="134"/>
      <c r="J3085" s="134"/>
      <c r="K3085" s="134"/>
      <c r="L3085" s="134"/>
      <c r="M3085" s="134"/>
    </row>
    <row r="3086" spans="3:13" ht="12.75">
      <c r="C3086" s="134"/>
      <c r="D3086" s="134"/>
      <c r="E3086" s="134"/>
      <c r="F3086" s="134"/>
      <c r="G3086" s="134"/>
      <c r="H3086" s="134"/>
      <c r="I3086" s="134"/>
      <c r="J3086" s="134"/>
      <c r="K3086" s="134"/>
      <c r="L3086" s="134"/>
      <c r="M3086" s="134"/>
    </row>
    <row r="3087" spans="3:13" ht="12.75">
      <c r="C3087" s="134"/>
      <c r="D3087" s="134"/>
      <c r="E3087" s="134"/>
      <c r="F3087" s="134"/>
      <c r="G3087" s="134"/>
      <c r="H3087" s="134"/>
      <c r="I3087" s="134"/>
      <c r="J3087" s="134"/>
      <c r="K3087" s="134"/>
      <c r="L3087" s="134"/>
      <c r="M3087" s="134"/>
    </row>
    <row r="3088" spans="3:13" ht="12.75">
      <c r="C3088" s="134"/>
      <c r="D3088" s="134"/>
      <c r="E3088" s="134"/>
      <c r="F3088" s="134"/>
      <c r="G3088" s="134"/>
      <c r="H3088" s="134"/>
      <c r="I3088" s="134"/>
      <c r="J3088" s="134"/>
      <c r="K3088" s="134"/>
      <c r="L3088" s="134"/>
      <c r="M3088" s="134"/>
    </row>
    <row r="3089" spans="3:13" ht="12.75">
      <c r="C3089" s="134"/>
      <c r="D3089" s="134"/>
      <c r="E3089" s="134"/>
      <c r="F3089" s="134"/>
      <c r="G3089" s="134"/>
      <c r="H3089" s="134"/>
      <c r="I3089" s="134"/>
      <c r="J3089" s="134"/>
      <c r="K3089" s="134"/>
      <c r="L3089" s="134"/>
      <c r="M3089" s="134"/>
    </row>
    <row r="3090" spans="3:13" ht="12.75">
      <c r="C3090" s="134"/>
      <c r="D3090" s="134"/>
      <c r="E3090" s="134"/>
      <c r="F3090" s="134"/>
      <c r="G3090" s="134"/>
      <c r="H3090" s="134"/>
      <c r="I3090" s="134"/>
      <c r="J3090" s="134"/>
      <c r="K3090" s="134"/>
      <c r="L3090" s="134"/>
      <c r="M3090" s="134"/>
    </row>
    <row r="3091" spans="3:13" ht="12.75">
      <c r="C3091" s="134"/>
      <c r="D3091" s="134"/>
      <c r="E3091" s="134"/>
      <c r="F3091" s="134"/>
      <c r="G3091" s="134"/>
      <c r="H3091" s="134"/>
      <c r="I3091" s="134"/>
      <c r="J3091" s="134"/>
      <c r="K3091" s="134"/>
      <c r="L3091" s="134"/>
      <c r="M3091" s="134"/>
    </row>
    <row r="3092" spans="3:13" ht="12.75">
      <c r="C3092" s="134"/>
      <c r="D3092" s="134"/>
      <c r="E3092" s="134"/>
      <c r="F3092" s="134"/>
      <c r="G3092" s="134"/>
      <c r="H3092" s="134"/>
      <c r="I3092" s="134"/>
      <c r="J3092" s="134"/>
      <c r="K3092" s="134"/>
      <c r="L3092" s="134"/>
      <c r="M3092" s="134"/>
    </row>
    <row r="3093" spans="3:13" ht="12.75">
      <c r="C3093" s="134"/>
      <c r="D3093" s="134"/>
      <c r="E3093" s="134"/>
      <c r="F3093" s="134"/>
      <c r="G3093" s="134"/>
      <c r="H3093" s="134"/>
      <c r="I3093" s="134"/>
      <c r="J3093" s="134"/>
      <c r="K3093" s="134"/>
      <c r="L3093" s="134"/>
      <c r="M3093" s="134"/>
    </row>
    <row r="3094" spans="3:13" ht="12.75">
      <c r="C3094" s="134"/>
      <c r="D3094" s="134"/>
      <c r="E3094" s="134"/>
      <c r="F3094" s="134"/>
      <c r="G3094" s="134"/>
      <c r="H3094" s="134"/>
      <c r="I3094" s="134"/>
      <c r="J3094" s="134"/>
      <c r="K3094" s="134"/>
      <c r="L3094" s="134"/>
      <c r="M3094" s="134"/>
    </row>
    <row r="3095" spans="3:13" ht="12.75">
      <c r="C3095" s="134"/>
      <c r="D3095" s="134"/>
      <c r="E3095" s="134"/>
      <c r="F3095" s="134"/>
      <c r="G3095" s="134"/>
      <c r="H3095" s="134"/>
      <c r="I3095" s="134"/>
      <c r="J3095" s="134"/>
      <c r="K3095" s="134"/>
      <c r="L3095" s="134"/>
      <c r="M3095" s="134"/>
    </row>
    <row r="3096" spans="3:13" ht="12.75">
      <c r="C3096" s="134"/>
      <c r="D3096" s="134"/>
      <c r="E3096" s="134"/>
      <c r="F3096" s="134"/>
      <c r="G3096" s="134"/>
      <c r="H3096" s="134"/>
      <c r="I3096" s="134"/>
      <c r="J3096" s="134"/>
      <c r="K3096" s="134"/>
      <c r="L3096" s="134"/>
      <c r="M3096" s="134"/>
    </row>
    <row r="3097" spans="3:13" ht="12.75">
      <c r="C3097" s="134"/>
      <c r="D3097" s="134"/>
      <c r="E3097" s="134"/>
      <c r="F3097" s="134"/>
      <c r="G3097" s="134"/>
      <c r="H3097" s="134"/>
      <c r="I3097" s="134"/>
      <c r="J3097" s="134"/>
      <c r="K3097" s="134"/>
      <c r="L3097" s="134"/>
      <c r="M3097" s="134"/>
    </row>
    <row r="3098" spans="3:13" ht="12.75">
      <c r="C3098" s="134"/>
      <c r="D3098" s="134"/>
      <c r="E3098" s="134"/>
      <c r="F3098" s="134"/>
      <c r="G3098" s="134"/>
      <c r="H3098" s="134"/>
      <c r="I3098" s="134"/>
      <c r="J3098" s="134"/>
      <c r="K3098" s="134"/>
      <c r="L3098" s="134"/>
      <c r="M3098" s="134"/>
    </row>
    <row r="3099" spans="3:13" ht="12.75">
      <c r="C3099" s="134"/>
      <c r="D3099" s="134"/>
      <c r="E3099" s="134"/>
      <c r="F3099" s="134"/>
      <c r="G3099" s="134"/>
      <c r="H3099" s="134"/>
      <c r="I3099" s="134"/>
      <c r="J3099" s="134"/>
      <c r="K3099" s="134"/>
      <c r="L3099" s="134"/>
      <c r="M3099" s="134"/>
    </row>
    <row r="3100" spans="3:13" ht="12.75">
      <c r="C3100" s="134"/>
      <c r="D3100" s="134"/>
      <c r="E3100" s="134"/>
      <c r="F3100" s="134"/>
      <c r="G3100" s="134"/>
      <c r="H3100" s="134"/>
      <c r="I3100" s="134"/>
      <c r="J3100" s="134"/>
      <c r="K3100" s="134"/>
      <c r="L3100" s="134"/>
      <c r="M3100" s="134"/>
    </row>
    <row r="3101" spans="3:13" ht="12.75">
      <c r="C3101" s="134"/>
      <c r="D3101" s="134"/>
      <c r="E3101" s="134"/>
      <c r="F3101" s="134"/>
      <c r="G3101" s="134"/>
      <c r="H3101" s="134"/>
      <c r="I3101" s="134"/>
      <c r="J3101" s="134"/>
      <c r="K3101" s="134"/>
      <c r="L3101" s="134"/>
      <c r="M3101" s="134"/>
    </row>
    <row r="3102" spans="3:13" ht="12.75">
      <c r="C3102" s="134"/>
      <c r="D3102" s="134"/>
      <c r="E3102" s="134"/>
      <c r="F3102" s="134"/>
      <c r="G3102" s="134"/>
      <c r="H3102" s="134"/>
      <c r="I3102" s="134"/>
      <c r="J3102" s="134"/>
      <c r="K3102" s="134"/>
      <c r="L3102" s="134"/>
      <c r="M3102" s="134"/>
    </row>
    <row r="3103" spans="3:13" ht="12.75">
      <c r="C3103" s="134"/>
      <c r="D3103" s="134"/>
      <c r="E3103" s="134"/>
      <c r="F3103" s="134"/>
      <c r="G3103" s="134"/>
      <c r="H3103" s="134"/>
      <c r="I3103" s="134"/>
      <c r="J3103" s="134"/>
      <c r="K3103" s="134"/>
      <c r="L3103" s="134"/>
      <c r="M3103" s="134"/>
    </row>
    <row r="3104" spans="3:13" ht="12.75">
      <c r="C3104" s="134"/>
      <c r="D3104" s="134"/>
      <c r="E3104" s="134"/>
      <c r="F3104" s="134"/>
      <c r="G3104" s="134"/>
      <c r="H3104" s="134"/>
      <c r="I3104" s="134"/>
      <c r="J3104" s="134"/>
      <c r="K3104" s="134"/>
      <c r="L3104" s="134"/>
      <c r="M3104" s="134"/>
    </row>
    <row r="3105" spans="3:13" ht="12.75">
      <c r="C3105" s="134"/>
      <c r="D3105" s="134"/>
      <c r="E3105" s="134"/>
      <c r="F3105" s="134"/>
      <c r="G3105" s="134"/>
      <c r="H3105" s="134"/>
      <c r="I3105" s="134"/>
      <c r="J3105" s="134"/>
      <c r="K3105" s="134"/>
      <c r="L3105" s="134"/>
      <c r="M3105" s="134"/>
    </row>
    <row r="3106" spans="3:13" ht="12.75">
      <c r="C3106" s="134"/>
      <c r="D3106" s="134"/>
      <c r="E3106" s="134"/>
      <c r="F3106" s="134"/>
      <c r="G3106" s="134"/>
      <c r="H3106" s="134"/>
      <c r="I3106" s="134"/>
      <c r="J3106" s="134"/>
      <c r="K3106" s="134"/>
      <c r="L3106" s="134"/>
      <c r="M3106" s="134"/>
    </row>
    <row r="3107" spans="3:13" ht="12.75">
      <c r="C3107" s="134"/>
      <c r="D3107" s="134"/>
      <c r="E3107" s="134"/>
      <c r="F3107" s="134"/>
      <c r="G3107" s="134"/>
      <c r="H3107" s="134"/>
      <c r="I3107" s="134"/>
      <c r="J3107" s="134"/>
      <c r="K3107" s="134"/>
      <c r="L3107" s="134"/>
      <c r="M3107" s="134"/>
    </row>
    <row r="3108" spans="3:13" ht="12.75">
      <c r="C3108" s="134"/>
      <c r="D3108" s="134"/>
      <c r="E3108" s="134"/>
      <c r="F3108" s="134"/>
      <c r="G3108" s="134"/>
      <c r="H3108" s="134"/>
      <c r="I3108" s="134"/>
      <c r="J3108" s="134"/>
      <c r="K3108" s="134"/>
      <c r="L3108" s="134"/>
      <c r="M3108" s="134"/>
    </row>
    <row r="3109" spans="3:13" ht="12.75">
      <c r="C3109" s="134"/>
      <c r="D3109" s="134"/>
      <c r="E3109" s="134"/>
      <c r="F3109" s="134"/>
      <c r="G3109" s="134"/>
      <c r="H3109" s="134"/>
      <c r="I3109" s="134"/>
      <c r="J3109" s="134"/>
      <c r="K3109" s="134"/>
      <c r="L3109" s="134"/>
      <c r="M3109" s="134"/>
    </row>
    <row r="3110" spans="3:13" ht="12.75">
      <c r="C3110" s="134"/>
      <c r="D3110" s="134"/>
      <c r="E3110" s="134"/>
      <c r="F3110" s="134"/>
      <c r="G3110" s="134"/>
      <c r="H3110" s="134"/>
      <c r="I3110" s="134"/>
      <c r="J3110" s="134"/>
      <c r="K3110" s="134"/>
      <c r="L3110" s="134"/>
      <c r="M3110" s="134"/>
    </row>
    <row r="3111" spans="3:13" ht="12.75">
      <c r="C3111" s="134"/>
      <c r="D3111" s="134"/>
      <c r="E3111" s="134"/>
      <c r="F3111" s="134"/>
      <c r="G3111" s="134"/>
      <c r="H3111" s="134"/>
      <c r="I3111" s="134"/>
      <c r="J3111" s="134"/>
      <c r="K3111" s="134"/>
      <c r="L3111" s="134"/>
      <c r="M3111" s="134"/>
    </row>
    <row r="3112" spans="3:13" ht="12.75">
      <c r="C3112" s="134"/>
      <c r="D3112" s="134"/>
      <c r="E3112" s="134"/>
      <c r="F3112" s="134"/>
      <c r="G3112" s="134"/>
      <c r="H3112" s="134"/>
      <c r="I3112" s="134"/>
      <c r="J3112" s="134"/>
      <c r="K3112" s="134"/>
      <c r="L3112" s="134"/>
      <c r="M3112" s="134"/>
    </row>
    <row r="3113" spans="3:13" ht="12.75">
      <c r="C3113" s="134"/>
      <c r="D3113" s="134"/>
      <c r="E3113" s="134"/>
      <c r="F3113" s="134"/>
      <c r="G3113" s="134"/>
      <c r="H3113" s="134"/>
      <c r="I3113" s="134"/>
      <c r="J3113" s="134"/>
      <c r="K3113" s="134"/>
      <c r="L3113" s="134"/>
      <c r="M3113" s="134"/>
    </row>
    <row r="3114" spans="3:13" ht="12.75">
      <c r="C3114" s="134"/>
      <c r="D3114" s="134"/>
      <c r="E3114" s="134"/>
      <c r="F3114" s="134"/>
      <c r="G3114" s="134"/>
      <c r="H3114" s="134"/>
      <c r="I3114" s="134"/>
      <c r="J3114" s="134"/>
      <c r="K3114" s="134"/>
      <c r="L3114" s="134"/>
      <c r="M3114" s="134"/>
    </row>
    <row r="3115" spans="3:13" ht="12.75">
      <c r="C3115" s="134"/>
      <c r="D3115" s="134"/>
      <c r="E3115" s="134"/>
      <c r="F3115" s="134"/>
      <c r="G3115" s="134"/>
      <c r="H3115" s="134"/>
      <c r="I3115" s="134"/>
      <c r="J3115" s="134"/>
      <c r="K3115" s="134"/>
      <c r="L3115" s="134"/>
      <c r="M3115" s="134"/>
    </row>
    <row r="3116" spans="3:13" ht="12.75">
      <c r="C3116" s="134"/>
      <c r="D3116" s="134"/>
      <c r="E3116" s="134"/>
      <c r="F3116" s="134"/>
      <c r="G3116" s="134"/>
      <c r="H3116" s="134"/>
      <c r="I3116" s="134"/>
      <c r="J3116" s="134"/>
      <c r="K3116" s="134"/>
      <c r="L3116" s="134"/>
      <c r="M3116" s="134"/>
    </row>
    <row r="3117" spans="3:13" ht="12.75">
      <c r="C3117" s="134"/>
      <c r="D3117" s="134"/>
      <c r="E3117" s="134"/>
      <c r="F3117" s="134"/>
      <c r="G3117" s="134"/>
      <c r="H3117" s="134"/>
      <c r="I3117" s="134"/>
      <c r="J3117" s="134"/>
      <c r="K3117" s="134"/>
      <c r="L3117" s="134"/>
      <c r="M3117" s="134"/>
    </row>
    <row r="3118" spans="3:13" ht="12.75">
      <c r="C3118" s="134"/>
      <c r="D3118" s="134"/>
      <c r="E3118" s="134"/>
      <c r="F3118" s="134"/>
      <c r="G3118" s="134"/>
      <c r="H3118" s="134"/>
      <c r="I3118" s="134"/>
      <c r="J3118" s="134"/>
      <c r="K3118" s="134"/>
      <c r="L3118" s="134"/>
      <c r="M3118" s="134"/>
    </row>
    <row r="3119" spans="3:13" ht="12.75">
      <c r="C3119" s="134"/>
      <c r="D3119" s="134"/>
      <c r="E3119" s="134"/>
      <c r="F3119" s="134"/>
      <c r="G3119" s="134"/>
      <c r="H3119" s="134"/>
      <c r="I3119" s="134"/>
      <c r="J3119" s="134"/>
      <c r="K3119" s="134"/>
      <c r="L3119" s="134"/>
      <c r="M3119" s="134"/>
    </row>
    <row r="3120" spans="3:13" ht="12.75">
      <c r="C3120" s="134"/>
      <c r="D3120" s="134"/>
      <c r="E3120" s="134"/>
      <c r="F3120" s="134"/>
      <c r="G3120" s="134"/>
      <c r="H3120" s="134"/>
      <c r="I3120" s="134"/>
      <c r="J3120" s="134"/>
      <c r="K3120" s="134"/>
      <c r="L3120" s="134"/>
      <c r="M3120" s="134"/>
    </row>
    <row r="3121" spans="3:13" ht="12.75">
      <c r="C3121" s="134"/>
      <c r="D3121" s="134"/>
      <c r="E3121" s="134"/>
      <c r="F3121" s="134"/>
      <c r="G3121" s="134"/>
      <c r="H3121" s="134"/>
      <c r="I3121" s="134"/>
      <c r="J3121" s="134"/>
      <c r="K3121" s="134"/>
      <c r="L3121" s="134"/>
      <c r="M3121" s="134"/>
    </row>
    <row r="3122" spans="3:13" ht="12.75">
      <c r="C3122" s="134"/>
      <c r="D3122" s="134"/>
      <c r="E3122" s="134"/>
      <c r="F3122" s="134"/>
      <c r="G3122" s="134"/>
      <c r="H3122" s="134"/>
      <c r="I3122" s="134"/>
      <c r="J3122" s="134"/>
      <c r="K3122" s="134"/>
      <c r="L3122" s="134"/>
      <c r="M3122" s="134"/>
    </row>
    <row r="3123" spans="3:13" ht="12.75">
      <c r="C3123" s="134"/>
      <c r="D3123" s="134"/>
      <c r="E3123" s="134"/>
      <c r="F3123" s="134"/>
      <c r="G3123" s="134"/>
      <c r="H3123" s="134"/>
      <c r="I3123" s="134"/>
      <c r="J3123" s="134"/>
      <c r="K3123" s="134"/>
      <c r="L3123" s="134"/>
      <c r="M3123" s="134"/>
    </row>
    <row r="3124" spans="3:13" ht="12.75">
      <c r="C3124" s="134"/>
      <c r="D3124" s="134"/>
      <c r="E3124" s="134"/>
      <c r="F3124" s="134"/>
      <c r="G3124" s="134"/>
      <c r="H3124" s="134"/>
      <c r="I3124" s="134"/>
      <c r="J3124" s="134"/>
      <c r="K3124" s="134"/>
      <c r="L3124" s="134"/>
      <c r="M3124" s="134"/>
    </row>
    <row r="3125" spans="3:13" ht="12.75">
      <c r="C3125" s="134"/>
      <c r="D3125" s="134"/>
      <c r="E3125" s="134"/>
      <c r="F3125" s="134"/>
      <c r="G3125" s="134"/>
      <c r="H3125" s="134"/>
      <c r="I3125" s="134"/>
      <c r="J3125" s="134"/>
      <c r="K3125" s="134"/>
      <c r="L3125" s="134"/>
      <c r="M3125" s="134"/>
    </row>
    <row r="3126" spans="3:13" ht="12.75">
      <c r="C3126" s="134"/>
      <c r="D3126" s="134"/>
      <c r="E3126" s="134"/>
      <c r="F3126" s="134"/>
      <c r="G3126" s="134"/>
      <c r="H3126" s="134"/>
      <c r="I3126" s="134"/>
      <c r="J3126" s="134"/>
      <c r="K3126" s="134"/>
      <c r="L3126" s="134"/>
      <c r="M3126" s="134"/>
    </row>
    <row r="3127" spans="3:13" ht="12.75">
      <c r="C3127" s="134"/>
      <c r="D3127" s="134"/>
      <c r="E3127" s="134"/>
      <c r="F3127" s="134"/>
      <c r="G3127" s="134"/>
      <c r="H3127" s="134"/>
      <c r="I3127" s="134"/>
      <c r="J3127" s="134"/>
      <c r="K3127" s="134"/>
      <c r="L3127" s="134"/>
      <c r="M3127" s="134"/>
    </row>
    <row r="3128" spans="3:13" ht="12.75">
      <c r="C3128" s="134"/>
      <c r="D3128" s="134"/>
      <c r="E3128" s="134"/>
      <c r="F3128" s="134"/>
      <c r="G3128" s="134"/>
      <c r="H3128" s="134"/>
      <c r="I3128" s="134"/>
      <c r="J3128" s="134"/>
      <c r="K3128" s="134"/>
      <c r="L3128" s="134"/>
      <c r="M3128" s="134"/>
    </row>
    <row r="3129" spans="3:13" ht="12.75">
      <c r="C3129" s="134"/>
      <c r="D3129" s="134"/>
      <c r="E3129" s="134"/>
      <c r="F3129" s="134"/>
      <c r="G3129" s="134"/>
      <c r="H3129" s="134"/>
      <c r="I3129" s="134"/>
      <c r="J3129" s="134"/>
      <c r="K3129" s="134"/>
      <c r="L3129" s="134"/>
      <c r="M3129" s="134"/>
    </row>
    <row r="3130" spans="3:13" ht="12.75">
      <c r="C3130" s="134"/>
      <c r="D3130" s="134"/>
      <c r="E3130" s="134"/>
      <c r="F3130" s="134"/>
      <c r="G3130" s="134"/>
      <c r="H3130" s="134"/>
      <c r="I3130" s="134"/>
      <c r="J3130" s="134"/>
      <c r="K3130" s="134"/>
      <c r="L3130" s="134"/>
      <c r="M3130" s="134"/>
    </row>
    <row r="3131" spans="3:13" ht="12.75">
      <c r="C3131" s="134"/>
      <c r="D3131" s="134"/>
      <c r="E3131" s="134"/>
      <c r="F3131" s="134"/>
      <c r="G3131" s="134"/>
      <c r="H3131" s="134"/>
      <c r="I3131" s="134"/>
      <c r="J3131" s="134"/>
      <c r="K3131" s="134"/>
      <c r="L3131" s="134"/>
      <c r="M3131" s="134"/>
    </row>
    <row r="3132" spans="3:13" ht="12.75">
      <c r="C3132" s="134"/>
      <c r="D3132" s="134"/>
      <c r="E3132" s="134"/>
      <c r="F3132" s="134"/>
      <c r="G3132" s="134"/>
      <c r="H3132" s="134"/>
      <c r="I3132" s="134"/>
      <c r="J3132" s="134"/>
      <c r="K3132" s="134"/>
      <c r="L3132" s="134"/>
      <c r="M3132" s="134"/>
    </row>
    <row r="3133" spans="3:13" ht="12.75">
      <c r="C3133" s="134"/>
      <c r="D3133" s="134"/>
      <c r="E3133" s="134"/>
      <c r="F3133" s="134"/>
      <c r="G3133" s="134"/>
      <c r="H3133" s="134"/>
      <c r="I3133" s="134"/>
      <c r="J3133" s="134"/>
      <c r="K3133" s="134"/>
      <c r="L3133" s="134"/>
      <c r="M3133" s="134"/>
    </row>
    <row r="3134" spans="3:13" ht="12.75">
      <c r="C3134" s="134"/>
      <c r="D3134" s="134"/>
      <c r="E3134" s="134"/>
      <c r="F3134" s="134"/>
      <c r="G3134" s="134"/>
      <c r="H3134" s="134"/>
      <c r="I3134" s="134"/>
      <c r="J3134" s="134"/>
      <c r="K3134" s="134"/>
      <c r="L3134" s="134"/>
      <c r="M3134" s="134"/>
    </row>
    <row r="3135" spans="3:13" ht="12.75">
      <c r="C3135" s="134"/>
      <c r="D3135" s="134"/>
      <c r="E3135" s="134"/>
      <c r="F3135" s="134"/>
      <c r="G3135" s="134"/>
      <c r="H3135" s="134"/>
      <c r="I3135" s="134"/>
      <c r="J3135" s="134"/>
      <c r="K3135" s="134"/>
      <c r="L3135" s="134"/>
      <c r="M3135" s="134"/>
    </row>
    <row r="3136" spans="3:13" ht="12.75">
      <c r="C3136" s="134"/>
      <c r="D3136" s="134"/>
      <c r="E3136" s="134"/>
      <c r="F3136" s="134"/>
      <c r="G3136" s="134"/>
      <c r="H3136" s="134"/>
      <c r="I3136" s="134"/>
      <c r="J3136" s="134"/>
      <c r="K3136" s="134"/>
      <c r="L3136" s="134"/>
      <c r="M3136" s="134"/>
    </row>
    <row r="3137" spans="3:13" ht="12.75">
      <c r="C3137" s="134"/>
      <c r="D3137" s="134"/>
      <c r="E3137" s="134"/>
      <c r="F3137" s="134"/>
      <c r="G3137" s="134"/>
      <c r="H3137" s="134"/>
      <c r="I3137" s="134"/>
      <c r="J3137" s="134"/>
      <c r="K3137" s="134"/>
      <c r="L3137" s="134"/>
      <c r="M3137" s="134"/>
    </row>
    <row r="3138" spans="3:13" ht="12.75">
      <c r="C3138" s="134"/>
      <c r="D3138" s="134"/>
      <c r="E3138" s="134"/>
      <c r="F3138" s="134"/>
      <c r="G3138" s="134"/>
      <c r="H3138" s="134"/>
      <c r="I3138" s="134"/>
      <c r="J3138" s="134"/>
      <c r="K3138" s="134"/>
      <c r="L3138" s="134"/>
      <c r="M3138" s="134"/>
    </row>
    <row r="3139" spans="3:13" ht="12.75">
      <c r="C3139" s="134"/>
      <c r="D3139" s="134"/>
      <c r="E3139" s="134"/>
      <c r="F3139" s="134"/>
      <c r="G3139" s="134"/>
      <c r="H3139" s="134"/>
      <c r="I3139" s="134"/>
      <c r="J3139" s="134"/>
      <c r="K3139" s="134"/>
      <c r="L3139" s="134"/>
      <c r="M3139" s="134"/>
    </row>
    <row r="3140" spans="3:13" ht="12.75">
      <c r="C3140" s="134"/>
      <c r="D3140" s="134"/>
      <c r="E3140" s="134"/>
      <c r="F3140" s="134"/>
      <c r="G3140" s="134"/>
      <c r="H3140" s="134"/>
      <c r="I3140" s="134"/>
      <c r="J3140" s="134"/>
      <c r="K3140" s="134"/>
      <c r="L3140" s="134"/>
      <c r="M3140" s="134"/>
    </row>
    <row r="3141" spans="3:13" ht="12.75">
      <c r="C3141" s="134"/>
      <c r="D3141" s="134"/>
      <c r="E3141" s="134"/>
      <c r="F3141" s="134"/>
      <c r="G3141" s="134"/>
      <c r="H3141" s="134"/>
      <c r="I3141" s="134"/>
      <c r="J3141" s="134"/>
      <c r="K3141" s="134"/>
      <c r="L3141" s="134"/>
      <c r="M3141" s="134"/>
    </row>
    <row r="3142" spans="3:13" ht="12.75">
      <c r="C3142" s="134"/>
      <c r="D3142" s="134"/>
      <c r="E3142" s="134"/>
      <c r="F3142" s="134"/>
      <c r="G3142" s="134"/>
      <c r="H3142" s="134"/>
      <c r="I3142" s="134"/>
      <c r="J3142" s="134"/>
      <c r="K3142" s="134"/>
      <c r="L3142" s="134"/>
      <c r="M3142" s="134"/>
    </row>
    <row r="3143" spans="3:13" ht="12.75">
      <c r="C3143" s="134"/>
      <c r="D3143" s="134"/>
      <c r="E3143" s="134"/>
      <c r="F3143" s="134"/>
      <c r="G3143" s="134"/>
      <c r="H3143" s="134"/>
      <c r="I3143" s="134"/>
      <c r="J3143" s="134"/>
      <c r="K3143" s="134"/>
      <c r="L3143" s="134"/>
      <c r="M3143" s="134"/>
    </row>
    <row r="3144" spans="3:13" ht="12.75">
      <c r="C3144" s="134"/>
      <c r="D3144" s="134"/>
      <c r="E3144" s="134"/>
      <c r="F3144" s="134"/>
      <c r="G3144" s="134"/>
      <c r="H3144" s="134"/>
      <c r="I3144" s="134"/>
      <c r="J3144" s="134"/>
      <c r="K3144" s="134"/>
      <c r="L3144" s="134"/>
      <c r="M3144" s="134"/>
    </row>
    <row r="3145" spans="3:13" ht="12.75">
      <c r="C3145" s="134"/>
      <c r="D3145" s="134"/>
      <c r="E3145" s="134"/>
      <c r="F3145" s="134"/>
      <c r="G3145" s="134"/>
      <c r="H3145" s="134"/>
      <c r="I3145" s="134"/>
      <c r="J3145" s="134"/>
      <c r="K3145" s="134"/>
      <c r="L3145" s="134"/>
      <c r="M3145" s="134"/>
    </row>
    <row r="3146" spans="3:13" ht="12.75">
      <c r="C3146" s="134"/>
      <c r="D3146" s="134"/>
      <c r="E3146" s="134"/>
      <c r="F3146" s="134"/>
      <c r="G3146" s="134"/>
      <c r="H3146" s="134"/>
      <c r="I3146" s="134"/>
      <c r="J3146" s="134"/>
      <c r="K3146" s="134"/>
      <c r="L3146" s="134"/>
      <c r="M3146" s="134"/>
    </row>
    <row r="3147" spans="3:13" ht="12.75">
      <c r="C3147" s="134"/>
      <c r="D3147" s="134"/>
      <c r="E3147" s="134"/>
      <c r="F3147" s="134"/>
      <c r="G3147" s="134"/>
      <c r="H3147" s="134"/>
      <c r="I3147" s="134"/>
      <c r="J3147" s="134"/>
      <c r="K3147" s="134"/>
      <c r="L3147" s="134"/>
      <c r="M3147" s="134"/>
    </row>
    <row r="3148" spans="3:13" ht="12.75">
      <c r="C3148" s="134"/>
      <c r="D3148" s="134"/>
      <c r="E3148" s="134"/>
      <c r="F3148" s="134"/>
      <c r="G3148" s="134"/>
      <c r="H3148" s="134"/>
      <c r="I3148" s="134"/>
      <c r="J3148" s="134"/>
      <c r="K3148" s="134"/>
      <c r="L3148" s="134"/>
      <c r="M3148" s="134"/>
    </row>
    <row r="3149" spans="3:13" ht="12.75">
      <c r="C3149" s="134"/>
      <c r="D3149" s="134"/>
      <c r="E3149" s="134"/>
      <c r="F3149" s="134"/>
      <c r="G3149" s="134"/>
      <c r="H3149" s="134"/>
      <c r="I3149" s="134"/>
      <c r="J3149" s="134"/>
      <c r="K3149" s="134"/>
      <c r="L3149" s="134"/>
      <c r="M3149" s="134"/>
    </row>
    <row r="3150" spans="3:13" ht="12.75">
      <c r="C3150" s="134"/>
      <c r="D3150" s="134"/>
      <c r="E3150" s="134"/>
      <c r="F3150" s="134"/>
      <c r="G3150" s="134"/>
      <c r="H3150" s="134"/>
      <c r="I3150" s="134"/>
      <c r="J3150" s="134"/>
      <c r="K3150" s="134"/>
      <c r="L3150" s="134"/>
      <c r="M3150" s="134"/>
    </row>
    <row r="3151" spans="3:13" ht="12.75">
      <c r="C3151" s="134"/>
      <c r="D3151" s="134"/>
      <c r="E3151" s="134"/>
      <c r="F3151" s="134"/>
      <c r="G3151" s="134"/>
      <c r="H3151" s="134"/>
      <c r="I3151" s="134"/>
      <c r="J3151" s="134"/>
      <c r="K3151" s="134"/>
      <c r="L3151" s="134"/>
      <c r="M3151" s="134"/>
    </row>
    <row r="3152" spans="3:13" ht="12.75">
      <c r="C3152" s="134"/>
      <c r="D3152" s="134"/>
      <c r="E3152" s="134"/>
      <c r="F3152" s="134"/>
      <c r="G3152" s="134"/>
      <c r="H3152" s="134"/>
      <c r="I3152" s="134"/>
      <c r="J3152" s="134"/>
      <c r="K3152" s="134"/>
      <c r="L3152" s="134"/>
      <c r="M3152" s="134"/>
    </row>
    <row r="3153" spans="3:13" ht="12.75">
      <c r="C3153" s="134"/>
      <c r="D3153" s="134"/>
      <c r="E3153" s="134"/>
      <c r="F3153" s="134"/>
      <c r="G3153" s="134"/>
      <c r="H3153" s="134"/>
      <c r="I3153" s="134"/>
      <c r="J3153" s="134"/>
      <c r="K3153" s="134"/>
      <c r="L3153" s="134"/>
      <c r="M3153" s="134"/>
    </row>
    <row r="3154" spans="3:13" ht="12.75">
      <c r="C3154" s="134"/>
      <c r="D3154" s="134"/>
      <c r="E3154" s="134"/>
      <c r="F3154" s="134"/>
      <c r="G3154" s="134"/>
      <c r="H3154" s="134"/>
      <c r="I3154" s="134"/>
      <c r="J3154" s="134"/>
      <c r="K3154" s="134"/>
      <c r="L3154" s="134"/>
      <c r="M3154" s="134"/>
    </row>
    <row r="3155" spans="3:13" ht="12.75">
      <c r="C3155" s="134"/>
      <c r="D3155" s="134"/>
      <c r="E3155" s="134"/>
      <c r="F3155" s="134"/>
      <c r="G3155" s="134"/>
      <c r="H3155" s="134"/>
      <c r="I3155" s="134"/>
      <c r="J3155" s="134"/>
      <c r="K3155" s="134"/>
      <c r="L3155" s="134"/>
      <c r="M3155" s="134"/>
    </row>
    <row r="3156" spans="3:13" ht="12.75">
      <c r="C3156" s="134"/>
      <c r="D3156" s="134"/>
      <c r="E3156" s="134"/>
      <c r="F3156" s="134"/>
      <c r="G3156" s="134"/>
      <c r="H3156" s="134"/>
      <c r="I3156" s="134"/>
      <c r="J3156" s="134"/>
      <c r="K3156" s="134"/>
      <c r="L3156" s="134"/>
      <c r="M3156" s="134"/>
    </row>
    <row r="3157" spans="3:13" ht="12.75">
      <c r="C3157" s="134"/>
      <c r="D3157" s="134"/>
      <c r="E3157" s="134"/>
      <c r="F3157" s="134"/>
      <c r="G3157" s="134"/>
      <c r="H3157" s="134"/>
      <c r="I3157" s="134"/>
      <c r="J3157" s="134"/>
      <c r="K3157" s="134"/>
      <c r="L3157" s="134"/>
      <c r="M3157" s="134"/>
    </row>
    <row r="3158" spans="3:13" ht="12.75">
      <c r="C3158" s="134"/>
      <c r="D3158" s="134"/>
      <c r="E3158" s="134"/>
      <c r="F3158" s="134"/>
      <c r="G3158" s="134"/>
      <c r="H3158" s="134"/>
      <c r="I3158" s="134"/>
      <c r="J3158" s="134"/>
      <c r="K3158" s="134"/>
      <c r="L3158" s="134"/>
      <c r="M3158" s="134"/>
    </row>
    <row r="3159" spans="3:13" ht="12.75">
      <c r="C3159" s="134"/>
      <c r="D3159" s="134"/>
      <c r="E3159" s="134"/>
      <c r="F3159" s="134"/>
      <c r="G3159" s="134"/>
      <c r="H3159" s="134"/>
      <c r="I3159" s="134"/>
      <c r="J3159" s="134"/>
      <c r="K3159" s="134"/>
      <c r="L3159" s="134"/>
      <c r="M3159" s="134"/>
    </row>
    <row r="3160" spans="3:13" ht="12.75">
      <c r="C3160" s="134"/>
      <c r="D3160" s="134"/>
      <c r="E3160" s="134"/>
      <c r="F3160" s="134"/>
      <c r="G3160" s="134"/>
      <c r="H3160" s="134"/>
      <c r="I3160" s="134"/>
      <c r="J3160" s="134"/>
      <c r="K3160" s="134"/>
      <c r="L3160" s="134"/>
      <c r="M3160" s="134"/>
    </row>
    <row r="3161" spans="3:13" ht="12.75">
      <c r="C3161" s="134"/>
      <c r="D3161" s="134"/>
      <c r="E3161" s="134"/>
      <c r="F3161" s="134"/>
      <c r="G3161" s="134"/>
      <c r="H3161" s="134"/>
      <c r="I3161" s="134"/>
      <c r="J3161" s="134"/>
      <c r="K3161" s="134"/>
      <c r="L3161" s="134"/>
      <c r="M3161" s="134"/>
    </row>
    <row r="3162" spans="3:13" ht="12.75">
      <c r="C3162" s="134"/>
      <c r="D3162" s="134"/>
      <c r="E3162" s="134"/>
      <c r="F3162" s="134"/>
      <c r="G3162" s="134"/>
      <c r="H3162" s="134"/>
      <c r="I3162" s="134"/>
      <c r="J3162" s="134"/>
      <c r="K3162" s="134"/>
      <c r="L3162" s="134"/>
      <c r="M3162" s="134"/>
    </row>
    <row r="3163" spans="3:13" ht="12.75">
      <c r="C3163" s="134"/>
      <c r="D3163" s="134"/>
      <c r="E3163" s="134"/>
      <c r="F3163" s="134"/>
      <c r="G3163" s="134"/>
      <c r="H3163" s="134"/>
      <c r="I3163" s="134"/>
      <c r="J3163" s="134"/>
      <c r="K3163" s="134"/>
      <c r="L3163" s="134"/>
      <c r="M3163" s="134"/>
    </row>
    <row r="3164" spans="3:13" ht="12.75">
      <c r="C3164" s="134"/>
      <c r="D3164" s="134"/>
      <c r="E3164" s="134"/>
      <c r="F3164" s="134"/>
      <c r="G3164" s="134"/>
      <c r="H3164" s="134"/>
      <c r="I3164" s="134"/>
      <c r="J3164" s="134"/>
      <c r="K3164" s="134"/>
      <c r="L3164" s="134"/>
      <c r="M3164" s="134"/>
    </row>
    <row r="3165" spans="3:13" ht="12.75">
      <c r="C3165" s="134"/>
      <c r="D3165" s="134"/>
      <c r="E3165" s="134"/>
      <c r="F3165" s="134"/>
      <c r="G3165" s="134"/>
      <c r="H3165" s="134"/>
      <c r="I3165" s="134"/>
      <c r="J3165" s="134"/>
      <c r="K3165" s="134"/>
      <c r="L3165" s="134"/>
      <c r="M3165" s="134"/>
    </row>
    <row r="3166" spans="3:13" ht="12.75">
      <c r="C3166" s="134"/>
      <c r="D3166" s="134"/>
      <c r="E3166" s="134"/>
      <c r="F3166" s="134"/>
      <c r="G3166" s="134"/>
      <c r="H3166" s="134"/>
      <c r="I3166" s="134"/>
      <c r="J3166" s="134"/>
      <c r="K3166" s="134"/>
      <c r="L3166" s="134"/>
      <c r="M3166" s="134"/>
    </row>
    <row r="3167" spans="3:13" ht="12.75">
      <c r="C3167" s="134"/>
      <c r="D3167" s="134"/>
      <c r="E3167" s="134"/>
      <c r="F3167" s="134"/>
      <c r="G3167" s="134"/>
      <c r="H3167" s="134"/>
      <c r="I3167" s="134"/>
      <c r="J3167" s="134"/>
      <c r="K3167" s="134"/>
      <c r="L3167" s="134"/>
      <c r="M3167" s="134"/>
    </row>
    <row r="3168" spans="3:13" ht="12.75">
      <c r="C3168" s="134"/>
      <c r="D3168" s="134"/>
      <c r="E3168" s="134"/>
      <c r="F3168" s="134"/>
      <c r="G3168" s="134"/>
      <c r="H3168" s="134"/>
      <c r="I3168" s="134"/>
      <c r="J3168" s="134"/>
      <c r="K3168" s="134"/>
      <c r="L3168" s="134"/>
      <c r="M3168" s="134"/>
    </row>
    <row r="3169" spans="3:13" ht="12.75">
      <c r="C3169" s="134"/>
      <c r="D3169" s="134"/>
      <c r="E3169" s="134"/>
      <c r="F3169" s="134"/>
      <c r="G3169" s="134"/>
      <c r="H3169" s="134"/>
      <c r="I3169" s="134"/>
      <c r="J3169" s="134"/>
      <c r="K3169" s="134"/>
      <c r="L3169" s="134"/>
      <c r="M3169" s="134"/>
    </row>
    <row r="3170" spans="3:13" ht="12.75">
      <c r="C3170" s="134"/>
      <c r="D3170" s="134"/>
      <c r="E3170" s="134"/>
      <c r="F3170" s="134"/>
      <c r="G3170" s="134"/>
      <c r="H3170" s="134"/>
      <c r="I3170" s="134"/>
      <c r="J3170" s="134"/>
      <c r="K3170" s="134"/>
      <c r="L3170" s="134"/>
      <c r="M3170" s="134"/>
    </row>
    <row r="3171" spans="3:13" ht="12.75">
      <c r="C3171" s="134"/>
      <c r="D3171" s="134"/>
      <c r="E3171" s="134"/>
      <c r="F3171" s="134"/>
      <c r="G3171" s="134"/>
      <c r="H3171" s="134"/>
      <c r="I3171" s="134"/>
      <c r="J3171" s="134"/>
      <c r="K3171" s="134"/>
      <c r="L3171" s="134"/>
      <c r="M3171" s="134"/>
    </row>
    <row r="3172" spans="3:13" ht="12.75">
      <c r="C3172" s="134"/>
      <c r="D3172" s="134"/>
      <c r="E3172" s="134"/>
      <c r="F3172" s="134"/>
      <c r="G3172" s="134"/>
      <c r="H3172" s="134"/>
      <c r="I3172" s="134"/>
      <c r="J3172" s="134"/>
      <c r="K3172" s="134"/>
      <c r="L3172" s="134"/>
      <c r="M3172" s="134"/>
    </row>
    <row r="3173" spans="3:13" ht="12.75">
      <c r="C3173" s="134"/>
      <c r="D3173" s="134"/>
      <c r="E3173" s="134"/>
      <c r="F3173" s="134"/>
      <c r="G3173" s="134"/>
      <c r="H3173" s="134"/>
      <c r="I3173" s="134"/>
      <c r="J3173" s="134"/>
      <c r="K3173" s="134"/>
      <c r="L3173" s="134"/>
      <c r="M3173" s="134"/>
    </row>
    <row r="3174" spans="3:13" ht="12.75">
      <c r="C3174" s="134"/>
      <c r="D3174" s="134"/>
      <c r="E3174" s="134"/>
      <c r="F3174" s="134"/>
      <c r="G3174" s="134"/>
      <c r="H3174" s="134"/>
      <c r="I3174" s="134"/>
      <c r="J3174" s="134"/>
      <c r="K3174" s="134"/>
      <c r="L3174" s="134"/>
      <c r="M3174" s="134"/>
    </row>
    <row r="3175" spans="3:13" ht="12.75">
      <c r="C3175" s="134"/>
      <c r="D3175" s="134"/>
      <c r="E3175" s="134"/>
      <c r="F3175" s="134"/>
      <c r="G3175" s="134"/>
      <c r="H3175" s="134"/>
      <c r="I3175" s="134"/>
      <c r="J3175" s="134"/>
      <c r="K3175" s="134"/>
      <c r="L3175" s="134"/>
      <c r="M3175" s="134"/>
    </row>
    <row r="3176" spans="3:13" ht="12.75">
      <c r="C3176" s="134"/>
      <c r="D3176" s="134"/>
      <c r="E3176" s="134"/>
      <c r="F3176" s="134"/>
      <c r="G3176" s="134"/>
      <c r="H3176" s="134"/>
      <c r="I3176" s="134"/>
      <c r="J3176" s="134"/>
      <c r="K3176" s="134"/>
      <c r="L3176" s="134"/>
      <c r="M3176" s="134"/>
    </row>
    <row r="3177" spans="3:13" ht="12.75">
      <c r="C3177" s="134"/>
      <c r="D3177" s="134"/>
      <c r="E3177" s="134"/>
      <c r="F3177" s="134"/>
      <c r="G3177" s="134"/>
      <c r="H3177" s="134"/>
      <c r="I3177" s="134"/>
      <c r="J3177" s="134"/>
      <c r="K3177" s="134"/>
      <c r="L3177" s="134"/>
      <c r="M3177" s="134"/>
    </row>
    <row r="3178" spans="3:13" ht="12.75">
      <c r="C3178" s="134"/>
      <c r="D3178" s="134"/>
      <c r="E3178" s="134"/>
      <c r="F3178" s="134"/>
      <c r="G3178" s="134"/>
      <c r="H3178" s="134"/>
      <c r="I3178" s="134"/>
      <c r="J3178" s="134"/>
      <c r="K3178" s="134"/>
      <c r="L3178" s="134"/>
      <c r="M3178" s="134"/>
    </row>
    <row r="3179" spans="3:13" ht="12.75">
      <c r="C3179" s="134"/>
      <c r="D3179" s="134"/>
      <c r="E3179" s="134"/>
      <c r="F3179" s="134"/>
      <c r="G3179" s="134"/>
      <c r="H3179" s="134"/>
      <c r="I3179" s="134"/>
      <c r="J3179" s="134"/>
      <c r="K3179" s="134"/>
      <c r="L3179" s="134"/>
      <c r="M3179" s="134"/>
    </row>
    <row r="3180" spans="3:13" ht="12.75">
      <c r="C3180" s="134"/>
      <c r="D3180" s="134"/>
      <c r="E3180" s="134"/>
      <c r="F3180" s="134"/>
      <c r="G3180" s="134"/>
      <c r="H3180" s="134"/>
      <c r="I3180" s="134"/>
      <c r="J3180" s="134"/>
      <c r="K3180" s="134"/>
      <c r="L3180" s="134"/>
      <c r="M3180" s="134"/>
    </row>
    <row r="3181" spans="3:13" ht="12.75">
      <c r="C3181" s="134"/>
      <c r="D3181" s="134"/>
      <c r="E3181" s="134"/>
      <c r="F3181" s="134"/>
      <c r="G3181" s="134"/>
      <c r="H3181" s="134"/>
      <c r="I3181" s="134"/>
      <c r="J3181" s="134"/>
      <c r="K3181" s="134"/>
      <c r="L3181" s="134"/>
      <c r="M3181" s="134"/>
    </row>
    <row r="3182" spans="3:13" ht="12.75">
      <c r="C3182" s="134"/>
      <c r="D3182" s="134"/>
      <c r="E3182" s="134"/>
      <c r="F3182" s="134"/>
      <c r="G3182" s="134"/>
      <c r="H3182" s="134"/>
      <c r="I3182" s="134"/>
      <c r="J3182" s="134"/>
      <c r="K3182" s="134"/>
      <c r="L3182" s="134"/>
      <c r="M3182" s="134"/>
    </row>
    <row r="3183" spans="3:13" ht="12.75">
      <c r="C3183" s="134"/>
      <c r="D3183" s="134"/>
      <c r="E3183" s="134"/>
      <c r="F3183" s="134"/>
      <c r="G3183" s="134"/>
      <c r="H3183" s="134"/>
      <c r="I3183" s="134"/>
      <c r="J3183" s="134"/>
      <c r="K3183" s="134"/>
      <c r="L3183" s="134"/>
      <c r="M3183" s="134"/>
    </row>
    <row r="3184" spans="3:13" ht="12.75">
      <c r="C3184" s="134"/>
      <c r="D3184" s="134"/>
      <c r="E3184" s="134"/>
      <c r="F3184" s="134"/>
      <c r="G3184" s="134"/>
      <c r="H3184" s="134"/>
      <c r="I3184" s="134"/>
      <c r="J3184" s="134"/>
      <c r="K3184" s="134"/>
      <c r="L3184" s="134"/>
      <c r="M3184" s="134"/>
    </row>
    <row r="3185" spans="3:13" ht="12.75">
      <c r="C3185" s="134"/>
      <c r="D3185" s="134"/>
      <c r="E3185" s="134"/>
      <c r="F3185" s="134"/>
      <c r="G3185" s="134"/>
      <c r="H3185" s="134"/>
      <c r="I3185" s="134"/>
      <c r="J3185" s="134"/>
      <c r="K3185" s="134"/>
      <c r="L3185" s="134"/>
      <c r="M3185" s="134"/>
    </row>
    <row r="3186" spans="3:13" ht="12.75">
      <c r="C3186" s="134"/>
      <c r="D3186" s="134"/>
      <c r="E3186" s="134"/>
      <c r="F3186" s="134"/>
      <c r="G3186" s="134"/>
      <c r="H3186" s="134"/>
      <c r="I3186" s="134"/>
      <c r="J3186" s="134"/>
      <c r="K3186" s="134"/>
      <c r="L3186" s="134"/>
      <c r="M3186" s="134"/>
    </row>
    <row r="3187" spans="3:13" ht="12.75">
      <c r="C3187" s="134"/>
      <c r="D3187" s="134"/>
      <c r="E3187" s="134"/>
      <c r="F3187" s="134"/>
      <c r="G3187" s="134"/>
      <c r="H3187" s="134"/>
      <c r="I3187" s="134"/>
      <c r="J3187" s="134"/>
      <c r="K3187" s="134"/>
      <c r="L3187" s="134"/>
      <c r="M3187" s="134"/>
    </row>
    <row r="3188" spans="3:13" ht="12.75">
      <c r="C3188" s="134"/>
      <c r="D3188" s="134"/>
      <c r="E3188" s="134"/>
      <c r="F3188" s="134"/>
      <c r="G3188" s="134"/>
      <c r="H3188" s="134"/>
      <c r="I3188" s="134"/>
      <c r="J3188" s="134"/>
      <c r="K3188" s="134"/>
      <c r="L3188" s="134"/>
      <c r="M3188" s="134"/>
    </row>
    <row r="3189" spans="3:13" ht="12.75">
      <c r="C3189" s="134"/>
      <c r="D3189" s="134"/>
      <c r="E3189" s="134"/>
      <c r="F3189" s="134"/>
      <c r="G3189" s="134"/>
      <c r="H3189" s="134"/>
      <c r="I3189" s="134"/>
      <c r="J3189" s="134"/>
      <c r="K3189" s="134"/>
      <c r="L3189" s="134"/>
      <c r="M3189" s="134"/>
    </row>
    <row r="3190" spans="3:13" ht="12.75">
      <c r="C3190" s="134"/>
      <c r="D3190" s="134"/>
      <c r="E3190" s="134"/>
      <c r="F3190" s="134"/>
      <c r="G3190" s="134"/>
      <c r="H3190" s="134"/>
      <c r="I3190" s="134"/>
      <c r="J3190" s="134"/>
      <c r="K3190" s="134"/>
      <c r="L3190" s="134"/>
      <c r="M3190" s="134"/>
    </row>
    <row r="3191" spans="3:13" ht="12.75">
      <c r="C3191" s="134"/>
      <c r="D3191" s="134"/>
      <c r="E3191" s="134"/>
      <c r="F3191" s="134"/>
      <c r="G3191" s="134"/>
      <c r="H3191" s="134"/>
      <c r="I3191" s="134"/>
      <c r="J3191" s="134"/>
      <c r="K3191" s="134"/>
      <c r="L3191" s="134"/>
      <c r="M3191" s="134"/>
    </row>
    <row r="3192" spans="3:13" ht="12.75">
      <c r="C3192" s="134"/>
      <c r="D3192" s="134"/>
      <c r="E3192" s="134"/>
      <c r="F3192" s="134"/>
      <c r="G3192" s="134"/>
      <c r="H3192" s="134"/>
      <c r="I3192" s="134"/>
      <c r="J3192" s="134"/>
      <c r="K3192" s="134"/>
      <c r="L3192" s="134"/>
      <c r="M3192" s="134"/>
    </row>
    <row r="3193" spans="3:13" ht="12.75">
      <c r="C3193" s="134"/>
      <c r="D3193" s="134"/>
      <c r="E3193" s="134"/>
      <c r="F3193" s="134"/>
      <c r="G3193" s="134"/>
      <c r="H3193" s="134"/>
      <c r="I3193" s="134"/>
      <c r="J3193" s="134"/>
      <c r="K3193" s="134"/>
      <c r="L3193" s="134"/>
      <c r="M3193" s="134"/>
    </row>
    <row r="3194" spans="3:13" ht="12.75">
      <c r="C3194" s="134"/>
      <c r="D3194" s="134"/>
      <c r="E3194" s="134"/>
      <c r="F3194" s="134"/>
      <c r="G3194" s="134"/>
      <c r="H3194" s="134"/>
      <c r="I3194" s="134"/>
      <c r="J3194" s="134"/>
      <c r="K3194" s="134"/>
      <c r="L3194" s="134"/>
      <c r="M3194" s="134"/>
    </row>
    <row r="3195" spans="3:13" ht="12.75">
      <c r="C3195" s="134"/>
      <c r="D3195" s="134"/>
      <c r="E3195" s="134"/>
      <c r="F3195" s="134"/>
      <c r="G3195" s="134"/>
      <c r="H3195" s="134"/>
      <c r="I3195" s="134"/>
      <c r="J3195" s="134"/>
      <c r="K3195" s="134"/>
      <c r="L3195" s="134"/>
      <c r="M3195" s="134"/>
    </row>
    <row r="3196" spans="3:13" ht="12.75">
      <c r="C3196" s="134"/>
      <c r="D3196" s="134"/>
      <c r="E3196" s="134"/>
      <c r="F3196" s="134"/>
      <c r="G3196" s="134"/>
      <c r="H3196" s="134"/>
      <c r="I3196" s="134"/>
      <c r="J3196" s="134"/>
      <c r="K3196" s="134"/>
      <c r="L3196" s="134"/>
      <c r="M3196" s="134"/>
    </row>
    <row r="3197" spans="3:13" ht="12.75">
      <c r="C3197" s="134"/>
      <c r="D3197" s="134"/>
      <c r="E3197" s="134"/>
      <c r="F3197" s="134"/>
      <c r="G3197" s="134"/>
      <c r="H3197" s="134"/>
      <c r="I3197" s="134"/>
      <c r="J3197" s="134"/>
      <c r="K3197" s="134"/>
      <c r="L3197" s="134"/>
      <c r="M3197" s="134"/>
    </row>
    <row r="3198" spans="3:13" ht="12.75">
      <c r="C3198" s="134"/>
      <c r="D3198" s="134"/>
      <c r="E3198" s="134"/>
      <c r="F3198" s="134"/>
      <c r="G3198" s="134"/>
      <c r="H3198" s="134"/>
      <c r="I3198" s="134"/>
      <c r="J3198" s="134"/>
      <c r="K3198" s="134"/>
      <c r="L3198" s="134"/>
      <c r="M3198" s="134"/>
    </row>
    <row r="3199" spans="3:13" ht="12.75">
      <c r="C3199" s="134"/>
      <c r="D3199" s="134"/>
      <c r="E3199" s="134"/>
      <c r="F3199" s="134"/>
      <c r="G3199" s="134"/>
      <c r="H3199" s="134"/>
      <c r="I3199" s="134"/>
      <c r="J3199" s="134"/>
      <c r="K3199" s="134"/>
      <c r="L3199" s="134"/>
      <c r="M3199" s="134"/>
    </row>
    <row r="3200" spans="3:13" ht="12.75">
      <c r="C3200" s="134"/>
      <c r="D3200" s="134"/>
      <c r="E3200" s="134"/>
      <c r="F3200" s="134"/>
      <c r="G3200" s="134"/>
      <c r="H3200" s="134"/>
      <c r="I3200" s="134"/>
      <c r="J3200" s="134"/>
      <c r="K3200" s="134"/>
      <c r="L3200" s="134"/>
      <c r="M3200" s="134"/>
    </row>
    <row r="3201" spans="3:13" ht="12.75">
      <c r="C3201" s="134"/>
      <c r="D3201" s="134"/>
      <c r="E3201" s="134"/>
      <c r="F3201" s="134"/>
      <c r="G3201" s="134"/>
      <c r="H3201" s="134"/>
      <c r="I3201" s="134"/>
      <c r="J3201" s="134"/>
      <c r="K3201" s="134"/>
      <c r="L3201" s="134"/>
      <c r="M3201" s="134"/>
    </row>
    <row r="3202" spans="3:13" ht="12.75">
      <c r="C3202" s="134"/>
      <c r="D3202" s="134"/>
      <c r="E3202" s="134"/>
      <c r="F3202" s="134"/>
      <c r="G3202" s="134"/>
      <c r="H3202" s="134"/>
      <c r="I3202" s="134"/>
      <c r="J3202" s="134"/>
      <c r="K3202" s="134"/>
      <c r="L3202" s="134"/>
      <c r="M3202" s="134"/>
    </row>
    <row r="3203" spans="3:13" ht="12.75">
      <c r="C3203" s="134"/>
      <c r="D3203" s="134"/>
      <c r="E3203" s="134"/>
      <c r="F3203" s="134"/>
      <c r="G3203" s="134"/>
      <c r="H3203" s="134"/>
      <c r="I3203" s="134"/>
      <c r="J3203" s="134"/>
      <c r="K3203" s="134"/>
      <c r="L3203" s="134"/>
      <c r="M3203" s="134"/>
    </row>
    <row r="3204" spans="3:13" ht="12.75">
      <c r="C3204" s="134"/>
      <c r="D3204" s="134"/>
      <c r="E3204" s="134"/>
      <c r="F3204" s="134"/>
      <c r="G3204" s="134"/>
      <c r="H3204" s="134"/>
      <c r="I3204" s="134"/>
      <c r="J3204" s="134"/>
      <c r="K3204" s="134"/>
      <c r="L3204" s="134"/>
      <c r="M3204" s="134"/>
    </row>
    <row r="3205" spans="3:13" ht="12.75">
      <c r="C3205" s="134"/>
      <c r="D3205" s="134"/>
      <c r="E3205" s="134"/>
      <c r="F3205" s="134"/>
      <c r="G3205" s="134"/>
      <c r="H3205" s="134"/>
      <c r="I3205" s="134"/>
      <c r="J3205" s="134"/>
      <c r="K3205" s="134"/>
      <c r="L3205" s="134"/>
      <c r="M3205" s="134"/>
    </row>
    <row r="3206" spans="3:13" ht="12.75">
      <c r="C3206" s="134"/>
      <c r="D3206" s="134"/>
      <c r="E3206" s="134"/>
      <c r="F3206" s="134"/>
      <c r="G3206" s="134"/>
      <c r="H3206" s="134"/>
      <c r="I3206" s="134"/>
      <c r="J3206" s="134"/>
      <c r="K3206" s="134"/>
      <c r="L3206" s="134"/>
      <c r="M3206" s="134"/>
    </row>
    <row r="3207" spans="3:13" ht="12.75">
      <c r="C3207" s="134"/>
      <c r="D3207" s="134"/>
      <c r="E3207" s="134"/>
      <c r="F3207" s="134"/>
      <c r="G3207" s="134"/>
      <c r="H3207" s="134"/>
      <c r="I3207" s="134"/>
      <c r="J3207" s="134"/>
      <c r="K3207" s="134"/>
      <c r="L3207" s="134"/>
      <c r="M3207" s="134"/>
    </row>
    <row r="3208" spans="3:13" ht="12.75">
      <c r="C3208" s="134"/>
      <c r="D3208" s="134"/>
      <c r="E3208" s="134"/>
      <c r="F3208" s="134"/>
      <c r="G3208" s="134"/>
      <c r="H3208" s="134"/>
      <c r="I3208" s="134"/>
      <c r="J3208" s="134"/>
      <c r="K3208" s="134"/>
      <c r="L3208" s="134"/>
      <c r="M3208" s="134"/>
    </row>
    <row r="3209" spans="3:13" ht="12.75">
      <c r="C3209" s="134"/>
      <c r="D3209" s="134"/>
      <c r="E3209" s="134"/>
      <c r="F3209" s="134"/>
      <c r="G3209" s="134"/>
      <c r="H3209" s="134"/>
      <c r="I3209" s="134"/>
      <c r="J3209" s="134"/>
      <c r="K3209" s="134"/>
      <c r="L3209" s="134"/>
      <c r="M3209" s="134"/>
    </row>
    <row r="3210" spans="3:13" ht="12.75">
      <c r="C3210" s="134"/>
      <c r="D3210" s="134"/>
      <c r="E3210" s="134"/>
      <c r="F3210" s="134"/>
      <c r="G3210" s="134"/>
      <c r="H3210" s="134"/>
      <c r="I3210" s="134"/>
      <c r="J3210" s="134"/>
      <c r="K3210" s="134"/>
      <c r="L3210" s="134"/>
      <c r="M3210" s="134"/>
    </row>
    <row r="3211" spans="3:13" ht="12.75">
      <c r="C3211" s="134"/>
      <c r="D3211" s="134"/>
      <c r="E3211" s="134"/>
      <c r="F3211" s="134"/>
      <c r="G3211" s="134"/>
      <c r="H3211" s="134"/>
      <c r="I3211" s="134"/>
      <c r="J3211" s="134"/>
      <c r="K3211" s="134"/>
      <c r="L3211" s="134"/>
      <c r="M3211" s="134"/>
    </row>
    <row r="3212" spans="3:13" ht="12.75">
      <c r="C3212" s="134"/>
      <c r="D3212" s="134"/>
      <c r="E3212" s="134"/>
      <c r="F3212" s="134"/>
      <c r="G3212" s="134"/>
      <c r="H3212" s="134"/>
      <c r="I3212" s="134"/>
      <c r="J3212" s="134"/>
      <c r="K3212" s="134"/>
      <c r="L3212" s="134"/>
      <c r="M3212" s="134"/>
    </row>
    <row r="3213" spans="3:13" ht="12.75">
      <c r="C3213" s="134"/>
      <c r="D3213" s="134"/>
      <c r="E3213" s="134"/>
      <c r="F3213" s="134"/>
      <c r="G3213" s="134"/>
      <c r="H3213" s="134"/>
      <c r="I3213" s="134"/>
      <c r="J3213" s="134"/>
      <c r="K3213" s="134"/>
      <c r="L3213" s="134"/>
      <c r="M3213" s="134"/>
    </row>
    <row r="3214" spans="3:13" ht="12.75">
      <c r="C3214" s="134"/>
      <c r="D3214" s="134"/>
      <c r="E3214" s="134"/>
      <c r="F3214" s="134"/>
      <c r="G3214" s="134"/>
      <c r="H3214" s="134"/>
      <c r="I3214" s="134"/>
      <c r="J3214" s="134"/>
      <c r="K3214" s="134"/>
      <c r="L3214" s="134"/>
      <c r="M3214" s="134"/>
    </row>
    <row r="3215" spans="3:13" ht="12.75">
      <c r="C3215" s="134"/>
      <c r="D3215" s="134"/>
      <c r="E3215" s="134"/>
      <c r="F3215" s="134"/>
      <c r="G3215" s="134"/>
      <c r="H3215" s="134"/>
      <c r="I3215" s="134"/>
      <c r="J3215" s="134"/>
      <c r="K3215" s="134"/>
      <c r="L3215" s="134"/>
      <c r="M3215" s="134"/>
    </row>
    <row r="3216" spans="3:13" ht="12.75">
      <c r="C3216" s="134"/>
      <c r="D3216" s="134"/>
      <c r="E3216" s="134"/>
      <c r="F3216" s="134"/>
      <c r="G3216" s="134"/>
      <c r="H3216" s="134"/>
      <c r="I3216" s="134"/>
      <c r="J3216" s="134"/>
      <c r="K3216" s="134"/>
      <c r="L3216" s="134"/>
      <c r="M3216" s="134"/>
    </row>
    <row r="3217" spans="3:13" ht="12.75">
      <c r="C3217" s="134"/>
      <c r="D3217" s="134"/>
      <c r="E3217" s="134"/>
      <c r="F3217" s="134"/>
      <c r="G3217" s="134"/>
      <c r="H3217" s="134"/>
      <c r="I3217" s="134"/>
      <c r="J3217" s="134"/>
      <c r="K3217" s="134"/>
      <c r="L3217" s="134"/>
      <c r="M3217" s="134"/>
    </row>
    <row r="3218" spans="3:13" ht="12.75">
      <c r="C3218" s="134"/>
      <c r="D3218" s="134"/>
      <c r="E3218" s="134"/>
      <c r="F3218" s="134"/>
      <c r="G3218" s="134"/>
      <c r="H3218" s="134"/>
      <c r="I3218" s="134"/>
      <c r="J3218" s="134"/>
      <c r="K3218" s="134"/>
      <c r="L3218" s="134"/>
      <c r="M3218" s="134"/>
    </row>
    <row r="3219" spans="3:13" ht="12.75">
      <c r="C3219" s="134"/>
      <c r="D3219" s="134"/>
      <c r="E3219" s="134"/>
      <c r="F3219" s="134"/>
      <c r="G3219" s="134"/>
      <c r="H3219" s="134"/>
      <c r="I3219" s="134"/>
      <c r="J3219" s="134"/>
      <c r="K3219" s="134"/>
      <c r="L3219" s="134"/>
      <c r="M3219" s="134"/>
    </row>
    <row r="3220" spans="3:13" ht="12.75">
      <c r="C3220" s="134"/>
      <c r="D3220" s="134"/>
      <c r="E3220" s="134"/>
      <c r="F3220" s="134"/>
      <c r="G3220" s="134"/>
      <c r="H3220" s="134"/>
      <c r="I3220" s="134"/>
      <c r="J3220" s="134"/>
      <c r="K3220" s="134"/>
      <c r="L3220" s="134"/>
      <c r="M3220" s="134"/>
    </row>
    <row r="3221" spans="3:13" ht="12.75">
      <c r="C3221" s="134"/>
      <c r="D3221" s="134"/>
      <c r="E3221" s="134"/>
      <c r="F3221" s="134"/>
      <c r="G3221" s="134"/>
      <c r="H3221" s="134"/>
      <c r="I3221" s="134"/>
      <c r="J3221" s="134"/>
      <c r="K3221" s="134"/>
      <c r="L3221" s="134"/>
      <c r="M3221" s="134"/>
    </row>
    <row r="3222" spans="3:13" ht="12.75">
      <c r="C3222" s="134"/>
      <c r="D3222" s="134"/>
      <c r="E3222" s="134"/>
      <c r="F3222" s="134"/>
      <c r="G3222" s="134"/>
      <c r="H3222" s="134"/>
      <c r="I3222" s="134"/>
      <c r="J3222" s="134"/>
      <c r="K3222" s="134"/>
      <c r="L3222" s="134"/>
      <c r="M3222" s="134"/>
    </row>
    <row r="3223" spans="3:13" ht="12.75">
      <c r="C3223" s="134"/>
      <c r="D3223" s="134"/>
      <c r="E3223" s="134"/>
      <c r="F3223" s="134"/>
      <c r="G3223" s="134"/>
      <c r="H3223" s="134"/>
      <c r="I3223" s="134"/>
      <c r="J3223" s="134"/>
      <c r="K3223" s="134"/>
      <c r="L3223" s="134"/>
      <c r="M3223" s="134"/>
    </row>
    <row r="3224" spans="3:13" ht="12.75">
      <c r="C3224" s="134"/>
      <c r="D3224" s="134"/>
      <c r="E3224" s="134"/>
      <c r="F3224" s="134"/>
      <c r="G3224" s="134"/>
      <c r="H3224" s="134"/>
      <c r="I3224" s="134"/>
      <c r="J3224" s="134"/>
      <c r="K3224" s="134"/>
      <c r="L3224" s="134"/>
      <c r="M3224" s="134"/>
    </row>
    <row r="3225" spans="3:13" ht="12.75">
      <c r="C3225" s="134"/>
      <c r="D3225" s="134"/>
      <c r="E3225" s="134"/>
      <c r="F3225" s="134"/>
      <c r="G3225" s="134"/>
      <c r="H3225" s="134"/>
      <c r="I3225" s="134"/>
      <c r="J3225" s="134"/>
      <c r="K3225" s="134"/>
      <c r="L3225" s="134"/>
      <c r="M3225" s="134"/>
    </row>
    <row r="3226" spans="3:13" ht="12.75">
      <c r="C3226" s="134"/>
      <c r="D3226" s="134"/>
      <c r="E3226" s="134"/>
      <c r="F3226" s="134"/>
      <c r="G3226" s="134"/>
      <c r="H3226" s="134"/>
      <c r="I3226" s="134"/>
      <c r="J3226" s="134"/>
      <c r="K3226" s="134"/>
      <c r="L3226" s="134"/>
      <c r="M3226" s="134"/>
    </row>
    <row r="3227" spans="3:13" ht="12.75">
      <c r="C3227" s="134"/>
      <c r="D3227" s="134"/>
      <c r="E3227" s="134"/>
      <c r="F3227" s="134"/>
      <c r="G3227" s="134"/>
      <c r="H3227" s="134"/>
      <c r="I3227" s="134"/>
      <c r="J3227" s="134"/>
      <c r="K3227" s="134"/>
      <c r="L3227" s="134"/>
      <c r="M3227" s="134"/>
    </row>
    <row r="3228" spans="3:13" ht="12.75">
      <c r="C3228" s="134"/>
      <c r="D3228" s="134"/>
      <c r="E3228" s="134"/>
      <c r="F3228" s="134"/>
      <c r="G3228" s="134"/>
      <c r="H3228" s="134"/>
      <c r="I3228" s="134"/>
      <c r="J3228" s="134"/>
      <c r="K3228" s="134"/>
      <c r="L3228" s="134"/>
      <c r="M3228" s="134"/>
    </row>
    <row r="3229" spans="3:13" ht="12.75">
      <c r="C3229" s="134"/>
      <c r="D3229" s="134"/>
      <c r="E3229" s="134"/>
      <c r="F3229" s="134"/>
      <c r="G3229" s="134"/>
      <c r="H3229" s="134"/>
      <c r="I3229" s="134"/>
      <c r="J3229" s="134"/>
      <c r="K3229" s="134"/>
      <c r="L3229" s="134"/>
      <c r="M3229" s="134"/>
    </row>
    <row r="3230" spans="3:13" ht="12.75">
      <c r="C3230" s="134"/>
      <c r="D3230" s="134"/>
      <c r="E3230" s="134"/>
      <c r="F3230" s="134"/>
      <c r="G3230" s="134"/>
      <c r="H3230" s="134"/>
      <c r="I3230" s="134"/>
      <c r="J3230" s="134"/>
      <c r="K3230" s="134"/>
      <c r="L3230" s="134"/>
      <c r="M3230" s="134"/>
    </row>
    <row r="3231" spans="3:13" ht="12.75">
      <c r="C3231" s="134"/>
      <c r="D3231" s="134"/>
      <c r="E3231" s="134"/>
      <c r="F3231" s="134"/>
      <c r="G3231" s="134"/>
      <c r="H3231" s="134"/>
      <c r="I3231" s="134"/>
      <c r="J3231" s="134"/>
      <c r="K3231" s="134"/>
      <c r="L3231" s="134"/>
      <c r="M3231" s="134"/>
    </row>
    <row r="3232" spans="3:13" ht="12.75">
      <c r="C3232" s="134"/>
      <c r="D3232" s="134"/>
      <c r="E3232" s="134"/>
      <c r="F3232" s="134"/>
      <c r="G3232" s="134"/>
      <c r="H3232" s="134"/>
      <c r="I3232" s="134"/>
      <c r="J3232" s="134"/>
      <c r="K3232" s="134"/>
      <c r="L3232" s="134"/>
      <c r="M3232" s="134"/>
    </row>
    <row r="3233" spans="3:13" ht="12.75">
      <c r="C3233" s="134"/>
      <c r="D3233" s="134"/>
      <c r="E3233" s="134"/>
      <c r="F3233" s="134"/>
      <c r="G3233" s="134"/>
      <c r="H3233" s="134"/>
      <c r="I3233" s="134"/>
      <c r="J3233" s="134"/>
      <c r="K3233" s="134"/>
      <c r="L3233" s="134"/>
      <c r="M3233" s="134"/>
    </row>
    <row r="3234" spans="3:13" ht="12.75">
      <c r="C3234" s="134"/>
      <c r="D3234" s="134"/>
      <c r="E3234" s="134"/>
      <c r="F3234" s="134"/>
      <c r="G3234" s="134"/>
      <c r="H3234" s="134"/>
      <c r="I3234" s="134"/>
      <c r="J3234" s="134"/>
      <c r="K3234" s="134"/>
      <c r="L3234" s="134"/>
      <c r="M3234" s="134"/>
    </row>
    <row r="3235" spans="3:13" ht="12.75">
      <c r="C3235" s="134"/>
      <c r="D3235" s="134"/>
      <c r="E3235" s="134"/>
      <c r="F3235" s="134"/>
      <c r="G3235" s="134"/>
      <c r="H3235" s="134"/>
      <c r="I3235" s="134"/>
      <c r="J3235" s="134"/>
      <c r="K3235" s="134"/>
      <c r="L3235" s="134"/>
      <c r="M3235" s="134"/>
    </row>
    <row r="3236" spans="3:13" ht="12.75">
      <c r="C3236" s="134"/>
      <c r="D3236" s="134"/>
      <c r="E3236" s="134"/>
      <c r="F3236" s="134"/>
      <c r="G3236" s="134"/>
      <c r="H3236" s="134"/>
      <c r="I3236" s="134"/>
      <c r="J3236" s="134"/>
      <c r="K3236" s="134"/>
      <c r="L3236" s="134"/>
      <c r="M3236" s="134"/>
    </row>
    <row r="3237" spans="3:13" ht="12.75">
      <c r="C3237" s="134"/>
      <c r="D3237" s="134"/>
      <c r="E3237" s="134"/>
      <c r="F3237" s="134"/>
      <c r="G3237" s="134"/>
      <c r="H3237" s="134"/>
      <c r="I3237" s="134"/>
      <c r="J3237" s="134"/>
      <c r="K3237" s="134"/>
      <c r="L3237" s="134"/>
      <c r="M3237" s="134"/>
    </row>
    <row r="3238" spans="3:13" ht="12.75">
      <c r="C3238" s="134"/>
      <c r="D3238" s="134"/>
      <c r="E3238" s="134"/>
      <c r="F3238" s="134"/>
      <c r="G3238" s="134"/>
      <c r="H3238" s="134"/>
      <c r="I3238" s="134"/>
      <c r="J3238" s="134"/>
      <c r="K3238" s="134"/>
      <c r="L3238" s="134"/>
      <c r="M3238" s="134"/>
    </row>
    <row r="3239" spans="3:13" ht="12.75">
      <c r="C3239" s="134"/>
      <c r="D3239" s="134"/>
      <c r="E3239" s="134"/>
      <c r="F3239" s="134"/>
      <c r="G3239" s="134"/>
      <c r="H3239" s="134"/>
      <c r="I3239" s="134"/>
      <c r="J3239" s="134"/>
      <c r="K3239" s="134"/>
      <c r="L3239" s="134"/>
      <c r="M3239" s="134"/>
    </row>
    <row r="3240" spans="3:13" ht="12.75">
      <c r="C3240" s="134"/>
      <c r="D3240" s="134"/>
      <c r="E3240" s="134"/>
      <c r="F3240" s="134"/>
      <c r="G3240" s="134"/>
      <c r="H3240" s="134"/>
      <c r="I3240" s="134"/>
      <c r="J3240" s="134"/>
      <c r="K3240" s="134"/>
      <c r="L3240" s="134"/>
      <c r="M3240" s="134"/>
    </row>
    <row r="3241" spans="3:13" ht="12.75">
      <c r="C3241" s="134"/>
      <c r="D3241" s="134"/>
      <c r="E3241" s="134"/>
      <c r="F3241" s="134"/>
      <c r="G3241" s="134"/>
      <c r="H3241" s="134"/>
      <c r="I3241" s="134"/>
      <c r="J3241" s="134"/>
      <c r="K3241" s="134"/>
      <c r="L3241" s="134"/>
      <c r="M3241" s="134"/>
    </row>
    <row r="3242" spans="3:13" ht="12.75">
      <c r="C3242" s="134"/>
      <c r="D3242" s="134"/>
      <c r="E3242" s="134"/>
      <c r="F3242" s="134"/>
      <c r="G3242" s="134"/>
      <c r="H3242" s="134"/>
      <c r="I3242" s="134"/>
      <c r="J3242" s="134"/>
      <c r="K3242" s="134"/>
      <c r="L3242" s="134"/>
      <c r="M3242" s="134"/>
    </row>
    <row r="3243" spans="3:13" ht="12.75">
      <c r="C3243" s="134"/>
      <c r="D3243" s="134"/>
      <c r="E3243" s="134"/>
      <c r="F3243" s="134"/>
      <c r="G3243" s="134"/>
      <c r="H3243" s="134"/>
      <c r="I3243" s="134"/>
      <c r="J3243" s="134"/>
      <c r="K3243" s="134"/>
      <c r="L3243" s="134"/>
      <c r="M3243" s="134"/>
    </row>
    <row r="3244" spans="3:13" ht="12.75">
      <c r="C3244" s="134"/>
      <c r="D3244" s="134"/>
      <c r="E3244" s="134"/>
      <c r="F3244" s="134"/>
      <c r="G3244" s="134"/>
      <c r="H3244" s="134"/>
      <c r="I3244" s="134"/>
      <c r="J3244" s="134"/>
      <c r="K3244" s="134"/>
      <c r="L3244" s="134"/>
      <c r="M3244" s="134"/>
    </row>
    <row r="3245" spans="3:13" ht="12.75">
      <c r="C3245" s="134"/>
      <c r="D3245" s="134"/>
      <c r="E3245" s="134"/>
      <c r="F3245" s="134"/>
      <c r="G3245" s="134"/>
      <c r="H3245" s="134"/>
      <c r="I3245" s="134"/>
      <c r="J3245" s="134"/>
      <c r="K3245" s="134"/>
      <c r="L3245" s="134"/>
      <c r="M3245" s="134"/>
    </row>
    <row r="3246" spans="3:13" ht="12.75">
      <c r="C3246" s="134"/>
      <c r="D3246" s="134"/>
      <c r="E3246" s="134"/>
      <c r="F3246" s="134"/>
      <c r="G3246" s="134"/>
      <c r="H3246" s="134"/>
      <c r="I3246" s="134"/>
      <c r="J3246" s="134"/>
      <c r="K3246" s="134"/>
      <c r="L3246" s="134"/>
      <c r="M3246" s="134"/>
    </row>
    <row r="3247" spans="3:13" ht="12.75">
      <c r="C3247" s="134"/>
      <c r="D3247" s="134"/>
      <c r="E3247" s="134"/>
      <c r="F3247" s="134"/>
      <c r="G3247" s="134"/>
      <c r="H3247" s="134"/>
      <c r="I3247" s="134"/>
      <c r="J3247" s="134"/>
      <c r="K3247" s="134"/>
      <c r="L3247" s="134"/>
      <c r="M3247" s="134"/>
    </row>
    <row r="3248" spans="3:13" ht="12.75">
      <c r="C3248" s="134"/>
      <c r="D3248" s="134"/>
      <c r="E3248" s="134"/>
      <c r="F3248" s="134"/>
      <c r="G3248" s="134"/>
      <c r="H3248" s="134"/>
      <c r="I3248" s="134"/>
      <c r="J3248" s="134"/>
      <c r="K3248" s="134"/>
      <c r="L3248" s="134"/>
      <c r="M3248" s="134"/>
    </row>
    <row r="3249" spans="3:13" ht="12.75">
      <c r="C3249" s="134"/>
      <c r="D3249" s="134"/>
      <c r="E3249" s="134"/>
      <c r="F3249" s="134"/>
      <c r="G3249" s="134"/>
      <c r="H3249" s="134"/>
      <c r="I3249" s="134"/>
      <c r="J3249" s="134"/>
      <c r="K3249" s="134"/>
      <c r="L3249" s="134"/>
      <c r="M3249" s="134"/>
    </row>
    <row r="3250" spans="3:13" ht="12.75">
      <c r="C3250" s="134"/>
      <c r="D3250" s="134"/>
      <c r="E3250" s="134"/>
      <c r="F3250" s="134"/>
      <c r="G3250" s="134"/>
      <c r="H3250" s="134"/>
      <c r="I3250" s="134"/>
      <c r="J3250" s="134"/>
      <c r="K3250" s="134"/>
      <c r="L3250" s="134"/>
      <c r="M3250" s="134"/>
    </row>
    <row r="3251" spans="3:13" ht="12.75">
      <c r="C3251" s="134"/>
      <c r="D3251" s="134"/>
      <c r="E3251" s="134"/>
      <c r="F3251" s="134"/>
      <c r="G3251" s="134"/>
      <c r="H3251" s="134"/>
      <c r="I3251" s="134"/>
      <c r="J3251" s="134"/>
      <c r="K3251" s="134"/>
      <c r="L3251" s="134"/>
      <c r="M3251" s="134"/>
    </row>
    <row r="3252" spans="3:13" ht="12.75">
      <c r="C3252" s="134"/>
      <c r="D3252" s="134"/>
      <c r="E3252" s="134"/>
      <c r="F3252" s="134"/>
      <c r="G3252" s="134"/>
      <c r="H3252" s="134"/>
      <c r="I3252" s="134"/>
      <c r="J3252" s="134"/>
      <c r="K3252" s="134"/>
      <c r="L3252" s="134"/>
      <c r="M3252" s="134"/>
    </row>
    <row r="3253" spans="3:13" ht="12.75">
      <c r="C3253" s="134"/>
      <c r="D3253" s="134"/>
      <c r="E3253" s="134"/>
      <c r="F3253" s="134"/>
      <c r="G3253" s="134"/>
      <c r="H3253" s="134"/>
      <c r="I3253" s="134"/>
      <c r="J3253" s="134"/>
      <c r="K3253" s="134"/>
      <c r="L3253" s="134"/>
      <c r="M3253" s="134"/>
    </row>
    <row r="3254" spans="3:13" ht="12.75">
      <c r="C3254" s="134"/>
      <c r="D3254" s="134"/>
      <c r="E3254" s="134"/>
      <c r="F3254" s="134"/>
      <c r="G3254" s="134"/>
      <c r="H3254" s="134"/>
      <c r="I3254" s="134"/>
      <c r="J3254" s="134"/>
      <c r="K3254" s="134"/>
      <c r="L3254" s="134"/>
      <c r="M3254" s="134"/>
    </row>
    <row r="3255" spans="3:13" ht="12.75">
      <c r="C3255" s="134"/>
      <c r="D3255" s="134"/>
      <c r="E3255" s="134"/>
      <c r="F3255" s="134"/>
      <c r="G3255" s="134"/>
      <c r="H3255" s="134"/>
      <c r="I3255" s="134"/>
      <c r="J3255" s="134"/>
      <c r="K3255" s="134"/>
      <c r="L3255" s="134"/>
      <c r="M3255" s="134"/>
    </row>
    <row r="3256" spans="3:13" ht="12.75">
      <c r="C3256" s="134"/>
      <c r="D3256" s="134"/>
      <c r="E3256" s="134"/>
      <c r="F3256" s="134"/>
      <c r="G3256" s="134"/>
      <c r="H3256" s="134"/>
      <c r="I3256" s="134"/>
      <c r="J3256" s="134"/>
      <c r="K3256" s="134"/>
      <c r="L3256" s="134"/>
      <c r="M3256" s="134"/>
    </row>
    <row r="3257" spans="3:13" ht="12.75">
      <c r="C3257" s="134"/>
      <c r="D3257" s="134"/>
      <c r="E3257" s="134"/>
      <c r="F3257" s="134"/>
      <c r="G3257" s="134"/>
      <c r="H3257" s="134"/>
      <c r="I3257" s="134"/>
      <c r="J3257" s="134"/>
      <c r="K3257" s="134"/>
      <c r="L3257" s="134"/>
      <c r="M3257" s="134"/>
    </row>
    <row r="3258" spans="3:13" ht="12.75">
      <c r="C3258" s="134"/>
      <c r="D3258" s="134"/>
      <c r="E3258" s="134"/>
      <c r="F3258" s="134"/>
      <c r="G3258" s="134"/>
      <c r="H3258" s="134"/>
      <c r="I3258" s="134"/>
      <c r="J3258" s="134"/>
      <c r="K3258" s="134"/>
      <c r="L3258" s="134"/>
      <c r="M3258" s="134"/>
    </row>
    <row r="3259" spans="3:13" ht="12.75">
      <c r="C3259" s="134"/>
      <c r="D3259" s="134"/>
      <c r="E3259" s="134"/>
      <c r="F3259" s="134"/>
      <c r="G3259" s="134"/>
      <c r="H3259" s="134"/>
      <c r="I3259" s="134"/>
      <c r="J3259" s="134"/>
      <c r="K3259" s="134"/>
      <c r="L3259" s="134"/>
      <c r="M3259" s="134"/>
    </row>
    <row r="3260" spans="3:13" ht="12.75">
      <c r="C3260" s="134"/>
      <c r="D3260" s="134"/>
      <c r="E3260" s="134"/>
      <c r="F3260" s="134"/>
      <c r="G3260" s="134"/>
      <c r="H3260" s="134"/>
      <c r="I3260" s="134"/>
      <c r="J3260" s="134"/>
      <c r="K3260" s="134"/>
      <c r="L3260" s="134"/>
      <c r="M3260" s="134"/>
    </row>
    <row r="3261" spans="3:13" ht="12.75">
      <c r="C3261" s="134"/>
      <c r="D3261" s="134"/>
      <c r="E3261" s="134"/>
      <c r="F3261" s="134"/>
      <c r="G3261" s="134"/>
      <c r="H3261" s="134"/>
      <c r="I3261" s="134"/>
      <c r="J3261" s="134"/>
      <c r="K3261" s="134"/>
      <c r="L3261" s="134"/>
      <c r="M3261" s="134"/>
    </row>
    <row r="3262" spans="3:13" ht="12.75">
      <c r="C3262" s="134"/>
      <c r="D3262" s="134"/>
      <c r="E3262" s="134"/>
      <c r="F3262" s="134"/>
      <c r="G3262" s="134"/>
      <c r="H3262" s="134"/>
      <c r="I3262" s="134"/>
      <c r="J3262" s="134"/>
      <c r="K3262" s="134"/>
      <c r="L3262" s="134"/>
      <c r="M3262" s="134"/>
    </row>
    <row r="3263" spans="3:13" ht="12.75">
      <c r="C3263" s="134"/>
      <c r="D3263" s="134"/>
      <c r="E3263" s="134"/>
      <c r="F3263" s="134"/>
      <c r="G3263" s="134"/>
      <c r="H3263" s="134"/>
      <c r="I3263" s="134"/>
      <c r="J3263" s="134"/>
      <c r="K3263" s="134"/>
      <c r="L3263" s="134"/>
      <c r="M3263" s="134"/>
    </row>
    <row r="3264" spans="3:13" ht="12.75">
      <c r="C3264" s="134"/>
      <c r="D3264" s="134"/>
      <c r="E3264" s="134"/>
      <c r="F3264" s="134"/>
      <c r="G3264" s="134"/>
      <c r="H3264" s="134"/>
      <c r="I3264" s="134"/>
      <c r="J3264" s="134"/>
      <c r="K3264" s="134"/>
      <c r="L3264" s="134"/>
      <c r="M3264" s="134"/>
    </row>
    <row r="3265" spans="3:13" ht="12.75">
      <c r="C3265" s="134"/>
      <c r="D3265" s="134"/>
      <c r="E3265" s="134"/>
      <c r="F3265" s="134"/>
      <c r="G3265" s="134"/>
      <c r="H3265" s="134"/>
      <c r="I3265" s="134"/>
      <c r="J3265" s="134"/>
      <c r="K3265" s="134"/>
      <c r="L3265" s="134"/>
      <c r="M3265" s="134"/>
    </row>
    <row r="3266" spans="3:13" ht="12.75">
      <c r="C3266" s="134"/>
      <c r="D3266" s="134"/>
      <c r="E3266" s="134"/>
      <c r="F3266" s="134"/>
      <c r="G3266" s="134"/>
      <c r="H3266" s="134"/>
      <c r="I3266" s="134"/>
      <c r="J3266" s="134"/>
      <c r="K3266" s="134"/>
      <c r="L3266" s="134"/>
      <c r="M3266" s="134"/>
    </row>
    <row r="3267" spans="3:13" ht="12.75">
      <c r="C3267" s="134"/>
      <c r="D3267" s="134"/>
      <c r="E3267" s="134"/>
      <c r="F3267" s="134"/>
      <c r="G3267" s="134"/>
      <c r="H3267" s="134"/>
      <c r="I3267" s="134"/>
      <c r="J3267" s="134"/>
      <c r="K3267" s="134"/>
      <c r="L3267" s="134"/>
      <c r="M3267" s="134"/>
    </row>
    <row r="3268" spans="3:13" ht="12.75">
      <c r="C3268" s="134"/>
      <c r="D3268" s="134"/>
      <c r="E3268" s="134"/>
      <c r="F3268" s="134"/>
      <c r="G3268" s="134"/>
      <c r="H3268" s="134"/>
      <c r="I3268" s="134"/>
      <c r="J3268" s="134"/>
      <c r="K3268" s="134"/>
      <c r="L3268" s="134"/>
      <c r="M3268" s="134"/>
    </row>
    <row r="3269" spans="3:13" ht="12.75">
      <c r="C3269" s="134"/>
      <c r="D3269" s="134"/>
      <c r="E3269" s="134"/>
      <c r="F3269" s="134"/>
      <c r="G3269" s="134"/>
      <c r="H3269" s="134"/>
      <c r="I3269" s="134"/>
      <c r="J3269" s="134"/>
      <c r="K3269" s="134"/>
      <c r="L3269" s="134"/>
      <c r="M3269" s="134"/>
    </row>
    <row r="3270" spans="3:13" ht="12.75">
      <c r="C3270" s="134"/>
      <c r="D3270" s="134"/>
      <c r="E3270" s="134"/>
      <c r="F3270" s="134"/>
      <c r="G3270" s="134"/>
      <c r="H3270" s="134"/>
      <c r="I3270" s="134"/>
      <c r="J3270" s="134"/>
      <c r="K3270" s="134"/>
      <c r="L3270" s="134"/>
      <c r="M3270" s="134"/>
    </row>
    <row r="3271" spans="3:13" ht="12.75">
      <c r="C3271" s="134"/>
      <c r="D3271" s="134"/>
      <c r="E3271" s="134"/>
      <c r="F3271" s="134"/>
      <c r="G3271" s="134"/>
      <c r="H3271" s="134"/>
      <c r="I3271" s="134"/>
      <c r="J3271" s="134"/>
      <c r="K3271" s="134"/>
      <c r="L3271" s="134"/>
      <c r="M3271" s="134"/>
    </row>
    <row r="3272" spans="3:13" ht="12.75">
      <c r="C3272" s="134"/>
      <c r="D3272" s="134"/>
      <c r="E3272" s="134"/>
      <c r="F3272" s="134"/>
      <c r="G3272" s="134"/>
      <c r="H3272" s="134"/>
      <c r="I3272" s="134"/>
      <c r="J3272" s="134"/>
      <c r="K3272" s="134"/>
      <c r="L3272" s="134"/>
      <c r="M3272" s="134"/>
    </row>
    <row r="3273" spans="3:13" ht="12.75">
      <c r="C3273" s="134"/>
      <c r="D3273" s="134"/>
      <c r="E3273" s="134"/>
      <c r="F3273" s="134"/>
      <c r="G3273" s="134"/>
      <c r="H3273" s="134"/>
      <c r="I3273" s="134"/>
      <c r="J3273" s="134"/>
      <c r="K3273" s="134"/>
      <c r="L3273" s="134"/>
      <c r="M3273" s="134"/>
    </row>
    <row r="3274" spans="3:13" ht="12.75">
      <c r="C3274" s="134"/>
      <c r="D3274" s="134"/>
      <c r="E3274" s="134"/>
      <c r="F3274" s="134"/>
      <c r="G3274" s="134"/>
      <c r="H3274" s="134"/>
      <c r="I3274" s="134"/>
      <c r="J3274" s="134"/>
      <c r="K3274" s="134"/>
      <c r="L3274" s="134"/>
      <c r="M3274" s="134"/>
    </row>
    <row r="3275" spans="3:13" ht="12.75">
      <c r="C3275" s="134"/>
      <c r="D3275" s="134"/>
      <c r="E3275" s="134"/>
      <c r="F3275" s="134"/>
      <c r="G3275" s="134"/>
      <c r="H3275" s="134"/>
      <c r="I3275" s="134"/>
      <c r="J3275" s="134"/>
      <c r="K3275" s="134"/>
      <c r="L3275" s="134"/>
      <c r="M3275" s="134"/>
    </row>
    <row r="3276" spans="3:13" ht="12.75">
      <c r="C3276" s="134"/>
      <c r="D3276" s="134"/>
      <c r="E3276" s="134"/>
      <c r="F3276" s="134"/>
      <c r="G3276" s="134"/>
      <c r="H3276" s="134"/>
      <c r="I3276" s="134"/>
      <c r="J3276" s="134"/>
      <c r="K3276" s="134"/>
      <c r="L3276" s="134"/>
      <c r="M3276" s="134"/>
    </row>
    <row r="3277" spans="3:13" ht="12.75">
      <c r="C3277" s="134"/>
      <c r="D3277" s="134"/>
      <c r="E3277" s="134"/>
      <c r="F3277" s="134"/>
      <c r="G3277" s="134"/>
      <c r="H3277" s="134"/>
      <c r="I3277" s="134"/>
      <c r="J3277" s="134"/>
      <c r="K3277" s="134"/>
      <c r="L3277" s="134"/>
      <c r="M3277" s="134"/>
    </row>
    <row r="3278" spans="3:13" ht="12.75">
      <c r="C3278" s="134"/>
      <c r="D3278" s="134"/>
      <c r="E3278" s="134"/>
      <c r="F3278" s="134"/>
      <c r="G3278" s="134"/>
      <c r="H3278" s="134"/>
      <c r="I3278" s="134"/>
      <c r="J3278" s="134"/>
      <c r="K3278" s="134"/>
      <c r="L3278" s="134"/>
      <c r="M3278" s="134"/>
    </row>
    <row r="3279" spans="3:13" ht="12.75">
      <c r="C3279" s="134"/>
      <c r="D3279" s="134"/>
      <c r="E3279" s="134"/>
      <c r="F3279" s="134"/>
      <c r="G3279" s="134"/>
      <c r="H3279" s="134"/>
      <c r="I3279" s="134"/>
      <c r="J3279" s="134"/>
      <c r="K3279" s="134"/>
      <c r="L3279" s="134"/>
      <c r="M3279" s="134"/>
    </row>
    <row r="3280" spans="3:13" ht="12.75">
      <c r="C3280" s="134"/>
      <c r="D3280" s="134"/>
      <c r="E3280" s="134"/>
      <c r="F3280" s="134"/>
      <c r="G3280" s="134"/>
      <c r="H3280" s="134"/>
      <c r="I3280" s="134"/>
      <c r="J3280" s="134"/>
      <c r="K3280" s="134"/>
      <c r="L3280" s="134"/>
      <c r="M3280" s="134"/>
    </row>
    <row r="3281" spans="3:13" ht="12.75">
      <c r="C3281" s="134"/>
      <c r="D3281" s="134"/>
      <c r="E3281" s="134"/>
      <c r="F3281" s="134"/>
      <c r="G3281" s="134"/>
      <c r="H3281" s="134"/>
      <c r="I3281" s="134"/>
      <c r="J3281" s="134"/>
      <c r="K3281" s="134"/>
      <c r="L3281" s="134"/>
      <c r="M3281" s="134"/>
    </row>
    <row r="3282" spans="3:13" ht="12.75">
      <c r="C3282" s="134"/>
      <c r="D3282" s="134"/>
      <c r="E3282" s="134"/>
      <c r="F3282" s="134"/>
      <c r="G3282" s="134"/>
      <c r="H3282" s="134"/>
      <c r="I3282" s="134"/>
      <c r="J3282" s="134"/>
      <c r="K3282" s="134"/>
      <c r="L3282" s="134"/>
      <c r="M3282" s="134"/>
    </row>
    <row r="3283" spans="3:13" ht="12.75">
      <c r="C3283" s="134"/>
      <c r="D3283" s="134"/>
      <c r="E3283" s="134"/>
      <c r="F3283" s="134"/>
      <c r="G3283" s="134"/>
      <c r="H3283" s="134"/>
      <c r="I3283" s="134"/>
      <c r="J3283" s="134"/>
      <c r="K3283" s="134"/>
      <c r="L3283" s="134"/>
      <c r="M3283" s="134"/>
    </row>
    <row r="3284" spans="3:13" ht="12.75">
      <c r="C3284" s="134"/>
      <c r="D3284" s="134"/>
      <c r="E3284" s="134"/>
      <c r="F3284" s="134"/>
      <c r="G3284" s="134"/>
      <c r="H3284" s="134"/>
      <c r="I3284" s="134"/>
      <c r="J3284" s="134"/>
      <c r="K3284" s="134"/>
      <c r="L3284" s="134"/>
      <c r="M3284" s="134"/>
    </row>
    <row r="3285" spans="3:13" ht="12.75">
      <c r="C3285" s="134"/>
      <c r="D3285" s="134"/>
      <c r="E3285" s="134"/>
      <c r="F3285" s="134"/>
      <c r="G3285" s="134"/>
      <c r="H3285" s="134"/>
      <c r="I3285" s="134"/>
      <c r="J3285" s="134"/>
      <c r="K3285" s="134"/>
      <c r="L3285" s="134"/>
      <c r="M3285" s="134"/>
    </row>
    <row r="3286" spans="3:13" ht="12.75">
      <c r="C3286" s="134"/>
      <c r="D3286" s="134"/>
      <c r="E3286" s="134"/>
      <c r="F3286" s="134"/>
      <c r="G3286" s="134"/>
      <c r="H3286" s="134"/>
      <c r="I3286" s="134"/>
      <c r="J3286" s="134"/>
      <c r="K3286" s="134"/>
      <c r="L3286" s="134"/>
      <c r="M3286" s="134"/>
    </row>
    <row r="3287" spans="3:13" ht="12.75">
      <c r="C3287" s="134"/>
      <c r="D3287" s="134"/>
      <c r="E3287" s="134"/>
      <c r="F3287" s="134"/>
      <c r="G3287" s="134"/>
      <c r="H3287" s="134"/>
      <c r="I3287" s="134"/>
      <c r="J3287" s="134"/>
      <c r="K3287" s="134"/>
      <c r="L3287" s="134"/>
      <c r="M3287" s="134"/>
    </row>
    <row r="3288" spans="3:13" ht="12.75">
      <c r="C3288" s="134"/>
      <c r="D3288" s="134"/>
      <c r="E3288" s="134"/>
      <c r="F3288" s="134"/>
      <c r="G3288" s="134"/>
      <c r="H3288" s="134"/>
      <c r="I3288" s="134"/>
      <c r="J3288" s="134"/>
      <c r="K3288" s="134"/>
      <c r="L3288" s="134"/>
      <c r="M3288" s="134"/>
    </row>
    <row r="3289" spans="3:13" ht="12.75">
      <c r="C3289" s="134"/>
      <c r="D3289" s="134"/>
      <c r="E3289" s="134"/>
      <c r="F3289" s="134"/>
      <c r="G3289" s="134"/>
      <c r="H3289" s="134"/>
      <c r="I3289" s="134"/>
      <c r="J3289" s="134"/>
      <c r="K3289" s="134"/>
      <c r="L3289" s="134"/>
      <c r="M3289" s="134"/>
    </row>
    <row r="3290" spans="3:13" ht="12.75">
      <c r="C3290" s="134"/>
      <c r="D3290" s="134"/>
      <c r="E3290" s="134"/>
      <c r="F3290" s="134"/>
      <c r="G3290" s="134"/>
      <c r="H3290" s="134"/>
      <c r="I3290" s="134"/>
      <c r="J3290" s="134"/>
      <c r="K3290" s="134"/>
      <c r="L3290" s="134"/>
      <c r="M3290" s="134"/>
    </row>
    <row r="3291" spans="3:13" ht="12.75">
      <c r="C3291" s="134"/>
      <c r="D3291" s="134"/>
      <c r="E3291" s="134"/>
      <c r="F3291" s="134"/>
      <c r="G3291" s="134"/>
      <c r="H3291" s="134"/>
      <c r="I3291" s="134"/>
      <c r="J3291" s="134"/>
      <c r="K3291" s="134"/>
      <c r="L3291" s="134"/>
      <c r="M3291" s="134"/>
    </row>
    <row r="3292" spans="3:13" ht="12.75">
      <c r="C3292" s="134"/>
      <c r="D3292" s="134"/>
      <c r="E3292" s="134"/>
      <c r="F3292" s="134"/>
      <c r="G3292" s="134"/>
      <c r="H3292" s="134"/>
      <c r="I3292" s="134"/>
      <c r="J3292" s="134"/>
      <c r="K3292" s="134"/>
      <c r="L3292" s="134"/>
      <c r="M3292" s="134"/>
    </row>
    <row r="3293" spans="3:13" ht="12.75">
      <c r="C3293" s="134"/>
      <c r="D3293" s="134"/>
      <c r="E3293" s="134"/>
      <c r="F3293" s="134"/>
      <c r="G3293" s="134"/>
      <c r="H3293" s="134"/>
      <c r="I3293" s="134"/>
      <c r="J3293" s="134"/>
      <c r="K3293" s="134"/>
      <c r="L3293" s="134"/>
      <c r="M3293" s="134"/>
    </row>
    <row r="3294" spans="3:13" ht="12.75">
      <c r="C3294" s="134"/>
      <c r="D3294" s="134"/>
      <c r="E3294" s="134"/>
      <c r="F3294" s="134"/>
      <c r="G3294" s="134"/>
      <c r="H3294" s="134"/>
      <c r="I3294" s="134"/>
      <c r="J3294" s="134"/>
      <c r="K3294" s="134"/>
      <c r="L3294" s="134"/>
      <c r="M3294" s="134"/>
    </row>
    <row r="3295" spans="3:13" ht="12.75">
      <c r="C3295" s="134"/>
      <c r="D3295" s="134"/>
      <c r="E3295" s="134"/>
      <c r="F3295" s="134"/>
      <c r="G3295" s="134"/>
      <c r="H3295" s="134"/>
      <c r="I3295" s="134"/>
      <c r="J3295" s="134"/>
      <c r="K3295" s="134"/>
      <c r="L3295" s="134"/>
      <c r="M3295" s="134"/>
    </row>
  </sheetData>
  <mergeCells count="5">
    <mergeCell ref="A100:M100"/>
    <mergeCell ref="A4:B4"/>
    <mergeCell ref="A47:M47"/>
    <mergeCell ref="A5:M5"/>
    <mergeCell ref="A88:M88"/>
  </mergeCells>
  <pageMargins left="0.75" right="0.75" top="1" bottom="1" header="0.5" footer="0.5"/>
  <pageSetup horizontalDpi="300" verticalDpi="30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3">
    <pageSetUpPr fitToPage="1"/>
  </sheetPr>
  <dimension ref="A1:EH289"/>
  <sheetViews>
    <sheetView tabSelected="1" zoomScale="80" zoomScaleNormal="80" workbookViewId="0" topLeftCell="A1">
      <pane xSplit="2" ySplit="13" topLeftCell="C14" activePane="bottomRight" state="frozen"/>
      <selection pane="topLeft" activeCell="F16" sqref="F16"/>
      <selection pane="bottomLeft" activeCell="F16" sqref="F16"/>
      <selection pane="topRight" activeCell="F16" sqref="F16"/>
      <selection pane="bottomRight" activeCell="E49" sqref="E49"/>
    </sheetView>
  </sheetViews>
  <sheetFormatPr defaultColWidth="9.14428571428571" defaultRowHeight="12.75"/>
  <cols>
    <col min="1" max="1" width="5.71428571428571" style="7" customWidth="1"/>
    <col min="2" max="2" width="32.2857142857143" style="7" bestFit="1" customWidth="1"/>
    <col min="3" max="3" width="10.7142857142857" style="7" bestFit="1" customWidth="1"/>
    <col min="4" max="4" width="17.2857142857143" style="7" bestFit="1" customWidth="1"/>
    <col min="5" max="5" width="16" style="7" bestFit="1" customWidth="1"/>
    <col min="6" max="6" width="17.2857142857143" style="7" bestFit="1" customWidth="1"/>
    <col min="7" max="7" width="17.2857142857143" style="6" bestFit="1" customWidth="1"/>
    <col min="8" max="8" width="16.2857142857143" style="6" bestFit="1" customWidth="1"/>
    <col min="9" max="9" width="15.2857142857143" style="6" customWidth="1"/>
    <col min="10" max="10" width="17.2857142857143" style="6" bestFit="1" customWidth="1"/>
    <col min="11" max="11" width="17.2857142857143" style="7" bestFit="1" customWidth="1"/>
    <col min="12" max="12" width="16.2857142857143" style="7" customWidth="1"/>
    <col min="13" max="13" width="17.2857142857143" style="7" bestFit="1" customWidth="1"/>
    <col min="14" max="14" width="14.5714285714286" style="7" bestFit="1" customWidth="1"/>
    <col min="15" max="15" width="15.5714285714286" style="26" customWidth="1"/>
    <col min="16" max="16" width="17.2857142857143" style="27" bestFit="1" customWidth="1"/>
    <col min="17" max="17" width="2.71428571428571" style="7" customWidth="1"/>
    <col min="18" max="18" width="9.14285714285714" style="7"/>
    <col min="19" max="19" width="20.1428571428571" style="7" bestFit="1" customWidth="1"/>
    <col min="20" max="16384" width="9.14285714285714" style="7"/>
  </cols>
  <sheetData>
    <row r="1" spans="1:1" ht="12.75">
      <c r="A1" s="5" t="str">
        <f>+'[4]Input Data'!$A$9</f>
        <v>2022 RATE CASE</v>
      </c>
    </row>
    <row r="2" spans="1:16" ht="12.75">
      <c r="A2" s="10" t="str">
        <f>+'[4]Input Data'!$A$2</f>
        <v>ONCOR ELECTRIC DELIVERY COMPANY LLC</v>
      </c>
      <c r="C2" s="6"/>
      <c r="G2" s="28"/>
      <c r="H2" s="28"/>
      <c r="I2" s="28"/>
      <c r="J2" s="28"/>
      <c r="K2" s="25"/>
      <c r="L2" s="25"/>
      <c r="M2" s="25"/>
      <c r="P2" s="7"/>
    </row>
    <row r="3" spans="1:16" ht="12.75">
      <c r="A3" s="8" t="str">
        <f>CONCATENATE('[4]Schedule Sponsors'!$A$12,'[4]Schedule Sponsors'!$B$12)</f>
        <v xml:space="preserve">II-B  RATE BASE BY FUNCTION </v>
      </c>
      <c r="C3" s="8"/>
      <c r="D3" s="8"/>
      <c r="E3" s="6"/>
      <c r="F3" s="17"/>
      <c r="K3" s="25"/>
      <c r="L3" s="25"/>
      <c r="M3" s="25"/>
      <c r="P3" s="3"/>
    </row>
    <row r="4" spans="1:16" ht="12.75">
      <c r="A4" s="115" t="str">
        <f>+'[4]Input Data'!$A$4</f>
        <v>TEST YEAR ENDING DECEMBER 31, 2021</v>
      </c>
      <c r="C4" s="10"/>
      <c r="D4" s="10"/>
      <c r="E4" s="6"/>
      <c r="F4" s="17"/>
      <c r="K4" s="25"/>
      <c r="L4" s="25"/>
      <c r="M4" s="25"/>
      <c r="P4" s="3"/>
    </row>
    <row r="5" spans="1:13" ht="12.75">
      <c r="A5" s="8" t="str">
        <f>CONCATENATE("SPONSOR: ",'[4]Schedule Sponsors'!$D$12)</f>
        <v>SPONSOR: W. ALAN LEDBETTER</v>
      </c>
      <c r="C5" s="8"/>
      <c r="D5" s="8"/>
      <c r="E5" s="8"/>
      <c r="F5" s="8"/>
      <c r="G5" s="28"/>
      <c r="H5" s="28"/>
      <c r="I5" s="28"/>
      <c r="J5" s="28"/>
      <c r="K5" s="25"/>
      <c r="L5" s="25"/>
      <c r="M5" s="25"/>
    </row>
    <row r="6" spans="3:13" ht="12.75">
      <c r="C6" s="8"/>
      <c r="D6" s="8"/>
      <c r="E6" s="8"/>
      <c r="F6" s="8"/>
      <c r="K6" s="5"/>
      <c r="L6" s="5"/>
      <c r="M6" s="5"/>
    </row>
    <row r="7" spans="3:13" ht="12.75" hidden="1">
      <c r="C7" s="8"/>
      <c r="D7" s="8"/>
      <c r="E7" s="8"/>
      <c r="F7" s="8"/>
      <c r="K7" s="5"/>
      <c r="L7" s="5"/>
      <c r="M7" s="5"/>
    </row>
    <row r="8" spans="2:13" ht="12.75" hidden="1">
      <c r="B8" s="29"/>
      <c r="C8" s="30"/>
      <c r="D8" s="29"/>
      <c r="E8" s="29"/>
      <c r="F8" s="29"/>
      <c r="K8" s="5"/>
      <c r="L8" s="5"/>
      <c r="M8" s="5"/>
    </row>
    <row r="9" spans="2:16" ht="13.5" thickBot="1">
      <c r="B9" s="4"/>
      <c r="C9" s="4"/>
      <c r="D9" s="4"/>
      <c r="E9" s="4"/>
      <c r="F9" s="4"/>
      <c r="G9" s="23"/>
      <c r="H9" s="23"/>
      <c r="I9" s="23"/>
      <c r="J9" s="23"/>
      <c r="K9" s="4"/>
      <c r="L9" s="4"/>
      <c r="M9" s="4"/>
      <c r="N9" s="4"/>
      <c r="O9" s="31"/>
      <c r="P9" s="4"/>
    </row>
    <row r="10" spans="1:16" s="5" customFormat="1" ht="12.75">
      <c r="A10" s="13"/>
      <c r="B10" s="68"/>
      <c r="C10" s="68"/>
      <c r="D10" s="14" t="s">
        <v>19</v>
      </c>
      <c r="E10" s="14" t="s">
        <v>231</v>
      </c>
      <c r="F10" s="14" t="s">
        <v>20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</row>
    <row r="11" spans="1:16" s="5" customFormat="1" ht="12.75">
      <c r="A11" s="15" t="s">
        <v>188</v>
      </c>
      <c r="B11" s="9"/>
      <c r="C11" s="15" t="s">
        <v>23</v>
      </c>
      <c r="D11" s="15" t="s">
        <v>21</v>
      </c>
      <c r="E11" s="15" t="s">
        <v>232</v>
      </c>
      <c r="F11" s="15" t="s">
        <v>21</v>
      </c>
      <c r="G11" s="15"/>
      <c r="H11" s="15" t="s">
        <v>319</v>
      </c>
      <c r="I11" s="15" t="s">
        <v>325</v>
      </c>
      <c r="J11" s="15" t="s">
        <v>320</v>
      </c>
      <c r="K11" s="15"/>
      <c r="L11" s="15" t="s">
        <v>319</v>
      </c>
      <c r="M11" s="15" t="s">
        <v>320</v>
      </c>
      <c r="N11" s="15"/>
      <c r="O11" s="15"/>
      <c r="P11" s="15"/>
    </row>
    <row r="12" spans="1:16" s="5" customFormat="1" ht="12.75">
      <c r="A12" s="15" t="s">
        <v>189</v>
      </c>
      <c r="B12" s="15" t="s">
        <v>22</v>
      </c>
      <c r="C12" s="15" t="s">
        <v>25</v>
      </c>
      <c r="D12" s="15" t="s">
        <v>34</v>
      </c>
      <c r="E12" s="15" t="s">
        <v>233</v>
      </c>
      <c r="F12" s="15" t="s">
        <v>34</v>
      </c>
      <c r="G12" s="15" t="s">
        <v>126</v>
      </c>
      <c r="H12" s="15" t="s">
        <v>126</v>
      </c>
      <c r="I12" s="15" t="s">
        <v>327</v>
      </c>
      <c r="J12" s="15" t="s">
        <v>126</v>
      </c>
      <c r="K12" s="15" t="s">
        <v>127</v>
      </c>
      <c r="L12" s="15" t="s">
        <v>127</v>
      </c>
      <c r="M12" s="15" t="s">
        <v>127</v>
      </c>
      <c r="N12" s="15" t="s">
        <v>120</v>
      </c>
      <c r="O12" s="15" t="s">
        <v>199</v>
      </c>
      <c r="P12" s="15" t="s">
        <v>29</v>
      </c>
    </row>
    <row r="13" spans="1:16" s="5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201" t="s">
        <v>178</v>
      </c>
      <c r="H13" s="201" t="s">
        <v>179</v>
      </c>
      <c r="I13" s="201" t="s">
        <v>180</v>
      </c>
      <c r="J13" s="201" t="s">
        <v>181</v>
      </c>
      <c r="K13" s="201" t="s">
        <v>182</v>
      </c>
      <c r="L13" s="201" t="s">
        <v>183</v>
      </c>
      <c r="M13" s="201" t="s">
        <v>184</v>
      </c>
      <c r="N13" s="201" t="s">
        <v>185</v>
      </c>
      <c r="O13" s="201" t="s">
        <v>186</v>
      </c>
      <c r="P13" s="201" t="s">
        <v>187</v>
      </c>
    </row>
    <row r="14" spans="1:16" ht="12.75">
      <c r="A14" s="32"/>
      <c r="B14" s="32"/>
      <c r="C14" s="32"/>
      <c r="D14" s="32"/>
      <c r="E14" s="32"/>
      <c r="F14" s="32"/>
      <c r="G14" s="20"/>
      <c r="H14" s="20"/>
      <c r="I14" s="20"/>
      <c r="J14" s="20"/>
      <c r="K14" s="32"/>
      <c r="L14" s="32"/>
      <c r="M14" s="32"/>
      <c r="N14" s="32"/>
      <c r="O14" s="33"/>
      <c r="P14" s="116"/>
    </row>
    <row r="15" spans="1:19" ht="12.75">
      <c r="A15" s="4">
        <v>1</v>
      </c>
      <c r="B15" s="34" t="s">
        <v>123</v>
      </c>
      <c r="C15" s="113" t="s">
        <v>152</v>
      </c>
      <c r="D15" s="182">
        <f>+'II-B-1'!G55</f>
        <v>30131458304.470001</v>
      </c>
      <c r="E15" s="182">
        <f>+'II-B-1'!H55</f>
        <v>-4733186.1299999999</v>
      </c>
      <c r="F15" s="182">
        <f>SUM(D15:E15)</f>
        <v>30126725118.34</v>
      </c>
      <c r="G15" s="190">
        <f>+'II-B-1'!N55</f>
        <v>11826372122.799999</v>
      </c>
      <c r="H15" s="190">
        <f>+'II-B-1'!O55</f>
        <v>1730304248.47</v>
      </c>
      <c r="I15" s="190">
        <f>+'II-B-1'!P55</f>
        <v>32539117.650000002</v>
      </c>
      <c r="J15" s="190">
        <f>+'II-B-1'!Q55</f>
        <v>13589215488.919998</v>
      </c>
      <c r="K15" s="182">
        <f>+'II-B-1'!R55</f>
        <v>15324013756.529999</v>
      </c>
      <c r="L15" s="182">
        <f>+'II-B-1'!S55</f>
        <v>143637502.12000001</v>
      </c>
      <c r="M15" s="182">
        <f>+'II-B-1'!T55</f>
        <v>15467651258.650002</v>
      </c>
      <c r="N15" s="182">
        <f>+'II-B-1'!U55</f>
        <v>759449196.03000009</v>
      </c>
      <c r="O15" s="182">
        <f>+'II-B-1'!V55</f>
        <v>310409174.74000001</v>
      </c>
      <c r="P15" s="182">
        <f>+J15+M15+N15+O15</f>
        <v>30126725118.34</v>
      </c>
      <c r="R15" s="7" t="b">
        <f>+F15=P15</f>
        <v>1</v>
      </c>
      <c r="S15" s="147">
        <f>+F15-P15</f>
        <v>0</v>
      </c>
    </row>
    <row r="16" spans="1:138" ht="12.75">
      <c r="A16" s="4">
        <v>2</v>
      </c>
      <c r="B16" s="34" t="s">
        <v>113</v>
      </c>
      <c r="C16" s="113" t="s">
        <v>153</v>
      </c>
      <c r="D16" s="35">
        <f>+'II-B-2'!G33</f>
        <v>801555024.70000005</v>
      </c>
      <c r="E16" s="35">
        <f>+'II-B-2'!H33</f>
        <v>-34242544.409999996</v>
      </c>
      <c r="F16" s="35">
        <f>D16+E16</f>
        <v>767312480.29000008</v>
      </c>
      <c r="G16" s="39">
        <f>+'II-B-2'!N33</f>
        <v>226529604.23000002</v>
      </c>
      <c r="H16" s="39">
        <f>+'II-B-2'!O33</f>
        <v>5823503.580000001</v>
      </c>
      <c r="I16" s="39">
        <f>+'II-B-2'!P33</f>
        <v>0</v>
      </c>
      <c r="J16" s="39">
        <f>+'II-B-2'!Q33</f>
        <v>232353107.81000003</v>
      </c>
      <c r="K16" s="35">
        <f>+'II-B-2'!R33</f>
        <v>330131994.91000003</v>
      </c>
      <c r="L16" s="35">
        <f>+'II-B-2'!S33</f>
        <v>0</v>
      </c>
      <c r="M16" s="35">
        <f>+'II-B-2'!T33</f>
        <v>330131994.91000003</v>
      </c>
      <c r="N16" s="35">
        <f>+'II-B-2'!U33</f>
        <v>104726621.60999998</v>
      </c>
      <c r="O16" s="35">
        <f>+'II-B-2'!V33</f>
        <v>100100755.95999999</v>
      </c>
      <c r="P16" s="35">
        <f t="shared" si="0" ref="P16:P17">+J16+M16+N16+O16</f>
        <v>767312480.29000008</v>
      </c>
      <c r="R16" s="7" t="b">
        <f t="shared" si="1" ref="R16:R17">+F16=P16</f>
        <v>1</v>
      </c>
      <c r="S16" s="147">
        <f t="shared" si="2" ref="S16:S17">+F16-P16</f>
        <v>0</v>
      </c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6"/>
    </row>
    <row r="17" spans="1:138" ht="12.75">
      <c r="A17" s="4">
        <v>3</v>
      </c>
      <c r="B17" s="34" t="s">
        <v>98</v>
      </c>
      <c r="C17" s="113" t="s">
        <v>154</v>
      </c>
      <c r="D17" s="35">
        <f>+'II-B-3'!G20</f>
        <v>190342401.91999999</v>
      </c>
      <c r="E17" s="35">
        <f>+'II-B-3'!H20</f>
        <v>0</v>
      </c>
      <c r="F17" s="35">
        <f>D17+E17</f>
        <v>190342401.91999999</v>
      </c>
      <c r="G17" s="39">
        <f>+'II-B-3'!N20</f>
        <v>81744122.480000004</v>
      </c>
      <c r="H17" s="39">
        <f>+'II-B-3'!O20</f>
        <v>16570.82</v>
      </c>
      <c r="I17" s="39">
        <f>+'II-B-3'!P20</f>
        <v>0</v>
      </c>
      <c r="J17" s="39">
        <f>+'II-B-3'!Q20</f>
        <v>81760693.299999997</v>
      </c>
      <c r="K17" s="35">
        <f>+'II-B-3'!R20</f>
        <v>61337953.159999996</v>
      </c>
      <c r="L17" s="35">
        <f>+'II-B-3'!S20</f>
        <v>0</v>
      </c>
      <c r="M17" s="35">
        <f>+'II-B-3'!T20</f>
        <v>61337953.159999996</v>
      </c>
      <c r="N17" s="35">
        <f>+'II-B-3'!U20</f>
        <v>45688861.039999999</v>
      </c>
      <c r="O17" s="35">
        <f>+'II-B-3'!V20</f>
        <v>1554894.4199999999</v>
      </c>
      <c r="P17" s="35">
        <f t="shared" si="0"/>
        <v>190342401.91999996</v>
      </c>
      <c r="R17" s="7" t="b">
        <f t="shared" si="1"/>
        <v>1</v>
      </c>
      <c r="S17" s="147">
        <f t="shared" si="2"/>
        <v>0</v>
      </c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  <c r="DW17" s="36"/>
      <c r="DX17" s="36"/>
      <c r="DY17" s="36"/>
      <c r="DZ17" s="36"/>
      <c r="EA17" s="36"/>
      <c r="EB17" s="36"/>
      <c r="EC17" s="36"/>
      <c r="ED17" s="36"/>
      <c r="EE17" s="36"/>
      <c r="EF17" s="36"/>
      <c r="EG17" s="36"/>
      <c r="EH17" s="36"/>
    </row>
    <row r="18" spans="1:19" ht="12.75">
      <c r="A18" s="4">
        <v>4</v>
      </c>
      <c r="B18" s="34" t="s">
        <v>124</v>
      </c>
      <c r="C18" s="113"/>
      <c r="D18" s="183">
        <f t="shared" si="3" ref="D18:P18">SUM(D15:D17)</f>
        <v>31123355731.09</v>
      </c>
      <c r="E18" s="183">
        <f t="shared" si="3"/>
        <v>-38975730.539999999</v>
      </c>
      <c r="F18" s="183">
        <f t="shared" si="3"/>
        <v>31084380000.549999</v>
      </c>
      <c r="G18" s="197">
        <f t="shared" si="3"/>
        <v>12134645849.509998</v>
      </c>
      <c r="H18" s="197">
        <f t="shared" si="4" ref="H18:I18">SUM(H15:H17)</f>
        <v>1736144322.8699999</v>
      </c>
      <c r="I18" s="197">
        <f t="shared" si="4"/>
        <v>32539117.650000002</v>
      </c>
      <c r="J18" s="197">
        <f t="shared" si="5" ref="J18">SUM(J15:J17)</f>
        <v>13903329290.029997</v>
      </c>
      <c r="K18" s="183">
        <f t="shared" si="3"/>
        <v>15715483704.599999</v>
      </c>
      <c r="L18" s="183">
        <f t="shared" si="6" ref="L18:M18">SUM(L15:L17)</f>
        <v>143637502.12000001</v>
      </c>
      <c r="M18" s="183">
        <f t="shared" si="6"/>
        <v>15859121206.720001</v>
      </c>
      <c r="N18" s="183">
        <f t="shared" si="3"/>
        <v>909864678.68000007</v>
      </c>
      <c r="O18" s="183">
        <f t="shared" si="7" ref="O18">SUM(O15:O17)</f>
        <v>412064825.12</v>
      </c>
      <c r="P18" s="183">
        <f t="shared" si="3"/>
        <v>31084380000.549999</v>
      </c>
      <c r="R18" s="7" t="b">
        <f t="shared" si="8" ref="R18">+F18=P18</f>
        <v>1</v>
      </c>
      <c r="S18" s="147">
        <f t="shared" si="9" ref="S18">+F18-P18</f>
        <v>0</v>
      </c>
    </row>
    <row r="19" spans="1:16" ht="12.75">
      <c r="A19" s="4">
        <v>5</v>
      </c>
      <c r="B19" s="34"/>
      <c r="C19" s="113"/>
      <c r="D19" s="130"/>
      <c r="E19" s="130"/>
      <c r="F19" s="130"/>
      <c r="G19" s="87"/>
      <c r="H19" s="87"/>
      <c r="I19" s="87"/>
      <c r="J19" s="87"/>
      <c r="K19" s="130"/>
      <c r="L19" s="130"/>
      <c r="M19" s="130"/>
      <c r="N19" s="130"/>
      <c r="O19" s="130"/>
      <c r="P19" s="130"/>
    </row>
    <row r="20" spans="1:19" ht="12.75">
      <c r="A20" s="4">
        <v>6</v>
      </c>
      <c r="B20" s="34" t="s">
        <v>147</v>
      </c>
      <c r="C20" s="113" t="s">
        <v>158</v>
      </c>
      <c r="D20" s="182">
        <f>+'II-B-5'!G57+'II-B-5'!G83</f>
        <v>10012292696.880001</v>
      </c>
      <c r="E20" s="182">
        <f>+'II-B-5'!H57+'II-B-5'!H83</f>
        <v>-13282983.800000001</v>
      </c>
      <c r="F20" s="182">
        <f>SUM(D20:E20)</f>
        <v>9999009713.0800018</v>
      </c>
      <c r="G20" s="190">
        <f>+'II-B-5'!N57+'II-B-5'!N83</f>
        <v>3055988801.1500001</v>
      </c>
      <c r="H20" s="190">
        <f>+'II-B-5'!O57+'II-B-5'!O83</f>
        <v>322638678.69999999</v>
      </c>
      <c r="I20" s="190">
        <f>+'II-B-5'!P57+'II-B-5'!P83</f>
        <v>20956727.370000001</v>
      </c>
      <c r="J20" s="190">
        <f>+'II-B-5'!Q57+'II-B-5'!Q83</f>
        <v>3399584207.2199998</v>
      </c>
      <c r="K20" s="182">
        <f>+'II-B-5'!R57+'II-B-5'!R83</f>
        <v>5869820991.1500006</v>
      </c>
      <c r="L20" s="182">
        <f>+'II-B-5'!S57+'II-B-5'!S83</f>
        <v>28047194.710000008</v>
      </c>
      <c r="M20" s="182">
        <f>+'II-B-5'!T57+'II-B-5'!T83</f>
        <v>5897868185.8599997</v>
      </c>
      <c r="N20" s="182">
        <f>+'II-B-5'!U57+'II-B-5'!U83</f>
        <v>575025967.10000002</v>
      </c>
      <c r="O20" s="182">
        <f>+'II-B-5'!V57+'II-B-5'!V83</f>
        <v>126531352.90000001</v>
      </c>
      <c r="P20" s="182">
        <f>+J20+M20+N20+O20</f>
        <v>9999009713.0799999</v>
      </c>
      <c r="R20" s="7" t="b">
        <f>+F20=P20</f>
        <v>1</v>
      </c>
      <c r="S20" s="147">
        <f>+F20-P20</f>
        <v>0</v>
      </c>
    </row>
    <row r="21" spans="1:16" ht="12.75">
      <c r="A21" s="4">
        <v>7</v>
      </c>
      <c r="B21" s="34"/>
      <c r="C21" s="113"/>
      <c r="D21" s="158"/>
      <c r="E21" s="158"/>
      <c r="F21" s="158"/>
      <c r="G21" s="262"/>
      <c r="H21" s="262"/>
      <c r="I21" s="262"/>
      <c r="J21" s="262"/>
      <c r="K21" s="158"/>
      <c r="L21" s="158"/>
      <c r="M21" s="158"/>
      <c r="N21" s="158"/>
      <c r="O21" s="158"/>
      <c r="P21" s="159"/>
    </row>
    <row r="22" spans="1:19" ht="12.75">
      <c r="A22" s="4">
        <v>8</v>
      </c>
      <c r="B22" s="37" t="s">
        <v>114</v>
      </c>
      <c r="C22" s="113"/>
      <c r="D22" s="184">
        <f>+D18-D20</f>
        <v>21111063034.209999</v>
      </c>
      <c r="E22" s="184">
        <f t="shared" si="10" ref="E22:P22">+E18-E20</f>
        <v>-25692746.739999998</v>
      </c>
      <c r="F22" s="184">
        <f t="shared" si="10"/>
        <v>21085370287.469997</v>
      </c>
      <c r="G22" s="189">
        <f t="shared" si="10"/>
        <v>9078657048.3599987</v>
      </c>
      <c r="H22" s="189">
        <f t="shared" si="11" ref="H22:I22">+H18-H20</f>
        <v>1413505644.1699998</v>
      </c>
      <c r="I22" s="189">
        <f t="shared" si="11"/>
        <v>11582390.280000001</v>
      </c>
      <c r="J22" s="189">
        <f t="shared" si="12" ref="J22">+J18-J20</f>
        <v>10503745082.809998</v>
      </c>
      <c r="K22" s="184">
        <f t="shared" si="10"/>
        <v>9845662713.4499969</v>
      </c>
      <c r="L22" s="184">
        <f t="shared" si="13" ref="L22:M22">+L18-L20</f>
        <v>115590307.41</v>
      </c>
      <c r="M22" s="184">
        <f t="shared" si="13"/>
        <v>9961253020.8600006</v>
      </c>
      <c r="N22" s="184">
        <f t="shared" si="10"/>
        <v>334838711.58000004</v>
      </c>
      <c r="O22" s="184">
        <f t="shared" si="14" ref="O22">+O18-O20</f>
        <v>285533472.22000003</v>
      </c>
      <c r="P22" s="184">
        <f t="shared" si="10"/>
        <v>21085370287.470001</v>
      </c>
      <c r="R22" s="7" t="b">
        <f t="shared" si="15" ref="R22">+F22=P22</f>
        <v>1</v>
      </c>
      <c r="S22" s="147">
        <f t="shared" si="16" ref="S22">+F22-P22</f>
        <v>0</v>
      </c>
    </row>
    <row r="23" spans="1:16" ht="12.75">
      <c r="A23" s="4">
        <v>9</v>
      </c>
      <c r="B23" s="34"/>
      <c r="C23" s="113"/>
      <c r="D23" s="35"/>
      <c r="E23" s="35"/>
      <c r="F23" s="35"/>
      <c r="G23" s="39"/>
      <c r="H23" s="39"/>
      <c r="I23" s="39"/>
      <c r="J23" s="39"/>
      <c r="K23" s="35"/>
      <c r="L23" s="35"/>
      <c r="M23" s="35"/>
      <c r="N23" s="35"/>
      <c r="O23" s="35"/>
      <c r="P23" s="35"/>
    </row>
    <row r="24" spans="1:16" ht="12.75">
      <c r="A24" s="4">
        <v>10</v>
      </c>
      <c r="B24" s="38" t="s">
        <v>115</v>
      </c>
      <c r="C24" s="114"/>
      <c r="D24" s="35"/>
      <c r="E24" s="35"/>
      <c r="F24" s="35"/>
      <c r="G24" s="39"/>
      <c r="H24" s="39"/>
      <c r="I24" s="39"/>
      <c r="J24" s="39"/>
      <c r="K24" s="35"/>
      <c r="L24" s="35"/>
      <c r="M24" s="35"/>
      <c r="N24" s="35"/>
      <c r="O24" s="35"/>
      <c r="P24" s="35"/>
    </row>
    <row r="25" spans="1:19" ht="12.75">
      <c r="A25" s="4">
        <v>11</v>
      </c>
      <c r="B25" s="37" t="s">
        <v>140</v>
      </c>
      <c r="C25" s="113" t="s">
        <v>157</v>
      </c>
      <c r="D25" s="182">
        <f>+'II-B-4'!G20</f>
        <v>558881688.25</v>
      </c>
      <c r="E25" s="182">
        <f>+'II-B-4'!H20</f>
        <v>-558881688.25</v>
      </c>
      <c r="F25" s="182">
        <f t="shared" si="17" ref="F25:F32">D25+E25</f>
        <v>0</v>
      </c>
      <c r="G25" s="190">
        <f>+'II-B-4'!N16</f>
        <v>0</v>
      </c>
      <c r="H25" s="190">
        <f>+'II-B-4'!O16</f>
        <v>0</v>
      </c>
      <c r="I25" s="190">
        <f>+'II-B-4'!P16</f>
        <v>0</v>
      </c>
      <c r="J25" s="190">
        <f>+'II-B-4'!Q16</f>
        <v>0</v>
      </c>
      <c r="K25" s="182">
        <f>+'II-B-4'!R16</f>
        <v>0</v>
      </c>
      <c r="L25" s="182">
        <f>+'II-B-4'!S16</f>
        <v>0</v>
      </c>
      <c r="M25" s="182">
        <f>+'II-B-4'!T16</f>
        <v>0</v>
      </c>
      <c r="N25" s="182">
        <f>+'II-B-4'!U16</f>
        <v>0</v>
      </c>
      <c r="O25" s="182">
        <f>+'II-B-4'!V16</f>
        <v>0</v>
      </c>
      <c r="P25" s="182">
        <f t="shared" si="18" ref="P25:P33">+J25+M25+N25+O25</f>
        <v>0</v>
      </c>
      <c r="R25" s="7" t="b">
        <f t="shared" si="19" ref="R25:R33">+F25=P25</f>
        <v>1</v>
      </c>
      <c r="S25" s="147">
        <f t="shared" si="20" ref="S25:S33">+F25-P25</f>
        <v>0</v>
      </c>
    </row>
    <row r="26" spans="1:19" ht="12.75">
      <c r="A26" s="4">
        <v>12</v>
      </c>
      <c r="B26" s="37" t="s">
        <v>103</v>
      </c>
      <c r="C26" s="113" t="s">
        <v>162</v>
      </c>
      <c r="D26" s="35">
        <f>+'II-B-6'!G20</f>
        <v>26700685.460000001</v>
      </c>
      <c r="E26" s="35">
        <f>+'II-B-6'!H20</f>
        <v>-3485637.96</v>
      </c>
      <c r="F26" s="39">
        <f>D26+E26</f>
        <v>23215047.5</v>
      </c>
      <c r="G26" s="39">
        <f>+'II-B-6'!N16</f>
        <v>21469068.16</v>
      </c>
      <c r="H26" s="39">
        <f>+'II-B-6'!O16</f>
        <v>0</v>
      </c>
      <c r="I26" s="39">
        <f>+'II-B-6'!P16</f>
        <v>0</v>
      </c>
      <c r="J26" s="39">
        <f>+'II-B-6'!Q16</f>
        <v>21469068.16</v>
      </c>
      <c r="K26" s="35">
        <f>+'II-B-6'!R16</f>
        <v>1745979.3400000001</v>
      </c>
      <c r="L26" s="35">
        <f>+'II-B-6'!S16</f>
        <v>0</v>
      </c>
      <c r="M26" s="35">
        <f>+'II-B-6'!T16</f>
        <v>1745979.3400000001</v>
      </c>
      <c r="N26" s="35">
        <f>+'II-B-6'!U16</f>
        <v>0</v>
      </c>
      <c r="O26" s="35">
        <f>+'II-B-6'!V16</f>
        <v>0</v>
      </c>
      <c r="P26" s="35">
        <f t="shared" si="18"/>
        <v>23215047.5</v>
      </c>
      <c r="R26" s="7" t="b">
        <f t="shared" si="19"/>
        <v>1</v>
      </c>
      <c r="S26" s="147">
        <f t="shared" si="20"/>
        <v>0</v>
      </c>
    </row>
    <row r="27" spans="1:19" ht="12.75">
      <c r="A27" s="4">
        <v>13</v>
      </c>
      <c r="B27" s="7" t="s">
        <v>226</v>
      </c>
      <c r="C27" s="4" t="s">
        <v>163</v>
      </c>
      <c r="D27" s="35">
        <f>+'II-B-7'!G18</f>
        <v>0</v>
      </c>
      <c r="E27" s="35">
        <f>+'II-B-7'!H18</f>
        <v>0</v>
      </c>
      <c r="F27" s="39">
        <f>D27+E27</f>
        <v>0</v>
      </c>
      <c r="G27" s="39">
        <f>+'II-B-7'!N16</f>
        <v>0</v>
      </c>
      <c r="H27" s="39">
        <f>+'II-B-7'!O16</f>
        <v>0</v>
      </c>
      <c r="I27" s="39">
        <f>+'II-B-7'!P16</f>
        <v>0</v>
      </c>
      <c r="J27" s="39">
        <f>+'II-B-7'!Q16</f>
        <v>0</v>
      </c>
      <c r="K27" s="35">
        <f>+'II-B-7'!R16</f>
        <v>0</v>
      </c>
      <c r="L27" s="35">
        <f>+'II-B-7'!S16</f>
        <v>0</v>
      </c>
      <c r="M27" s="35">
        <f>+'II-B-7'!T16</f>
        <v>0</v>
      </c>
      <c r="N27" s="35">
        <f>+'II-B-7'!U16</f>
        <v>0</v>
      </c>
      <c r="O27" s="35">
        <f>+'II-B-7'!V16</f>
        <v>0</v>
      </c>
      <c r="P27" s="35">
        <f t="shared" si="18"/>
        <v>0</v>
      </c>
      <c r="R27" s="7" t="b">
        <f t="shared" si="19"/>
        <v>1</v>
      </c>
      <c r="S27" s="147">
        <f t="shared" si="20"/>
        <v>0</v>
      </c>
    </row>
    <row r="28" spans="1:19" ht="12.75">
      <c r="A28" s="4">
        <v>14</v>
      </c>
      <c r="B28" s="37" t="s">
        <v>117</v>
      </c>
      <c r="C28" s="113" t="s">
        <v>164</v>
      </c>
      <c r="D28" s="35">
        <f>+'II-B-8'!G60</f>
        <v>152229453.16</v>
      </c>
      <c r="E28" s="35">
        <f>+'II-B-8'!H60</f>
        <v>-190712.29999998212</v>
      </c>
      <c r="F28" s="39">
        <f>D28+E28</f>
        <v>152038740.86000001</v>
      </c>
      <c r="G28" s="39">
        <f>+'II-B-8'!N60</f>
        <v>77242553.11999999</v>
      </c>
      <c r="H28" s="39">
        <f>+'II-B-8'!O60</f>
        <v>0</v>
      </c>
      <c r="I28" s="39">
        <f>+'II-B-8'!P60</f>
        <v>0</v>
      </c>
      <c r="J28" s="39">
        <f>+'II-B-8'!Q60</f>
        <v>77242553.11999999</v>
      </c>
      <c r="K28" s="35">
        <f>+'II-B-8'!R60</f>
        <v>74690404.409999996</v>
      </c>
      <c r="L28" s="35">
        <f>+'II-B-8'!S60</f>
        <v>0</v>
      </c>
      <c r="M28" s="35">
        <f>+'II-B-8'!T60</f>
        <v>74690404.409999996</v>
      </c>
      <c r="N28" s="35">
        <f>+'II-B-8'!U60</f>
        <v>105783.33</v>
      </c>
      <c r="O28" s="35">
        <f>+'II-B-8'!V60</f>
        <v>0</v>
      </c>
      <c r="P28" s="35">
        <f t="shared" si="18"/>
        <v>152038740.85999998</v>
      </c>
      <c r="R28" s="7" t="b">
        <f t="shared" si="19"/>
        <v>1</v>
      </c>
      <c r="S28" s="147">
        <f t="shared" si="20"/>
        <v>0</v>
      </c>
    </row>
    <row r="29" spans="1:19" ht="12.75">
      <c r="A29" s="4">
        <v>15</v>
      </c>
      <c r="B29" s="37" t="s">
        <v>116</v>
      </c>
      <c r="C29" s="113" t="s">
        <v>165</v>
      </c>
      <c r="D29" s="35">
        <f>+'II-B-9'!G21</f>
        <v>-73484424</v>
      </c>
      <c r="E29" s="35">
        <f>+'II-B-9'!H21</f>
        <v>0</v>
      </c>
      <c r="F29" s="39">
        <f t="shared" si="17"/>
        <v>-73484424</v>
      </c>
      <c r="G29" s="39">
        <f>+'II-B-9'!N17</f>
        <v>-48361434.050000004</v>
      </c>
      <c r="H29" s="39">
        <f>+'II-B-9'!O17</f>
        <v>-8174427.4699999997</v>
      </c>
      <c r="I29" s="39">
        <f>+'II-B-9'!P17</f>
        <v>0</v>
      </c>
      <c r="J29" s="39">
        <f>+'II-B-9'!Q17</f>
        <v>-56535861.520000003</v>
      </c>
      <c r="K29" s="35">
        <f>+'II-B-9'!R17</f>
        <v>-16695371.95999999</v>
      </c>
      <c r="L29" s="35">
        <f>+'II-B-9'!S17</f>
        <v>-668468.91000000003</v>
      </c>
      <c r="M29" s="35">
        <f>+'II-B-9'!T17</f>
        <v>-17363840.86999999</v>
      </c>
      <c r="N29" s="35">
        <f>+'II-B-9'!U17</f>
        <v>273938.61000000028</v>
      </c>
      <c r="O29" s="35">
        <f>+'II-B-9'!V17</f>
        <v>141339.77999998356</v>
      </c>
      <c r="P29" s="35">
        <f t="shared" si="18"/>
        <v>-73484424</v>
      </c>
      <c r="R29" s="7" t="b">
        <f t="shared" si="19"/>
        <v>1</v>
      </c>
      <c r="S29" s="147">
        <f t="shared" si="20"/>
        <v>0</v>
      </c>
    </row>
    <row r="30" spans="1:19" ht="12.75">
      <c r="A30" s="4">
        <v>16</v>
      </c>
      <c r="B30" s="37" t="s">
        <v>107</v>
      </c>
      <c r="C30" s="113" t="s">
        <v>167</v>
      </c>
      <c r="D30" s="35">
        <f>+'II-B-10'!G35</f>
        <v>115153396.16076924</v>
      </c>
      <c r="E30" s="35">
        <f>+'II-B-10'!H35</f>
        <v>0</v>
      </c>
      <c r="F30" s="39">
        <f t="shared" si="17"/>
        <v>115153396.16076924</v>
      </c>
      <c r="G30" s="39">
        <f>+'II-B-10'!N35</f>
        <v>10576723.424615383</v>
      </c>
      <c r="H30" s="39">
        <f>+'II-B-10'!O35</f>
        <v>0</v>
      </c>
      <c r="I30" s="39">
        <f>+'II-B-10'!P35</f>
        <v>0</v>
      </c>
      <c r="J30" s="39">
        <f>+'II-B-10'!Q35</f>
        <v>10576723.424615383</v>
      </c>
      <c r="K30" s="35">
        <f>+'II-B-10'!R35</f>
        <v>100121671.99538463</v>
      </c>
      <c r="L30" s="35">
        <f>+'II-B-10'!S35</f>
        <v>0</v>
      </c>
      <c r="M30" s="35">
        <f>+'II-B-10'!T35</f>
        <v>100121671.99538463</v>
      </c>
      <c r="N30" s="35">
        <f>+'II-B-10'!U35</f>
        <v>3524809.17076923</v>
      </c>
      <c r="O30" s="35">
        <f>+'II-B-10'!V35</f>
        <v>930191.56999999855</v>
      </c>
      <c r="P30" s="35">
        <f t="shared" si="18"/>
        <v>115153396.16076924</v>
      </c>
      <c r="R30" s="7" t="b">
        <f t="shared" si="19"/>
        <v>1</v>
      </c>
      <c r="S30" s="147">
        <f t="shared" si="20"/>
        <v>0</v>
      </c>
    </row>
    <row r="31" spans="1:19" ht="12.75">
      <c r="A31" s="4">
        <v>17</v>
      </c>
      <c r="B31" s="40" t="s">
        <v>101</v>
      </c>
      <c r="C31" s="145" t="s">
        <v>169</v>
      </c>
      <c r="D31" s="18">
        <f>+'II-B-11'!G30</f>
        <v>-21800197.439999998</v>
      </c>
      <c r="E31" s="18">
        <f>+'II-B-11'!H30</f>
        <v>42876847.859999999</v>
      </c>
      <c r="F31" s="39">
        <f>ROUND(D31+E31,2)</f>
        <v>21076650.420000002</v>
      </c>
      <c r="G31" s="19">
        <f>+'II-B-11'!N26</f>
        <v>720667.52000000002</v>
      </c>
      <c r="H31" s="19">
        <f>+'II-B-11'!O26</f>
        <v>23452667.34</v>
      </c>
      <c r="I31" s="19">
        <f>+'II-B-11'!P26</f>
        <v>0</v>
      </c>
      <c r="J31" s="19">
        <f>+'II-B-11'!Q26</f>
        <v>24173334.859999999</v>
      </c>
      <c r="K31" s="18">
        <f>+'II-B-11'!R26</f>
        <v>-2428360.54</v>
      </c>
      <c r="L31" s="18">
        <f>+'II-B-11'!S26</f>
        <v>0</v>
      </c>
      <c r="M31" s="18">
        <f>+'II-B-11'!T26</f>
        <v>-2428360.54</v>
      </c>
      <c r="N31" s="18">
        <f>+'II-B-11'!U26</f>
        <v>-668323.90000000002</v>
      </c>
      <c r="O31" s="18">
        <f>+'II-B-11'!V26</f>
        <v>0</v>
      </c>
      <c r="P31" s="35">
        <f t="shared" si="18"/>
        <v>21076650.420000002</v>
      </c>
      <c r="R31" s="7" t="b">
        <f t="shared" si="19"/>
        <v>1</v>
      </c>
      <c r="S31" s="266">
        <f t="shared" si="20"/>
        <v>0</v>
      </c>
    </row>
    <row r="32" spans="1:19" ht="12.75">
      <c r="A32" s="4">
        <v>18</v>
      </c>
      <c r="B32" s="7" t="s">
        <v>190</v>
      </c>
      <c r="C32" s="4" t="s">
        <v>170</v>
      </c>
      <c r="D32" s="35">
        <f>+'II-B-12'!G94</f>
        <v>-1329002555.7968125</v>
      </c>
      <c r="E32" s="35">
        <f>+'II-B-12'!H94</f>
        <v>1169455004.76</v>
      </c>
      <c r="F32" s="39">
        <f t="shared" si="17"/>
        <v>-159547551.03681254</v>
      </c>
      <c r="G32" s="39">
        <f>+'II-B-12'!N94</f>
        <v>-424638395.25999993</v>
      </c>
      <c r="H32" s="39">
        <f>+'II-B-12'!O94</f>
        <v>-45636288.200000003</v>
      </c>
      <c r="I32" s="39">
        <f>+'II-B-12'!P94</f>
        <v>-642339.16000000003</v>
      </c>
      <c r="J32" s="39">
        <f>+'II-B-12'!Q94</f>
        <v>-470917022.62</v>
      </c>
      <c r="K32" s="39">
        <f>+'II-B-12'!R94</f>
        <v>190520108.74000001</v>
      </c>
      <c r="L32" s="39">
        <f>+'II-B-12'!S94</f>
        <v>-3330024.8900000006</v>
      </c>
      <c r="M32" s="39">
        <f>+'II-B-12'!T94</f>
        <v>187190083.84999991</v>
      </c>
      <c r="N32" s="39">
        <f>+'II-B-12'!U94</f>
        <v>119901695.55999999</v>
      </c>
      <c r="O32" s="39">
        <f>+'II-B-12'!V94</f>
        <v>4277692.1731872801</v>
      </c>
      <c r="P32" s="35">
        <f t="shared" si="18"/>
        <v>-159547551.03681281</v>
      </c>
      <c r="R32" s="7" t="b">
        <f t="shared" si="19"/>
        <v>1</v>
      </c>
      <c r="S32" s="147">
        <f t="shared" si="20"/>
        <v>2.6822090148925781E-07</v>
      </c>
    </row>
    <row r="33" spans="1:19" ht="12.75">
      <c r="A33" s="4">
        <v>19</v>
      </c>
      <c r="B33" s="40" t="s">
        <v>122</v>
      </c>
      <c r="C33" s="145" t="s">
        <v>432</v>
      </c>
      <c r="D33" s="18">
        <f>-'[5]Link Sheet'!$D$2</f>
        <v>-2064493746.5599999</v>
      </c>
      <c r="E33" s="18">
        <f>-'[5]Link Sheet'!$E$2</f>
        <v>-283400024.89000005</v>
      </c>
      <c r="F33" s="18">
        <f>+D33+E33</f>
        <v>-2347893771.4499998</v>
      </c>
      <c r="G33" s="39">
        <f>-'[5]Link Sheet'!G2</f>
        <v>-951633684.86999989</v>
      </c>
      <c r="H33" s="39">
        <f>-'[5]Link Sheet'!H2</f>
        <v>-129921592.42</v>
      </c>
      <c r="I33" s="39">
        <f>-'[5]Link Sheet'!I2</f>
        <v>-1226987.2099999997</v>
      </c>
      <c r="J33" s="39">
        <f>-'[5]Link Sheet'!J2</f>
        <v>-1082782264.5000002</v>
      </c>
      <c r="K33" s="39">
        <f>-'[5]Link Sheet'!K2</f>
        <v>-1132059195.6699996</v>
      </c>
      <c r="L33" s="39">
        <f>-'[5]Link Sheet'!L2</f>
        <v>-10585547.99</v>
      </c>
      <c r="M33" s="39">
        <f>-'[5]Link Sheet'!M2</f>
        <v>-1142644743.6599996</v>
      </c>
      <c r="N33" s="39">
        <f>-'[5]Link Sheet'!N2</f>
        <v>-36656474.20000001</v>
      </c>
      <c r="O33" s="39">
        <f>-'[5]Link Sheet'!O2</f>
        <v>-85810289.089999706</v>
      </c>
      <c r="P33" s="35">
        <f t="shared" si="18"/>
        <v>-2347893771.4499993</v>
      </c>
      <c r="R33" s="7" t="b">
        <f t="shared" si="19"/>
        <v>1</v>
      </c>
      <c r="S33" s="147">
        <f t="shared" si="20"/>
        <v>0</v>
      </c>
    </row>
    <row r="34" spans="1:19" ht="12.75">
      <c r="A34" s="4">
        <v>20</v>
      </c>
      <c r="C34" s="4"/>
      <c r="D34" s="159"/>
      <c r="E34" s="159"/>
      <c r="F34" s="160"/>
      <c r="G34" s="160"/>
      <c r="H34" s="160"/>
      <c r="I34" s="160"/>
      <c r="J34" s="160"/>
      <c r="K34" s="160"/>
      <c r="L34" s="160"/>
      <c r="M34" s="160"/>
      <c r="N34" s="159"/>
      <c r="O34" s="159"/>
      <c r="P34" s="159"/>
      <c r="S34" s="27"/>
    </row>
    <row r="35" spans="1:19" ht="12.75">
      <c r="A35" s="4">
        <v>21</v>
      </c>
      <c r="B35" s="41" t="s">
        <v>40</v>
      </c>
      <c r="C35" s="41"/>
      <c r="D35" s="184">
        <f t="shared" si="21" ref="D35:P35">SUM(D25:D33)</f>
        <v>-2635815700.7660432</v>
      </c>
      <c r="E35" s="184">
        <f t="shared" si="21"/>
        <v>366373789.21999997</v>
      </c>
      <c r="F35" s="184">
        <f t="shared" si="21"/>
        <v>-2269441911.5460429</v>
      </c>
      <c r="G35" s="189">
        <f t="shared" si="21"/>
        <v>-1314624501.9553845</v>
      </c>
      <c r="H35" s="189">
        <f t="shared" si="22" ref="H35:I35">SUM(H25:H33)</f>
        <v>-160279640.75</v>
      </c>
      <c r="I35" s="189">
        <f t="shared" si="22"/>
        <v>-1869326.3699999997</v>
      </c>
      <c r="J35" s="189">
        <f t="shared" si="23" ref="J35">SUM(J25:J33)</f>
        <v>-1476773469.0753849</v>
      </c>
      <c r="K35" s="184">
        <f t="shared" si="21"/>
        <v>-784104763.6846149</v>
      </c>
      <c r="L35" s="184">
        <f t="shared" si="24" ref="L35:M35">SUM(L25:L33)</f>
        <v>-14584041.790000001</v>
      </c>
      <c r="M35" s="184">
        <f t="shared" si="24"/>
        <v>-798688805.4746151</v>
      </c>
      <c r="N35" s="184">
        <f t="shared" si="21"/>
        <v>86481428.570769221</v>
      </c>
      <c r="O35" s="184">
        <f t="shared" si="25" ref="O35">SUM(O25:O33)</f>
        <v>-80461065.566812441</v>
      </c>
      <c r="P35" s="184">
        <f t="shared" si="21"/>
        <v>-2269441911.5460429</v>
      </c>
      <c r="R35" s="7" t="b">
        <f t="shared" si="26" ref="R35">+F35=P35</f>
        <v>1</v>
      </c>
      <c r="S35" s="147">
        <f t="shared" si="27" ref="S35">+F35-P35</f>
        <v>0</v>
      </c>
    </row>
    <row r="36" spans="1:16" ht="12.75">
      <c r="A36" s="4">
        <v>22</v>
      </c>
      <c r="B36" s="37"/>
      <c r="C36" s="37"/>
      <c r="D36" s="184"/>
      <c r="E36" s="184"/>
      <c r="F36" s="184"/>
      <c r="G36" s="189"/>
      <c r="H36" s="189"/>
      <c r="I36" s="189"/>
      <c r="J36" s="189"/>
      <c r="K36" s="184"/>
      <c r="L36" s="184"/>
      <c r="M36" s="184"/>
      <c r="N36" s="184"/>
      <c r="O36" s="184"/>
      <c r="P36" s="184"/>
    </row>
    <row r="37" spans="1:19" s="5" customFormat="1" ht="12.75">
      <c r="A37" s="4">
        <v>23</v>
      </c>
      <c r="B37" s="117" t="s">
        <v>109</v>
      </c>
      <c r="C37" s="117"/>
      <c r="D37" s="184">
        <f t="shared" si="28" ref="D37:P37">D35+D22</f>
        <v>18475247333.443954</v>
      </c>
      <c r="E37" s="184">
        <f t="shared" si="28"/>
        <v>340681042.47999996</v>
      </c>
      <c r="F37" s="184">
        <f t="shared" si="28"/>
        <v>18815928375.923954</v>
      </c>
      <c r="G37" s="189">
        <f t="shared" si="28"/>
        <v>7764032546.4046144</v>
      </c>
      <c r="H37" s="189">
        <f t="shared" si="29" ref="H37:I37">H35+H22</f>
        <v>1253226003.4199998</v>
      </c>
      <c r="I37" s="189">
        <f t="shared" si="29"/>
        <v>9713063.910000002</v>
      </c>
      <c r="J37" s="189">
        <f t="shared" si="30" ref="J37">J35+J22</f>
        <v>9026971613.7346134</v>
      </c>
      <c r="K37" s="184">
        <f t="shared" si="28"/>
        <v>9061557949.7653828</v>
      </c>
      <c r="L37" s="184">
        <f t="shared" si="31" ref="L37:M37">L35+L22</f>
        <v>101006265.61999999</v>
      </c>
      <c r="M37" s="184">
        <f t="shared" si="31"/>
        <v>9162564215.3853855</v>
      </c>
      <c r="N37" s="184">
        <f t="shared" si="28"/>
        <v>421320140.15076923</v>
      </c>
      <c r="O37" s="184">
        <f t="shared" si="32" ref="O37">O35+O22</f>
        <v>205072406.65318757</v>
      </c>
      <c r="P37" s="184">
        <f t="shared" si="28"/>
        <v>18815928375.923958</v>
      </c>
      <c r="R37" s="7" t="b">
        <f t="shared" si="33" ref="R37">+F37=P37</f>
        <v>1</v>
      </c>
      <c r="S37" s="147">
        <f t="shared" si="34" ref="S37">+F37-P37</f>
        <v>0</v>
      </c>
    </row>
    <row r="38" spans="1:18" ht="12.75">
      <c r="A38" s="4">
        <v>24</v>
      </c>
      <c r="B38" s="42"/>
      <c r="C38" s="42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R38" s="147"/>
    </row>
    <row r="39" spans="1:16" ht="12.75">
      <c r="A39" s="4">
        <v>25</v>
      </c>
      <c r="B39" s="43" t="s">
        <v>118</v>
      </c>
      <c r="C39" s="42"/>
      <c r="D39" s="44">
        <f>+'[6]Link Sheet'!$D$7</f>
        <v>0.070499999999999993</v>
      </c>
      <c r="E39" s="44">
        <f>+'[6]Link Sheet'!$D$7</f>
        <v>0.070499999999999993</v>
      </c>
      <c r="F39" s="44">
        <f>+'[6]Link Sheet'!$D$7</f>
        <v>0.070499999999999993</v>
      </c>
      <c r="G39" s="44">
        <f>+'[6]Link Sheet'!$D$7</f>
        <v>0.070499999999999993</v>
      </c>
      <c r="H39" s="44">
        <f>+'[6]Link Sheet'!$D$7</f>
        <v>0.070499999999999993</v>
      </c>
      <c r="I39" s="44">
        <f>+'[6]Link Sheet'!$D$7</f>
        <v>0.070499999999999993</v>
      </c>
      <c r="J39" s="44">
        <f>+'[6]Link Sheet'!$D$7</f>
        <v>0.070499999999999993</v>
      </c>
      <c r="K39" s="44">
        <f>+'[6]Link Sheet'!$D$7</f>
        <v>0.070499999999999993</v>
      </c>
      <c r="L39" s="44">
        <f>+'[6]Link Sheet'!$D$7</f>
        <v>0.070499999999999993</v>
      </c>
      <c r="M39" s="44">
        <f>+'[6]Link Sheet'!$D$7</f>
        <v>0.070499999999999993</v>
      </c>
      <c r="N39" s="44">
        <f>+'[6]Link Sheet'!$D$7</f>
        <v>0.070499999999999993</v>
      </c>
      <c r="O39" s="44">
        <f>+'[6]Link Sheet'!$D$7</f>
        <v>0.070499999999999993</v>
      </c>
      <c r="P39" s="44">
        <f>+'[6]Link Sheet'!$D$7</f>
        <v>0.070499999999999993</v>
      </c>
    </row>
    <row r="40" spans="1:16" ht="12.75">
      <c r="A40" s="4">
        <v>26</v>
      </c>
      <c r="B40" s="6"/>
      <c r="C40" s="6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</row>
    <row r="41" spans="1:19" s="5" customFormat="1" ht="12.75">
      <c r="A41" s="4">
        <v>27</v>
      </c>
      <c r="B41" s="10" t="s">
        <v>119</v>
      </c>
      <c r="C41" s="10"/>
      <c r="D41" s="184">
        <f>+D37*D39</f>
        <v>1302504937.0077987</v>
      </c>
      <c r="E41" s="184">
        <f>+F41-D41</f>
        <v>24018013.494839907</v>
      </c>
      <c r="F41" s="184">
        <f t="shared" si="35" ref="F41:P41">+F37*F39</f>
        <v>1326522950.5026386</v>
      </c>
      <c r="G41" s="189">
        <f t="shared" si="35"/>
        <v>547364294.52152526</v>
      </c>
      <c r="H41" s="189">
        <f t="shared" si="36" ref="H41:I41">+H37*H39</f>
        <v>88352433.241109982</v>
      </c>
      <c r="I41" s="189">
        <f t="shared" si="36"/>
        <v>684771.0056550001</v>
      </c>
      <c r="J41" s="189">
        <f t="shared" si="37" ref="J41">+J37*J39</f>
        <v>636401498.76829016</v>
      </c>
      <c r="K41" s="184">
        <f t="shared" si="35"/>
        <v>638839835.45845938</v>
      </c>
      <c r="L41" s="184">
        <f t="shared" si="38" ref="L41:M41">+L37*L39</f>
        <v>7120941.7262099991</v>
      </c>
      <c r="M41" s="184">
        <f t="shared" si="38"/>
        <v>645960777.18466961</v>
      </c>
      <c r="N41" s="184">
        <f t="shared" si="35"/>
        <v>29703069.880629227</v>
      </c>
      <c r="O41" s="184">
        <f t="shared" si="39" ref="O41">+O37*O39</f>
        <v>14457604.669049723</v>
      </c>
      <c r="P41" s="184">
        <f t="shared" si="35"/>
        <v>1326522950.5026388</v>
      </c>
      <c r="R41" s="7" t="b">
        <f t="shared" si="40" ref="R41">+F41=P41</f>
        <v>1</v>
      </c>
      <c r="S41" s="147">
        <f t="shared" si="41" ref="S41">+F41-P41</f>
        <v>0</v>
      </c>
    </row>
    <row r="42" spans="7:16" ht="12.75">
      <c r="G42" s="39"/>
      <c r="H42" s="39"/>
      <c r="I42" s="39"/>
      <c r="J42" s="39"/>
      <c r="K42" s="35"/>
      <c r="L42" s="35"/>
      <c r="M42" s="35"/>
      <c r="N42" s="35"/>
      <c r="O42" s="35"/>
      <c r="P42" s="35"/>
    </row>
    <row r="43" spans="4:16" ht="12.75">
      <c r="D43" s="18"/>
      <c r="G43" s="39"/>
      <c r="H43" s="39"/>
      <c r="I43" s="39"/>
      <c r="J43" s="39"/>
      <c r="K43" s="35"/>
      <c r="L43" s="35"/>
      <c r="M43" s="35"/>
      <c r="N43" s="35"/>
      <c r="O43" s="35"/>
      <c r="P43" s="35"/>
    </row>
    <row r="44" spans="7:16" ht="12.75">
      <c r="G44" s="39" t="b">
        <f>ROUND(+G41,2)=ROUND('II-B-12'!N102,2)</f>
        <v>1</v>
      </c>
      <c r="H44" s="39" t="b">
        <f>ROUND(+H41,2)=ROUND('II-B-12'!O102,2)</f>
        <v>1</v>
      </c>
      <c r="I44" s="39" t="b">
        <f>ROUND(+I41,2)=ROUND('II-B-12'!P102,2)</f>
        <v>1</v>
      </c>
      <c r="J44" s="39" t="b">
        <f>ROUND(+J41,2)=ROUND('II-B-12'!Q102,2)</f>
        <v>1</v>
      </c>
      <c r="K44" s="39" t="b">
        <f>ROUND(+K41,2)=ROUND('II-B-12'!R102,2)</f>
        <v>1</v>
      </c>
      <c r="L44" s="39" t="b">
        <f>ROUND(+L41,2)=ROUND('II-B-12'!S102,2)</f>
        <v>1</v>
      </c>
      <c r="M44" s="39" t="b">
        <f>ROUND(+M41,2)=ROUND('II-B-12'!T102,2)</f>
        <v>1</v>
      </c>
      <c r="N44" s="39" t="b">
        <f>ROUND(+N41,2)=ROUND('II-B-12'!U102,2)</f>
        <v>1</v>
      </c>
      <c r="O44" s="39" t="b">
        <f>ROUND(+O41,2)=ROUND('II-B-12'!V102,2)</f>
        <v>1</v>
      </c>
      <c r="P44" s="39" t="b">
        <f>ROUND(+P41,2)=ROUND('II-B-12'!W102,2)</f>
        <v>1</v>
      </c>
    </row>
    <row r="45" spans="7:16" ht="12.75">
      <c r="G45" s="263"/>
      <c r="H45" s="263"/>
      <c r="I45" s="263"/>
      <c r="J45" s="263"/>
      <c r="K45" s="26"/>
      <c r="L45" s="26"/>
      <c r="M45" s="26"/>
      <c r="P45" s="26"/>
    </row>
    <row r="46" spans="7:16" ht="12.75">
      <c r="G46" s="39"/>
      <c r="H46" s="39"/>
      <c r="I46" s="39"/>
      <c r="J46" s="39"/>
      <c r="K46" s="35"/>
      <c r="L46" s="35"/>
      <c r="M46" s="35"/>
      <c r="P46" s="26"/>
    </row>
    <row r="47" spans="7:16" ht="12.75">
      <c r="G47" s="39"/>
      <c r="H47" s="39"/>
      <c r="I47" s="39"/>
      <c r="J47" s="39"/>
      <c r="K47" s="35"/>
      <c r="L47" s="35"/>
      <c r="M47" s="35"/>
      <c r="P47" s="26"/>
    </row>
    <row r="48" spans="7:16" ht="12.75">
      <c r="G48" s="146"/>
      <c r="H48" s="146"/>
      <c r="I48" s="146"/>
      <c r="J48" s="146"/>
      <c r="K48" s="46"/>
      <c r="L48" s="46"/>
      <c r="M48" s="46"/>
      <c r="P48" s="47"/>
    </row>
    <row r="49" spans="7:16" ht="12.75">
      <c r="G49" s="39"/>
      <c r="H49" s="39"/>
      <c r="I49" s="39"/>
      <c r="J49" s="39"/>
      <c r="K49" s="35"/>
      <c r="L49" s="35"/>
      <c r="M49" s="35"/>
      <c r="P49" s="26"/>
    </row>
    <row r="50" spans="7:16" ht="12.75">
      <c r="G50" s="264"/>
      <c r="H50" s="264"/>
      <c r="I50" s="264"/>
      <c r="J50" s="264"/>
      <c r="K50" s="48"/>
      <c r="L50" s="48"/>
      <c r="M50" s="48"/>
      <c r="P50" s="26"/>
    </row>
    <row r="51" spans="7:16" ht="12.75">
      <c r="G51" s="263"/>
      <c r="H51" s="263"/>
      <c r="I51" s="263"/>
      <c r="J51" s="263"/>
      <c r="K51" s="26"/>
      <c r="L51" s="26"/>
      <c r="M51" s="26"/>
      <c r="P51" s="26"/>
    </row>
    <row r="52" spans="7:16" ht="12.75">
      <c r="G52" s="263"/>
      <c r="H52" s="263"/>
      <c r="I52" s="263"/>
      <c r="J52" s="263"/>
      <c r="K52" s="26"/>
      <c r="L52" s="26"/>
      <c r="M52" s="26"/>
      <c r="P52" s="26"/>
    </row>
    <row r="53" spans="7:16" ht="12.75">
      <c r="G53" s="263"/>
      <c r="H53" s="263"/>
      <c r="I53" s="263"/>
      <c r="J53" s="263"/>
      <c r="K53" s="26"/>
      <c r="L53" s="26"/>
      <c r="M53" s="26"/>
      <c r="P53" s="26"/>
    </row>
    <row r="54" spans="7:16" ht="12.75">
      <c r="G54" s="263"/>
      <c r="H54" s="263"/>
      <c r="I54" s="263"/>
      <c r="J54" s="263"/>
      <c r="K54" s="26"/>
      <c r="L54" s="26"/>
      <c r="M54" s="26"/>
      <c r="P54" s="26"/>
    </row>
    <row r="55" spans="7:16" ht="12.75">
      <c r="G55" s="263"/>
      <c r="H55" s="263"/>
      <c r="I55" s="263"/>
      <c r="J55" s="263"/>
      <c r="K55" s="26"/>
      <c r="L55" s="26"/>
      <c r="M55" s="26"/>
      <c r="P55" s="26"/>
    </row>
    <row r="56" spans="7:16" ht="12.75">
      <c r="G56" s="263"/>
      <c r="H56" s="263"/>
      <c r="I56" s="263"/>
      <c r="J56" s="263"/>
      <c r="K56" s="26"/>
      <c r="L56" s="26"/>
      <c r="M56" s="26"/>
      <c r="P56" s="26"/>
    </row>
    <row r="57" spans="7:16" ht="12.75">
      <c r="G57" s="263"/>
      <c r="H57" s="263"/>
      <c r="I57" s="263"/>
      <c r="J57" s="263"/>
      <c r="K57" s="26"/>
      <c r="L57" s="26"/>
      <c r="M57" s="26"/>
      <c r="P57" s="26"/>
    </row>
    <row r="58" spans="7:16" ht="12.75">
      <c r="G58" s="263"/>
      <c r="H58" s="263"/>
      <c r="I58" s="263"/>
      <c r="J58" s="263"/>
      <c r="K58" s="26"/>
      <c r="L58" s="26"/>
      <c r="M58" s="26"/>
      <c r="P58" s="26"/>
    </row>
    <row r="59" spans="7:16" ht="12.75">
      <c r="G59" s="263"/>
      <c r="H59" s="263"/>
      <c r="I59" s="263"/>
      <c r="J59" s="263"/>
      <c r="K59" s="26"/>
      <c r="L59" s="26"/>
      <c r="M59" s="26"/>
      <c r="P59" s="26"/>
    </row>
    <row r="60" spans="7:16" ht="12.75">
      <c r="G60" s="263"/>
      <c r="H60" s="263"/>
      <c r="I60" s="263"/>
      <c r="J60" s="263"/>
      <c r="K60" s="26"/>
      <c r="L60" s="26"/>
      <c r="M60" s="26"/>
      <c r="P60" s="26"/>
    </row>
    <row r="61" spans="16:16" ht="12.75">
      <c r="P61" s="26"/>
    </row>
    <row r="62" spans="7:16" ht="12.75">
      <c r="G62" s="19"/>
      <c r="H62" s="19"/>
      <c r="I62" s="19"/>
      <c r="J62" s="19"/>
      <c r="K62" s="18"/>
      <c r="L62" s="18"/>
      <c r="M62" s="18"/>
      <c r="P62" s="26"/>
    </row>
    <row r="63" spans="16:16" ht="12.75">
      <c r="P63" s="26"/>
    </row>
    <row r="64" spans="7:16" ht="12.75">
      <c r="G64" s="265"/>
      <c r="H64" s="265"/>
      <c r="I64" s="265"/>
      <c r="J64" s="265"/>
      <c r="K64" s="49"/>
      <c r="L64" s="49"/>
      <c r="M64" s="49"/>
      <c r="P64" s="26"/>
    </row>
    <row r="65" spans="16:16" ht="12.75">
      <c r="P65" s="26"/>
    </row>
    <row r="66" spans="2:16" ht="12.75">
      <c r="B66" s="5"/>
      <c r="C66" s="5"/>
      <c r="D66" s="5"/>
      <c r="E66" s="5"/>
      <c r="F66" s="5"/>
      <c r="G66" s="55"/>
      <c r="H66" s="55"/>
      <c r="I66" s="55"/>
      <c r="J66" s="55"/>
      <c r="K66" s="50"/>
      <c r="L66" s="50"/>
      <c r="M66" s="50"/>
      <c r="P66" s="26"/>
    </row>
    <row r="67" spans="7:13" ht="12.75">
      <c r="G67" s="57"/>
      <c r="H67" s="57"/>
      <c r="I67" s="57"/>
      <c r="J67" s="57"/>
      <c r="K67" s="27"/>
      <c r="L67" s="27"/>
      <c r="M67" s="27"/>
    </row>
    <row r="74" spans="15:16" ht="12.75">
      <c r="O74" s="7"/>
      <c r="P74" s="7"/>
    </row>
    <row r="75" spans="15:16" ht="12.75">
      <c r="O75" s="7"/>
      <c r="P75" s="7"/>
    </row>
    <row r="76" spans="15:16" ht="12.75">
      <c r="O76" s="7"/>
      <c r="P76" s="7"/>
    </row>
    <row r="77" spans="15:16" ht="12.75">
      <c r="O77" s="7"/>
      <c r="P77" s="7"/>
    </row>
    <row r="78" spans="15:16" ht="12.75">
      <c r="O78" s="7"/>
      <c r="P78" s="7"/>
    </row>
    <row r="79" spans="15:16" ht="12.75">
      <c r="O79" s="7"/>
      <c r="P79" s="7"/>
    </row>
    <row r="80" spans="15:16" ht="12.75">
      <c r="O80" s="7"/>
      <c r="P80" s="7"/>
    </row>
    <row r="81" spans="15:16" ht="12.75">
      <c r="O81" s="7"/>
      <c r="P81" s="7"/>
    </row>
    <row r="82" spans="15:16" ht="12.75">
      <c r="O82" s="7"/>
      <c r="P82" s="7"/>
    </row>
    <row r="83" spans="15:16" ht="12.75">
      <c r="O83" s="7"/>
      <c r="P83" s="7"/>
    </row>
    <row r="84" spans="15:16" ht="12.75">
      <c r="O84" s="7"/>
      <c r="P84" s="7"/>
    </row>
    <row r="85" spans="15:16" ht="12.75">
      <c r="O85" s="7"/>
      <c r="P85" s="7"/>
    </row>
    <row r="86" spans="15:16" ht="12.75">
      <c r="O86" s="7"/>
      <c r="P86" s="7"/>
    </row>
    <row r="87" spans="15:16" ht="12.75">
      <c r="O87" s="7"/>
      <c r="P87" s="7"/>
    </row>
    <row r="88" spans="15:16" ht="12.75">
      <c r="O88" s="7"/>
      <c r="P88" s="7"/>
    </row>
    <row r="89" spans="15:16" ht="12.75">
      <c r="O89" s="7"/>
      <c r="P89" s="7"/>
    </row>
    <row r="90" spans="15:16" ht="12.75">
      <c r="O90" s="7"/>
      <c r="P90" s="7"/>
    </row>
    <row r="91" spans="15:16" ht="12.75">
      <c r="O91" s="7"/>
      <c r="P91" s="7"/>
    </row>
    <row r="92" spans="15:16" ht="12.75">
      <c r="O92" s="7"/>
      <c r="P92" s="7"/>
    </row>
    <row r="93" spans="15:16" ht="12.75">
      <c r="O93" s="7"/>
      <c r="P93" s="7"/>
    </row>
    <row r="94" spans="15:16" ht="12.75">
      <c r="O94" s="7"/>
      <c r="P94" s="7"/>
    </row>
    <row r="95" spans="15:16" ht="12.75">
      <c r="O95" s="7"/>
      <c r="P95" s="7"/>
    </row>
    <row r="96" spans="15:16" ht="12.75">
      <c r="O96" s="7"/>
      <c r="P96" s="7"/>
    </row>
    <row r="97" spans="15:16" ht="12.75">
      <c r="O97" s="7"/>
      <c r="P97" s="7"/>
    </row>
    <row r="98" spans="15:16" ht="12.75">
      <c r="O98" s="7"/>
      <c r="P98" s="7"/>
    </row>
    <row r="99" spans="7:17" s="5" customFormat="1" ht="12.75">
      <c r="G99" s="10"/>
      <c r="H99" s="10"/>
      <c r="I99" s="10"/>
      <c r="J99" s="10"/>
      <c r="N99" s="7"/>
      <c r="Q99" s="7"/>
    </row>
    <row r="100" spans="15:16" ht="12.75">
      <c r="O100" s="7"/>
      <c r="P100" s="7"/>
    </row>
    <row r="101" spans="15:16" ht="12.75">
      <c r="O101" s="7"/>
      <c r="P101" s="7"/>
    </row>
    <row r="102" spans="15:16" ht="12.75">
      <c r="O102" s="7"/>
      <c r="P102" s="7"/>
    </row>
    <row r="103" spans="15:16" ht="12.75">
      <c r="O103" s="7"/>
      <c r="P103" s="7"/>
    </row>
    <row r="104" spans="15:16" ht="12.75">
      <c r="O104" s="7"/>
      <c r="P104" s="7"/>
    </row>
    <row r="105" spans="7:17" s="5" customFormat="1" ht="12.75">
      <c r="G105" s="10"/>
      <c r="H105" s="10"/>
      <c r="I105" s="10"/>
      <c r="J105" s="10"/>
      <c r="N105" s="7"/>
      <c r="Q105" s="7"/>
    </row>
    <row r="106" spans="15:16" ht="12.75">
      <c r="O106" s="7"/>
      <c r="P106" s="7"/>
    </row>
    <row r="107" spans="15:16" ht="12.75">
      <c r="O107" s="7"/>
      <c r="P107" s="7"/>
    </row>
    <row r="108" spans="15:16" ht="12.75">
      <c r="O108" s="7"/>
      <c r="P108" s="7"/>
    </row>
    <row r="109" spans="15:16" ht="12.75">
      <c r="O109" s="7"/>
      <c r="P109" s="7"/>
    </row>
    <row r="110" spans="15:16" ht="12.75">
      <c r="O110" s="7"/>
      <c r="P110" s="7"/>
    </row>
    <row r="111" spans="15:16" ht="12.75">
      <c r="O111" s="7"/>
      <c r="P111" s="7"/>
    </row>
    <row r="112" spans="15:16" ht="12.75">
      <c r="O112" s="7"/>
      <c r="P112" s="7"/>
    </row>
    <row r="113" spans="15:16" ht="12.75">
      <c r="O113" s="7"/>
      <c r="P113" s="7"/>
    </row>
    <row r="114" spans="15:16" ht="12.75">
      <c r="O114" s="7"/>
      <c r="P114" s="7"/>
    </row>
    <row r="115" spans="15:16" ht="12.75">
      <c r="O115" s="7"/>
      <c r="P115" s="7"/>
    </row>
    <row r="116" spans="15:16" ht="12.75">
      <c r="O116" s="7"/>
      <c r="P116" s="7"/>
    </row>
    <row r="117" spans="15:16" ht="12.75">
      <c r="O117" s="7"/>
      <c r="P117" s="7"/>
    </row>
    <row r="118" spans="15:16" ht="12.75">
      <c r="O118" s="7"/>
      <c r="P118" s="7"/>
    </row>
    <row r="119" spans="15:16" ht="12.75">
      <c r="O119" s="7"/>
      <c r="P119" s="7"/>
    </row>
    <row r="120" spans="15:16" ht="12.75">
      <c r="O120" s="7"/>
      <c r="P120" s="7"/>
    </row>
    <row r="121" spans="15:16" ht="12.75">
      <c r="O121" s="7"/>
      <c r="P121" s="7"/>
    </row>
    <row r="122" spans="15:16" ht="12.75">
      <c r="O122" s="7"/>
      <c r="P122" s="7"/>
    </row>
    <row r="123" spans="15:16" ht="12.75">
      <c r="O123" s="7"/>
      <c r="P123" s="7"/>
    </row>
    <row r="124" spans="15:16" ht="12.75">
      <c r="O124" s="7"/>
      <c r="P124" s="7"/>
    </row>
    <row r="125" spans="15:16" ht="12.75">
      <c r="O125" s="7"/>
      <c r="P125" s="7"/>
    </row>
    <row r="126" spans="15:16" ht="12.75">
      <c r="O126" s="7"/>
      <c r="P126" s="7"/>
    </row>
    <row r="127" spans="15:16" ht="12.75">
      <c r="O127" s="7"/>
      <c r="P127" s="7"/>
    </row>
    <row r="128" spans="15:16" ht="12.75">
      <c r="O128" s="7"/>
      <c r="P128" s="7"/>
    </row>
    <row r="129" spans="15:16" ht="12.75">
      <c r="O129" s="7"/>
      <c r="P129" s="7"/>
    </row>
    <row r="130" spans="15:16" ht="12.75">
      <c r="O130" s="7"/>
      <c r="P130" s="7"/>
    </row>
    <row r="131" spans="15:16" ht="12.75">
      <c r="O131" s="7"/>
      <c r="P131" s="7"/>
    </row>
    <row r="132" spans="15:16" ht="12.75">
      <c r="O132" s="7"/>
      <c r="P132" s="7"/>
    </row>
    <row r="133" spans="15:16" ht="12.75">
      <c r="O133" s="7"/>
      <c r="P133" s="7"/>
    </row>
    <row r="134" spans="15:16" ht="12.75">
      <c r="O134" s="7"/>
      <c r="P134" s="7"/>
    </row>
    <row r="135" spans="15:16" ht="12.75">
      <c r="O135" s="7"/>
      <c r="P135" s="7"/>
    </row>
    <row r="136" spans="15:16" ht="12.75">
      <c r="O136" s="7"/>
      <c r="P136" s="7"/>
    </row>
    <row r="137" spans="15:16" ht="12.75">
      <c r="O137" s="7"/>
      <c r="P137" s="7"/>
    </row>
    <row r="138" spans="15:16" ht="12.75">
      <c r="O138" s="7"/>
      <c r="P138" s="7"/>
    </row>
    <row r="139" spans="15:16" ht="12.75">
      <c r="O139" s="7"/>
      <c r="P139" s="7"/>
    </row>
    <row r="140" spans="15:16" ht="12.75">
      <c r="O140" s="7"/>
      <c r="P140" s="7"/>
    </row>
    <row r="141" spans="15:16" ht="12.75">
      <c r="O141" s="7"/>
      <c r="P141" s="7"/>
    </row>
    <row r="142" spans="15:16" ht="12.75">
      <c r="O142" s="7"/>
      <c r="P142" s="7"/>
    </row>
    <row r="143" spans="15:16" ht="12.75">
      <c r="O143" s="7"/>
      <c r="P143" s="7"/>
    </row>
    <row r="144" spans="15:16" ht="12.75">
      <c r="O144" s="7"/>
      <c r="P144" s="7"/>
    </row>
    <row r="145" spans="15:16" ht="12.75">
      <c r="O145" s="7"/>
      <c r="P145" s="7"/>
    </row>
    <row r="146" spans="15:16" ht="12.75">
      <c r="O146" s="7"/>
      <c r="P146" s="7"/>
    </row>
    <row r="147" spans="15:16" ht="12.75">
      <c r="O147" s="7"/>
      <c r="P147" s="7"/>
    </row>
    <row r="148" spans="15:16" ht="12.75">
      <c r="O148" s="7"/>
      <c r="P148" s="7"/>
    </row>
    <row r="149" spans="15:16" ht="12.75">
      <c r="O149" s="7"/>
      <c r="P149" s="7"/>
    </row>
    <row r="150" spans="15:16" ht="12.75">
      <c r="O150" s="7"/>
      <c r="P150" s="7"/>
    </row>
    <row r="151" spans="15:16" ht="12.75">
      <c r="O151" s="7"/>
      <c r="P151" s="7"/>
    </row>
    <row r="152" spans="15:16" ht="12.75">
      <c r="O152" s="7"/>
      <c r="P152" s="7"/>
    </row>
    <row r="153" spans="15:16" ht="12.75">
      <c r="O153" s="7"/>
      <c r="P153" s="7"/>
    </row>
    <row r="154" spans="15:16" ht="12.75">
      <c r="O154" s="7"/>
      <c r="P154" s="7"/>
    </row>
    <row r="155" spans="15:16" ht="12.75">
      <c r="O155" s="7"/>
      <c r="P155" s="7"/>
    </row>
    <row r="156" spans="15:16" ht="12.75">
      <c r="O156" s="7"/>
      <c r="P156" s="7"/>
    </row>
    <row r="157" spans="15:16" ht="12.75">
      <c r="O157" s="7"/>
      <c r="P157" s="7"/>
    </row>
    <row r="158" spans="15:16" ht="12.75">
      <c r="O158" s="7"/>
      <c r="P158" s="7"/>
    </row>
    <row r="159" spans="15:16" ht="12.75">
      <c r="O159" s="7"/>
      <c r="P159" s="7"/>
    </row>
    <row r="160" spans="15:16" ht="12.75">
      <c r="O160" s="7"/>
      <c r="P160" s="7"/>
    </row>
    <row r="161" spans="15:16" ht="12.75">
      <c r="O161" s="7"/>
      <c r="P161" s="7"/>
    </row>
    <row r="162" spans="15:16" ht="12.75">
      <c r="O162" s="7"/>
      <c r="P162" s="7"/>
    </row>
    <row r="163" spans="15:16" ht="12.75">
      <c r="O163" s="7"/>
      <c r="P163" s="7"/>
    </row>
    <row r="164" spans="15:16" ht="12.75">
      <c r="O164" s="7"/>
      <c r="P164" s="7"/>
    </row>
    <row r="165" spans="15:16" ht="12.75">
      <c r="O165" s="7"/>
      <c r="P165" s="7"/>
    </row>
    <row r="166" spans="15:16" ht="12.75">
      <c r="O166" s="7"/>
      <c r="P166" s="7"/>
    </row>
    <row r="167" spans="15:16" ht="12.75">
      <c r="O167" s="7"/>
      <c r="P167" s="7"/>
    </row>
    <row r="168" spans="15:16" ht="12.75">
      <c r="O168" s="7"/>
      <c r="P168" s="7"/>
    </row>
    <row r="169" spans="15:16" ht="12.75">
      <c r="O169" s="7"/>
      <c r="P169" s="7"/>
    </row>
    <row r="170" spans="15:16" ht="12.75">
      <c r="O170" s="7"/>
      <c r="P170" s="7"/>
    </row>
    <row r="171" spans="15:16" ht="12.75">
      <c r="O171" s="7"/>
      <c r="P171" s="7"/>
    </row>
    <row r="172" spans="15:16" ht="12.75">
      <c r="O172" s="7"/>
      <c r="P172" s="7"/>
    </row>
    <row r="173" spans="15:16" ht="12.75">
      <c r="O173" s="7"/>
      <c r="P173" s="7"/>
    </row>
    <row r="174" spans="15:16" ht="12.75">
      <c r="O174" s="7"/>
      <c r="P174" s="7"/>
    </row>
    <row r="175" spans="15:16" ht="12.75">
      <c r="O175" s="7"/>
      <c r="P175" s="7"/>
    </row>
    <row r="176" spans="15:16" ht="12.75">
      <c r="O176" s="7"/>
      <c r="P176" s="7"/>
    </row>
    <row r="177" spans="15:16" ht="12.75">
      <c r="O177" s="7"/>
      <c r="P177" s="7"/>
    </row>
    <row r="178" spans="15:16" ht="12.75">
      <c r="O178" s="7"/>
      <c r="P178" s="7"/>
    </row>
    <row r="179" spans="15:16" ht="12.75">
      <c r="O179" s="7"/>
      <c r="P179" s="7"/>
    </row>
    <row r="180" spans="15:16" ht="12.75">
      <c r="O180" s="7"/>
      <c r="P180" s="7"/>
    </row>
    <row r="181" spans="15:16" ht="12.75">
      <c r="O181" s="7"/>
      <c r="P181" s="7"/>
    </row>
    <row r="182" spans="15:16" ht="12.75">
      <c r="O182" s="7"/>
      <c r="P182" s="7"/>
    </row>
    <row r="183" spans="15:16" ht="12.75">
      <c r="O183" s="7"/>
      <c r="P183" s="7"/>
    </row>
    <row r="184" spans="15:16" ht="12.75">
      <c r="O184" s="7"/>
      <c r="P184" s="7"/>
    </row>
    <row r="185" spans="15:16" ht="12.75">
      <c r="O185" s="7"/>
      <c r="P185" s="7"/>
    </row>
    <row r="186" spans="15:16" ht="12.75">
      <c r="O186" s="7"/>
      <c r="P186" s="7"/>
    </row>
    <row r="187" spans="15:16" ht="12.75">
      <c r="O187" s="7"/>
      <c r="P187" s="7"/>
    </row>
    <row r="188" spans="15:16" ht="12.75">
      <c r="O188" s="7"/>
      <c r="P188" s="7"/>
    </row>
    <row r="189" spans="15:16" ht="12.75">
      <c r="O189" s="7"/>
      <c r="P189" s="7"/>
    </row>
    <row r="190" spans="15:16" ht="12.75">
      <c r="O190" s="7"/>
      <c r="P190" s="7"/>
    </row>
    <row r="191" spans="15:16" ht="12.75">
      <c r="O191" s="7"/>
      <c r="P191" s="7"/>
    </row>
    <row r="192" spans="15:16" ht="12.75">
      <c r="O192" s="7"/>
      <c r="P192" s="7"/>
    </row>
    <row r="193" spans="15:16" ht="12.75">
      <c r="O193" s="7"/>
      <c r="P193" s="7"/>
    </row>
    <row r="194" spans="15:16" ht="12.75">
      <c r="O194" s="7"/>
      <c r="P194" s="7"/>
    </row>
    <row r="195" spans="15:16" ht="12.75">
      <c r="O195" s="7"/>
      <c r="P195" s="7"/>
    </row>
    <row r="196" spans="15:16" ht="12.75">
      <c r="O196" s="7"/>
      <c r="P196" s="7"/>
    </row>
    <row r="197" spans="15:16" ht="12.75">
      <c r="O197" s="7"/>
      <c r="P197" s="7"/>
    </row>
    <row r="198" spans="15:16" ht="12.75">
      <c r="O198" s="7"/>
      <c r="P198" s="7"/>
    </row>
    <row r="199" spans="15:16" ht="12.75">
      <c r="O199" s="7"/>
      <c r="P199" s="7"/>
    </row>
    <row r="200" spans="15:16" ht="12.75">
      <c r="O200" s="7"/>
      <c r="P200" s="7"/>
    </row>
    <row r="201" spans="15:16" ht="12.75">
      <c r="O201" s="7"/>
      <c r="P201" s="7"/>
    </row>
    <row r="202" spans="15:16" ht="12.75">
      <c r="O202" s="7"/>
      <c r="P202" s="7"/>
    </row>
    <row r="203" spans="15:16" ht="12.75">
      <c r="O203" s="7"/>
      <c r="P203" s="7"/>
    </row>
    <row r="204" spans="15:16" ht="12.75">
      <c r="O204" s="7"/>
      <c r="P204" s="7"/>
    </row>
    <row r="205" spans="15:16" ht="12.75">
      <c r="O205" s="7"/>
      <c r="P205" s="7"/>
    </row>
    <row r="206" spans="15:16" ht="12.75">
      <c r="O206" s="7"/>
      <c r="P206" s="7"/>
    </row>
    <row r="207" spans="15:16" ht="12.75">
      <c r="O207" s="7"/>
      <c r="P207" s="7"/>
    </row>
    <row r="208" spans="15:16" ht="12.75">
      <c r="O208" s="7"/>
      <c r="P208" s="7"/>
    </row>
    <row r="209" spans="15:16" ht="12.75">
      <c r="O209" s="7"/>
      <c r="P209" s="7"/>
    </row>
    <row r="210" spans="15:16" ht="12.75">
      <c r="O210" s="7"/>
      <c r="P210" s="7"/>
    </row>
    <row r="211" spans="15:16" ht="12.75">
      <c r="O211" s="7"/>
      <c r="P211" s="7"/>
    </row>
    <row r="212" spans="15:16" ht="12.75">
      <c r="O212" s="7"/>
      <c r="P212" s="7"/>
    </row>
    <row r="213" spans="15:16" ht="12.75">
      <c r="O213" s="7"/>
      <c r="P213" s="7"/>
    </row>
    <row r="214" spans="15:16" ht="12.75">
      <c r="O214" s="7"/>
      <c r="P214" s="7"/>
    </row>
    <row r="215" spans="15:16" ht="12.75">
      <c r="O215" s="7"/>
      <c r="P215" s="7"/>
    </row>
    <row r="216" spans="15:16" ht="12.75">
      <c r="O216" s="7"/>
      <c r="P216" s="7"/>
    </row>
    <row r="217" spans="15:16" ht="12.75">
      <c r="O217" s="7"/>
      <c r="P217" s="7"/>
    </row>
    <row r="218" spans="15:16" ht="12.75">
      <c r="O218" s="7"/>
      <c r="P218" s="7"/>
    </row>
    <row r="219" spans="15:16" ht="12.75">
      <c r="O219" s="7"/>
      <c r="P219" s="7"/>
    </row>
    <row r="220" spans="15:16" ht="12.75">
      <c r="O220" s="7"/>
      <c r="P220" s="7"/>
    </row>
    <row r="221" spans="15:16" ht="12.75">
      <c r="O221" s="7"/>
      <c r="P221" s="7"/>
    </row>
    <row r="222" spans="15:16" ht="12.75">
      <c r="O222" s="7"/>
      <c r="P222" s="7"/>
    </row>
    <row r="223" spans="15:16" ht="12.75">
      <c r="O223" s="7"/>
      <c r="P223" s="7"/>
    </row>
    <row r="224" spans="15:16" ht="12.75">
      <c r="O224" s="7"/>
      <c r="P224" s="7"/>
    </row>
    <row r="225" spans="15:16" ht="12.75">
      <c r="O225" s="7"/>
      <c r="P225" s="7"/>
    </row>
    <row r="226" spans="15:16" ht="12.75">
      <c r="O226" s="7"/>
      <c r="P226" s="7"/>
    </row>
    <row r="227" spans="15:16" ht="12.75">
      <c r="O227" s="7"/>
      <c r="P227" s="7"/>
    </row>
    <row r="228" spans="15:16" ht="12.75">
      <c r="O228" s="7"/>
      <c r="P228" s="7"/>
    </row>
    <row r="229" spans="15:16" ht="12.75">
      <c r="O229" s="7"/>
      <c r="P229" s="7"/>
    </row>
    <row r="230" spans="15:16" ht="12.75">
      <c r="O230" s="7"/>
      <c r="P230" s="7"/>
    </row>
    <row r="231" spans="15:16" ht="12.75">
      <c r="O231" s="7"/>
      <c r="P231" s="7"/>
    </row>
    <row r="232" spans="15:16" ht="12.75">
      <c r="O232" s="7"/>
      <c r="P232" s="7"/>
    </row>
    <row r="233" spans="15:16" ht="12.75">
      <c r="O233" s="7"/>
      <c r="P233" s="7"/>
    </row>
    <row r="234" spans="15:16" ht="12.75">
      <c r="O234" s="7"/>
      <c r="P234" s="7"/>
    </row>
    <row r="235" spans="15:16" ht="12.75">
      <c r="O235" s="7"/>
      <c r="P235" s="7"/>
    </row>
    <row r="236" spans="15:16" ht="12.75">
      <c r="O236" s="7"/>
      <c r="P236" s="7"/>
    </row>
    <row r="237" spans="15:16" ht="12.75">
      <c r="O237" s="7"/>
      <c r="P237" s="7"/>
    </row>
    <row r="238" spans="15:16" ht="12.75">
      <c r="O238" s="7"/>
      <c r="P238" s="7"/>
    </row>
    <row r="239" spans="15:16" ht="12.75">
      <c r="O239" s="7"/>
      <c r="P239" s="7"/>
    </row>
    <row r="240" spans="15:16" ht="12.75">
      <c r="O240" s="7"/>
      <c r="P240" s="7"/>
    </row>
    <row r="241" spans="15:16" ht="12.75">
      <c r="O241" s="7"/>
      <c r="P241" s="7"/>
    </row>
    <row r="242" spans="15:16" ht="12.75">
      <c r="O242" s="7"/>
      <c r="P242" s="7"/>
    </row>
    <row r="243" spans="15:16" ht="12.75">
      <c r="O243" s="7"/>
      <c r="P243" s="7"/>
    </row>
    <row r="244" spans="15:16" ht="12.75">
      <c r="O244" s="7"/>
      <c r="P244" s="7"/>
    </row>
    <row r="245" spans="15:16" ht="12.75">
      <c r="O245" s="7"/>
      <c r="P245" s="7"/>
    </row>
    <row r="246" spans="15:16" ht="12.75">
      <c r="O246" s="7"/>
      <c r="P246" s="7"/>
    </row>
    <row r="247" spans="15:16" ht="12.75">
      <c r="O247" s="7"/>
      <c r="P247" s="7"/>
    </row>
    <row r="248" spans="15:16" ht="12.75">
      <c r="O248" s="7"/>
      <c r="P248" s="7"/>
    </row>
    <row r="249" spans="15:16" ht="12.75">
      <c r="O249" s="7"/>
      <c r="P249" s="7"/>
    </row>
    <row r="250" spans="15:16" ht="12.75">
      <c r="O250" s="7"/>
      <c r="P250" s="7"/>
    </row>
    <row r="251" spans="15:16" ht="12.75">
      <c r="O251" s="7"/>
      <c r="P251" s="7"/>
    </row>
    <row r="252" spans="15:16" ht="12.75">
      <c r="O252" s="7"/>
      <c r="P252" s="7"/>
    </row>
    <row r="253" spans="15:16" ht="12.75">
      <c r="O253" s="7"/>
      <c r="P253" s="7"/>
    </row>
    <row r="254" spans="15:16" ht="12.75">
      <c r="O254" s="7"/>
      <c r="P254" s="7"/>
    </row>
    <row r="255" spans="15:16" ht="12.75">
      <c r="O255" s="7"/>
      <c r="P255" s="7"/>
    </row>
    <row r="256" spans="15:16" ht="12.75">
      <c r="O256" s="7"/>
      <c r="P256" s="7"/>
    </row>
    <row r="257" spans="15:16" ht="12.75">
      <c r="O257" s="7"/>
      <c r="P257" s="7"/>
    </row>
    <row r="258" spans="15:16" ht="12.75">
      <c r="O258" s="7"/>
      <c r="P258" s="7"/>
    </row>
    <row r="259" spans="15:16" ht="12.75">
      <c r="O259" s="7"/>
      <c r="P259" s="7"/>
    </row>
    <row r="260" spans="15:16" ht="12.75">
      <c r="O260" s="7"/>
      <c r="P260" s="7"/>
    </row>
    <row r="261" spans="15:16" ht="12.75">
      <c r="O261" s="7"/>
      <c r="P261" s="7"/>
    </row>
    <row r="262" spans="15:16" ht="12.75">
      <c r="O262" s="7"/>
      <c r="P262" s="7"/>
    </row>
    <row r="263" spans="15:16" ht="12.75">
      <c r="O263" s="7"/>
      <c r="P263" s="7"/>
    </row>
    <row r="264" spans="15:16" ht="12.75">
      <c r="O264" s="7"/>
      <c r="P264" s="7"/>
    </row>
    <row r="265" spans="15:16" ht="12.75">
      <c r="O265" s="7"/>
      <c r="P265" s="7"/>
    </row>
    <row r="266" spans="15:16" ht="12.75">
      <c r="O266" s="7"/>
      <c r="P266" s="7"/>
    </row>
    <row r="267" spans="15:16" ht="12.75">
      <c r="O267" s="7"/>
      <c r="P267" s="7"/>
    </row>
    <row r="268" spans="15:16" ht="12.75">
      <c r="O268" s="7"/>
      <c r="P268" s="7"/>
    </row>
    <row r="269" spans="15:16" ht="12.75">
      <c r="O269" s="7"/>
      <c r="P269" s="7"/>
    </row>
    <row r="270" spans="15:16" ht="12.75">
      <c r="O270" s="7"/>
      <c r="P270" s="7"/>
    </row>
    <row r="271" spans="15:16" ht="12.75">
      <c r="O271" s="7"/>
      <c r="P271" s="7"/>
    </row>
    <row r="272" spans="15:16" ht="12.75">
      <c r="O272" s="7"/>
      <c r="P272" s="7"/>
    </row>
    <row r="273" spans="15:16" ht="12.75">
      <c r="O273" s="7"/>
      <c r="P273" s="7"/>
    </row>
    <row r="274" spans="15:16" ht="12.75">
      <c r="O274" s="7"/>
      <c r="P274" s="7"/>
    </row>
    <row r="275" spans="15:16" ht="12.75">
      <c r="O275" s="7"/>
      <c r="P275" s="7"/>
    </row>
    <row r="276" spans="15:16" ht="12.75">
      <c r="O276" s="7"/>
      <c r="P276" s="7"/>
    </row>
    <row r="277" spans="15:16" ht="12.75">
      <c r="O277" s="7"/>
      <c r="P277" s="7"/>
    </row>
    <row r="278" spans="15:16" ht="12.75">
      <c r="O278" s="7"/>
      <c r="P278" s="7"/>
    </row>
    <row r="279" spans="15:16" ht="12.75">
      <c r="O279" s="7"/>
      <c r="P279" s="7"/>
    </row>
    <row r="280" spans="15:16" ht="12.75">
      <c r="O280" s="7"/>
      <c r="P280" s="7"/>
    </row>
    <row r="281" spans="15:16" ht="12.75">
      <c r="O281" s="7"/>
      <c r="P281" s="7"/>
    </row>
    <row r="282" spans="15:16" ht="12.75">
      <c r="O282" s="7"/>
      <c r="P282" s="7"/>
    </row>
    <row r="283" spans="15:16" ht="12.75">
      <c r="O283" s="7"/>
      <c r="P283" s="7"/>
    </row>
    <row r="284" spans="15:16" ht="12.75">
      <c r="O284" s="7"/>
      <c r="P284" s="7"/>
    </row>
    <row r="285" spans="15:16" ht="12.75">
      <c r="O285" s="7"/>
      <c r="P285" s="7"/>
    </row>
    <row r="286" spans="15:16" ht="12.75">
      <c r="O286" s="7"/>
      <c r="P286" s="7"/>
    </row>
    <row r="287" spans="15:16" ht="12.75">
      <c r="O287" s="7"/>
      <c r="P287" s="7"/>
    </row>
    <row r="288" spans="15:16" ht="12.75">
      <c r="O288" s="7"/>
      <c r="P288" s="7"/>
    </row>
    <row r="289" spans="15:16" ht="12.75">
      <c r="O289" s="7"/>
      <c r="P289" s="7"/>
    </row>
  </sheetData>
  <printOptions horizontalCentered="1"/>
  <pageMargins left="0.25" right="0.25" top="3" bottom="0.25" header="1.5" footer="0.25"/>
  <pageSetup fitToHeight="0" orientation="landscape" pageOrder="overThenDown" scale="46" r:id="rId1"/>
  <headerFooter alignWithMargins="0">
    <oddHeader>&amp;C&amp;B
2022 RATE CASE
ONCOR ELECTRIC DELIVERY COMPANY LLC
II-B  RATE BASE BY FUNCTION 
TEST YEAR ENDING DECEMBER 31, 2021
SPONSOR: W. ALAN LEDBETTER&amp;R&amp;"Arial,Bold"Schedule II-B
Page &amp;P of &amp;N</oddHeader>
  </headerFooter>
  <colBreaks count="1" manualBreakCount="1">
    <brk id="6" min="8" max="4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6">
    <tabColor rgb="FFFF0000"/>
  </sheetPr>
  <dimension ref="A1:GC164"/>
  <sheetViews>
    <sheetView zoomScale="85" zoomScaleNormal="85" workbookViewId="0" topLeftCell="A1">
      <pane xSplit="4" ySplit="13" topLeftCell="E20" activePane="bottomRight" state="frozen"/>
      <selection pane="topLeft" activeCell="F47" sqref="F47"/>
      <selection pane="bottomLeft" activeCell="F47" sqref="F47"/>
      <selection pane="topRight" activeCell="F47" sqref="F47"/>
      <selection pane="bottomRight" activeCell="E37" sqref="E37"/>
    </sheetView>
  </sheetViews>
  <sheetFormatPr defaultColWidth="9.14428571428571" defaultRowHeight="12.75"/>
  <cols>
    <col min="1" max="1" width="5.71428571428571" style="7" customWidth="1"/>
    <col min="2" max="2" width="8.71428571428571" style="7" customWidth="1"/>
    <col min="3" max="3" width="41.2857142857143" style="7" customWidth="1"/>
    <col min="4" max="4" width="10.5714285714286" style="4" customWidth="1"/>
    <col min="5" max="5" width="19.7142857142857" style="7" bestFit="1" customWidth="1"/>
    <col min="6" max="6" width="17.4285714285714" style="7" bestFit="1" customWidth="1"/>
    <col min="7" max="7" width="19.7142857142857" style="7" bestFit="1" customWidth="1"/>
    <col min="8" max="8" width="14.4285714285714" style="7" bestFit="1" customWidth="1"/>
    <col min="9" max="9" width="24.1428571428571" style="7" bestFit="1" customWidth="1"/>
    <col min="10" max="10" width="10.4285714285714" style="7" bestFit="1" customWidth="1"/>
    <col min="11" max="11" width="16.2857142857143" style="7" bestFit="1" customWidth="1"/>
    <col min="12" max="12" width="3.71428571428571" style="51" customWidth="1"/>
    <col min="13" max="13" width="6.85714285714286" style="4" bestFit="1" customWidth="1"/>
    <col min="14" max="14" width="16.2857142857143" style="7" bestFit="1" customWidth="1"/>
    <col min="15" max="16" width="15.1428571428571" style="7" customWidth="1"/>
    <col min="17" max="18" width="16.2857142857143" style="7" bestFit="1" customWidth="1"/>
    <col min="19" max="20" width="16.2857142857143" style="7" customWidth="1"/>
    <col min="21" max="22" width="13.7142857142857" style="7" bestFit="1" customWidth="1"/>
    <col min="23" max="23" width="16.2857142857143" style="7" bestFit="1" customWidth="1"/>
    <col min="24" max="24" width="9.14285714285714" style="7"/>
    <col min="25" max="25" width="12.5714285714286" style="7" bestFit="1" customWidth="1"/>
    <col min="26" max="16384" width="9.14285714285714" style="7"/>
  </cols>
  <sheetData>
    <row r="1" spans="1:1" ht="12.75">
      <c r="A1" s="5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23" ht="12.75">
      <c r="A3" s="8" t="str">
        <f>CONCATENATE('[4]Schedule Sponsors'!$A$13,'[4]Schedule Sponsors'!$B$13)</f>
        <v>II-B-1 ORIGINAL COST OF UTILITY PLANT</v>
      </c>
      <c r="B3" s="6"/>
      <c r="E3" s="6"/>
      <c r="F3" s="17"/>
      <c r="K3" s="3"/>
      <c r="W3" s="3"/>
    </row>
    <row r="4" spans="1:23" ht="12.75">
      <c r="A4" s="115" t="str">
        <f>+'[4]Input Data'!$A$4</f>
        <v>TEST YEAR ENDING DECEMBER 31, 2021</v>
      </c>
      <c r="B4" s="6"/>
      <c r="E4" s="6"/>
      <c r="F4" s="17"/>
      <c r="K4" s="3"/>
      <c r="W4" s="3"/>
    </row>
    <row r="5" spans="1:2" ht="12.75">
      <c r="A5" s="8" t="str">
        <f>CONCATENATE("SPONSOR: ",'[4]Schedule Sponsors'!$D$13)</f>
        <v>SPONSOR: W. ALAN LEDBETTER</v>
      </c>
      <c r="B5" s="6"/>
    </row>
    <row r="6" spans="2:2" ht="12.75">
      <c r="B6" s="6"/>
    </row>
    <row r="7" spans="2:2" ht="12.75">
      <c r="B7" s="6"/>
    </row>
    <row r="8" spans="2:2" ht="12.75">
      <c r="B8" s="11"/>
    </row>
    <row r="9" spans="2:23" ht="13.5" thickBot="1">
      <c r="B9" s="7" t="s">
        <v>24</v>
      </c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</row>
    <row r="10" spans="1:23" s="5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5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5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326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5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1:23" s="6" customFormat="1" ht="12.75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1" s="10" customFormat="1" ht="15" customHeight="1">
      <c r="A15" s="23">
        <v>1</v>
      </c>
      <c r="B15" s="10" t="s">
        <v>129</v>
      </c>
      <c r="D15" s="53" t="s">
        <v>152</v>
      </c>
      <c r="E15" s="54"/>
      <c r="F15" s="54"/>
      <c r="G15" s="54"/>
      <c r="H15" s="54"/>
      <c r="I15" s="54"/>
      <c r="J15" s="54"/>
      <c r="K15" s="54"/>
      <c r="L15" s="53"/>
      <c r="M15" s="53"/>
      <c r="N15" s="54"/>
      <c r="O15" s="54"/>
      <c r="P15" s="54"/>
      <c r="Q15" s="54"/>
      <c r="R15" s="55"/>
      <c r="S15" s="55"/>
      <c r="T15" s="55"/>
      <c r="U15" s="55"/>
    </row>
    <row r="16" spans="1:24" s="6" customFormat="1" ht="15" customHeight="1">
      <c r="A16" s="23">
        <v>2</v>
      </c>
      <c r="B16" s="6" t="s">
        <v>38</v>
      </c>
      <c r="C16" s="6" t="s">
        <v>39</v>
      </c>
      <c r="D16" s="23"/>
      <c r="E16" s="185">
        <v>0</v>
      </c>
      <c r="F16" s="185">
        <v>0</v>
      </c>
      <c r="G16" s="185">
        <f>+E16+F16</f>
        <v>0</v>
      </c>
      <c r="H16" s="185">
        <v>0</v>
      </c>
      <c r="I16" s="185">
        <f>+G16+H16</f>
        <v>0</v>
      </c>
      <c r="J16" s="175">
        <v>1</v>
      </c>
      <c r="K16" s="185">
        <f>+I16*J16</f>
        <v>0</v>
      </c>
      <c r="L16" s="185"/>
      <c r="M16" s="185"/>
      <c r="N16" s="185">
        <v>0</v>
      </c>
      <c r="O16" s="185">
        <v>0</v>
      </c>
      <c r="P16" s="185">
        <v>0</v>
      </c>
      <c r="Q16" s="185">
        <f>SUM(N16:P16)</f>
        <v>0</v>
      </c>
      <c r="R16" s="185">
        <v>0</v>
      </c>
      <c r="S16" s="185">
        <v>0</v>
      </c>
      <c r="T16" s="185">
        <f>SUM(R16:S16)</f>
        <v>0</v>
      </c>
      <c r="U16" s="185">
        <v>0</v>
      </c>
      <c r="V16" s="185">
        <v>0</v>
      </c>
      <c r="W16" s="185">
        <f>+Q16+SUM(T16:V16)</f>
        <v>0</v>
      </c>
      <c r="X16" s="6" t="b">
        <f>ROUND(+W16,2)=ROUND(K16,2)</f>
        <v>1</v>
      </c>
    </row>
    <row r="17" spans="1:24" s="6" customFormat="1" ht="15" customHeight="1">
      <c r="A17" s="23">
        <v>3</v>
      </c>
      <c r="B17" s="6" t="s">
        <v>41</v>
      </c>
      <c r="C17" s="6" t="s">
        <v>125</v>
      </c>
      <c r="D17" s="23"/>
      <c r="E17" s="118">
        <v>0</v>
      </c>
      <c r="F17" s="118">
        <v>0</v>
      </c>
      <c r="G17" s="118">
        <f>+E17+F17</f>
        <v>0</v>
      </c>
      <c r="H17" s="118">
        <v>0</v>
      </c>
      <c r="I17" s="118">
        <f>+G17+H17</f>
        <v>0</v>
      </c>
      <c r="J17" s="175">
        <v>1</v>
      </c>
      <c r="K17" s="118">
        <f>+I17*J17</f>
        <v>0</v>
      </c>
      <c r="L17" s="119"/>
      <c r="M17" s="119"/>
      <c r="N17" s="118">
        <v>0</v>
      </c>
      <c r="O17" s="118">
        <v>0</v>
      </c>
      <c r="P17" s="118">
        <v>0</v>
      </c>
      <c r="Q17" s="118">
        <f t="shared" si="0" ref="Q17:Q18">SUM(N17:P17)</f>
        <v>0</v>
      </c>
      <c r="R17" s="118">
        <v>0</v>
      </c>
      <c r="S17" s="118">
        <v>0</v>
      </c>
      <c r="T17" s="118">
        <f t="shared" si="1" ref="T17:T18">SUM(R17:S17)</f>
        <v>0</v>
      </c>
      <c r="U17" s="118">
        <v>0</v>
      </c>
      <c r="V17" s="118">
        <v>0</v>
      </c>
      <c r="W17" s="119">
        <f t="shared" si="2" ref="W17:W18">+Q17+SUM(T17:V17)</f>
        <v>0</v>
      </c>
      <c r="X17" s="6" t="b">
        <f>ROUND(+W17,2)=ROUND(K17,2)</f>
        <v>1</v>
      </c>
    </row>
    <row r="18" spans="1:25" s="6" customFormat="1" ht="15" customHeight="1">
      <c r="A18" s="23">
        <v>4</v>
      </c>
      <c r="B18" s="6" t="s">
        <v>42</v>
      </c>
      <c r="C18" s="6" t="s">
        <v>43</v>
      </c>
      <c r="D18" s="23"/>
      <c r="E18" s="215">
        <v>1066350281.0700001</v>
      </c>
      <c r="F18" s="118">
        <v>0</v>
      </c>
      <c r="G18" s="118">
        <f>+E18+F18</f>
        <v>1066350281.0700001</v>
      </c>
      <c r="H18" s="220">
        <v>0</v>
      </c>
      <c r="I18" s="118">
        <f>+G18+H18</f>
        <v>1066350281.0700001</v>
      </c>
      <c r="J18" s="175">
        <v>1</v>
      </c>
      <c r="K18" s="118">
        <f>+I18*J18</f>
        <v>1066350281.0700001</v>
      </c>
      <c r="L18" s="119"/>
      <c r="M18" s="119"/>
      <c r="N18" s="220">
        <v>247306020.55000001</v>
      </c>
      <c r="O18" s="220">
        <v>0</v>
      </c>
      <c r="P18" s="220">
        <v>0</v>
      </c>
      <c r="Q18" s="220">
        <f t="shared" si="0"/>
        <v>247306020.55000001</v>
      </c>
      <c r="R18" s="220">
        <v>323333372.81999999</v>
      </c>
      <c r="S18" s="220">
        <v>0</v>
      </c>
      <c r="T18" s="220">
        <f t="shared" si="1"/>
        <v>323333372.81999999</v>
      </c>
      <c r="U18" s="220">
        <v>185301712.96000001</v>
      </c>
      <c r="V18" s="220">
        <v>310409174.74000001</v>
      </c>
      <c r="W18" s="119">
        <f t="shared" si="2"/>
        <v>1066350281.0699999</v>
      </c>
      <c r="X18" s="6" t="b">
        <f>ROUND(+W18,2)=ROUND(K18,2)</f>
        <v>1</v>
      </c>
      <c r="Y18" s="57"/>
    </row>
    <row r="19" spans="1:23" s="6" customFormat="1" ht="15" customHeight="1">
      <c r="A19" s="23">
        <v>5</v>
      </c>
      <c r="D19" s="23"/>
      <c r="E19" s="168"/>
      <c r="F19" s="168"/>
      <c r="G19" s="168"/>
      <c r="H19" s="168"/>
      <c r="I19" s="168"/>
      <c r="J19" s="175"/>
      <c r="K19" s="168"/>
      <c r="L19" s="119"/>
      <c r="M19" s="119"/>
      <c r="N19" s="169"/>
      <c r="O19" s="169"/>
      <c r="P19" s="169"/>
      <c r="Q19" s="169"/>
      <c r="R19" s="169"/>
      <c r="S19" s="169"/>
      <c r="T19" s="169"/>
      <c r="U19" s="169"/>
      <c r="V19" s="169"/>
      <c r="W19" s="169"/>
    </row>
    <row r="20" spans="1:24" s="10" customFormat="1" ht="15" customHeight="1">
      <c r="A20" s="23">
        <v>6</v>
      </c>
      <c r="C20" s="58" t="s">
        <v>193</v>
      </c>
      <c r="D20" s="53"/>
      <c r="E20" s="186">
        <f>SUM(E16:E18)</f>
        <v>1066350281.0700001</v>
      </c>
      <c r="F20" s="186">
        <f>SUM(F16:F18)</f>
        <v>0</v>
      </c>
      <c r="G20" s="186">
        <f>SUM(G16:G18)</f>
        <v>1066350281.0700001</v>
      </c>
      <c r="H20" s="186">
        <f>SUM(H16:H18)</f>
        <v>0</v>
      </c>
      <c r="I20" s="186">
        <f>SUM(I16:I18)</f>
        <v>1066350281.0700001</v>
      </c>
      <c r="J20" s="186"/>
      <c r="K20" s="186">
        <f>SUM(K16:K18)</f>
        <v>1066350281.0700001</v>
      </c>
      <c r="L20" s="186"/>
      <c r="M20" s="186"/>
      <c r="N20" s="186">
        <f t="shared" si="3" ref="N20:W20">SUM(N16:N18)</f>
        <v>247306020.55000001</v>
      </c>
      <c r="O20" s="186">
        <f t="shared" si="4" ref="O20:P20">SUM(O16:O18)</f>
        <v>0</v>
      </c>
      <c r="P20" s="186">
        <f t="shared" si="4"/>
        <v>0</v>
      </c>
      <c r="Q20" s="186">
        <f t="shared" si="3"/>
        <v>247306020.55000001</v>
      </c>
      <c r="R20" s="186">
        <f t="shared" si="5" ref="R20:S20">SUM(R16:R18)</f>
        <v>323333372.81999999</v>
      </c>
      <c r="S20" s="186">
        <f t="shared" si="5"/>
        <v>0</v>
      </c>
      <c r="T20" s="186">
        <f t="shared" si="3"/>
        <v>323333372.81999999</v>
      </c>
      <c r="U20" s="186">
        <f t="shared" si="6" ref="U20:V20">SUM(U16:U18)</f>
        <v>185301712.96000001</v>
      </c>
      <c r="V20" s="186">
        <f t="shared" si="6"/>
        <v>310409174.74000001</v>
      </c>
      <c r="W20" s="186">
        <f t="shared" si="3"/>
        <v>1066350281.0699999</v>
      </c>
      <c r="X20" s="6" t="b">
        <f>ROUND(+W20,2)=ROUND(K20,2)</f>
        <v>1</v>
      </c>
    </row>
    <row r="21" spans="1:23" ht="15" customHeight="1">
      <c r="A21" s="23">
        <v>7</v>
      </c>
      <c r="B21" s="6"/>
      <c r="C21" s="6"/>
      <c r="D21" s="23"/>
      <c r="E21" s="119"/>
      <c r="F21" s="119"/>
      <c r="G21" s="119"/>
      <c r="H21" s="119"/>
      <c r="I21" s="119"/>
      <c r="J21" s="177"/>
      <c r="K21" s="119"/>
      <c r="L21" s="121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</row>
    <row r="22" spans="1:23" s="10" customFormat="1" ht="15" customHeight="1">
      <c r="A22" s="23">
        <v>8</v>
      </c>
      <c r="B22" s="10" t="s">
        <v>47</v>
      </c>
      <c r="D22" s="53" t="s">
        <v>152</v>
      </c>
      <c r="E22" s="120"/>
      <c r="F22" s="120"/>
      <c r="G22" s="120"/>
      <c r="H22" s="120"/>
      <c r="I22" s="120"/>
      <c r="J22" s="176"/>
      <c r="K22" s="120"/>
      <c r="L22" s="120"/>
      <c r="M22" s="120"/>
      <c r="N22" s="120"/>
      <c r="O22" s="120"/>
      <c r="P22" s="120"/>
      <c r="Q22" s="120"/>
      <c r="R22" s="120"/>
      <c r="S22" s="120"/>
      <c r="T22" s="120"/>
      <c r="U22" s="120"/>
      <c r="V22" s="120"/>
      <c r="W22" s="120"/>
    </row>
    <row r="23" spans="1:24" s="6" customFormat="1" ht="15" customHeight="1">
      <c r="A23" s="23">
        <v>9</v>
      </c>
      <c r="B23" s="6" t="s">
        <v>48</v>
      </c>
      <c r="C23" s="6" t="s">
        <v>44</v>
      </c>
      <c r="D23" s="23"/>
      <c r="E23" s="217">
        <v>115906329.26000001</v>
      </c>
      <c r="F23" s="185">
        <v>0</v>
      </c>
      <c r="G23" s="185">
        <f t="shared" si="7" ref="G23:G32">+E23+F23</f>
        <v>115906329.26000001</v>
      </c>
      <c r="H23" s="228">
        <v>0</v>
      </c>
      <c r="I23" s="185">
        <f t="shared" si="8" ref="I23:I32">+G23+H23</f>
        <v>115906329.26000001</v>
      </c>
      <c r="J23" s="175">
        <v>1</v>
      </c>
      <c r="K23" s="185">
        <f t="shared" si="9" ref="K23:K32">+I23*J23</f>
        <v>115906329.26000001</v>
      </c>
      <c r="L23" s="185"/>
      <c r="M23" s="185"/>
      <c r="N23" s="228">
        <v>93368707.019999996</v>
      </c>
      <c r="O23" s="228">
        <v>22537622.239999998</v>
      </c>
      <c r="P23" s="228">
        <v>0</v>
      </c>
      <c r="Q23" s="228">
        <f t="shared" si="10" ref="Q23:Q32">SUM(N23:P23)</f>
        <v>115906329.25999999</v>
      </c>
      <c r="R23" s="228">
        <v>0</v>
      </c>
      <c r="S23" s="228">
        <v>0</v>
      </c>
      <c r="T23" s="228">
        <f t="shared" si="11" ref="T23:T32">SUM(R23:S23)</f>
        <v>0</v>
      </c>
      <c r="U23" s="228">
        <v>0</v>
      </c>
      <c r="V23" s="228">
        <v>0</v>
      </c>
      <c r="W23" s="185">
        <f t="shared" si="12" ref="W23:W32">+Q23+SUM(T23:V23)</f>
        <v>115906329.25999999</v>
      </c>
      <c r="X23" s="6" t="b">
        <f t="shared" si="13" ref="X23:X32">ROUND(+W23,2)=ROUND(K23,2)</f>
        <v>1</v>
      </c>
    </row>
    <row r="24" spans="1:24" s="6" customFormat="1" ht="15" customHeight="1">
      <c r="A24" s="23">
        <v>10</v>
      </c>
      <c r="B24" s="6" t="s">
        <v>49</v>
      </c>
      <c r="C24" s="6" t="s">
        <v>50</v>
      </c>
      <c r="D24" s="23"/>
      <c r="E24" s="216">
        <v>616585378.13999999</v>
      </c>
      <c r="F24" s="118">
        <v>0</v>
      </c>
      <c r="G24" s="118">
        <f t="shared" si="7"/>
        <v>616585378.13999999</v>
      </c>
      <c r="H24" s="220">
        <v>-658973.65000000002</v>
      </c>
      <c r="I24" s="118">
        <f t="shared" si="8"/>
        <v>615926404.49000001</v>
      </c>
      <c r="J24" s="175">
        <v>1</v>
      </c>
      <c r="K24" s="118">
        <f t="shared" si="9"/>
        <v>615926404.49000001</v>
      </c>
      <c r="L24" s="119"/>
      <c r="M24" s="119"/>
      <c r="N24" s="220">
        <v>521566382.51999998</v>
      </c>
      <c r="O24" s="220">
        <v>94360021.969999999</v>
      </c>
      <c r="P24" s="220">
        <v>0</v>
      </c>
      <c r="Q24" s="220">
        <f t="shared" si="10"/>
        <v>615926404.49000001</v>
      </c>
      <c r="R24" s="220">
        <v>0</v>
      </c>
      <c r="S24" s="220">
        <v>0</v>
      </c>
      <c r="T24" s="220">
        <f t="shared" si="11"/>
        <v>0</v>
      </c>
      <c r="U24" s="220">
        <v>0</v>
      </c>
      <c r="V24" s="220">
        <v>0</v>
      </c>
      <c r="W24" s="119">
        <f t="shared" si="12"/>
        <v>615926404.49000001</v>
      </c>
      <c r="X24" s="6" t="b">
        <f t="shared" si="13"/>
        <v>1</v>
      </c>
    </row>
    <row r="25" spans="1:24" s="6" customFormat="1" ht="15" customHeight="1">
      <c r="A25" s="23">
        <v>11</v>
      </c>
      <c r="B25" s="6" t="s">
        <v>51</v>
      </c>
      <c r="C25" s="6" t="s">
        <v>45</v>
      </c>
      <c r="D25" s="23"/>
      <c r="E25" s="216">
        <v>420045890.62</v>
      </c>
      <c r="F25" s="118">
        <v>0</v>
      </c>
      <c r="G25" s="118">
        <f t="shared" si="7"/>
        <v>420045890.62</v>
      </c>
      <c r="H25" s="220">
        <v>0</v>
      </c>
      <c r="I25" s="118">
        <f t="shared" si="8"/>
        <v>420045890.62</v>
      </c>
      <c r="J25" s="175">
        <v>1</v>
      </c>
      <c r="K25" s="118">
        <f t="shared" si="9"/>
        <v>420045890.62</v>
      </c>
      <c r="L25" s="119"/>
      <c r="M25" s="119"/>
      <c r="N25" s="220">
        <v>325121520.76999998</v>
      </c>
      <c r="O25" s="220">
        <v>93237800.909999996</v>
      </c>
      <c r="P25" s="220">
        <v>1686568.9399999999</v>
      </c>
      <c r="Q25" s="220">
        <f t="shared" si="10"/>
        <v>420045890.61999995</v>
      </c>
      <c r="R25" s="220">
        <v>0</v>
      </c>
      <c r="S25" s="220">
        <v>0</v>
      </c>
      <c r="T25" s="220">
        <f t="shared" si="11"/>
        <v>0</v>
      </c>
      <c r="U25" s="220">
        <v>0</v>
      </c>
      <c r="V25" s="220">
        <v>0</v>
      </c>
      <c r="W25" s="119">
        <f t="shared" si="12"/>
        <v>420045890.61999995</v>
      </c>
      <c r="X25" s="6" t="b">
        <f t="shared" si="13"/>
        <v>1</v>
      </c>
    </row>
    <row r="26" spans="1:25" s="6" customFormat="1" ht="15" customHeight="1">
      <c r="A26" s="23">
        <v>12</v>
      </c>
      <c r="B26" s="6" t="s">
        <v>52</v>
      </c>
      <c r="C26" s="6" t="s">
        <v>53</v>
      </c>
      <c r="D26" s="23"/>
      <c r="E26" s="216">
        <v>3929015686.6500001</v>
      </c>
      <c r="F26" s="118">
        <v>0</v>
      </c>
      <c r="G26" s="118">
        <f t="shared" si="7"/>
        <v>3929015686.6500001</v>
      </c>
      <c r="H26" s="220">
        <v>0</v>
      </c>
      <c r="I26" s="118">
        <f t="shared" si="8"/>
        <v>3929015686.6500001</v>
      </c>
      <c r="J26" s="175">
        <v>1</v>
      </c>
      <c r="K26" s="118">
        <f t="shared" si="9"/>
        <v>3929015686.6500001</v>
      </c>
      <c r="L26" s="119"/>
      <c r="M26" s="119"/>
      <c r="N26" s="220">
        <v>3167599763.04</v>
      </c>
      <c r="O26" s="220">
        <v>296846116.49000001</v>
      </c>
      <c r="P26" s="220">
        <v>30852548.710000001</v>
      </c>
      <c r="Q26" s="220">
        <f t="shared" si="10"/>
        <v>3495298428.2399998</v>
      </c>
      <c r="R26" s="220">
        <v>381860650.86000001</v>
      </c>
      <c r="S26" s="220">
        <v>51856607.549999997</v>
      </c>
      <c r="T26" s="220">
        <f t="shared" si="11"/>
        <v>433717258.41000003</v>
      </c>
      <c r="U26" s="220">
        <v>0</v>
      </c>
      <c r="V26" s="220">
        <v>0</v>
      </c>
      <c r="W26" s="119">
        <f t="shared" si="12"/>
        <v>3929015686.6499996</v>
      </c>
      <c r="X26" s="6" t="b">
        <f t="shared" si="13"/>
        <v>1</v>
      </c>
      <c r="Y26" s="146"/>
    </row>
    <row r="27" spans="1:25" s="6" customFormat="1" ht="15" customHeight="1">
      <c r="A27" s="23">
        <v>13</v>
      </c>
      <c r="B27" s="6" t="s">
        <v>54</v>
      </c>
      <c r="C27" s="6" t="s">
        <v>55</v>
      </c>
      <c r="D27" s="23"/>
      <c r="E27" s="216">
        <v>1931024292.79</v>
      </c>
      <c r="F27" s="118">
        <v>0</v>
      </c>
      <c r="G27" s="118">
        <f t="shared" si="7"/>
        <v>1931024292.79</v>
      </c>
      <c r="H27" s="220">
        <v>-1371537.48</v>
      </c>
      <c r="I27" s="118">
        <f t="shared" si="8"/>
        <v>1929652755.3099999</v>
      </c>
      <c r="J27" s="175">
        <v>1</v>
      </c>
      <c r="K27" s="118">
        <f t="shared" si="9"/>
        <v>1929652755.3099999</v>
      </c>
      <c r="L27" s="119"/>
      <c r="M27" s="119"/>
      <c r="N27" s="220">
        <v>1433247198.9200001</v>
      </c>
      <c r="O27" s="220">
        <v>496405556.38999999</v>
      </c>
      <c r="P27" s="220">
        <v>0</v>
      </c>
      <c r="Q27" s="220">
        <f t="shared" si="10"/>
        <v>1929652755.3099999</v>
      </c>
      <c r="R27" s="220">
        <v>0</v>
      </c>
      <c r="S27" s="220">
        <v>0</v>
      </c>
      <c r="T27" s="220">
        <f t="shared" si="11"/>
        <v>0</v>
      </c>
      <c r="U27" s="220">
        <v>0</v>
      </c>
      <c r="V27" s="220">
        <v>0</v>
      </c>
      <c r="W27" s="119">
        <f t="shared" si="12"/>
        <v>1929652755.3099999</v>
      </c>
      <c r="X27" s="6" t="b">
        <f t="shared" si="13"/>
        <v>1</v>
      </c>
      <c r="Y27" s="146"/>
    </row>
    <row r="28" spans="1:25" s="6" customFormat="1" ht="15" customHeight="1">
      <c r="A28" s="23">
        <v>14</v>
      </c>
      <c r="B28" s="6" t="s">
        <v>56</v>
      </c>
      <c r="C28" s="6" t="s">
        <v>57</v>
      </c>
      <c r="D28" s="23"/>
      <c r="E28" s="216">
        <v>2872599246.0500002</v>
      </c>
      <c r="F28" s="118">
        <v>0</v>
      </c>
      <c r="G28" s="118">
        <f t="shared" si="7"/>
        <v>2872599246.0500002</v>
      </c>
      <c r="H28" s="220">
        <v>-1828935.1299999999</v>
      </c>
      <c r="I28" s="118">
        <f t="shared" si="8"/>
        <v>2870770310.9200001</v>
      </c>
      <c r="J28" s="175">
        <v>1</v>
      </c>
      <c r="K28" s="118">
        <f t="shared" si="9"/>
        <v>2870770310.9200001</v>
      </c>
      <c r="L28" s="119"/>
      <c r="M28" s="119"/>
      <c r="N28" s="220">
        <v>2646547290.96</v>
      </c>
      <c r="O28" s="220">
        <v>224223019.96000001</v>
      </c>
      <c r="P28" s="220">
        <v>0</v>
      </c>
      <c r="Q28" s="220">
        <f t="shared" si="10"/>
        <v>2870770310.9200001</v>
      </c>
      <c r="R28" s="220">
        <v>0</v>
      </c>
      <c r="S28" s="220">
        <v>0</v>
      </c>
      <c r="T28" s="220">
        <f t="shared" si="11"/>
        <v>0</v>
      </c>
      <c r="U28" s="220">
        <v>0</v>
      </c>
      <c r="V28" s="220">
        <v>0</v>
      </c>
      <c r="W28" s="119">
        <f t="shared" si="12"/>
        <v>2870770310.9200001</v>
      </c>
      <c r="X28" s="6" t="b">
        <f t="shared" si="13"/>
        <v>1</v>
      </c>
      <c r="Y28" s="146"/>
    </row>
    <row r="29" spans="1:25" s="6" customFormat="1" ht="15" customHeight="1">
      <c r="A29" s="23">
        <v>15</v>
      </c>
      <c r="B29" s="6" t="s">
        <v>58</v>
      </c>
      <c r="C29" s="6" t="s">
        <v>3</v>
      </c>
      <c r="D29" s="23"/>
      <c r="E29" s="216">
        <v>3045455059.4400001</v>
      </c>
      <c r="F29" s="118">
        <v>0</v>
      </c>
      <c r="G29" s="118">
        <f t="shared" si="7"/>
        <v>3045455059.4400001</v>
      </c>
      <c r="H29" s="220">
        <v>-873739.87</v>
      </c>
      <c r="I29" s="118">
        <f t="shared" si="8"/>
        <v>3044581319.5700002</v>
      </c>
      <c r="J29" s="175">
        <v>1</v>
      </c>
      <c r="K29" s="118">
        <f t="shared" si="9"/>
        <v>3044581319.5700002</v>
      </c>
      <c r="L29" s="119"/>
      <c r="M29" s="119"/>
      <c r="N29" s="220">
        <v>2597173723.1599998</v>
      </c>
      <c r="O29" s="220">
        <v>447407596.41000003</v>
      </c>
      <c r="P29" s="220">
        <v>0</v>
      </c>
      <c r="Q29" s="220">
        <f t="shared" si="10"/>
        <v>3044581319.5699997</v>
      </c>
      <c r="R29" s="220">
        <v>0</v>
      </c>
      <c r="S29" s="220">
        <v>0</v>
      </c>
      <c r="T29" s="220">
        <f t="shared" si="11"/>
        <v>0</v>
      </c>
      <c r="U29" s="220">
        <v>0</v>
      </c>
      <c r="V29" s="220">
        <v>0</v>
      </c>
      <c r="W29" s="119">
        <f t="shared" si="12"/>
        <v>3044581319.5699997</v>
      </c>
      <c r="X29" s="6" t="b">
        <f t="shared" si="13"/>
        <v>1</v>
      </c>
      <c r="Y29" s="146"/>
    </row>
    <row r="30" spans="1:25" s="6" customFormat="1" ht="15" customHeight="1">
      <c r="A30" s="23">
        <v>16</v>
      </c>
      <c r="B30" s="6" t="s">
        <v>59</v>
      </c>
      <c r="C30" s="6" t="s">
        <v>228</v>
      </c>
      <c r="D30" s="23"/>
      <c r="E30" s="216">
        <v>60197134.759999998</v>
      </c>
      <c r="F30" s="118">
        <v>0</v>
      </c>
      <c r="G30" s="118">
        <f t="shared" si="7"/>
        <v>60197134.759999998</v>
      </c>
      <c r="H30" s="220">
        <v>0</v>
      </c>
      <c r="I30" s="118">
        <f t="shared" si="8"/>
        <v>60197134.759999998</v>
      </c>
      <c r="J30" s="175">
        <v>1</v>
      </c>
      <c r="K30" s="118">
        <f t="shared" si="9"/>
        <v>60197134.759999998</v>
      </c>
      <c r="L30" s="119"/>
      <c r="M30" s="119"/>
      <c r="N30" s="220">
        <v>60197134.759999998</v>
      </c>
      <c r="O30" s="220">
        <v>0</v>
      </c>
      <c r="P30" s="220">
        <v>0</v>
      </c>
      <c r="Q30" s="220">
        <f t="shared" si="10"/>
        <v>60197134.759999998</v>
      </c>
      <c r="R30" s="220">
        <v>0</v>
      </c>
      <c r="S30" s="220">
        <v>0</v>
      </c>
      <c r="T30" s="220">
        <f t="shared" si="11"/>
        <v>0</v>
      </c>
      <c r="U30" s="220">
        <v>0</v>
      </c>
      <c r="V30" s="220">
        <v>0</v>
      </c>
      <c r="W30" s="119">
        <f t="shared" si="12"/>
        <v>60197134.759999998</v>
      </c>
      <c r="X30" s="6" t="b">
        <f t="shared" si="13"/>
        <v>1</v>
      </c>
      <c r="Y30" s="146"/>
    </row>
    <row r="31" spans="1:25" s="6" customFormat="1" ht="15" customHeight="1">
      <c r="A31" s="23">
        <v>17</v>
      </c>
      <c r="B31" s="6" t="s">
        <v>61</v>
      </c>
      <c r="C31" s="74" t="s">
        <v>4</v>
      </c>
      <c r="D31" s="23"/>
      <c r="E31" s="216">
        <v>84097342.579999998</v>
      </c>
      <c r="F31" s="118">
        <v>0</v>
      </c>
      <c r="G31" s="118">
        <f t="shared" si="7"/>
        <v>84097342.579999998</v>
      </c>
      <c r="H31" s="220">
        <v>0</v>
      </c>
      <c r="I31" s="118">
        <f t="shared" si="8"/>
        <v>84097342.579999998</v>
      </c>
      <c r="J31" s="175">
        <v>1</v>
      </c>
      <c r="K31" s="118">
        <f t="shared" si="9"/>
        <v>84097342.579999998</v>
      </c>
      <c r="L31" s="119"/>
      <c r="M31" s="119"/>
      <c r="N31" s="220">
        <v>84097342.579999998</v>
      </c>
      <c r="O31" s="220">
        <v>0</v>
      </c>
      <c r="P31" s="220">
        <v>0</v>
      </c>
      <c r="Q31" s="220">
        <f t="shared" si="10"/>
        <v>84097342.579999998</v>
      </c>
      <c r="R31" s="220">
        <v>0</v>
      </c>
      <c r="S31" s="220">
        <v>0</v>
      </c>
      <c r="T31" s="220">
        <f t="shared" si="11"/>
        <v>0</v>
      </c>
      <c r="U31" s="220">
        <v>0</v>
      </c>
      <c r="V31" s="220">
        <v>0</v>
      </c>
      <c r="W31" s="119">
        <f t="shared" si="12"/>
        <v>84097342.579999998</v>
      </c>
      <c r="X31" s="6" t="b">
        <f t="shared" si="13"/>
        <v>1</v>
      </c>
      <c r="Y31" s="146"/>
    </row>
    <row r="32" spans="1:25" s="6" customFormat="1" ht="15" customHeight="1">
      <c r="A32" s="23">
        <v>18</v>
      </c>
      <c r="B32" s="6" t="s">
        <v>62</v>
      </c>
      <c r="C32" s="6" t="s">
        <v>63</v>
      </c>
      <c r="D32" s="23"/>
      <c r="E32" s="216">
        <v>0</v>
      </c>
      <c r="F32" s="118">
        <v>0</v>
      </c>
      <c r="G32" s="118">
        <f t="shared" si="7"/>
        <v>0</v>
      </c>
      <c r="H32" s="220">
        <v>0</v>
      </c>
      <c r="I32" s="118">
        <f t="shared" si="8"/>
        <v>0</v>
      </c>
      <c r="J32" s="175">
        <v>1</v>
      </c>
      <c r="K32" s="118">
        <f t="shared" si="9"/>
        <v>0</v>
      </c>
      <c r="L32" s="119"/>
      <c r="M32" s="119"/>
      <c r="N32" s="220">
        <v>0</v>
      </c>
      <c r="O32" s="220">
        <v>0</v>
      </c>
      <c r="P32" s="220">
        <v>0</v>
      </c>
      <c r="Q32" s="220">
        <f t="shared" si="10"/>
        <v>0</v>
      </c>
      <c r="R32" s="220">
        <v>0</v>
      </c>
      <c r="S32" s="220">
        <v>0</v>
      </c>
      <c r="T32" s="220">
        <f t="shared" si="11"/>
        <v>0</v>
      </c>
      <c r="U32" s="220">
        <v>0</v>
      </c>
      <c r="V32" s="220">
        <v>0</v>
      </c>
      <c r="W32" s="119">
        <f t="shared" si="12"/>
        <v>0</v>
      </c>
      <c r="X32" s="6" t="b">
        <f t="shared" si="13"/>
        <v>1</v>
      </c>
      <c r="Y32" s="146"/>
    </row>
    <row r="33" spans="1:23" s="6" customFormat="1" ht="15" customHeight="1">
      <c r="A33" s="23">
        <v>19</v>
      </c>
      <c r="D33" s="23"/>
      <c r="E33" s="168"/>
      <c r="F33" s="169"/>
      <c r="G33" s="169"/>
      <c r="H33" s="169"/>
      <c r="I33" s="169"/>
      <c r="J33" s="177"/>
      <c r="K33" s="168"/>
      <c r="L33" s="119"/>
      <c r="M33" s="119"/>
      <c r="N33" s="168"/>
      <c r="O33" s="168"/>
      <c r="P33" s="168"/>
      <c r="Q33" s="168"/>
      <c r="R33" s="168"/>
      <c r="S33" s="168"/>
      <c r="T33" s="168"/>
      <c r="U33" s="168"/>
      <c r="V33" s="168"/>
      <c r="W33" s="169"/>
    </row>
    <row r="34" spans="1:24" s="10" customFormat="1" ht="15" customHeight="1">
      <c r="A34" s="23">
        <v>20</v>
      </c>
      <c r="C34" s="58" t="s">
        <v>194</v>
      </c>
      <c r="D34" s="53"/>
      <c r="E34" s="186">
        <f>SUM(E23:E32)</f>
        <v>13074926360.290001</v>
      </c>
      <c r="F34" s="186">
        <f>SUM(F23:F32)</f>
        <v>0</v>
      </c>
      <c r="G34" s="186">
        <f>SUM(G23:G32)</f>
        <v>13074926360.290001</v>
      </c>
      <c r="H34" s="186">
        <f>SUM(H23:H32)</f>
        <v>-4733186.1299999999</v>
      </c>
      <c r="I34" s="186">
        <f>SUM(I23:I32)</f>
        <v>13070193174.16</v>
      </c>
      <c r="J34" s="186"/>
      <c r="K34" s="186">
        <f>SUM(K23:K32)</f>
        <v>13070193174.16</v>
      </c>
      <c r="L34" s="186"/>
      <c r="M34" s="186"/>
      <c r="N34" s="186">
        <f t="shared" si="14" ref="N34:W34">SUM(N23:N32)</f>
        <v>10928919063.73</v>
      </c>
      <c r="O34" s="186">
        <f t="shared" si="15" ref="O34:P34">SUM(O23:O32)</f>
        <v>1675017734.3700001</v>
      </c>
      <c r="P34" s="186">
        <f t="shared" si="15"/>
        <v>32539117.650000002</v>
      </c>
      <c r="Q34" s="186">
        <f t="shared" si="14"/>
        <v>12636475915.75</v>
      </c>
      <c r="R34" s="186">
        <f t="shared" si="16" ref="R34:S34">SUM(R23:R32)</f>
        <v>381860650.86000001</v>
      </c>
      <c r="S34" s="186">
        <f t="shared" si="16"/>
        <v>51856607.549999997</v>
      </c>
      <c r="T34" s="186">
        <f t="shared" si="14"/>
        <v>433717258.41000003</v>
      </c>
      <c r="U34" s="186">
        <f t="shared" si="17" ref="U34:V34">SUM(U23:U32)</f>
        <v>0</v>
      </c>
      <c r="V34" s="186">
        <f t="shared" si="17"/>
        <v>0</v>
      </c>
      <c r="W34" s="186">
        <f t="shared" si="14"/>
        <v>13070193174.16</v>
      </c>
      <c r="X34" s="6" t="b">
        <f>ROUND(+W34,2)=ROUND(K34,2)</f>
        <v>1</v>
      </c>
    </row>
    <row r="35" spans="1:23" s="6" customFormat="1" ht="15" customHeight="1">
      <c r="A35" s="23">
        <v>21</v>
      </c>
      <c r="D35" s="23"/>
      <c r="E35" s="119"/>
      <c r="F35" s="119"/>
      <c r="G35" s="119"/>
      <c r="H35" s="119"/>
      <c r="I35" s="119"/>
      <c r="J35" s="177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</row>
    <row r="36" spans="1:23" s="10" customFormat="1" ht="15" customHeight="1">
      <c r="A36" s="23">
        <v>22</v>
      </c>
      <c r="B36" s="10" t="s">
        <v>64</v>
      </c>
      <c r="D36" s="53" t="s">
        <v>152</v>
      </c>
      <c r="E36" s="120"/>
      <c r="F36" s="120"/>
      <c r="G36" s="120"/>
      <c r="H36" s="120"/>
      <c r="I36" s="120"/>
      <c r="J36" s="176"/>
      <c r="K36" s="120"/>
      <c r="L36" s="120"/>
      <c r="M36" s="120"/>
      <c r="N36" s="120"/>
      <c r="O36" s="120"/>
      <c r="P36" s="120"/>
      <c r="Q36" s="120"/>
      <c r="R36" s="120"/>
      <c r="S36" s="120"/>
      <c r="T36" s="120"/>
      <c r="U36" s="120"/>
      <c r="V36" s="120"/>
      <c r="W36" s="120"/>
    </row>
    <row r="37" spans="1:24" s="6" customFormat="1" ht="15" customHeight="1">
      <c r="A37" s="23">
        <v>23</v>
      </c>
      <c r="B37" s="6" t="s">
        <v>65</v>
      </c>
      <c r="C37" s="6" t="s">
        <v>50</v>
      </c>
      <c r="D37" s="23"/>
      <c r="E37" s="219">
        <v>24366922.719999999</v>
      </c>
      <c r="F37" s="185">
        <v>0</v>
      </c>
      <c r="G37" s="185">
        <f t="shared" si="18" ref="G37:G51">+E37+F37</f>
        <v>24366922.719999999</v>
      </c>
      <c r="H37" s="228">
        <v>0</v>
      </c>
      <c r="I37" s="267">
        <f t="shared" si="19" ref="I37:I51">+G37+H37</f>
        <v>24366922.719999999</v>
      </c>
      <c r="J37" s="175">
        <v>1</v>
      </c>
      <c r="K37" s="185">
        <f t="shared" si="20" ref="K37:K51">+I37*J37</f>
        <v>24366922.719999999</v>
      </c>
      <c r="L37" s="185"/>
      <c r="M37" s="185"/>
      <c r="N37" s="228">
        <v>1320894.71</v>
      </c>
      <c r="O37" s="228">
        <v>0</v>
      </c>
      <c r="P37" s="228">
        <v>0</v>
      </c>
      <c r="Q37" s="228">
        <f t="shared" si="21" ref="Q37:Q51">SUM(N37:P37)</f>
        <v>1320894.71</v>
      </c>
      <c r="R37" s="228">
        <v>23046028.010000002</v>
      </c>
      <c r="S37" s="228">
        <v>0</v>
      </c>
      <c r="T37" s="228">
        <f t="shared" si="22" ref="T37:T51">SUM(R37:S37)</f>
        <v>23046028.010000002</v>
      </c>
      <c r="U37" s="228">
        <v>0</v>
      </c>
      <c r="V37" s="228">
        <v>0</v>
      </c>
      <c r="W37" s="185">
        <f t="shared" si="23" ref="W37:W51">+Q37+SUM(T37:V37)</f>
        <v>24366922.720000003</v>
      </c>
      <c r="X37" s="6" t="b">
        <f t="shared" si="24" ref="X37:X51">ROUND(+W37,2)=ROUND(K37,2)</f>
        <v>1</v>
      </c>
    </row>
    <row r="38" spans="1:25" s="6" customFormat="1" ht="15" customHeight="1">
      <c r="A38" s="23">
        <v>24</v>
      </c>
      <c r="B38" s="6" t="s">
        <v>66</v>
      </c>
      <c r="C38" s="74" t="s">
        <v>45</v>
      </c>
      <c r="D38" s="23"/>
      <c r="E38" s="218">
        <v>227950837.84999999</v>
      </c>
      <c r="F38" s="118">
        <v>0</v>
      </c>
      <c r="G38" s="118">
        <f t="shared" si="18"/>
        <v>227950837.84999999</v>
      </c>
      <c r="H38" s="220">
        <v>0</v>
      </c>
      <c r="I38" s="268">
        <f t="shared" si="19"/>
        <v>227950837.84999999</v>
      </c>
      <c r="J38" s="175">
        <v>1</v>
      </c>
      <c r="K38" s="118">
        <f t="shared" si="20"/>
        <v>227950837.84999999</v>
      </c>
      <c r="L38" s="119"/>
      <c r="M38" s="119"/>
      <c r="N38" s="220">
        <v>53159678.729999997</v>
      </c>
      <c r="O38" s="220">
        <v>16042221.25</v>
      </c>
      <c r="P38" s="220">
        <v>0</v>
      </c>
      <c r="Q38" s="220">
        <f t="shared" si="21"/>
        <v>69201899.979999989</v>
      </c>
      <c r="R38" s="220">
        <v>137062053.49000001</v>
      </c>
      <c r="S38" s="220">
        <v>21686884.379999999</v>
      </c>
      <c r="T38" s="220">
        <f t="shared" si="22"/>
        <v>158748937.87000001</v>
      </c>
      <c r="U38" s="220">
        <v>0</v>
      </c>
      <c r="V38" s="220">
        <v>0</v>
      </c>
      <c r="W38" s="119">
        <f t="shared" si="23"/>
        <v>227950837.84999999</v>
      </c>
      <c r="X38" s="6" t="b">
        <f t="shared" si="24"/>
        <v>1</v>
      </c>
      <c r="Y38" s="146"/>
    </row>
    <row r="39" spans="1:25" s="6" customFormat="1" ht="15" customHeight="1">
      <c r="A39" s="23">
        <v>25</v>
      </c>
      <c r="B39" s="6" t="s">
        <v>67</v>
      </c>
      <c r="C39" s="6" t="s">
        <v>53</v>
      </c>
      <c r="D39" s="23"/>
      <c r="E39" s="218">
        <v>2433137893.27</v>
      </c>
      <c r="F39" s="118">
        <v>3146147.4399999999</v>
      </c>
      <c r="G39" s="118">
        <f t="shared" si="18"/>
        <v>2436284040.71</v>
      </c>
      <c r="H39" s="220">
        <v>0</v>
      </c>
      <c r="I39" s="268">
        <f t="shared" si="19"/>
        <v>2436284040.71</v>
      </c>
      <c r="J39" s="175">
        <v>1</v>
      </c>
      <c r="K39" s="118">
        <f t="shared" si="20"/>
        <v>2436284040.71</v>
      </c>
      <c r="L39" s="119"/>
      <c r="M39" s="119"/>
      <c r="N39" s="220">
        <v>571075226.37</v>
      </c>
      <c r="O39" s="220">
        <v>39195173.549999997</v>
      </c>
      <c r="P39" s="220">
        <v>0</v>
      </c>
      <c r="Q39" s="220">
        <f t="shared" si="21"/>
        <v>610270399.91999996</v>
      </c>
      <c r="R39" s="220">
        <v>1760200029.54</v>
      </c>
      <c r="S39" s="220">
        <v>65813611.25</v>
      </c>
      <c r="T39" s="220">
        <f t="shared" si="22"/>
        <v>1826013640.79</v>
      </c>
      <c r="U39" s="220">
        <v>0</v>
      </c>
      <c r="V39" s="220">
        <v>0</v>
      </c>
      <c r="W39" s="119">
        <f t="shared" si="23"/>
        <v>2436284040.71</v>
      </c>
      <c r="X39" s="6" t="b">
        <f t="shared" si="24"/>
        <v>1</v>
      </c>
      <c r="Y39" s="146"/>
    </row>
    <row r="40" spans="1:25" s="6" customFormat="1" ht="15" customHeight="1">
      <c r="A40" s="23">
        <v>26</v>
      </c>
      <c r="B40" s="6" t="s">
        <v>68</v>
      </c>
      <c r="C40" s="6" t="s">
        <v>69</v>
      </c>
      <c r="D40" s="23"/>
      <c r="E40" s="218">
        <v>0</v>
      </c>
      <c r="F40" s="118">
        <v>0</v>
      </c>
      <c r="G40" s="118">
        <f t="shared" si="18"/>
        <v>0</v>
      </c>
      <c r="H40" s="220">
        <v>0</v>
      </c>
      <c r="I40" s="268">
        <f t="shared" si="19"/>
        <v>0</v>
      </c>
      <c r="J40" s="175">
        <v>1</v>
      </c>
      <c r="K40" s="118">
        <f t="shared" si="20"/>
        <v>0</v>
      </c>
      <c r="L40" s="119"/>
      <c r="M40" s="119"/>
      <c r="N40" s="220">
        <v>0</v>
      </c>
      <c r="O40" s="220">
        <v>0</v>
      </c>
      <c r="P40" s="220">
        <v>0</v>
      </c>
      <c r="Q40" s="220">
        <f t="shared" si="21"/>
        <v>0</v>
      </c>
      <c r="R40" s="220">
        <v>0</v>
      </c>
      <c r="S40" s="220">
        <v>0</v>
      </c>
      <c r="T40" s="220">
        <f t="shared" si="22"/>
        <v>0</v>
      </c>
      <c r="U40" s="220">
        <v>0</v>
      </c>
      <c r="V40" s="220">
        <v>0</v>
      </c>
      <c r="W40" s="119">
        <f t="shared" si="23"/>
        <v>0</v>
      </c>
      <c r="X40" s="6" t="b">
        <f t="shared" si="24"/>
        <v>1</v>
      </c>
      <c r="Y40" s="146"/>
    </row>
    <row r="41" spans="1:25" s="6" customFormat="1" ht="15" customHeight="1">
      <c r="A41" s="23">
        <v>27</v>
      </c>
      <c r="B41" s="6" t="s">
        <v>70</v>
      </c>
      <c r="C41" s="74" t="s">
        <v>229</v>
      </c>
      <c r="D41" s="23"/>
      <c r="E41" s="218">
        <v>2679007190.3000002</v>
      </c>
      <c r="F41" s="118">
        <v>0</v>
      </c>
      <c r="G41" s="118">
        <f t="shared" si="18"/>
        <v>2679007190.3000002</v>
      </c>
      <c r="H41" s="220">
        <v>0</v>
      </c>
      <c r="I41" s="268">
        <f t="shared" si="19"/>
        <v>2679007190.3000002</v>
      </c>
      <c r="J41" s="175">
        <v>1</v>
      </c>
      <c r="K41" s="118">
        <f t="shared" si="20"/>
        <v>2679007190.3000002</v>
      </c>
      <c r="L41" s="119"/>
      <c r="M41" s="119"/>
      <c r="N41" s="220">
        <v>0</v>
      </c>
      <c r="O41" s="220">
        <v>0</v>
      </c>
      <c r="P41" s="220">
        <v>0</v>
      </c>
      <c r="Q41" s="220">
        <f t="shared" si="21"/>
        <v>0</v>
      </c>
      <c r="R41" s="220">
        <v>2678358260.8099999</v>
      </c>
      <c r="S41" s="220">
        <v>648929.48999999999</v>
      </c>
      <c r="T41" s="220">
        <f t="shared" si="22"/>
        <v>2679007190.2999997</v>
      </c>
      <c r="U41" s="220">
        <v>0</v>
      </c>
      <c r="V41" s="220">
        <v>0</v>
      </c>
      <c r="W41" s="119">
        <f t="shared" si="23"/>
        <v>2679007190.2999997</v>
      </c>
      <c r="X41" s="6" t="b">
        <f t="shared" si="24"/>
        <v>1</v>
      </c>
      <c r="Y41" s="146"/>
    </row>
    <row r="42" spans="1:25" s="6" customFormat="1" ht="15" customHeight="1">
      <c r="A42" s="23">
        <v>28</v>
      </c>
      <c r="B42" s="6" t="s">
        <v>71</v>
      </c>
      <c r="C42" s="6" t="s">
        <v>3</v>
      </c>
      <c r="D42" s="23"/>
      <c r="E42" s="218">
        <v>1676515251.76</v>
      </c>
      <c r="F42" s="118">
        <v>0</v>
      </c>
      <c r="G42" s="118">
        <f t="shared" si="18"/>
        <v>1676515251.76</v>
      </c>
      <c r="H42" s="220">
        <v>0</v>
      </c>
      <c r="I42" s="268">
        <f t="shared" si="19"/>
        <v>1676515251.76</v>
      </c>
      <c r="J42" s="175">
        <v>1</v>
      </c>
      <c r="K42" s="118">
        <f t="shared" si="20"/>
        <v>1676515251.76</v>
      </c>
      <c r="L42" s="119"/>
      <c r="M42" s="119"/>
      <c r="N42" s="220">
        <v>0</v>
      </c>
      <c r="O42" s="220">
        <v>0</v>
      </c>
      <c r="P42" s="220">
        <v>0</v>
      </c>
      <c r="Q42" s="220">
        <f t="shared" si="21"/>
        <v>0</v>
      </c>
      <c r="R42" s="220">
        <v>1675410858.1199999</v>
      </c>
      <c r="S42" s="220">
        <v>1104393.6399999999</v>
      </c>
      <c r="T42" s="220">
        <f t="shared" si="22"/>
        <v>1676515251.76</v>
      </c>
      <c r="U42" s="220">
        <v>0</v>
      </c>
      <c r="V42" s="220">
        <v>0</v>
      </c>
      <c r="W42" s="119">
        <f t="shared" si="23"/>
        <v>1676515251.76</v>
      </c>
      <c r="X42" s="6" t="b">
        <f t="shared" si="24"/>
        <v>1</v>
      </c>
      <c r="Y42" s="146"/>
    </row>
    <row r="43" spans="1:25" s="6" customFormat="1" ht="15" customHeight="1">
      <c r="A43" s="23">
        <v>29</v>
      </c>
      <c r="B43" s="6" t="s">
        <v>72</v>
      </c>
      <c r="C43" s="6" t="s">
        <v>73</v>
      </c>
      <c r="D43" s="23"/>
      <c r="E43" s="218">
        <v>1082662295.79</v>
      </c>
      <c r="F43" s="118">
        <v>0</v>
      </c>
      <c r="G43" s="118">
        <f t="shared" si="18"/>
        <v>1082662295.79</v>
      </c>
      <c r="H43" s="220">
        <v>0</v>
      </c>
      <c r="I43" s="268">
        <f t="shared" si="19"/>
        <v>1082662295.79</v>
      </c>
      <c r="J43" s="175">
        <v>1</v>
      </c>
      <c r="K43" s="118">
        <f t="shared" si="20"/>
        <v>1082662295.79</v>
      </c>
      <c r="L43" s="119"/>
      <c r="M43" s="119"/>
      <c r="N43" s="220">
        <v>0</v>
      </c>
      <c r="O43" s="220">
        <v>0</v>
      </c>
      <c r="P43" s="220">
        <v>0</v>
      </c>
      <c r="Q43" s="220">
        <f t="shared" si="21"/>
        <v>0</v>
      </c>
      <c r="R43" s="220">
        <v>1082118478.1099999</v>
      </c>
      <c r="S43" s="220">
        <v>543817.68000000005</v>
      </c>
      <c r="T43" s="220">
        <f t="shared" si="22"/>
        <v>1082662295.79</v>
      </c>
      <c r="U43" s="220">
        <v>0</v>
      </c>
      <c r="V43" s="220">
        <v>0</v>
      </c>
      <c r="W43" s="119">
        <f t="shared" si="23"/>
        <v>1082662295.79</v>
      </c>
      <c r="X43" s="6" t="b">
        <f t="shared" si="24"/>
        <v>1</v>
      </c>
      <c r="Y43" s="146"/>
    </row>
    <row r="44" spans="1:25" s="6" customFormat="1" ht="15" customHeight="1">
      <c r="A44" s="23">
        <v>30</v>
      </c>
      <c r="B44" s="6" t="s">
        <v>74</v>
      </c>
      <c r="C44" s="74" t="s">
        <v>4</v>
      </c>
      <c r="D44" s="61"/>
      <c r="E44" s="218">
        <v>2555767640.0300002</v>
      </c>
      <c r="F44" s="118">
        <v>0</v>
      </c>
      <c r="G44" s="118">
        <f t="shared" si="18"/>
        <v>2555767640.0300002</v>
      </c>
      <c r="H44" s="220">
        <v>0</v>
      </c>
      <c r="I44" s="268">
        <f t="shared" si="19"/>
        <v>2555767640.0300002</v>
      </c>
      <c r="J44" s="175">
        <v>1</v>
      </c>
      <c r="K44" s="118">
        <f t="shared" si="20"/>
        <v>2555767640.0300002</v>
      </c>
      <c r="L44" s="119"/>
      <c r="M44" s="119"/>
      <c r="N44" s="220">
        <v>0</v>
      </c>
      <c r="O44" s="220">
        <v>0</v>
      </c>
      <c r="P44" s="220">
        <v>0</v>
      </c>
      <c r="Q44" s="220">
        <f t="shared" si="21"/>
        <v>0</v>
      </c>
      <c r="R44" s="220">
        <v>2553927527.9699998</v>
      </c>
      <c r="S44" s="220">
        <v>1840112.0600000001</v>
      </c>
      <c r="T44" s="220">
        <f t="shared" si="22"/>
        <v>2555767640.0299997</v>
      </c>
      <c r="U44" s="220">
        <v>0</v>
      </c>
      <c r="V44" s="220">
        <v>0</v>
      </c>
      <c r="W44" s="119">
        <f t="shared" si="23"/>
        <v>2555767640.0299997</v>
      </c>
      <c r="X44" s="6" t="b">
        <f t="shared" si="24"/>
        <v>1</v>
      </c>
      <c r="Y44" s="146"/>
    </row>
    <row r="45" spans="1:25" s="6" customFormat="1" ht="15" customHeight="1">
      <c r="A45" s="23">
        <v>31</v>
      </c>
      <c r="B45" s="6" t="s">
        <v>75</v>
      </c>
      <c r="C45" s="6" t="s">
        <v>76</v>
      </c>
      <c r="D45" s="23"/>
      <c r="E45" s="218">
        <v>2493082806.52</v>
      </c>
      <c r="F45" s="118">
        <v>0</v>
      </c>
      <c r="G45" s="118">
        <f t="shared" si="18"/>
        <v>2493082806.52</v>
      </c>
      <c r="H45" s="220">
        <v>0</v>
      </c>
      <c r="I45" s="268">
        <f t="shared" si="19"/>
        <v>2493082806.52</v>
      </c>
      <c r="J45" s="175">
        <v>1</v>
      </c>
      <c r="K45" s="118">
        <f t="shared" si="20"/>
        <v>2493082806.52</v>
      </c>
      <c r="L45" s="119"/>
      <c r="M45" s="119"/>
      <c r="N45" s="220">
        <v>0</v>
      </c>
      <c r="O45" s="220">
        <v>0</v>
      </c>
      <c r="P45" s="220">
        <v>0</v>
      </c>
      <c r="Q45" s="220">
        <f t="shared" si="21"/>
        <v>0</v>
      </c>
      <c r="R45" s="220">
        <v>2493077762.4000001</v>
      </c>
      <c r="S45" s="220">
        <v>5044.1199999999999</v>
      </c>
      <c r="T45" s="220">
        <f t="shared" si="22"/>
        <v>2493082806.52</v>
      </c>
      <c r="U45" s="220">
        <v>0</v>
      </c>
      <c r="V45" s="220">
        <v>0</v>
      </c>
      <c r="W45" s="119">
        <f t="shared" si="23"/>
        <v>2493082806.52</v>
      </c>
      <c r="X45" s="6" t="b">
        <f t="shared" si="24"/>
        <v>1</v>
      </c>
      <c r="Y45" s="146"/>
    </row>
    <row r="46" spans="1:25" s="6" customFormat="1" ht="15" customHeight="1">
      <c r="A46" s="23">
        <v>32</v>
      </c>
      <c r="B46" s="6" t="s">
        <v>77</v>
      </c>
      <c r="C46" s="74" t="s">
        <v>78</v>
      </c>
      <c r="D46" s="61"/>
      <c r="E46" s="218">
        <v>1652238990.3599999</v>
      </c>
      <c r="F46" s="118">
        <v>0</v>
      </c>
      <c r="G46" s="118">
        <f t="shared" si="18"/>
        <v>1652238990.3599999</v>
      </c>
      <c r="H46" s="220">
        <v>0</v>
      </c>
      <c r="I46" s="268">
        <f t="shared" si="19"/>
        <v>1652238990.3599999</v>
      </c>
      <c r="J46" s="175">
        <v>1</v>
      </c>
      <c r="K46" s="118">
        <f t="shared" si="20"/>
        <v>1652238990.3599999</v>
      </c>
      <c r="L46" s="118"/>
      <c r="M46" s="119"/>
      <c r="N46" s="220">
        <v>0</v>
      </c>
      <c r="O46" s="220">
        <v>0</v>
      </c>
      <c r="P46" s="220">
        <v>0</v>
      </c>
      <c r="Q46" s="220">
        <f t="shared" si="21"/>
        <v>0</v>
      </c>
      <c r="R46" s="220">
        <v>1652238990.3599999</v>
      </c>
      <c r="S46" s="220">
        <v>0</v>
      </c>
      <c r="T46" s="220">
        <f t="shared" si="22"/>
        <v>1652238990.3599999</v>
      </c>
      <c r="U46" s="220">
        <v>0</v>
      </c>
      <c r="V46" s="220">
        <v>0</v>
      </c>
      <c r="W46" s="119">
        <f t="shared" si="23"/>
        <v>1652238990.3599999</v>
      </c>
      <c r="X46" s="6" t="b">
        <f t="shared" si="24"/>
        <v>1</v>
      </c>
      <c r="Y46" s="57"/>
    </row>
    <row r="47" spans="1:24" s="6" customFormat="1" ht="15" customHeight="1">
      <c r="A47" s="23">
        <v>33</v>
      </c>
      <c r="B47" s="6" t="s">
        <v>79</v>
      </c>
      <c r="C47" s="6" t="s">
        <v>80</v>
      </c>
      <c r="D47" s="23"/>
      <c r="E47" s="218">
        <v>574147483.07000005</v>
      </c>
      <c r="F47" s="118">
        <v>0</v>
      </c>
      <c r="G47" s="118">
        <f t="shared" si="18"/>
        <v>574147483.07000005</v>
      </c>
      <c r="H47" s="220">
        <v>0</v>
      </c>
      <c r="I47" s="268">
        <f t="shared" si="19"/>
        <v>574147483.07000005</v>
      </c>
      <c r="J47" s="175">
        <v>1</v>
      </c>
      <c r="K47" s="118">
        <f t="shared" si="20"/>
        <v>574147483.07000005</v>
      </c>
      <c r="L47" s="118"/>
      <c r="M47" s="119"/>
      <c r="N47" s="220">
        <v>0</v>
      </c>
      <c r="O47" s="220">
        <v>0</v>
      </c>
      <c r="P47" s="220">
        <v>0</v>
      </c>
      <c r="Q47" s="220">
        <f t="shared" si="21"/>
        <v>0</v>
      </c>
      <c r="R47" s="220">
        <v>0</v>
      </c>
      <c r="S47" s="220">
        <v>0</v>
      </c>
      <c r="T47" s="220">
        <f t="shared" si="22"/>
        <v>0</v>
      </c>
      <c r="U47" s="220">
        <v>574147483.07000005</v>
      </c>
      <c r="V47" s="220">
        <v>0</v>
      </c>
      <c r="W47" s="119">
        <f t="shared" si="23"/>
        <v>574147483.07000005</v>
      </c>
      <c r="X47" s="6" t="b">
        <f t="shared" si="24"/>
        <v>1</v>
      </c>
    </row>
    <row r="48" spans="1:24" s="6" customFormat="1" ht="15" customHeight="1">
      <c r="A48" s="23">
        <v>34</v>
      </c>
      <c r="B48" s="6" t="s">
        <v>81</v>
      </c>
      <c r="C48" s="6" t="s">
        <v>6</v>
      </c>
      <c r="D48" s="23"/>
      <c r="E48" s="218">
        <v>54631096.93</v>
      </c>
      <c r="F48" s="118">
        <v>0</v>
      </c>
      <c r="G48" s="118">
        <f t="shared" si="18"/>
        <v>54631096.93</v>
      </c>
      <c r="H48" s="220">
        <v>0</v>
      </c>
      <c r="I48" s="268">
        <f t="shared" si="19"/>
        <v>54631096.93</v>
      </c>
      <c r="J48" s="175">
        <v>1</v>
      </c>
      <c r="K48" s="118">
        <f t="shared" si="20"/>
        <v>54631096.93</v>
      </c>
      <c r="L48" s="118"/>
      <c r="M48" s="119"/>
      <c r="N48" s="220">
        <v>0</v>
      </c>
      <c r="O48" s="220">
        <v>0</v>
      </c>
      <c r="P48" s="220">
        <v>0</v>
      </c>
      <c r="Q48" s="220">
        <f t="shared" si="21"/>
        <v>0</v>
      </c>
      <c r="R48" s="220">
        <v>54631096.93</v>
      </c>
      <c r="S48" s="220">
        <v>0</v>
      </c>
      <c r="T48" s="220">
        <f t="shared" si="22"/>
        <v>54631096.93</v>
      </c>
      <c r="U48" s="220">
        <v>0</v>
      </c>
      <c r="V48" s="220">
        <v>0</v>
      </c>
      <c r="W48" s="119">
        <f t="shared" si="23"/>
        <v>54631096.93</v>
      </c>
      <c r="X48" s="6" t="b">
        <f t="shared" si="24"/>
        <v>1</v>
      </c>
    </row>
    <row r="49" spans="1:24" s="6" customFormat="1" ht="15" customHeight="1">
      <c r="A49" s="23">
        <v>35</v>
      </c>
      <c r="B49" s="6" t="s">
        <v>82</v>
      </c>
      <c r="C49" s="6" t="s">
        <v>7</v>
      </c>
      <c r="D49" s="23"/>
      <c r="E49" s="218">
        <v>0</v>
      </c>
      <c r="F49" s="118">
        <v>0</v>
      </c>
      <c r="G49" s="118">
        <f t="shared" si="18"/>
        <v>0</v>
      </c>
      <c r="H49" s="220">
        <v>0</v>
      </c>
      <c r="I49" s="268">
        <v>0</v>
      </c>
      <c r="J49" s="175">
        <v>1</v>
      </c>
      <c r="K49" s="118">
        <f t="shared" si="20"/>
        <v>0</v>
      </c>
      <c r="L49" s="118"/>
      <c r="M49" s="119"/>
      <c r="N49" s="220">
        <v>0</v>
      </c>
      <c r="O49" s="220">
        <v>0</v>
      </c>
      <c r="P49" s="220">
        <v>0</v>
      </c>
      <c r="Q49" s="220">
        <f t="shared" si="21"/>
        <v>0</v>
      </c>
      <c r="R49" s="220">
        <v>0</v>
      </c>
      <c r="S49" s="220">
        <v>0</v>
      </c>
      <c r="T49" s="220">
        <f t="shared" si="22"/>
        <v>0</v>
      </c>
      <c r="U49" s="220">
        <v>0</v>
      </c>
      <c r="V49" s="220">
        <v>0</v>
      </c>
      <c r="W49" s="119">
        <f t="shared" si="23"/>
        <v>0</v>
      </c>
      <c r="X49" s="6" t="b">
        <f t="shared" si="24"/>
        <v>1</v>
      </c>
    </row>
    <row r="50" spans="1:24" s="6" customFormat="1" ht="15" customHeight="1">
      <c r="A50" s="23">
        <v>36</v>
      </c>
      <c r="B50" s="6" t="s">
        <v>112</v>
      </c>
      <c r="C50" s="6" t="s">
        <v>8</v>
      </c>
      <c r="D50" s="23"/>
      <c r="E50" s="218">
        <v>437411078.04000002</v>
      </c>
      <c r="F50" s="118">
        <v>0</v>
      </c>
      <c r="G50" s="118">
        <f t="shared" si="18"/>
        <v>437411078.04000002</v>
      </c>
      <c r="H50" s="220">
        <v>0</v>
      </c>
      <c r="I50" s="268">
        <f t="shared" si="19"/>
        <v>437411078.04000002</v>
      </c>
      <c r="J50" s="175">
        <v>1</v>
      </c>
      <c r="K50" s="118">
        <f t="shared" si="20"/>
        <v>437411078.04000002</v>
      </c>
      <c r="L50" s="118"/>
      <c r="M50" s="119"/>
      <c r="N50" s="220">
        <v>0</v>
      </c>
      <c r="O50" s="220">
        <v>0</v>
      </c>
      <c r="P50" s="220">
        <v>0</v>
      </c>
      <c r="Q50" s="220">
        <f t="shared" si="21"/>
        <v>0</v>
      </c>
      <c r="R50" s="220">
        <v>437403825.88999999</v>
      </c>
      <c r="S50" s="220">
        <v>7252.1499999999996</v>
      </c>
      <c r="T50" s="220">
        <f t="shared" si="22"/>
        <v>437411078.03999996</v>
      </c>
      <c r="U50" s="220">
        <v>0</v>
      </c>
      <c r="V50" s="220">
        <v>0</v>
      </c>
      <c r="W50" s="119">
        <f t="shared" si="23"/>
        <v>437411078.03999996</v>
      </c>
      <c r="X50" s="6" t="b">
        <f t="shared" si="24"/>
        <v>1</v>
      </c>
    </row>
    <row r="51" spans="1:24" s="2" customFormat="1" ht="15" customHeight="1">
      <c r="A51" s="23">
        <v>37</v>
      </c>
      <c r="B51" s="6" t="s">
        <v>83</v>
      </c>
      <c r="C51" s="6" t="s">
        <v>44</v>
      </c>
      <c r="D51" s="23"/>
      <c r="E51" s="218">
        <v>96116029.030000001</v>
      </c>
      <c r="F51" s="118">
        <v>0</v>
      </c>
      <c r="G51" s="118">
        <f t="shared" si="18"/>
        <v>96116029.030000001</v>
      </c>
      <c r="H51" s="220">
        <v>0</v>
      </c>
      <c r="I51" s="268">
        <f t="shared" si="19"/>
        <v>96116029.030000001</v>
      </c>
      <c r="J51" s="175">
        <v>1</v>
      </c>
      <c r="K51" s="118">
        <f t="shared" si="20"/>
        <v>96116029.030000001</v>
      </c>
      <c r="L51" s="119"/>
      <c r="M51" s="119"/>
      <c r="N51" s="220">
        <v>24591238.710000001</v>
      </c>
      <c r="O51" s="220">
        <v>49119.300000000003</v>
      </c>
      <c r="P51" s="220">
        <v>0</v>
      </c>
      <c r="Q51" s="220">
        <f t="shared" si="21"/>
        <v>24640358.010000002</v>
      </c>
      <c r="R51" s="220">
        <v>71344821.219999999</v>
      </c>
      <c r="S51" s="220">
        <v>130849.8</v>
      </c>
      <c r="T51" s="220">
        <f t="shared" si="22"/>
        <v>71475671.019999996</v>
      </c>
      <c r="U51" s="220">
        <v>0</v>
      </c>
      <c r="V51" s="220">
        <v>0</v>
      </c>
      <c r="W51" s="119">
        <f t="shared" si="23"/>
        <v>96116029.030000001</v>
      </c>
      <c r="X51" s="6" t="b">
        <f t="shared" si="24"/>
        <v>1</v>
      </c>
    </row>
    <row r="52" spans="1:23" s="2" customFormat="1" ht="15" customHeight="1">
      <c r="A52" s="23">
        <v>38</v>
      </c>
      <c r="B52" s="6"/>
      <c r="C52" s="6"/>
      <c r="D52" s="23"/>
      <c r="E52" s="168"/>
      <c r="F52" s="169"/>
      <c r="G52" s="169"/>
      <c r="H52" s="169"/>
      <c r="I52" s="169"/>
      <c r="J52" s="177"/>
      <c r="K52" s="168"/>
      <c r="L52" s="119"/>
      <c r="M52" s="119"/>
      <c r="N52" s="168"/>
      <c r="O52" s="168"/>
      <c r="P52" s="168"/>
      <c r="Q52" s="168"/>
      <c r="R52" s="168"/>
      <c r="S52" s="168"/>
      <c r="T52" s="168"/>
      <c r="U52" s="168"/>
      <c r="V52" s="168"/>
      <c r="W52" s="169"/>
    </row>
    <row r="53" spans="1:24" s="10" customFormat="1" ht="15" customHeight="1">
      <c r="A53" s="23">
        <v>39</v>
      </c>
      <c r="C53" s="58" t="s">
        <v>195</v>
      </c>
      <c r="D53" s="53"/>
      <c r="E53" s="186">
        <f>SUM(E37:E51)</f>
        <v>15987035515.670004</v>
      </c>
      <c r="F53" s="186">
        <f>SUM(F37:F51)</f>
        <v>3146147.4399999999</v>
      </c>
      <c r="G53" s="186">
        <f>SUM(G37:G51)</f>
        <v>15990181663.110003</v>
      </c>
      <c r="H53" s="186">
        <f>SUM(H37:H51)</f>
        <v>0</v>
      </c>
      <c r="I53" s="186">
        <f>SUM(I37:I51)</f>
        <v>15990181663.110003</v>
      </c>
      <c r="J53" s="186"/>
      <c r="K53" s="186">
        <f>SUM(K37:K51)</f>
        <v>15990181663.110003</v>
      </c>
      <c r="L53" s="186"/>
      <c r="M53" s="186"/>
      <c r="N53" s="186">
        <f t="shared" si="25" ref="N53:W53">SUM(N37:N51)</f>
        <v>650147038.51999998</v>
      </c>
      <c r="O53" s="186">
        <f t="shared" si="25"/>
        <v>55286514.099999994</v>
      </c>
      <c r="P53" s="186">
        <f t="shared" si="26" ref="P53">SUM(P37:P51)</f>
        <v>0</v>
      </c>
      <c r="Q53" s="186">
        <f t="shared" si="25"/>
        <v>705433552.61999989</v>
      </c>
      <c r="R53" s="186">
        <f t="shared" si="25"/>
        <v>14618819732.849999</v>
      </c>
      <c r="S53" s="186">
        <f t="shared" si="25"/>
        <v>91780894.570000008</v>
      </c>
      <c r="T53" s="186">
        <f t="shared" si="25"/>
        <v>14710600627.420002</v>
      </c>
      <c r="U53" s="186">
        <f t="shared" si="25"/>
        <v>574147483.07000005</v>
      </c>
      <c r="V53" s="186">
        <f t="shared" si="25"/>
        <v>0</v>
      </c>
      <c r="W53" s="186">
        <f t="shared" si="25"/>
        <v>15990181663.110003</v>
      </c>
      <c r="X53" s="6" t="b">
        <f>ROUND(+W53,2)=ROUND(K53,2)</f>
        <v>1</v>
      </c>
    </row>
    <row r="54" spans="1:23" s="6" customFormat="1" ht="15" customHeight="1">
      <c r="A54" s="23">
        <v>40</v>
      </c>
      <c r="D54" s="23"/>
      <c r="E54" s="119"/>
      <c r="F54" s="119"/>
      <c r="G54" s="119"/>
      <c r="H54" s="119"/>
      <c r="I54" s="119"/>
      <c r="J54" s="177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</row>
    <row r="55" spans="1:185" s="6" customFormat="1" ht="15" customHeight="1">
      <c r="A55" s="23">
        <v>41</v>
      </c>
      <c r="B55" s="62" t="s">
        <v>196</v>
      </c>
      <c r="C55" s="10"/>
      <c r="D55" s="53" t="s">
        <v>152</v>
      </c>
      <c r="E55" s="186">
        <f>+E53+E34+E20</f>
        <v>30128312157.030006</v>
      </c>
      <c r="F55" s="186">
        <f>+F53+F34+F20</f>
        <v>3146147.4399999999</v>
      </c>
      <c r="G55" s="186">
        <f>+G53+G34+G20</f>
        <v>30131458304.470001</v>
      </c>
      <c r="H55" s="186">
        <f>+H53+H34+H20</f>
        <v>-4733186.1299999999</v>
      </c>
      <c r="I55" s="186">
        <f>+I53+I34+I20</f>
        <v>30126725118.340004</v>
      </c>
      <c r="J55" s="186"/>
      <c r="K55" s="186">
        <f>+K53+K34+K20</f>
        <v>30126725118.340004</v>
      </c>
      <c r="L55" s="186"/>
      <c r="M55" s="186"/>
      <c r="N55" s="186">
        <f t="shared" si="27" ref="N55:W55">+N53+N34+N20</f>
        <v>11826372122.799999</v>
      </c>
      <c r="O55" s="186">
        <f t="shared" si="27"/>
        <v>1730304248.47</v>
      </c>
      <c r="P55" s="186">
        <f t="shared" si="28" ref="P55">+P53+P34+P20</f>
        <v>32539117.650000002</v>
      </c>
      <c r="Q55" s="186">
        <f t="shared" si="27"/>
        <v>13589215488.919998</v>
      </c>
      <c r="R55" s="186">
        <f t="shared" si="27"/>
        <v>15324013756.529999</v>
      </c>
      <c r="S55" s="186">
        <f t="shared" si="27"/>
        <v>143637502.12000001</v>
      </c>
      <c r="T55" s="186">
        <f t="shared" si="27"/>
        <v>15467651258.650002</v>
      </c>
      <c r="U55" s="186">
        <f t="shared" si="27"/>
        <v>759449196.03000009</v>
      </c>
      <c r="V55" s="186">
        <f t="shared" si="27"/>
        <v>310409174.74000001</v>
      </c>
      <c r="W55" s="186">
        <f t="shared" si="27"/>
        <v>30126725118.340004</v>
      </c>
      <c r="X55" s="6" t="b">
        <f>ROUND(+W55,2)=ROUND(K55,2)</f>
        <v>1</v>
      </c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</row>
    <row r="56" spans="1:24" s="10" customFormat="1" ht="15" customHeight="1">
      <c r="A56" s="23">
        <v>42</v>
      </c>
      <c r="B56" s="62" t="s">
        <v>197</v>
      </c>
      <c r="D56" s="53" t="s">
        <v>152</v>
      </c>
      <c r="E56" s="186">
        <f>+E53+E34</f>
        <v>29061961875.960007</v>
      </c>
      <c r="F56" s="186">
        <f>+F53+F34</f>
        <v>3146147.4399999999</v>
      </c>
      <c r="G56" s="186">
        <f>+G53+G34</f>
        <v>29065108023.400002</v>
      </c>
      <c r="H56" s="186">
        <f>+H53+H34</f>
        <v>-4733186.1299999999</v>
      </c>
      <c r="I56" s="186">
        <f>+I53+I34</f>
        <v>29060374837.270004</v>
      </c>
      <c r="J56" s="186"/>
      <c r="K56" s="186">
        <f>+K53+K34</f>
        <v>29060374837.270004</v>
      </c>
      <c r="L56" s="186"/>
      <c r="M56" s="186"/>
      <c r="N56" s="186">
        <f t="shared" si="29" ref="N56:W56">+N53+N34</f>
        <v>11579066102.25</v>
      </c>
      <c r="O56" s="186">
        <f t="shared" si="29"/>
        <v>1730304248.47</v>
      </c>
      <c r="P56" s="186">
        <f t="shared" si="30" ref="P56">+P53+P34</f>
        <v>32539117.650000002</v>
      </c>
      <c r="Q56" s="186">
        <f t="shared" si="29"/>
        <v>13341909468.369999</v>
      </c>
      <c r="R56" s="186">
        <f t="shared" si="29"/>
        <v>15000680383.709999</v>
      </c>
      <c r="S56" s="186">
        <f t="shared" si="29"/>
        <v>143637502.12000001</v>
      </c>
      <c r="T56" s="186">
        <f t="shared" si="29"/>
        <v>15144317885.830002</v>
      </c>
      <c r="U56" s="186">
        <f t="shared" si="29"/>
        <v>574147483.07000005</v>
      </c>
      <c r="V56" s="186">
        <f t="shared" si="29"/>
        <v>0</v>
      </c>
      <c r="W56" s="186">
        <f t="shared" si="29"/>
        <v>29060374837.270004</v>
      </c>
      <c r="X56" s="6" t="b">
        <f>ROUND(+W56,2)=ROUND(K56,2)</f>
        <v>1</v>
      </c>
    </row>
    <row r="57" spans="4:23" s="10" customFormat="1" ht="12.75">
      <c r="D57" s="53"/>
      <c r="E57" s="55"/>
      <c r="F57" s="55"/>
      <c r="G57" s="55"/>
      <c r="H57" s="55"/>
      <c r="I57" s="55"/>
      <c r="J57" s="55"/>
      <c r="K57" s="55"/>
      <c r="L57" s="53"/>
      <c r="M57" s="53"/>
      <c r="N57" s="55"/>
      <c r="O57" s="55"/>
      <c r="P57" s="55"/>
      <c r="Q57" s="55"/>
      <c r="R57" s="55"/>
      <c r="S57" s="55"/>
      <c r="T57" s="55"/>
      <c r="U57" s="55"/>
      <c r="V57" s="55"/>
      <c r="W57" s="55"/>
    </row>
    <row r="61" spans="2:21" s="10" customFormat="1" ht="12.75">
      <c r="B61" s="62"/>
      <c r="D61" s="53"/>
      <c r="E61" s="55"/>
      <c r="F61" s="55"/>
      <c r="G61" s="55"/>
      <c r="H61" s="55"/>
      <c r="I61" s="55"/>
      <c r="J61" s="55"/>
      <c r="K61" s="55"/>
      <c r="L61" s="53"/>
      <c r="M61" s="53"/>
      <c r="N61" s="55"/>
      <c r="O61" s="55"/>
      <c r="P61" s="55"/>
      <c r="Q61" s="55"/>
      <c r="R61" s="55"/>
      <c r="S61" s="55"/>
      <c r="T61" s="55"/>
      <c r="U61" s="55"/>
    </row>
    <row r="62" spans="2:23" s="2" customFormat="1" ht="12.75">
      <c r="B62" s="6"/>
      <c r="C62" s="6"/>
      <c r="D62" s="23"/>
      <c r="E62" s="19"/>
      <c r="F62" s="19"/>
      <c r="G62" s="19"/>
      <c r="H62" s="19"/>
      <c r="I62" s="19"/>
      <c r="J62" s="19"/>
      <c r="K62" s="56"/>
      <c r="L62" s="23"/>
      <c r="M62" s="23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4:23" s="6" customFormat="1" ht="12.75">
      <c r="D63" s="23"/>
      <c r="E63" s="19"/>
      <c r="F63" s="19"/>
      <c r="G63" s="19"/>
      <c r="H63" s="19"/>
      <c r="I63" s="19"/>
      <c r="J63" s="19"/>
      <c r="K63" s="56"/>
      <c r="L63" s="23"/>
      <c r="M63" s="23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4:23" s="6" customFormat="1" ht="12.75">
      <c r="D64" s="23"/>
      <c r="E64" s="19"/>
      <c r="F64" s="19"/>
      <c r="G64" s="19"/>
      <c r="H64" s="19"/>
      <c r="I64" s="19"/>
      <c r="J64" s="19"/>
      <c r="K64" s="56"/>
      <c r="L64" s="23"/>
      <c r="M64" s="23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4:23" s="6" customFormat="1" ht="12.75">
      <c r="D65" s="23"/>
      <c r="E65" s="19"/>
      <c r="F65" s="19"/>
      <c r="G65" s="19"/>
      <c r="H65" s="19"/>
      <c r="I65" s="19"/>
      <c r="J65" s="19"/>
      <c r="K65" s="56"/>
      <c r="L65" s="23"/>
      <c r="M65" s="23"/>
      <c r="N65" s="56"/>
      <c r="O65" s="56"/>
      <c r="P65" s="56"/>
      <c r="Q65" s="56"/>
      <c r="R65" s="56"/>
      <c r="S65" s="56"/>
      <c r="T65" s="56"/>
      <c r="U65" s="56"/>
      <c r="V65" s="56"/>
      <c r="W65" s="56"/>
    </row>
    <row r="66" spans="4:23" s="6" customFormat="1" ht="12.75">
      <c r="D66" s="23"/>
      <c r="E66" s="19"/>
      <c r="F66" s="19"/>
      <c r="G66" s="19"/>
      <c r="H66" s="19"/>
      <c r="I66" s="19"/>
      <c r="J66" s="19"/>
      <c r="K66" s="56"/>
      <c r="L66" s="23"/>
      <c r="M66" s="23"/>
      <c r="N66" s="56"/>
      <c r="O66" s="56"/>
      <c r="P66" s="56"/>
      <c r="Q66" s="56"/>
      <c r="R66" s="56"/>
      <c r="S66" s="56"/>
      <c r="T66" s="56"/>
      <c r="U66" s="56"/>
      <c r="V66" s="56"/>
      <c r="W66" s="56"/>
    </row>
    <row r="67" spans="4:23" s="6" customFormat="1" ht="12.75">
      <c r="D67" s="23"/>
      <c r="E67" s="19"/>
      <c r="F67" s="19"/>
      <c r="G67" s="19"/>
      <c r="H67" s="19"/>
      <c r="I67" s="19"/>
      <c r="J67" s="19"/>
      <c r="K67" s="56"/>
      <c r="L67" s="23"/>
      <c r="M67" s="23"/>
      <c r="N67" s="56"/>
      <c r="O67" s="56"/>
      <c r="P67" s="56"/>
      <c r="Q67" s="56"/>
      <c r="R67" s="56"/>
      <c r="S67" s="56"/>
      <c r="T67" s="56"/>
      <c r="U67" s="56"/>
      <c r="V67" s="56"/>
      <c r="W67" s="56"/>
    </row>
    <row r="68" spans="4:23" s="6" customFormat="1" ht="12.75">
      <c r="D68" s="23"/>
      <c r="E68" s="19"/>
      <c r="F68" s="19"/>
      <c r="G68" s="19"/>
      <c r="H68" s="19"/>
      <c r="I68" s="19"/>
      <c r="J68" s="19"/>
      <c r="K68" s="56"/>
      <c r="L68" s="23"/>
      <c r="M68" s="23"/>
      <c r="N68" s="56"/>
      <c r="O68" s="56"/>
      <c r="P68" s="56"/>
      <c r="Q68" s="56"/>
      <c r="R68" s="56"/>
      <c r="S68" s="56"/>
      <c r="T68" s="56"/>
      <c r="U68" s="56"/>
      <c r="V68" s="56"/>
      <c r="W68" s="56"/>
    </row>
    <row r="69" spans="4:23" s="6" customFormat="1" ht="12.75">
      <c r="D69" s="23"/>
      <c r="E69" s="19"/>
      <c r="F69" s="19"/>
      <c r="G69" s="19"/>
      <c r="H69" s="19"/>
      <c r="I69" s="19"/>
      <c r="J69" s="19"/>
      <c r="K69" s="56"/>
      <c r="L69" s="23"/>
      <c r="M69" s="23"/>
      <c r="N69" s="19"/>
      <c r="O69" s="19"/>
      <c r="P69" s="19"/>
      <c r="Q69" s="19"/>
      <c r="R69" s="19"/>
      <c r="S69" s="19"/>
      <c r="T69" s="19"/>
      <c r="U69" s="19"/>
      <c r="V69" s="19"/>
      <c r="W69" s="56"/>
    </row>
    <row r="70" spans="4:23" s="6" customFormat="1" ht="12" customHeight="1">
      <c r="D70" s="23"/>
      <c r="E70" s="19"/>
      <c r="F70" s="19"/>
      <c r="G70" s="19"/>
      <c r="H70" s="19"/>
      <c r="I70" s="19"/>
      <c r="J70" s="19"/>
      <c r="K70" s="56"/>
      <c r="L70" s="23"/>
      <c r="M70" s="23"/>
      <c r="N70" s="56"/>
      <c r="O70" s="56"/>
      <c r="P70" s="56"/>
      <c r="Q70" s="56"/>
      <c r="R70" s="56"/>
      <c r="S70" s="56"/>
      <c r="T70" s="56"/>
      <c r="U70" s="56"/>
      <c r="V70" s="56"/>
      <c r="W70" s="56"/>
    </row>
    <row r="71" spans="4:23" s="6" customFormat="1" ht="12" customHeight="1">
      <c r="D71" s="53"/>
      <c r="E71" s="19"/>
      <c r="F71" s="19"/>
      <c r="G71" s="19"/>
      <c r="H71" s="19"/>
      <c r="I71" s="19"/>
      <c r="J71" s="19"/>
      <c r="K71" s="56"/>
      <c r="L71" s="23"/>
      <c r="M71" s="23"/>
      <c r="N71" s="19"/>
      <c r="O71" s="19"/>
      <c r="P71" s="19"/>
      <c r="Q71" s="19"/>
      <c r="R71" s="19"/>
      <c r="S71" s="19"/>
      <c r="T71" s="19"/>
      <c r="U71" s="19"/>
      <c r="V71" s="19"/>
      <c r="W71" s="56"/>
    </row>
    <row r="72" spans="3:23" s="10" customFormat="1" ht="12.75">
      <c r="C72" s="58"/>
      <c r="D72" s="53"/>
      <c r="E72" s="55"/>
      <c r="F72" s="55"/>
      <c r="G72" s="55"/>
      <c r="H72" s="55"/>
      <c r="I72" s="55"/>
      <c r="J72" s="55"/>
      <c r="K72" s="55"/>
      <c r="L72" s="53"/>
      <c r="M72" s="53"/>
      <c r="N72" s="55"/>
      <c r="O72" s="55"/>
      <c r="P72" s="55"/>
      <c r="Q72" s="55"/>
      <c r="R72" s="55"/>
      <c r="S72" s="55"/>
      <c r="T72" s="55"/>
      <c r="U72" s="55"/>
      <c r="V72" s="55"/>
      <c r="W72" s="55"/>
    </row>
    <row r="73" spans="3:21" s="6" customFormat="1" ht="12.75">
      <c r="C73" s="58"/>
      <c r="D73" s="23"/>
      <c r="E73" s="19"/>
      <c r="F73" s="19"/>
      <c r="G73" s="19"/>
      <c r="H73" s="19"/>
      <c r="I73" s="19"/>
      <c r="J73" s="19"/>
      <c r="K73" s="19"/>
      <c r="L73" s="23"/>
      <c r="M73" s="23"/>
      <c r="N73" s="19"/>
      <c r="O73" s="19"/>
      <c r="P73" s="19"/>
      <c r="Q73" s="19"/>
      <c r="R73" s="19"/>
      <c r="S73" s="19"/>
      <c r="T73" s="19"/>
      <c r="U73" s="19"/>
    </row>
    <row r="74" spans="4:23" s="6" customFormat="1" ht="12.75">
      <c r="D74" s="23"/>
      <c r="E74" s="19"/>
      <c r="F74" s="19"/>
      <c r="G74" s="19"/>
      <c r="H74" s="19"/>
      <c r="I74" s="19"/>
      <c r="J74" s="19"/>
      <c r="K74" s="56"/>
      <c r="L74" s="23"/>
      <c r="M74" s="23"/>
      <c r="N74" s="56"/>
      <c r="O74" s="56"/>
      <c r="P74" s="56"/>
      <c r="Q74" s="56"/>
      <c r="R74" s="56"/>
      <c r="S74" s="56"/>
      <c r="T74" s="56"/>
      <c r="U74" s="56"/>
      <c r="V74" s="56"/>
      <c r="W74" s="56"/>
    </row>
    <row r="75" spans="4:23" s="6" customFormat="1" ht="12.75">
      <c r="D75" s="23"/>
      <c r="E75" s="19"/>
      <c r="F75" s="19"/>
      <c r="G75" s="19"/>
      <c r="H75" s="19"/>
      <c r="I75" s="19"/>
      <c r="J75" s="19"/>
      <c r="K75" s="56"/>
      <c r="L75" s="23"/>
      <c r="M75" s="23"/>
      <c r="N75" s="56"/>
      <c r="O75" s="56"/>
      <c r="P75" s="56"/>
      <c r="Q75" s="56"/>
      <c r="R75" s="56"/>
      <c r="S75" s="56"/>
      <c r="T75" s="56"/>
      <c r="U75" s="56"/>
      <c r="V75" s="56"/>
      <c r="W75" s="56"/>
    </row>
    <row r="76" spans="3:23" s="6" customFormat="1" ht="12.75">
      <c r="C76" s="74"/>
      <c r="D76" s="23"/>
      <c r="E76" s="19"/>
      <c r="F76" s="19"/>
      <c r="G76" s="19"/>
      <c r="H76" s="19"/>
      <c r="I76" s="55"/>
      <c r="J76" s="55"/>
      <c r="K76" s="55"/>
      <c r="L76" s="23"/>
      <c r="M76" s="23"/>
      <c r="N76" s="56"/>
      <c r="O76" s="56"/>
      <c r="P76" s="56"/>
      <c r="Q76" s="56"/>
      <c r="R76" s="56"/>
      <c r="S76" s="56"/>
      <c r="T76" s="56"/>
      <c r="U76" s="56"/>
      <c r="V76" s="56"/>
      <c r="W76" s="56"/>
    </row>
    <row r="77" spans="3:23" s="10" customFormat="1" ht="12.75">
      <c r="C77" s="58"/>
      <c r="D77" s="53"/>
      <c r="E77" s="55"/>
      <c r="F77" s="55"/>
      <c r="G77" s="55"/>
      <c r="H77" s="55"/>
      <c r="I77" s="55"/>
      <c r="J77" s="55"/>
      <c r="K77" s="55"/>
      <c r="L77" s="53"/>
      <c r="M77" s="53"/>
      <c r="N77" s="55"/>
      <c r="O77" s="55"/>
      <c r="P77" s="55"/>
      <c r="Q77" s="55"/>
      <c r="R77" s="55"/>
      <c r="S77" s="55"/>
      <c r="T77" s="55"/>
      <c r="U77" s="55"/>
      <c r="V77" s="55"/>
      <c r="W77" s="55"/>
    </row>
    <row r="78" spans="4:21" s="10" customFormat="1" ht="12.75">
      <c r="D78" s="53"/>
      <c r="E78" s="55"/>
      <c r="F78" s="55"/>
      <c r="G78" s="55"/>
      <c r="H78" s="55"/>
      <c r="I78" s="55"/>
      <c r="J78" s="55"/>
      <c r="K78" s="55"/>
      <c r="L78" s="53"/>
      <c r="M78" s="53"/>
      <c r="N78" s="55"/>
      <c r="O78" s="55"/>
      <c r="P78" s="55"/>
      <c r="Q78" s="55"/>
      <c r="R78" s="55"/>
      <c r="S78" s="55"/>
      <c r="T78" s="55"/>
      <c r="U78" s="55"/>
    </row>
    <row r="79" spans="4:23" s="10" customFormat="1" ht="12.75">
      <c r="D79" s="53"/>
      <c r="E79" s="55"/>
      <c r="F79" s="55"/>
      <c r="G79" s="55"/>
      <c r="H79" s="55"/>
      <c r="I79" s="55"/>
      <c r="J79" s="55"/>
      <c r="K79" s="55"/>
      <c r="L79" s="53"/>
      <c r="M79" s="53"/>
      <c r="N79" s="55"/>
      <c r="O79" s="55"/>
      <c r="P79" s="55"/>
      <c r="Q79" s="55"/>
      <c r="R79" s="55"/>
      <c r="S79" s="55"/>
      <c r="T79" s="55"/>
      <c r="U79" s="55"/>
      <c r="V79" s="55"/>
      <c r="W79" s="55"/>
    </row>
    <row r="80" spans="2:21" s="10" customFormat="1" ht="12.75">
      <c r="B80" s="6"/>
      <c r="C80" s="6"/>
      <c r="D80" s="53"/>
      <c r="E80" s="55"/>
      <c r="F80" s="55"/>
      <c r="G80" s="55"/>
      <c r="H80" s="55"/>
      <c r="I80" s="55"/>
      <c r="J80" s="55"/>
      <c r="K80" s="55"/>
      <c r="L80" s="53"/>
      <c r="M80" s="53"/>
      <c r="N80" s="55"/>
      <c r="O80" s="55"/>
      <c r="P80" s="55"/>
      <c r="Q80" s="55"/>
      <c r="R80" s="55"/>
      <c r="S80" s="55"/>
      <c r="T80" s="55"/>
      <c r="U80" s="55"/>
    </row>
    <row r="81" spans="2:23" s="10" customFormat="1" ht="12.75">
      <c r="B81" s="6"/>
      <c r="C81" s="6"/>
      <c r="D81" s="53"/>
      <c r="E81" s="19"/>
      <c r="F81" s="19"/>
      <c r="G81" s="55"/>
      <c r="H81" s="19"/>
      <c r="I81" s="19"/>
      <c r="J81" s="19"/>
      <c r="K81" s="56"/>
      <c r="L81" s="23"/>
      <c r="M81" s="23"/>
      <c r="N81" s="56"/>
      <c r="O81" s="56"/>
      <c r="P81" s="56"/>
      <c r="Q81" s="56"/>
      <c r="R81" s="56"/>
      <c r="S81" s="56"/>
      <c r="T81" s="56"/>
      <c r="U81" s="56"/>
      <c r="V81" s="56"/>
      <c r="W81" s="56"/>
    </row>
    <row r="82" spans="2:23" s="10" customFormat="1" ht="12.75">
      <c r="B82" s="6"/>
      <c r="C82" s="6"/>
      <c r="D82" s="53"/>
      <c r="E82" s="19"/>
      <c r="F82" s="19"/>
      <c r="G82" s="55"/>
      <c r="H82" s="19"/>
      <c r="I82" s="19"/>
      <c r="J82" s="19"/>
      <c r="K82" s="56"/>
      <c r="L82" s="23"/>
      <c r="M82" s="23"/>
      <c r="N82" s="56"/>
      <c r="O82" s="56"/>
      <c r="P82" s="56"/>
      <c r="Q82" s="56"/>
      <c r="R82" s="56"/>
      <c r="S82" s="56"/>
      <c r="T82" s="56"/>
      <c r="U82" s="56"/>
      <c r="V82" s="56"/>
      <c r="W82" s="56"/>
    </row>
    <row r="83" spans="2:23" s="10" customFormat="1" ht="12.75">
      <c r="B83" s="6"/>
      <c r="C83" s="6"/>
      <c r="D83" s="53"/>
      <c r="E83" s="19"/>
      <c r="F83" s="19"/>
      <c r="G83" s="55"/>
      <c r="H83" s="19"/>
      <c r="I83" s="19"/>
      <c r="J83" s="19"/>
      <c r="K83" s="56"/>
      <c r="L83" s="23"/>
      <c r="M83" s="23"/>
      <c r="N83" s="56"/>
      <c r="O83" s="56"/>
      <c r="P83" s="56"/>
      <c r="Q83" s="56"/>
      <c r="R83" s="56"/>
      <c r="S83" s="56"/>
      <c r="T83" s="56"/>
      <c r="U83" s="56"/>
      <c r="V83" s="56"/>
      <c r="W83" s="56"/>
    </row>
    <row r="84" spans="2:23" s="10" customFormat="1" ht="12.75">
      <c r="B84" s="6"/>
      <c r="C84" s="6"/>
      <c r="D84" s="53"/>
      <c r="E84" s="19"/>
      <c r="F84" s="19"/>
      <c r="G84" s="55"/>
      <c r="H84" s="19"/>
      <c r="I84" s="19"/>
      <c r="J84" s="19"/>
      <c r="K84" s="56"/>
      <c r="L84" s="23"/>
      <c r="M84" s="23"/>
      <c r="N84" s="56"/>
      <c r="O84" s="56"/>
      <c r="P84" s="56"/>
      <c r="Q84" s="56"/>
      <c r="R84" s="56"/>
      <c r="S84" s="56"/>
      <c r="T84" s="56"/>
      <c r="U84" s="56"/>
      <c r="V84" s="56"/>
      <c r="W84" s="56"/>
    </row>
    <row r="85" spans="2:23" s="10" customFormat="1" ht="12.75">
      <c r="B85" s="6"/>
      <c r="C85" s="6"/>
      <c r="D85" s="53"/>
      <c r="E85" s="19"/>
      <c r="F85" s="19"/>
      <c r="G85" s="55"/>
      <c r="H85" s="19"/>
      <c r="I85" s="19"/>
      <c r="J85" s="19"/>
      <c r="K85" s="56"/>
      <c r="L85" s="23"/>
      <c r="M85" s="23"/>
      <c r="N85" s="56"/>
      <c r="O85" s="56"/>
      <c r="P85" s="56"/>
      <c r="Q85" s="56"/>
      <c r="R85" s="56"/>
      <c r="S85" s="56"/>
      <c r="T85" s="56"/>
      <c r="U85" s="56"/>
      <c r="V85" s="56"/>
      <c r="W85" s="56"/>
    </row>
    <row r="86" spans="2:23" s="10" customFormat="1" ht="12.75">
      <c r="B86" s="6"/>
      <c r="C86" s="6"/>
      <c r="D86" s="53"/>
      <c r="E86" s="19"/>
      <c r="F86" s="19"/>
      <c r="G86" s="55"/>
      <c r="H86" s="19"/>
      <c r="I86" s="19"/>
      <c r="J86" s="19"/>
      <c r="K86" s="56"/>
      <c r="L86" s="23"/>
      <c r="M86" s="23"/>
      <c r="N86" s="56"/>
      <c r="O86" s="56"/>
      <c r="P86" s="56"/>
      <c r="Q86" s="56"/>
      <c r="R86" s="56"/>
      <c r="S86" s="56"/>
      <c r="T86" s="56"/>
      <c r="U86" s="56"/>
      <c r="V86" s="56"/>
      <c r="W86" s="56"/>
    </row>
    <row r="87" spans="2:23" s="10" customFormat="1" ht="12.75">
      <c r="B87" s="6"/>
      <c r="C87" s="6"/>
      <c r="D87" s="53"/>
      <c r="E87" s="19"/>
      <c r="F87" s="19"/>
      <c r="G87" s="55"/>
      <c r="H87" s="19"/>
      <c r="I87" s="19"/>
      <c r="J87" s="19"/>
      <c r="K87" s="56"/>
      <c r="L87" s="23"/>
      <c r="M87" s="23"/>
      <c r="N87" s="56"/>
      <c r="O87" s="56"/>
      <c r="P87" s="56"/>
      <c r="Q87" s="56"/>
      <c r="R87" s="19"/>
      <c r="S87" s="19"/>
      <c r="T87" s="19"/>
      <c r="U87" s="19"/>
      <c r="V87" s="19"/>
      <c r="W87" s="56"/>
    </row>
    <row r="88" spans="2:23" s="10" customFormat="1" ht="12.75">
      <c r="B88" s="6"/>
      <c r="C88" s="6"/>
      <c r="D88" s="53"/>
      <c r="E88" s="19"/>
      <c r="F88" s="19"/>
      <c r="G88" s="55"/>
      <c r="H88" s="19"/>
      <c r="I88" s="19"/>
      <c r="J88" s="19"/>
      <c r="K88" s="56"/>
      <c r="L88" s="23"/>
      <c r="M88" s="23"/>
      <c r="N88" s="56"/>
      <c r="O88" s="56"/>
      <c r="P88" s="56"/>
      <c r="Q88" s="56"/>
      <c r="R88" s="56"/>
      <c r="S88" s="56"/>
      <c r="T88" s="56"/>
      <c r="U88" s="56"/>
      <c r="V88" s="56"/>
      <c r="W88" s="56"/>
    </row>
    <row r="89" spans="3:23" s="10" customFormat="1" ht="12.75">
      <c r="C89" s="58"/>
      <c r="D89" s="53"/>
      <c r="E89" s="63"/>
      <c r="F89" s="63"/>
      <c r="G89" s="63"/>
      <c r="H89" s="63"/>
      <c r="I89" s="63"/>
      <c r="J89" s="63"/>
      <c r="K89" s="63"/>
      <c r="L89" s="53"/>
      <c r="M89" s="53"/>
      <c r="N89" s="63"/>
      <c r="O89" s="63"/>
      <c r="P89" s="63"/>
      <c r="Q89" s="63"/>
      <c r="R89" s="63"/>
      <c r="S89" s="63"/>
      <c r="T89" s="63"/>
      <c r="U89" s="63"/>
      <c r="V89" s="63"/>
      <c r="W89" s="63"/>
    </row>
    <row r="90" spans="2:21" s="10" customFormat="1" ht="12.75">
      <c r="B90" s="6"/>
      <c r="C90" s="58"/>
      <c r="D90" s="53"/>
      <c r="E90" s="55"/>
      <c r="F90" s="55"/>
      <c r="G90" s="55"/>
      <c r="H90" s="55"/>
      <c r="I90" s="55"/>
      <c r="J90" s="55"/>
      <c r="K90" s="55"/>
      <c r="L90" s="23"/>
      <c r="M90" s="23"/>
      <c r="N90" s="55"/>
      <c r="O90" s="55"/>
      <c r="P90" s="55"/>
      <c r="Q90" s="55"/>
      <c r="R90" s="55"/>
      <c r="S90" s="55"/>
      <c r="T90" s="55"/>
      <c r="U90" s="55"/>
    </row>
    <row r="91" spans="2:23" s="10" customFormat="1" ht="12.75">
      <c r="B91" s="6"/>
      <c r="C91" s="6"/>
      <c r="D91" s="53"/>
      <c r="E91" s="19"/>
      <c r="F91" s="19"/>
      <c r="G91" s="55"/>
      <c r="H91" s="19"/>
      <c r="I91" s="19"/>
      <c r="J91" s="19"/>
      <c r="K91" s="56"/>
      <c r="L91" s="23"/>
      <c r="M91" s="23"/>
      <c r="N91" s="19"/>
      <c r="O91" s="19"/>
      <c r="P91" s="19"/>
      <c r="Q91" s="19"/>
      <c r="R91" s="19"/>
      <c r="S91" s="19"/>
      <c r="T91" s="19"/>
      <c r="U91" s="19"/>
      <c r="V91" s="19"/>
      <c r="W91" s="56"/>
    </row>
    <row r="92" spans="2:23" s="10" customFormat="1" ht="12.75">
      <c r="B92" s="6"/>
      <c r="C92" s="6"/>
      <c r="D92" s="53"/>
      <c r="E92" s="19"/>
      <c r="F92" s="19"/>
      <c r="G92" s="55"/>
      <c r="H92" s="19"/>
      <c r="I92" s="19"/>
      <c r="J92" s="19"/>
      <c r="K92" s="56"/>
      <c r="L92" s="23"/>
      <c r="M92" s="23"/>
      <c r="N92" s="56"/>
      <c r="O92" s="56"/>
      <c r="P92" s="56"/>
      <c r="Q92" s="56"/>
      <c r="R92" s="56"/>
      <c r="S92" s="56"/>
      <c r="T92" s="56"/>
      <c r="U92" s="56"/>
      <c r="V92" s="56"/>
      <c r="W92" s="56"/>
    </row>
    <row r="93" spans="2:23" s="10" customFormat="1" ht="12.75">
      <c r="B93" s="6"/>
      <c r="C93" s="6"/>
      <c r="D93" s="53"/>
      <c r="E93" s="19"/>
      <c r="F93" s="19"/>
      <c r="G93" s="55"/>
      <c r="H93" s="19"/>
      <c r="I93" s="19"/>
      <c r="J93" s="19"/>
      <c r="K93" s="56"/>
      <c r="L93" s="23"/>
      <c r="M93" s="23"/>
      <c r="N93" s="56"/>
      <c r="O93" s="56"/>
      <c r="P93" s="56"/>
      <c r="Q93" s="56"/>
      <c r="R93" s="56"/>
      <c r="S93" s="56"/>
      <c r="T93" s="56"/>
      <c r="U93" s="56"/>
      <c r="V93" s="56"/>
      <c r="W93" s="56"/>
    </row>
    <row r="94" spans="2:23" s="10" customFormat="1" ht="12.75">
      <c r="B94" s="6"/>
      <c r="C94" s="6"/>
      <c r="D94" s="53"/>
      <c r="E94" s="19"/>
      <c r="F94" s="19"/>
      <c r="G94" s="55"/>
      <c r="H94" s="19"/>
      <c r="I94" s="19"/>
      <c r="J94" s="19"/>
      <c r="K94" s="56"/>
      <c r="L94" s="23"/>
      <c r="M94" s="23"/>
      <c r="N94" s="56"/>
      <c r="O94" s="56"/>
      <c r="P94" s="56"/>
      <c r="Q94" s="56"/>
      <c r="R94" s="56"/>
      <c r="S94" s="56"/>
      <c r="T94" s="56"/>
      <c r="U94" s="56"/>
      <c r="V94" s="56"/>
      <c r="W94" s="56"/>
    </row>
    <row r="95" spans="3:23" s="10" customFormat="1" ht="12.75">
      <c r="C95" s="58"/>
      <c r="D95" s="53"/>
      <c r="E95" s="55"/>
      <c r="F95" s="55"/>
      <c r="G95" s="55"/>
      <c r="H95" s="55"/>
      <c r="I95" s="55"/>
      <c r="J95" s="55"/>
      <c r="K95" s="55"/>
      <c r="L95" s="53"/>
      <c r="M95" s="53"/>
      <c r="N95" s="55"/>
      <c r="O95" s="55"/>
      <c r="P95" s="55"/>
      <c r="Q95" s="55"/>
      <c r="R95" s="55"/>
      <c r="S95" s="55"/>
      <c r="T95" s="55"/>
      <c r="U95" s="55"/>
      <c r="V95" s="55"/>
      <c r="W95" s="55"/>
    </row>
    <row r="96" spans="4:21" s="10" customFormat="1" ht="12.75">
      <c r="D96" s="53"/>
      <c r="E96" s="55"/>
      <c r="F96" s="55"/>
      <c r="G96" s="55"/>
      <c r="H96" s="55"/>
      <c r="I96" s="55"/>
      <c r="J96" s="55"/>
      <c r="K96" s="55"/>
      <c r="L96" s="53"/>
      <c r="M96" s="53"/>
      <c r="N96" s="55"/>
      <c r="O96" s="55"/>
      <c r="P96" s="55"/>
      <c r="Q96" s="55"/>
      <c r="R96" s="55"/>
      <c r="S96" s="55"/>
      <c r="T96" s="55"/>
      <c r="U96" s="55"/>
    </row>
    <row r="97" spans="4:23" s="10" customFormat="1" ht="12.75"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</row>
    <row r="98" spans="2:13" s="6" customFormat="1" ht="12.75">
      <c r="B98" s="10"/>
      <c r="D98" s="23"/>
      <c r="L98" s="59"/>
      <c r="M98" s="23"/>
    </row>
    <row r="99" spans="4:13" s="6" customFormat="1" ht="12.75">
      <c r="D99" s="23"/>
      <c r="L99" s="59"/>
      <c r="M99" s="23"/>
    </row>
    <row r="100" spans="4:13" s="6" customFormat="1" ht="12.75">
      <c r="D100" s="23"/>
      <c r="L100" s="59"/>
      <c r="M100" s="23"/>
    </row>
    <row r="101" spans="4:13" s="6" customFormat="1" ht="12.75">
      <c r="D101" s="23"/>
      <c r="L101" s="59"/>
      <c r="M101" s="23"/>
    </row>
    <row r="102" spans="4:13" s="6" customFormat="1" ht="12.75">
      <c r="D102" s="23"/>
      <c r="L102" s="59"/>
      <c r="M102" s="23"/>
    </row>
    <row r="103" spans="3:13" s="6" customFormat="1" ht="12.75">
      <c r="C103" s="64"/>
      <c r="D103" s="1"/>
      <c r="L103" s="65"/>
      <c r="M103" s="1"/>
    </row>
    <row r="104" spans="4:13" s="6" customFormat="1" ht="12.75">
      <c r="D104" s="23"/>
      <c r="L104" s="59"/>
      <c r="M104" s="23"/>
    </row>
    <row r="105" spans="3:13" s="6" customFormat="1" ht="12.75">
      <c r="C105" s="60"/>
      <c r="D105" s="61"/>
      <c r="L105" s="66"/>
      <c r="M105" s="61"/>
    </row>
    <row r="106" spans="4:13" s="6" customFormat="1" ht="12.75">
      <c r="D106" s="23"/>
      <c r="L106" s="59"/>
      <c r="M106" s="23"/>
    </row>
    <row r="107" spans="3:13" s="6" customFormat="1" ht="12.75">
      <c r="C107" s="60"/>
      <c r="D107" s="23"/>
      <c r="L107" s="66"/>
      <c r="M107" s="61"/>
    </row>
    <row r="108" spans="3:13" s="6" customFormat="1" ht="12.75">
      <c r="C108" s="61"/>
      <c r="D108" s="61"/>
      <c r="L108" s="66"/>
      <c r="M108" s="61"/>
    </row>
    <row r="109" spans="4:13" s="6" customFormat="1" ht="12.75">
      <c r="D109" s="23"/>
      <c r="L109" s="59"/>
      <c r="M109" s="23"/>
    </row>
    <row r="110" spans="2:13" s="6" customFormat="1" ht="12.75">
      <c r="B110" s="10"/>
      <c r="D110" s="23"/>
      <c r="L110" s="59"/>
      <c r="M110" s="23"/>
    </row>
    <row r="111" spans="4:13" s="6" customFormat="1" ht="12.75">
      <c r="D111" s="23"/>
      <c r="L111" s="59"/>
      <c r="M111" s="23"/>
    </row>
    <row r="112" spans="4:13" s="6" customFormat="1" ht="12.75">
      <c r="D112" s="23"/>
      <c r="L112" s="59"/>
      <c r="M112" s="23"/>
    </row>
    <row r="113" spans="4:13" s="6" customFormat="1" ht="12.75">
      <c r="D113" s="23"/>
      <c r="L113" s="59"/>
      <c r="M113" s="23"/>
    </row>
    <row r="114" spans="4:13" s="6" customFormat="1" ht="12.75">
      <c r="D114" s="23"/>
      <c r="L114" s="59"/>
      <c r="M114" s="23"/>
    </row>
    <row r="115" spans="4:13" s="6" customFormat="1" ht="12.75">
      <c r="D115" s="23"/>
      <c r="L115" s="59"/>
      <c r="M115" s="23"/>
    </row>
    <row r="116" spans="4:13" s="6" customFormat="1" ht="12.75">
      <c r="D116" s="23"/>
      <c r="L116" s="59"/>
      <c r="M116" s="23"/>
    </row>
    <row r="117" spans="4:13" s="6" customFormat="1" ht="12.75">
      <c r="D117" s="23"/>
      <c r="L117" s="59"/>
      <c r="M117" s="23"/>
    </row>
    <row r="118" spans="4:13" s="6" customFormat="1" ht="12.75">
      <c r="D118" s="23"/>
      <c r="L118" s="59"/>
      <c r="M118" s="23"/>
    </row>
    <row r="119" spans="4:13" s="6" customFormat="1" ht="12.75">
      <c r="D119" s="23"/>
      <c r="L119" s="59"/>
      <c r="M119" s="23"/>
    </row>
    <row r="120" spans="4:13" s="6" customFormat="1" ht="12.75">
      <c r="D120" s="23"/>
      <c r="L120" s="59"/>
      <c r="M120" s="23"/>
    </row>
    <row r="121" spans="4:13" s="6" customFormat="1" ht="12.75">
      <c r="D121" s="23"/>
      <c r="L121" s="59"/>
      <c r="M121" s="23"/>
    </row>
    <row r="122" spans="4:13" s="6" customFormat="1" ht="12.75">
      <c r="D122" s="23"/>
      <c r="L122" s="59"/>
      <c r="M122" s="23"/>
    </row>
    <row r="123" spans="4:13" s="6" customFormat="1" ht="12.75">
      <c r="D123" s="23"/>
      <c r="L123" s="59"/>
      <c r="M123" s="23"/>
    </row>
    <row r="124" spans="4:13" s="6" customFormat="1" ht="12.75">
      <c r="D124" s="23"/>
      <c r="L124" s="59"/>
      <c r="M124" s="23"/>
    </row>
    <row r="125" spans="4:13" s="6" customFormat="1" ht="12.75">
      <c r="D125" s="23"/>
      <c r="L125" s="59"/>
      <c r="M125" s="23"/>
    </row>
    <row r="126" spans="4:13" s="6" customFormat="1" ht="12.75">
      <c r="D126" s="23"/>
      <c r="L126" s="59"/>
      <c r="M126" s="23"/>
    </row>
    <row r="127" spans="4:13" s="6" customFormat="1" ht="12.75">
      <c r="D127" s="23"/>
      <c r="L127" s="59"/>
      <c r="M127" s="23"/>
    </row>
    <row r="128" spans="4:13" s="6" customFormat="1" ht="12.75">
      <c r="D128" s="23"/>
      <c r="L128" s="59"/>
      <c r="M128" s="23"/>
    </row>
    <row r="129" spans="4:13" s="6" customFormat="1" ht="12.75">
      <c r="D129" s="23"/>
      <c r="L129" s="59"/>
      <c r="M129" s="23"/>
    </row>
    <row r="130" spans="4:13" s="6" customFormat="1" ht="12.75">
      <c r="D130" s="23"/>
      <c r="L130" s="59"/>
      <c r="M130" s="23"/>
    </row>
    <row r="131" spans="4:13" s="6" customFormat="1" ht="12.75">
      <c r="D131" s="23"/>
      <c r="L131" s="59"/>
      <c r="M131" s="23"/>
    </row>
    <row r="132" spans="4:13" s="6" customFormat="1" ht="12.75">
      <c r="D132" s="23"/>
      <c r="L132" s="59"/>
      <c r="M132" s="23"/>
    </row>
    <row r="133" spans="4:13" s="6" customFormat="1" ht="12.75">
      <c r="D133" s="23"/>
      <c r="L133" s="59"/>
      <c r="M133" s="23"/>
    </row>
    <row r="134" spans="4:13" s="6" customFormat="1" ht="12.75">
      <c r="D134" s="23"/>
      <c r="L134" s="59"/>
      <c r="M134" s="23"/>
    </row>
    <row r="135" spans="4:13" s="6" customFormat="1" ht="12.75">
      <c r="D135" s="23"/>
      <c r="L135" s="59"/>
      <c r="M135" s="23"/>
    </row>
    <row r="136" spans="4:13" s="6" customFormat="1" ht="12.75">
      <c r="D136" s="23"/>
      <c r="L136" s="59"/>
      <c r="M136" s="23"/>
    </row>
    <row r="137" spans="4:13" s="6" customFormat="1" ht="12.75">
      <c r="D137" s="23"/>
      <c r="L137" s="59"/>
      <c r="M137" s="23"/>
    </row>
    <row r="138" spans="4:13" s="6" customFormat="1" ht="12.75">
      <c r="D138" s="23"/>
      <c r="L138" s="59"/>
      <c r="M138" s="23"/>
    </row>
    <row r="139" spans="4:13" s="6" customFormat="1" ht="12.75">
      <c r="D139" s="23"/>
      <c r="L139" s="59"/>
      <c r="M139" s="23"/>
    </row>
    <row r="140" spans="4:13" s="6" customFormat="1" ht="12.75">
      <c r="D140" s="23"/>
      <c r="L140" s="59"/>
      <c r="M140" s="23"/>
    </row>
    <row r="141" spans="4:13" s="6" customFormat="1" ht="12.75">
      <c r="D141" s="23"/>
      <c r="L141" s="59"/>
      <c r="M141" s="23"/>
    </row>
    <row r="142" spans="4:13" s="6" customFormat="1" ht="12.75">
      <c r="D142" s="23"/>
      <c r="L142" s="59"/>
      <c r="M142" s="23"/>
    </row>
    <row r="143" spans="4:13" s="6" customFormat="1" ht="12.75">
      <c r="D143" s="23"/>
      <c r="L143" s="59"/>
      <c r="M143" s="23"/>
    </row>
    <row r="144" spans="4:13" s="6" customFormat="1" ht="12.75">
      <c r="D144" s="23"/>
      <c r="L144" s="59"/>
      <c r="M144" s="23"/>
    </row>
    <row r="145" spans="4:13" s="6" customFormat="1" ht="12.75">
      <c r="D145" s="23"/>
      <c r="L145" s="59"/>
      <c r="M145" s="23"/>
    </row>
    <row r="146" spans="4:13" s="6" customFormat="1" ht="12.75">
      <c r="D146" s="23"/>
      <c r="L146" s="59"/>
      <c r="M146" s="23"/>
    </row>
    <row r="147" spans="4:13" s="6" customFormat="1" ht="12.75">
      <c r="D147" s="23"/>
      <c r="L147" s="59"/>
      <c r="M147" s="23"/>
    </row>
    <row r="148" spans="4:13" s="6" customFormat="1" ht="12.75">
      <c r="D148" s="23"/>
      <c r="L148" s="59"/>
      <c r="M148" s="23"/>
    </row>
    <row r="149" spans="4:13" s="6" customFormat="1" ht="12.75">
      <c r="D149" s="23"/>
      <c r="L149" s="59"/>
      <c r="M149" s="23"/>
    </row>
    <row r="150" spans="4:13" s="6" customFormat="1" ht="12.75">
      <c r="D150" s="23"/>
      <c r="L150" s="59"/>
      <c r="M150" s="23"/>
    </row>
    <row r="151" spans="4:13" s="6" customFormat="1" ht="12.75">
      <c r="D151" s="23"/>
      <c r="L151" s="59"/>
      <c r="M151" s="23"/>
    </row>
    <row r="152" spans="4:13" s="6" customFormat="1" ht="12.75">
      <c r="D152" s="23"/>
      <c r="L152" s="59"/>
      <c r="M152" s="23"/>
    </row>
    <row r="153" spans="4:13" s="6" customFormat="1" ht="12.75">
      <c r="D153" s="23"/>
      <c r="L153" s="59"/>
      <c r="M153" s="23"/>
    </row>
    <row r="154" spans="4:13" s="6" customFormat="1" ht="12.75">
      <c r="D154" s="23"/>
      <c r="L154" s="59"/>
      <c r="M154" s="23"/>
    </row>
    <row r="155" spans="4:13" s="6" customFormat="1" ht="12.75">
      <c r="D155" s="23"/>
      <c r="L155" s="59"/>
      <c r="M155" s="23"/>
    </row>
    <row r="156" spans="4:13" s="6" customFormat="1" ht="12.75">
      <c r="D156" s="23"/>
      <c r="L156" s="59"/>
      <c r="M156" s="23"/>
    </row>
    <row r="157" spans="4:13" s="6" customFormat="1" ht="12.75">
      <c r="D157" s="23"/>
      <c r="L157" s="59"/>
      <c r="M157" s="23"/>
    </row>
    <row r="158" spans="4:13" s="6" customFormat="1" ht="12.75">
      <c r="D158" s="23"/>
      <c r="L158" s="59"/>
      <c r="M158" s="23"/>
    </row>
    <row r="159" spans="4:13" s="6" customFormat="1" ht="12.75">
      <c r="D159" s="23"/>
      <c r="L159" s="59"/>
      <c r="M159" s="23"/>
    </row>
    <row r="160" spans="4:13" s="6" customFormat="1" ht="12.75">
      <c r="D160" s="23"/>
      <c r="L160" s="59"/>
      <c r="M160" s="23"/>
    </row>
    <row r="161" spans="4:13" s="6" customFormat="1" ht="12.75">
      <c r="D161" s="23"/>
      <c r="L161" s="59"/>
      <c r="M161" s="23"/>
    </row>
    <row r="162" spans="4:13" s="6" customFormat="1" ht="12.75">
      <c r="D162" s="23"/>
      <c r="L162" s="59"/>
      <c r="M162" s="23"/>
    </row>
    <row r="163" spans="4:13" s="6" customFormat="1" ht="12.75">
      <c r="D163" s="23"/>
      <c r="L163" s="59"/>
      <c r="M163" s="23"/>
    </row>
    <row r="164" spans="4:13" s="6" customFormat="1" ht="12.75">
      <c r="D164" s="23"/>
      <c r="L164" s="59"/>
      <c r="M164" s="23"/>
    </row>
  </sheetData>
  <printOptions horizontalCentered="1"/>
  <pageMargins left="0.5" right="0.5" top="2" bottom="0.5" header="0.75" footer="0.25"/>
  <pageSetup cellComments="atEnd" fitToHeight="0" orientation="landscape" pageOrder="overThenDown" scale="75" r:id="rId1"/>
  <headerFooter alignWithMargins="0">
    <oddHeader>&amp;C&amp;B
2022 RATE CASE
ONCOR ELECTRIC DELIVERY COMPANY LLC
II-B-1 ORIGINAL COST OF UTILITY PLANT
TEST YEAR ENDING DECEMBER 31, 2021
SPONSOR: W. ALAN LEDBETTER&amp;R&amp;"Arial,Bold"Schedule &amp;A
Page &amp;P of &amp;N</oddHeader>
  </headerFooter>
  <rowBreaks count="1" manualBreakCount="1">
    <brk id="34" min="4" max="22" man="1"/>
  </rowBreaks>
  <colBreaks count="2" manualBreakCount="2">
    <brk id="10" min="15" max="55" man="1"/>
    <brk id="17" min="15" max="5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">
    <tabColor rgb="FFFF0000"/>
    <pageSetUpPr fitToPage="1"/>
  </sheetPr>
  <dimension ref="A1:R223"/>
  <sheetViews>
    <sheetView workbookViewId="0" topLeftCell="A1">
      <pane ySplit="11" topLeftCell="A213" activePane="bottomLeft" state="frozen"/>
      <selection pane="topLeft" activeCell="E14" sqref="E14"/>
      <selection pane="bottomLeft" activeCell="A12" sqref="A12"/>
    </sheetView>
  </sheetViews>
  <sheetFormatPr defaultRowHeight="12.75"/>
  <cols>
    <col min="2" max="2" width="7.14285714285714" bestFit="1" customWidth="1"/>
    <col min="3" max="3" width="15.4285714285714" bestFit="1" customWidth="1"/>
    <col min="4" max="4" width="45.8571428571429" bestFit="1" customWidth="1"/>
    <col min="5" max="5" width="19.5714285714286" bestFit="1" customWidth="1"/>
    <col min="6" max="6" width="14.8571428571429" bestFit="1" customWidth="1"/>
    <col min="7" max="7" width="8.28571428571429" bestFit="1" customWidth="1"/>
    <col min="8" max="8" width="15.4285714285714" bestFit="1" customWidth="1"/>
    <col min="9" max="9" width="19.5714285714286" bestFit="1" customWidth="1"/>
    <col min="10" max="12" width="14.7142857142857" customWidth="1"/>
    <col min="13" max="13" width="16" customWidth="1"/>
    <col min="14" max="18" width="14.7142857142857" customWidth="1"/>
  </cols>
  <sheetData>
    <row r="1" spans="1:1" ht="12.75">
      <c r="A1" s="5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1" ht="12.75">
      <c r="A3" s="203" t="s">
        <v>303</v>
      </c>
    </row>
    <row r="4" spans="1:1" ht="12.75">
      <c r="A4" s="203" t="str">
        <f>+'[4]Input Data'!$A$12</f>
        <v>PERIOD COVERED JANUARY 1, 2021 TO DECEMBER 31, 2021</v>
      </c>
    </row>
    <row r="5" spans="1:1" ht="12.75">
      <c r="A5" s="8" t="str">
        <f>CONCATENATE("SPONSOR: ",'[4]Schedule Sponsors'!$D$13)</f>
        <v>SPONSOR: W. ALAN LEDBETTER</v>
      </c>
    </row>
    <row r="8" ht="13.5" thickBot="1"/>
    <row r="9" spans="1:18" s="138" customFormat="1" ht="12.75">
      <c r="A9" s="14" t="s">
        <v>188</v>
      </c>
      <c r="B9" s="14"/>
      <c r="C9" s="14" t="s">
        <v>306</v>
      </c>
      <c r="D9" s="14" t="s">
        <v>306</v>
      </c>
      <c r="E9" s="14" t="s">
        <v>305</v>
      </c>
      <c r="F9" s="14" t="s">
        <v>308</v>
      </c>
      <c r="G9" s="14" t="s">
        <v>310</v>
      </c>
      <c r="H9" s="14" t="s">
        <v>306</v>
      </c>
      <c r="I9" s="14" t="s">
        <v>20</v>
      </c>
      <c r="J9" s="14"/>
      <c r="K9" s="14" t="str">
        <f>+'II-B-1'!O11</f>
        <v>NTU</v>
      </c>
      <c r="L9" s="14" t="s">
        <v>325</v>
      </c>
      <c r="M9" s="14" t="str">
        <f>+'II-B-1'!Q11</f>
        <v>Consol</v>
      </c>
      <c r="N9" s="14"/>
      <c r="O9" s="14" t="str">
        <f>+'II-B-1'!S11</f>
        <v>NTU</v>
      </c>
      <c r="P9" s="14" t="str">
        <f>+'II-B-1'!T11</f>
        <v>Consol</v>
      </c>
      <c r="Q9" s="14"/>
      <c r="R9" s="14"/>
    </row>
    <row r="10" spans="1:18" s="138" customFormat="1" ht="13.5" thickBot="1">
      <c r="A10" s="16" t="s">
        <v>189</v>
      </c>
      <c r="B10" s="16" t="s">
        <v>304</v>
      </c>
      <c r="C10" s="16" t="s">
        <v>128</v>
      </c>
      <c r="D10" s="16" t="s">
        <v>307</v>
      </c>
      <c r="E10" s="16" t="s">
        <v>128</v>
      </c>
      <c r="F10" s="16" t="s">
        <v>309</v>
      </c>
      <c r="G10" s="16" t="s">
        <v>26</v>
      </c>
      <c r="H10" s="16" t="s">
        <v>29</v>
      </c>
      <c r="I10" s="16" t="s">
        <v>311</v>
      </c>
      <c r="J10" s="16" t="s">
        <v>126</v>
      </c>
      <c r="K10" s="16" t="str">
        <f>+'II-B-1'!O12</f>
        <v>TRAN</v>
      </c>
      <c r="L10" s="16" t="s">
        <v>327</v>
      </c>
      <c r="M10" s="16" t="str">
        <f>+'II-B-1'!Q12</f>
        <v>TRAN</v>
      </c>
      <c r="N10" s="16" t="s">
        <v>127</v>
      </c>
      <c r="O10" s="16" t="str">
        <f>+'II-B-1'!S12</f>
        <v>DIST</v>
      </c>
      <c r="P10" s="16" t="str">
        <f>+'II-B-1'!T12</f>
        <v>DIST</v>
      </c>
      <c r="Q10" s="16" t="s">
        <v>120</v>
      </c>
      <c r="R10" s="16" t="s">
        <v>199</v>
      </c>
    </row>
    <row r="11" spans="2:18" s="138" customFormat="1" ht="12.75">
      <c r="B11" s="235" t="s">
        <v>173</v>
      </c>
      <c r="C11" s="235" t="s">
        <v>174</v>
      </c>
      <c r="D11" s="235" t="s">
        <v>175</v>
      </c>
      <c r="E11" s="235" t="s">
        <v>176</v>
      </c>
      <c r="F11" s="235" t="s">
        <v>177</v>
      </c>
      <c r="G11" s="235" t="s">
        <v>178</v>
      </c>
      <c r="H11" s="235" t="s">
        <v>179</v>
      </c>
      <c r="I11" s="235" t="s">
        <v>180</v>
      </c>
      <c r="J11" s="235" t="s">
        <v>181</v>
      </c>
      <c r="K11" s="235" t="s">
        <v>182</v>
      </c>
      <c r="L11" s="235" t="s">
        <v>183</v>
      </c>
      <c r="M11" s="235" t="s">
        <v>184</v>
      </c>
      <c r="N11" s="235" t="s">
        <v>185</v>
      </c>
      <c r="O11" s="235" t="s">
        <v>186</v>
      </c>
      <c r="P11" s="235" t="s">
        <v>187</v>
      </c>
      <c r="Q11" s="235" t="s">
        <v>110</v>
      </c>
      <c r="R11" s="235" t="s">
        <v>192</v>
      </c>
    </row>
    <row r="13" spans="1:18" ht="12.75">
      <c r="A13" s="200">
        <v>1</v>
      </c>
      <c r="B13" t="s">
        <v>640</v>
      </c>
      <c r="C13" t="s">
        <v>641</v>
      </c>
      <c r="D13" t="s">
        <v>642</v>
      </c>
      <c r="E13" s="200">
        <v>40484</v>
      </c>
      <c r="F13" s="261">
        <v>41614</v>
      </c>
      <c r="G13" s="200" t="s">
        <v>584</v>
      </c>
      <c r="H13" s="259">
        <v>365333.16999999998</v>
      </c>
      <c r="I13" s="259">
        <v>0</v>
      </c>
      <c r="J13" s="259">
        <v>0</v>
      </c>
      <c r="K13" s="259">
        <v>365333.16999999998</v>
      </c>
      <c r="L13" s="259">
        <v>0</v>
      </c>
      <c r="M13" s="259">
        <v>365333.16999999998</v>
      </c>
      <c r="N13" s="259">
        <v>0</v>
      </c>
      <c r="O13" s="259">
        <v>0</v>
      </c>
      <c r="P13" s="259">
        <v>0</v>
      </c>
      <c r="Q13" s="259">
        <v>0</v>
      </c>
      <c r="R13" s="259">
        <v>0</v>
      </c>
    </row>
    <row r="14" spans="1:18" ht="12.75">
      <c r="A14" s="200">
        <v>2</v>
      </c>
      <c r="B14" t="s">
        <v>640</v>
      </c>
      <c r="C14" t="s">
        <v>643</v>
      </c>
      <c r="D14" t="s">
        <v>644</v>
      </c>
      <c r="E14" s="200">
        <v>40645</v>
      </c>
      <c r="F14" s="261">
        <v>41394</v>
      </c>
      <c r="G14" s="200" t="s">
        <v>584</v>
      </c>
      <c r="H14" s="256">
        <v>307157.87</v>
      </c>
      <c r="I14" s="256">
        <v>0</v>
      </c>
      <c r="J14" s="256">
        <v>0</v>
      </c>
      <c r="K14" s="256">
        <v>307157.87</v>
      </c>
      <c r="L14" s="256">
        <v>0</v>
      </c>
      <c r="M14" s="256">
        <v>307157.87</v>
      </c>
      <c r="N14" s="256">
        <v>0</v>
      </c>
      <c r="O14" s="256">
        <v>0</v>
      </c>
      <c r="P14" s="256">
        <v>0</v>
      </c>
      <c r="Q14" s="256">
        <v>0</v>
      </c>
      <c r="R14" s="256">
        <v>0</v>
      </c>
    </row>
    <row r="15" spans="1:18" ht="12.75">
      <c r="A15" s="200">
        <v>3</v>
      </c>
      <c r="B15" t="s">
        <v>640</v>
      </c>
      <c r="C15" t="s">
        <v>645</v>
      </c>
      <c r="D15" t="s">
        <v>646</v>
      </c>
      <c r="E15" s="200">
        <v>40645</v>
      </c>
      <c r="F15" s="261">
        <v>41394</v>
      </c>
      <c r="G15" s="200" t="s">
        <v>584</v>
      </c>
      <c r="H15" s="256">
        <v>120906.16</v>
      </c>
      <c r="I15" s="256">
        <v>0</v>
      </c>
      <c r="J15" s="256">
        <v>0</v>
      </c>
      <c r="K15" s="256">
        <v>120906.16</v>
      </c>
      <c r="L15" s="256">
        <v>0</v>
      </c>
      <c r="M15" s="256">
        <v>120906.16</v>
      </c>
      <c r="N15" s="256">
        <v>0</v>
      </c>
      <c r="O15" s="256">
        <v>0</v>
      </c>
      <c r="P15" s="256">
        <v>0</v>
      </c>
      <c r="Q15" s="256">
        <v>0</v>
      </c>
      <c r="R15" s="256">
        <v>0</v>
      </c>
    </row>
    <row r="16" spans="1:18" ht="12.75">
      <c r="A16" s="200">
        <v>4</v>
      </c>
      <c r="B16" t="s">
        <v>640</v>
      </c>
      <c r="C16" t="s">
        <v>647</v>
      </c>
      <c r="D16" t="s">
        <v>648</v>
      </c>
      <c r="E16" s="200">
        <v>43889</v>
      </c>
      <c r="F16" s="261">
        <v>42160</v>
      </c>
      <c r="G16" s="200" t="s">
        <v>584</v>
      </c>
      <c r="H16" s="256">
        <v>1630571.2</v>
      </c>
      <c r="I16" s="256">
        <v>0</v>
      </c>
      <c r="J16" s="256">
        <v>0</v>
      </c>
      <c r="K16" s="256">
        <v>1630571.2</v>
      </c>
      <c r="L16" s="256">
        <v>0</v>
      </c>
      <c r="M16" s="256">
        <v>1630571.2</v>
      </c>
      <c r="N16" s="256">
        <v>0</v>
      </c>
      <c r="O16" s="256">
        <v>0</v>
      </c>
      <c r="P16" s="256">
        <v>0</v>
      </c>
      <c r="Q16" s="256">
        <v>0</v>
      </c>
      <c r="R16" s="256">
        <v>0</v>
      </c>
    </row>
    <row r="17" spans="1:18" ht="12.75">
      <c r="A17" s="200">
        <v>5</v>
      </c>
      <c r="B17" t="s">
        <v>499</v>
      </c>
      <c r="C17" t="s">
        <v>582</v>
      </c>
      <c r="D17" t="s">
        <v>583</v>
      </c>
      <c r="E17" s="200">
        <v>48668</v>
      </c>
      <c r="F17" s="261">
        <v>43921</v>
      </c>
      <c r="G17" s="200" t="s">
        <v>584</v>
      </c>
      <c r="H17" s="256">
        <v>31757.25</v>
      </c>
      <c r="I17" s="256">
        <v>0</v>
      </c>
      <c r="J17" s="256">
        <v>31757.25</v>
      </c>
      <c r="K17" s="256">
        <v>0</v>
      </c>
      <c r="L17" s="256">
        <v>0</v>
      </c>
      <c r="M17" s="256">
        <v>31757.25</v>
      </c>
      <c r="N17" s="256">
        <v>0</v>
      </c>
      <c r="O17" s="256">
        <v>0</v>
      </c>
      <c r="P17" s="256">
        <v>0</v>
      </c>
      <c r="Q17" s="256">
        <v>0</v>
      </c>
      <c r="R17" s="256">
        <v>0</v>
      </c>
    </row>
    <row r="18" spans="1:18" ht="12.75">
      <c r="A18" s="200">
        <v>6</v>
      </c>
      <c r="B18" t="s">
        <v>499</v>
      </c>
      <c r="C18" t="s">
        <v>598</v>
      </c>
      <c r="D18" t="s">
        <v>599</v>
      </c>
      <c r="E18" s="200">
        <v>48909</v>
      </c>
      <c r="F18" s="261">
        <v>43942</v>
      </c>
      <c r="G18" s="200" t="s">
        <v>584</v>
      </c>
      <c r="H18" s="256">
        <v>610909.54000000004</v>
      </c>
      <c r="I18" s="256">
        <v>0</v>
      </c>
      <c r="J18" s="256">
        <v>610909.54000000004</v>
      </c>
      <c r="K18" s="256">
        <v>0</v>
      </c>
      <c r="L18" s="256">
        <v>0</v>
      </c>
      <c r="M18" s="256">
        <v>610909.54000000004</v>
      </c>
      <c r="N18" s="256">
        <v>0</v>
      </c>
      <c r="O18" s="256">
        <v>0</v>
      </c>
      <c r="P18" s="256">
        <v>0</v>
      </c>
      <c r="Q18" s="256">
        <v>0</v>
      </c>
      <c r="R18" s="256">
        <v>0</v>
      </c>
    </row>
    <row r="19" spans="1:18" ht="12.75">
      <c r="A19" s="200">
        <v>7</v>
      </c>
      <c r="B19" t="s">
        <v>640</v>
      </c>
      <c r="C19" t="s">
        <v>649</v>
      </c>
      <c r="D19" t="s">
        <v>650</v>
      </c>
      <c r="E19" s="200">
        <v>38290</v>
      </c>
      <c r="F19" s="261">
        <v>41508</v>
      </c>
      <c r="G19" s="200" t="s">
        <v>527</v>
      </c>
      <c r="H19" s="256">
        <v>12654474.73</v>
      </c>
      <c r="I19" s="256">
        <v>0</v>
      </c>
      <c r="J19" s="256">
        <v>0</v>
      </c>
      <c r="K19" s="256">
        <v>12654474.73</v>
      </c>
      <c r="L19" s="256">
        <v>0</v>
      </c>
      <c r="M19" s="256">
        <v>12654474.73</v>
      </c>
      <c r="N19" s="256">
        <v>0</v>
      </c>
      <c r="O19" s="256">
        <v>0</v>
      </c>
      <c r="P19" s="256">
        <v>0</v>
      </c>
      <c r="Q19" s="256">
        <v>0</v>
      </c>
      <c r="R19" s="256">
        <v>0</v>
      </c>
    </row>
    <row r="20" spans="1:18" ht="12.75">
      <c r="A20" s="200">
        <v>8</v>
      </c>
      <c r="B20" t="s">
        <v>640</v>
      </c>
      <c r="C20" t="s">
        <v>651</v>
      </c>
      <c r="D20" t="s">
        <v>652</v>
      </c>
      <c r="E20" s="200">
        <v>38290</v>
      </c>
      <c r="F20" s="261">
        <v>41508</v>
      </c>
      <c r="G20" s="200" t="s">
        <v>527</v>
      </c>
      <c r="H20" s="256">
        <v>55357.82</v>
      </c>
      <c r="I20" s="256">
        <v>0</v>
      </c>
      <c r="J20" s="256">
        <v>0</v>
      </c>
      <c r="K20" s="256">
        <v>55357.82</v>
      </c>
      <c r="L20" s="256">
        <v>0</v>
      </c>
      <c r="M20" s="256">
        <v>55357.82</v>
      </c>
      <c r="N20" s="256">
        <v>0</v>
      </c>
      <c r="O20" s="256">
        <v>0</v>
      </c>
      <c r="P20" s="256">
        <v>0</v>
      </c>
      <c r="Q20" s="256">
        <v>0</v>
      </c>
      <c r="R20" s="256">
        <v>0</v>
      </c>
    </row>
    <row r="21" spans="1:18" ht="12.75">
      <c r="A21" s="200">
        <v>9</v>
      </c>
      <c r="B21" t="s">
        <v>640</v>
      </c>
      <c r="C21" t="s">
        <v>653</v>
      </c>
      <c r="D21" t="s">
        <v>654</v>
      </c>
      <c r="E21" s="200">
        <v>38290</v>
      </c>
      <c r="F21" s="261">
        <v>41508</v>
      </c>
      <c r="G21" s="200" t="s">
        <v>527</v>
      </c>
      <c r="H21" s="256">
        <v>388427.85999999999</v>
      </c>
      <c r="I21" s="256">
        <v>0</v>
      </c>
      <c r="J21" s="256">
        <v>0</v>
      </c>
      <c r="K21" s="256">
        <v>388427.85999999999</v>
      </c>
      <c r="L21" s="256">
        <v>0</v>
      </c>
      <c r="M21" s="256">
        <v>388427.85999999999</v>
      </c>
      <c r="N21" s="256">
        <v>0</v>
      </c>
      <c r="O21" s="256">
        <v>0</v>
      </c>
      <c r="P21" s="256">
        <v>0</v>
      </c>
      <c r="Q21" s="256">
        <v>0</v>
      </c>
      <c r="R21" s="256">
        <v>0</v>
      </c>
    </row>
    <row r="22" spans="1:18" ht="12.75">
      <c r="A22" s="200">
        <v>10</v>
      </c>
      <c r="B22" t="s">
        <v>640</v>
      </c>
      <c r="C22" t="s">
        <v>655</v>
      </c>
      <c r="D22" t="s">
        <v>656</v>
      </c>
      <c r="E22" s="200">
        <v>38560</v>
      </c>
      <c r="F22" s="261">
        <v>41393</v>
      </c>
      <c r="G22" s="200" t="s">
        <v>527</v>
      </c>
      <c r="H22" s="256">
        <v>9232812.3699999992</v>
      </c>
      <c r="I22" s="256">
        <v>0</v>
      </c>
      <c r="J22" s="256">
        <v>0</v>
      </c>
      <c r="K22" s="256">
        <v>9232812.3699999992</v>
      </c>
      <c r="L22" s="256">
        <v>0</v>
      </c>
      <c r="M22" s="256">
        <v>9232812.3699999992</v>
      </c>
      <c r="N22" s="256">
        <v>0</v>
      </c>
      <c r="O22" s="256">
        <v>0</v>
      </c>
      <c r="P22" s="256">
        <v>0</v>
      </c>
      <c r="Q22" s="256">
        <v>0</v>
      </c>
      <c r="R22" s="256">
        <v>0</v>
      </c>
    </row>
    <row r="23" spans="1:18" ht="12.75">
      <c r="A23" s="200">
        <v>11</v>
      </c>
      <c r="B23" t="s">
        <v>640</v>
      </c>
      <c r="C23" t="s">
        <v>657</v>
      </c>
      <c r="D23" t="s">
        <v>658</v>
      </c>
      <c r="E23" s="200">
        <v>38560</v>
      </c>
      <c r="F23" s="261">
        <v>41393</v>
      </c>
      <c r="G23" s="200" t="s">
        <v>527</v>
      </c>
      <c r="H23" s="256">
        <v>645862.66000000003</v>
      </c>
      <c r="I23" s="256">
        <v>0</v>
      </c>
      <c r="J23" s="256">
        <v>0</v>
      </c>
      <c r="K23" s="256">
        <v>645862.66000000003</v>
      </c>
      <c r="L23" s="256">
        <v>0</v>
      </c>
      <c r="M23" s="256">
        <v>645862.66000000003</v>
      </c>
      <c r="N23" s="256">
        <v>0</v>
      </c>
      <c r="O23" s="256">
        <v>0</v>
      </c>
      <c r="P23" s="256">
        <v>0</v>
      </c>
      <c r="Q23" s="256">
        <v>0</v>
      </c>
      <c r="R23" s="256">
        <v>0</v>
      </c>
    </row>
    <row r="24" spans="1:18" ht="12.75">
      <c r="A24" s="200">
        <v>12</v>
      </c>
      <c r="B24" t="s">
        <v>640</v>
      </c>
      <c r="C24" t="s">
        <v>659</v>
      </c>
      <c r="D24" t="s">
        <v>660</v>
      </c>
      <c r="E24" s="200">
        <v>38750</v>
      </c>
      <c r="F24" s="261">
        <v>41508</v>
      </c>
      <c r="G24" s="200" t="s">
        <v>527</v>
      </c>
      <c r="H24" s="256">
        <v>5751215.2699999996</v>
      </c>
      <c r="I24" s="256">
        <v>0</v>
      </c>
      <c r="J24" s="256">
        <v>0</v>
      </c>
      <c r="K24" s="256">
        <v>5751215.2699999996</v>
      </c>
      <c r="L24" s="256">
        <v>0</v>
      </c>
      <c r="M24" s="256">
        <v>5751215.2699999996</v>
      </c>
      <c r="N24" s="256">
        <v>0</v>
      </c>
      <c r="O24" s="256">
        <v>0</v>
      </c>
      <c r="P24" s="256">
        <v>0</v>
      </c>
      <c r="Q24" s="256">
        <v>0</v>
      </c>
      <c r="R24" s="256">
        <v>0</v>
      </c>
    </row>
    <row r="25" spans="1:18" ht="12.75">
      <c r="A25" s="200">
        <v>13</v>
      </c>
      <c r="B25" t="s">
        <v>640</v>
      </c>
      <c r="C25" t="s">
        <v>661</v>
      </c>
      <c r="D25" t="s">
        <v>662</v>
      </c>
      <c r="E25" s="200">
        <v>38750</v>
      </c>
      <c r="F25" s="261">
        <v>41508</v>
      </c>
      <c r="G25" s="200" t="s">
        <v>527</v>
      </c>
      <c r="H25" s="256">
        <v>2422281.9900000002</v>
      </c>
      <c r="I25" s="256">
        <v>0</v>
      </c>
      <c r="J25" s="256">
        <v>0</v>
      </c>
      <c r="K25" s="256">
        <v>2422281.9900000002</v>
      </c>
      <c r="L25" s="256">
        <v>0</v>
      </c>
      <c r="M25" s="256">
        <v>2422281.9900000002</v>
      </c>
      <c r="N25" s="256">
        <v>0</v>
      </c>
      <c r="O25" s="256">
        <v>0</v>
      </c>
      <c r="P25" s="256">
        <v>0</v>
      </c>
      <c r="Q25" s="256">
        <v>0</v>
      </c>
      <c r="R25" s="256">
        <v>0</v>
      </c>
    </row>
    <row r="26" spans="1:18" ht="12.75">
      <c r="A26" s="200">
        <v>14</v>
      </c>
      <c r="B26" t="s">
        <v>640</v>
      </c>
      <c r="C26" t="s">
        <v>663</v>
      </c>
      <c r="D26" t="s">
        <v>664</v>
      </c>
      <c r="E26" s="200">
        <v>38750</v>
      </c>
      <c r="F26" s="261">
        <v>41508</v>
      </c>
      <c r="G26" s="200" t="s">
        <v>527</v>
      </c>
      <c r="H26" s="256">
        <v>259755.95999999999</v>
      </c>
      <c r="I26" s="256">
        <v>0</v>
      </c>
      <c r="J26" s="256">
        <v>0</v>
      </c>
      <c r="K26" s="256">
        <v>259755.95999999999</v>
      </c>
      <c r="L26" s="256">
        <v>0</v>
      </c>
      <c r="M26" s="256">
        <v>259755.95999999999</v>
      </c>
      <c r="N26" s="256">
        <v>0</v>
      </c>
      <c r="O26" s="256">
        <v>0</v>
      </c>
      <c r="P26" s="256">
        <v>0</v>
      </c>
      <c r="Q26" s="256">
        <v>0</v>
      </c>
      <c r="R26" s="256">
        <v>0</v>
      </c>
    </row>
    <row r="27" spans="1:18" ht="12.75">
      <c r="A27" s="200">
        <v>15</v>
      </c>
      <c r="B27" t="s">
        <v>640</v>
      </c>
      <c r="C27" t="s">
        <v>665</v>
      </c>
      <c r="D27" t="s">
        <v>666</v>
      </c>
      <c r="E27" s="200">
        <v>38829</v>
      </c>
      <c r="F27" s="261">
        <v>41592</v>
      </c>
      <c r="G27" s="200" t="s">
        <v>527</v>
      </c>
      <c r="H27" s="256">
        <v>11321076.720000001</v>
      </c>
      <c r="I27" s="256">
        <v>0</v>
      </c>
      <c r="J27" s="256">
        <v>0</v>
      </c>
      <c r="K27" s="256">
        <v>11321076.720000001</v>
      </c>
      <c r="L27" s="256">
        <v>0</v>
      </c>
      <c r="M27" s="256">
        <v>11321076.720000001</v>
      </c>
      <c r="N27" s="256">
        <v>0</v>
      </c>
      <c r="O27" s="256">
        <v>0</v>
      </c>
      <c r="P27" s="256">
        <v>0</v>
      </c>
      <c r="Q27" s="256">
        <v>0</v>
      </c>
      <c r="R27" s="256">
        <v>0</v>
      </c>
    </row>
    <row r="28" spans="1:18" ht="12.75">
      <c r="A28" s="200">
        <v>16</v>
      </c>
      <c r="B28" t="s">
        <v>499</v>
      </c>
      <c r="C28" t="s">
        <v>525</v>
      </c>
      <c r="D28" t="s">
        <v>526</v>
      </c>
      <c r="E28" s="200">
        <v>47368</v>
      </c>
      <c r="F28" s="261">
        <v>43830</v>
      </c>
      <c r="G28" s="200" t="s">
        <v>527</v>
      </c>
      <c r="H28" s="256">
        <v>10409398.359999999</v>
      </c>
      <c r="I28" s="256">
        <v>0</v>
      </c>
      <c r="J28" s="256">
        <v>10409398.359999999</v>
      </c>
      <c r="K28" s="256">
        <v>0</v>
      </c>
      <c r="L28" s="256">
        <v>0</v>
      </c>
      <c r="M28" s="256">
        <v>10409398.359999999</v>
      </c>
      <c r="N28" s="256">
        <v>0</v>
      </c>
      <c r="O28" s="256">
        <v>0</v>
      </c>
      <c r="P28" s="256">
        <v>0</v>
      </c>
      <c r="Q28" s="256">
        <v>0</v>
      </c>
      <c r="R28" s="256">
        <v>0</v>
      </c>
    </row>
    <row r="29" spans="1:18" ht="12.75">
      <c r="A29" s="200">
        <v>17</v>
      </c>
      <c r="B29" t="s">
        <v>499</v>
      </c>
      <c r="C29" t="s">
        <v>560</v>
      </c>
      <c r="D29" t="s">
        <v>561</v>
      </c>
      <c r="E29" s="200">
        <v>47808</v>
      </c>
      <c r="F29" s="261">
        <v>43964</v>
      </c>
      <c r="G29" s="200" t="s">
        <v>527</v>
      </c>
      <c r="H29" s="256">
        <v>1004984.09</v>
      </c>
      <c r="I29" s="256">
        <v>0</v>
      </c>
      <c r="J29" s="256">
        <v>1004984.09</v>
      </c>
      <c r="K29" s="256">
        <v>0</v>
      </c>
      <c r="L29" s="256">
        <v>0</v>
      </c>
      <c r="M29" s="256">
        <v>1004984.09</v>
      </c>
      <c r="N29" s="256">
        <v>0</v>
      </c>
      <c r="O29" s="256">
        <v>0</v>
      </c>
      <c r="P29" s="256">
        <v>0</v>
      </c>
      <c r="Q29" s="256">
        <v>0</v>
      </c>
      <c r="R29" s="256">
        <v>0</v>
      </c>
    </row>
    <row r="30" spans="1:18" ht="12.75">
      <c r="A30" s="200">
        <v>18</v>
      </c>
      <c r="B30" t="s">
        <v>499</v>
      </c>
      <c r="C30" t="s">
        <v>536</v>
      </c>
      <c r="D30" t="s">
        <v>537</v>
      </c>
      <c r="E30" s="200">
        <v>48095</v>
      </c>
      <c r="F30" s="261">
        <v>44146</v>
      </c>
      <c r="G30" s="200" t="s">
        <v>527</v>
      </c>
      <c r="H30" s="256">
        <v>12780788.609999999</v>
      </c>
      <c r="I30" s="256">
        <v>0</v>
      </c>
      <c r="J30" s="256">
        <v>12780788.609999999</v>
      </c>
      <c r="K30" s="256">
        <v>0</v>
      </c>
      <c r="L30" s="256">
        <v>0</v>
      </c>
      <c r="M30" s="256">
        <v>12780788.609999999</v>
      </c>
      <c r="N30" s="256">
        <v>0</v>
      </c>
      <c r="O30" s="256">
        <v>0</v>
      </c>
      <c r="P30" s="256">
        <v>0</v>
      </c>
      <c r="Q30" s="256">
        <v>0</v>
      </c>
      <c r="R30" s="256">
        <v>0</v>
      </c>
    </row>
    <row r="31" spans="1:18" ht="12.75">
      <c r="A31" s="200">
        <v>19</v>
      </c>
      <c r="B31" t="s">
        <v>499</v>
      </c>
      <c r="C31" t="s">
        <v>555</v>
      </c>
      <c r="D31" t="s">
        <v>537</v>
      </c>
      <c r="E31" s="200">
        <v>48095</v>
      </c>
      <c r="F31" s="261">
        <v>44008</v>
      </c>
      <c r="G31" s="200" t="s">
        <v>527</v>
      </c>
      <c r="H31" s="256">
        <v>9393567.2300000004</v>
      </c>
      <c r="I31" s="256">
        <v>0</v>
      </c>
      <c r="J31" s="256">
        <v>9393567.2300000004</v>
      </c>
      <c r="K31" s="256">
        <v>0</v>
      </c>
      <c r="L31" s="256">
        <v>0</v>
      </c>
      <c r="M31" s="256">
        <v>9393567.2300000004</v>
      </c>
      <c r="N31" s="256">
        <v>0</v>
      </c>
      <c r="O31" s="256">
        <v>0</v>
      </c>
      <c r="P31" s="256">
        <v>0</v>
      </c>
      <c r="Q31" s="256">
        <v>0</v>
      </c>
      <c r="R31" s="256">
        <v>0</v>
      </c>
    </row>
    <row r="32" spans="1:18" ht="12.75">
      <c r="A32" s="200">
        <v>20</v>
      </c>
      <c r="B32" t="s">
        <v>499</v>
      </c>
      <c r="C32" t="s">
        <v>562</v>
      </c>
      <c r="D32" t="s">
        <v>563</v>
      </c>
      <c r="E32" s="200">
        <v>48544</v>
      </c>
      <c r="F32" s="261">
        <v>43819</v>
      </c>
      <c r="G32" s="200" t="s">
        <v>527</v>
      </c>
      <c r="H32" s="256">
        <v>3570068.9399999999</v>
      </c>
      <c r="I32" s="256">
        <v>0</v>
      </c>
      <c r="J32" s="256">
        <v>3570068.9399999999</v>
      </c>
      <c r="K32" s="256">
        <v>0</v>
      </c>
      <c r="L32" s="256">
        <v>0</v>
      </c>
      <c r="M32" s="256">
        <v>3570068.9399999999</v>
      </c>
      <c r="N32" s="256">
        <v>0</v>
      </c>
      <c r="O32" s="256">
        <v>0</v>
      </c>
      <c r="P32" s="256">
        <v>0</v>
      </c>
      <c r="Q32" s="256">
        <v>0</v>
      </c>
      <c r="R32" s="256">
        <v>0</v>
      </c>
    </row>
    <row r="33" spans="1:18" ht="12.75">
      <c r="A33" s="200">
        <v>21</v>
      </c>
      <c r="B33" t="s">
        <v>499</v>
      </c>
      <c r="C33" t="s">
        <v>558</v>
      </c>
      <c r="D33" t="s">
        <v>559</v>
      </c>
      <c r="E33" s="200">
        <v>48582</v>
      </c>
      <c r="F33" s="261">
        <v>44092</v>
      </c>
      <c r="G33" s="200" t="s">
        <v>527</v>
      </c>
      <c r="H33" s="256">
        <v>3718638.9300000002</v>
      </c>
      <c r="I33" s="256">
        <v>0</v>
      </c>
      <c r="J33" s="256">
        <v>3718638.9300000002</v>
      </c>
      <c r="K33" s="256">
        <v>0</v>
      </c>
      <c r="L33" s="256">
        <v>0</v>
      </c>
      <c r="M33" s="256">
        <v>3718638.9300000002</v>
      </c>
      <c r="N33" s="256">
        <v>0</v>
      </c>
      <c r="O33" s="256">
        <v>0</v>
      </c>
      <c r="P33" s="256">
        <v>0</v>
      </c>
      <c r="Q33" s="256">
        <v>0</v>
      </c>
      <c r="R33" s="256">
        <v>0</v>
      </c>
    </row>
    <row r="34" spans="1:18" ht="12.75">
      <c r="A34" s="200">
        <v>22</v>
      </c>
      <c r="B34" t="s">
        <v>499</v>
      </c>
      <c r="C34" t="s">
        <v>580</v>
      </c>
      <c r="D34" t="s">
        <v>581</v>
      </c>
      <c r="E34" s="200">
        <v>48785</v>
      </c>
      <c r="F34" s="261">
        <v>44091</v>
      </c>
      <c r="G34" s="200" t="s">
        <v>527</v>
      </c>
      <c r="H34" s="256">
        <v>6660516.0199999996</v>
      </c>
      <c r="I34" s="256">
        <v>0</v>
      </c>
      <c r="J34" s="256">
        <v>6660516.0199999996</v>
      </c>
      <c r="K34" s="256">
        <v>0</v>
      </c>
      <c r="L34" s="256">
        <v>0</v>
      </c>
      <c r="M34" s="256">
        <v>6660516.0199999996</v>
      </c>
      <c r="N34" s="256">
        <v>0</v>
      </c>
      <c r="O34" s="256">
        <v>0</v>
      </c>
      <c r="P34" s="256">
        <v>0</v>
      </c>
      <c r="Q34" s="256">
        <v>0</v>
      </c>
      <c r="R34" s="256">
        <v>0</v>
      </c>
    </row>
    <row r="35" spans="1:18" ht="12.75">
      <c r="A35" s="200">
        <v>23</v>
      </c>
      <c r="B35" t="s">
        <v>499</v>
      </c>
      <c r="C35" t="s">
        <v>594</v>
      </c>
      <c r="D35" t="s">
        <v>595</v>
      </c>
      <c r="E35" s="200">
        <v>48909</v>
      </c>
      <c r="F35" s="261">
        <v>44279</v>
      </c>
      <c r="G35" s="200" t="s">
        <v>527</v>
      </c>
      <c r="H35" s="256">
        <v>9743320.5700000003</v>
      </c>
      <c r="I35" s="256">
        <v>0</v>
      </c>
      <c r="J35" s="256">
        <v>9743320.5700000003</v>
      </c>
      <c r="K35" s="256">
        <v>0</v>
      </c>
      <c r="L35" s="256">
        <v>0</v>
      </c>
      <c r="M35" s="256">
        <v>9743320.5700000003</v>
      </c>
      <c r="N35" s="256">
        <v>0</v>
      </c>
      <c r="O35" s="256">
        <v>0</v>
      </c>
      <c r="P35" s="256">
        <v>0</v>
      </c>
      <c r="Q35" s="256">
        <v>0</v>
      </c>
      <c r="R35" s="256">
        <v>0</v>
      </c>
    </row>
    <row r="36" spans="1:18" ht="12.75">
      <c r="A36" s="200">
        <v>24</v>
      </c>
      <c r="B36" t="s">
        <v>499</v>
      </c>
      <c r="C36" t="s">
        <v>585</v>
      </c>
      <c r="D36" t="s">
        <v>586</v>
      </c>
      <c r="E36" s="200">
        <v>49304</v>
      </c>
      <c r="F36" s="261">
        <v>44089</v>
      </c>
      <c r="G36" s="200" t="s">
        <v>527</v>
      </c>
      <c r="H36" s="256">
        <v>2489418.9300000002</v>
      </c>
      <c r="I36" s="256">
        <v>0</v>
      </c>
      <c r="J36" s="256">
        <v>2489418.9300000002</v>
      </c>
      <c r="K36" s="256">
        <v>0</v>
      </c>
      <c r="L36" s="256">
        <v>0</v>
      </c>
      <c r="M36" s="256">
        <v>2489418.9300000002</v>
      </c>
      <c r="N36" s="256">
        <v>0</v>
      </c>
      <c r="O36" s="256">
        <v>0</v>
      </c>
      <c r="P36" s="256">
        <v>0</v>
      </c>
      <c r="Q36" s="256">
        <v>0</v>
      </c>
      <c r="R36" s="256">
        <v>0</v>
      </c>
    </row>
    <row r="37" spans="1:18" ht="12.75">
      <c r="A37" s="200">
        <v>25</v>
      </c>
      <c r="B37" t="s">
        <v>499</v>
      </c>
      <c r="C37" t="s">
        <v>602</v>
      </c>
      <c r="D37" t="s">
        <v>603</v>
      </c>
      <c r="E37" s="200">
        <v>50560</v>
      </c>
      <c r="F37" s="261">
        <v>44300</v>
      </c>
      <c r="G37" s="200" t="s">
        <v>527</v>
      </c>
      <c r="H37" s="256">
        <v>87054.690000000002</v>
      </c>
      <c r="I37" s="256">
        <v>0</v>
      </c>
      <c r="J37" s="256">
        <v>87054.690000000002</v>
      </c>
      <c r="K37" s="256">
        <v>0</v>
      </c>
      <c r="L37" s="256">
        <v>0</v>
      </c>
      <c r="M37" s="256">
        <v>87054.690000000002</v>
      </c>
      <c r="N37" s="256">
        <v>0</v>
      </c>
      <c r="O37" s="256">
        <v>0</v>
      </c>
      <c r="P37" s="256">
        <v>0</v>
      </c>
      <c r="Q37" s="256">
        <v>0</v>
      </c>
      <c r="R37" s="256">
        <v>0</v>
      </c>
    </row>
    <row r="38" spans="1:18" ht="12.75">
      <c r="A38" s="200">
        <v>26</v>
      </c>
      <c r="B38" t="s">
        <v>640</v>
      </c>
      <c r="C38" t="s">
        <v>651</v>
      </c>
      <c r="D38" t="s">
        <v>652</v>
      </c>
      <c r="E38" s="200">
        <v>38290</v>
      </c>
      <c r="F38" s="261">
        <v>41508</v>
      </c>
      <c r="G38" s="200" t="s">
        <v>502</v>
      </c>
      <c r="H38" s="256">
        <v>4486293.0199999996</v>
      </c>
      <c r="I38" s="256">
        <v>0</v>
      </c>
      <c r="J38" s="256">
        <v>0</v>
      </c>
      <c r="K38" s="256">
        <v>4486293.0199999996</v>
      </c>
      <c r="L38" s="256">
        <v>0</v>
      </c>
      <c r="M38" s="256">
        <v>4486293.0199999996</v>
      </c>
      <c r="N38" s="256">
        <v>0</v>
      </c>
      <c r="O38" s="256">
        <v>0</v>
      </c>
      <c r="P38" s="256">
        <v>0</v>
      </c>
      <c r="Q38" s="256">
        <v>0</v>
      </c>
      <c r="R38" s="256">
        <v>0</v>
      </c>
    </row>
    <row r="39" spans="1:18" ht="12.75">
      <c r="A39" s="200">
        <v>27</v>
      </c>
      <c r="B39" t="s">
        <v>640</v>
      </c>
      <c r="C39" t="s">
        <v>653</v>
      </c>
      <c r="D39" t="s">
        <v>654</v>
      </c>
      <c r="E39" s="200">
        <v>38290</v>
      </c>
      <c r="F39" s="261">
        <v>41508</v>
      </c>
      <c r="G39" s="200" t="s">
        <v>502</v>
      </c>
      <c r="H39" s="256">
        <v>6990688.9199999999</v>
      </c>
      <c r="I39" s="256">
        <v>0</v>
      </c>
      <c r="J39" s="256">
        <v>0</v>
      </c>
      <c r="K39" s="256">
        <v>6990688.9199999999</v>
      </c>
      <c r="L39" s="256">
        <v>0</v>
      </c>
      <c r="M39" s="256">
        <v>6990688.9199999999</v>
      </c>
      <c r="N39" s="256">
        <v>0</v>
      </c>
      <c r="O39" s="256">
        <v>0</v>
      </c>
      <c r="P39" s="256">
        <v>0</v>
      </c>
      <c r="Q39" s="256">
        <v>0</v>
      </c>
      <c r="R39" s="256">
        <v>0</v>
      </c>
    </row>
    <row r="40" spans="1:18" ht="12.75">
      <c r="A40" s="200">
        <v>28</v>
      </c>
      <c r="B40" t="s">
        <v>640</v>
      </c>
      <c r="C40" t="s">
        <v>657</v>
      </c>
      <c r="D40" t="s">
        <v>658</v>
      </c>
      <c r="E40" s="200">
        <v>38560</v>
      </c>
      <c r="F40" s="261">
        <v>41393</v>
      </c>
      <c r="G40" s="200" t="s">
        <v>502</v>
      </c>
      <c r="H40" s="256">
        <v>9671367.3200000003</v>
      </c>
      <c r="I40" s="256">
        <v>0</v>
      </c>
      <c r="J40" s="256">
        <v>0</v>
      </c>
      <c r="K40" s="256">
        <v>9671367.3200000003</v>
      </c>
      <c r="L40" s="256">
        <v>0</v>
      </c>
      <c r="M40" s="256">
        <v>9671367.3200000003</v>
      </c>
      <c r="N40" s="256">
        <v>0</v>
      </c>
      <c r="O40" s="256">
        <v>0</v>
      </c>
      <c r="P40" s="256">
        <v>0</v>
      </c>
      <c r="Q40" s="256">
        <v>0</v>
      </c>
      <c r="R40" s="256">
        <v>0</v>
      </c>
    </row>
    <row r="41" spans="1:18" ht="12.75">
      <c r="A41" s="200">
        <v>29</v>
      </c>
      <c r="B41" t="s">
        <v>640</v>
      </c>
      <c r="C41" t="s">
        <v>663</v>
      </c>
      <c r="D41" t="s">
        <v>664</v>
      </c>
      <c r="E41" s="200">
        <v>38750</v>
      </c>
      <c r="F41" s="261">
        <v>41508</v>
      </c>
      <c r="G41" s="200" t="s">
        <v>502</v>
      </c>
      <c r="H41" s="256">
        <v>4931276.8499999996</v>
      </c>
      <c r="I41" s="256">
        <v>0</v>
      </c>
      <c r="J41" s="256">
        <v>0</v>
      </c>
      <c r="K41" s="256">
        <v>4931276.8499999996</v>
      </c>
      <c r="L41" s="256">
        <v>0</v>
      </c>
      <c r="M41" s="256">
        <v>4931276.8499999996</v>
      </c>
      <c r="N41" s="256">
        <v>0</v>
      </c>
      <c r="O41" s="256">
        <v>0</v>
      </c>
      <c r="P41" s="256">
        <v>0</v>
      </c>
      <c r="Q41" s="256">
        <v>0</v>
      </c>
      <c r="R41" s="256">
        <v>0</v>
      </c>
    </row>
    <row r="42" spans="1:18" ht="12.75">
      <c r="A42" s="200">
        <v>30</v>
      </c>
      <c r="B42" t="s">
        <v>640</v>
      </c>
      <c r="C42" t="s">
        <v>641</v>
      </c>
      <c r="D42" t="s">
        <v>642</v>
      </c>
      <c r="E42" s="200">
        <v>40484</v>
      </c>
      <c r="F42" s="261">
        <v>41614</v>
      </c>
      <c r="G42" s="200" t="s">
        <v>502</v>
      </c>
      <c r="H42" s="256">
        <v>694045.05000000005</v>
      </c>
      <c r="I42" s="256">
        <v>0</v>
      </c>
      <c r="J42" s="256">
        <v>0</v>
      </c>
      <c r="K42" s="256">
        <v>694045.05000000005</v>
      </c>
      <c r="L42" s="256">
        <v>0</v>
      </c>
      <c r="M42" s="256">
        <v>694045.05000000005</v>
      </c>
      <c r="N42" s="256">
        <v>0</v>
      </c>
      <c r="O42" s="256">
        <v>0</v>
      </c>
      <c r="P42" s="256">
        <v>0</v>
      </c>
      <c r="Q42" s="256">
        <v>0</v>
      </c>
      <c r="R42" s="256">
        <v>0</v>
      </c>
    </row>
    <row r="43" spans="1:18" ht="12.75">
      <c r="A43" s="200">
        <v>31</v>
      </c>
      <c r="B43" t="s">
        <v>640</v>
      </c>
      <c r="C43" t="s">
        <v>667</v>
      </c>
      <c r="D43" t="s">
        <v>668</v>
      </c>
      <c r="E43" s="200">
        <v>42063</v>
      </c>
      <c r="F43" s="261">
        <v>42235</v>
      </c>
      <c r="G43" s="200" t="s">
        <v>502</v>
      </c>
      <c r="H43" s="256">
        <v>3382249.1800000002</v>
      </c>
      <c r="I43" s="256">
        <v>0</v>
      </c>
      <c r="J43" s="256">
        <v>0</v>
      </c>
      <c r="K43" s="256">
        <v>3382249.1800000002</v>
      </c>
      <c r="L43" s="256">
        <v>0</v>
      </c>
      <c r="M43" s="256">
        <v>3382249.1800000002</v>
      </c>
      <c r="N43" s="256">
        <v>0</v>
      </c>
      <c r="O43" s="256">
        <v>0</v>
      </c>
      <c r="P43" s="256">
        <v>0</v>
      </c>
      <c r="Q43" s="256">
        <v>0</v>
      </c>
      <c r="R43" s="256">
        <v>0</v>
      </c>
    </row>
    <row r="44" spans="1:18" ht="12.75">
      <c r="A44" s="200">
        <v>32</v>
      </c>
      <c r="B44" t="s">
        <v>640</v>
      </c>
      <c r="C44" t="s">
        <v>669</v>
      </c>
      <c r="D44" t="s">
        <v>670</v>
      </c>
      <c r="E44" s="200">
        <v>45622</v>
      </c>
      <c r="F44" s="261">
        <v>42818</v>
      </c>
      <c r="G44" s="200" t="s">
        <v>502</v>
      </c>
      <c r="H44" s="256">
        <v>54975.989999999998</v>
      </c>
      <c r="I44" s="256">
        <v>0</v>
      </c>
      <c r="J44" s="256">
        <v>0</v>
      </c>
      <c r="K44" s="256">
        <v>54975.989999999998</v>
      </c>
      <c r="L44" s="256">
        <v>0</v>
      </c>
      <c r="M44" s="256">
        <v>54975.989999999998</v>
      </c>
      <c r="N44" s="256">
        <v>0</v>
      </c>
      <c r="O44" s="256">
        <v>0</v>
      </c>
      <c r="P44" s="256">
        <v>0</v>
      </c>
      <c r="Q44" s="256">
        <v>0</v>
      </c>
      <c r="R44" s="256">
        <v>0</v>
      </c>
    </row>
    <row r="45" spans="1:18" ht="12.75">
      <c r="A45" s="200">
        <v>33</v>
      </c>
      <c r="B45" t="s">
        <v>499</v>
      </c>
      <c r="C45" t="s">
        <v>500</v>
      </c>
      <c r="D45" t="s">
        <v>501</v>
      </c>
      <c r="E45" s="200">
        <v>47368</v>
      </c>
      <c r="F45" s="261">
        <v>43699</v>
      </c>
      <c r="G45" s="200" t="s">
        <v>502</v>
      </c>
      <c r="H45" s="256">
        <v>892961.78000000003</v>
      </c>
      <c r="I45" s="256">
        <v>0</v>
      </c>
      <c r="J45" s="256">
        <v>892961.78000000003</v>
      </c>
      <c r="K45" s="256">
        <v>0</v>
      </c>
      <c r="L45" s="256">
        <v>0</v>
      </c>
      <c r="M45" s="256">
        <v>892961.78000000003</v>
      </c>
      <c r="N45" s="256">
        <v>0</v>
      </c>
      <c r="O45" s="256">
        <v>0</v>
      </c>
      <c r="P45" s="256">
        <v>0</v>
      </c>
      <c r="Q45" s="256">
        <v>0</v>
      </c>
      <c r="R45" s="256">
        <v>0</v>
      </c>
    </row>
    <row r="46" spans="1:18" ht="12.75">
      <c r="A46" s="200">
        <v>34</v>
      </c>
      <c r="B46" t="s">
        <v>499</v>
      </c>
      <c r="C46" t="s">
        <v>511</v>
      </c>
      <c r="D46" t="s">
        <v>512</v>
      </c>
      <c r="E46" s="200">
        <v>47368</v>
      </c>
      <c r="F46" s="261">
        <v>43829</v>
      </c>
      <c r="G46" s="200" t="s">
        <v>502</v>
      </c>
      <c r="H46" s="256">
        <v>1315071.1799999999</v>
      </c>
      <c r="I46" s="256">
        <v>0</v>
      </c>
      <c r="J46" s="256">
        <v>1315071.1799999999</v>
      </c>
      <c r="K46" s="256">
        <v>0</v>
      </c>
      <c r="L46" s="256">
        <v>0</v>
      </c>
      <c r="M46" s="256">
        <v>1315071.1799999999</v>
      </c>
      <c r="N46" s="256">
        <v>0</v>
      </c>
      <c r="O46" s="256">
        <v>0</v>
      </c>
      <c r="P46" s="256">
        <v>0</v>
      </c>
      <c r="Q46" s="256">
        <v>0</v>
      </c>
      <c r="R46" s="256">
        <v>0</v>
      </c>
    </row>
    <row r="47" spans="1:18" ht="12.75">
      <c r="A47" s="200">
        <v>35</v>
      </c>
      <c r="B47" t="s">
        <v>499</v>
      </c>
      <c r="C47" t="s">
        <v>548</v>
      </c>
      <c r="D47" t="s">
        <v>549</v>
      </c>
      <c r="E47" s="200">
        <v>48095</v>
      </c>
      <c r="F47" s="261">
        <v>44185</v>
      </c>
      <c r="G47" s="200" t="s">
        <v>502</v>
      </c>
      <c r="H47" s="256">
        <v>411772.56</v>
      </c>
      <c r="I47" s="256">
        <v>0</v>
      </c>
      <c r="J47" s="256">
        <v>411772.56</v>
      </c>
      <c r="K47" s="256">
        <v>0</v>
      </c>
      <c r="L47" s="256">
        <v>0</v>
      </c>
      <c r="M47" s="256">
        <v>411772.56</v>
      </c>
      <c r="N47" s="256">
        <v>0</v>
      </c>
      <c r="O47" s="256">
        <v>0</v>
      </c>
      <c r="P47" s="256">
        <v>0</v>
      </c>
      <c r="Q47" s="256">
        <v>0</v>
      </c>
      <c r="R47" s="256">
        <v>0</v>
      </c>
    </row>
    <row r="48" spans="1:18" ht="12.75">
      <c r="A48" s="200">
        <v>36</v>
      </c>
      <c r="B48" t="s">
        <v>499</v>
      </c>
      <c r="C48" t="s">
        <v>550</v>
      </c>
      <c r="D48" t="s">
        <v>551</v>
      </c>
      <c r="E48" s="200">
        <v>48095</v>
      </c>
      <c r="F48" s="261">
        <v>44166</v>
      </c>
      <c r="G48" s="200" t="s">
        <v>502</v>
      </c>
      <c r="H48" s="256">
        <v>8738.2000000000007</v>
      </c>
      <c r="I48" s="256">
        <v>0</v>
      </c>
      <c r="J48" s="256">
        <v>8738.2000000000007</v>
      </c>
      <c r="K48" s="256">
        <v>0</v>
      </c>
      <c r="L48" s="256">
        <v>0</v>
      </c>
      <c r="M48" s="256">
        <v>8738.2000000000007</v>
      </c>
      <c r="N48" s="256">
        <v>0</v>
      </c>
      <c r="O48" s="256">
        <v>0</v>
      </c>
      <c r="P48" s="256">
        <v>0</v>
      </c>
      <c r="Q48" s="256">
        <v>0</v>
      </c>
      <c r="R48" s="256">
        <v>0</v>
      </c>
    </row>
    <row r="49" spans="1:18" ht="12.75">
      <c r="A49" s="200">
        <v>37</v>
      </c>
      <c r="B49" t="s">
        <v>499</v>
      </c>
      <c r="C49" t="s">
        <v>538</v>
      </c>
      <c r="D49" t="s">
        <v>539</v>
      </c>
      <c r="E49" s="200">
        <v>48095</v>
      </c>
      <c r="F49" s="261">
        <v>44183</v>
      </c>
      <c r="G49" s="200" t="s">
        <v>502</v>
      </c>
      <c r="H49" s="256">
        <v>664910.96838099998</v>
      </c>
      <c r="I49" s="256">
        <v>0</v>
      </c>
      <c r="J49" s="256">
        <v>664910.96838099998</v>
      </c>
      <c r="K49" s="256">
        <v>0</v>
      </c>
      <c r="L49" s="256">
        <v>0</v>
      </c>
      <c r="M49" s="256">
        <v>664910.96838099998</v>
      </c>
      <c r="N49" s="256">
        <v>0</v>
      </c>
      <c r="O49" s="256">
        <v>0</v>
      </c>
      <c r="P49" s="256">
        <v>0</v>
      </c>
      <c r="Q49" s="256">
        <v>0</v>
      </c>
      <c r="R49" s="256">
        <v>0</v>
      </c>
    </row>
    <row r="50" spans="1:18" ht="12.75">
      <c r="A50" s="200">
        <v>38</v>
      </c>
      <c r="B50" t="s">
        <v>499</v>
      </c>
      <c r="C50" t="s">
        <v>628</v>
      </c>
      <c r="D50" t="s">
        <v>629</v>
      </c>
      <c r="E50" s="200">
        <v>48310</v>
      </c>
      <c r="F50" s="261">
        <v>43607</v>
      </c>
      <c r="G50" s="200" t="s">
        <v>502</v>
      </c>
      <c r="H50" s="256">
        <v>254149.25</v>
      </c>
      <c r="I50" s="256">
        <v>0</v>
      </c>
      <c r="J50" s="256">
        <v>254149.25</v>
      </c>
      <c r="K50" s="256">
        <v>0</v>
      </c>
      <c r="L50" s="256">
        <v>0</v>
      </c>
      <c r="M50" s="256">
        <v>254149.25</v>
      </c>
      <c r="N50" s="256">
        <v>0</v>
      </c>
      <c r="O50" s="256">
        <v>0</v>
      </c>
      <c r="P50" s="256">
        <v>0</v>
      </c>
      <c r="Q50" s="256">
        <v>0</v>
      </c>
      <c r="R50" s="256">
        <v>0</v>
      </c>
    </row>
    <row r="51" spans="1:18" ht="12.75">
      <c r="A51" s="200">
        <v>39</v>
      </c>
      <c r="B51" t="s">
        <v>499</v>
      </c>
      <c r="C51" t="s">
        <v>568</v>
      </c>
      <c r="D51" t="s">
        <v>569</v>
      </c>
      <c r="E51" s="200">
        <v>48625</v>
      </c>
      <c r="F51" s="261">
        <v>44364</v>
      </c>
      <c r="G51" s="200" t="s">
        <v>502</v>
      </c>
      <c r="H51" s="256">
        <v>56236.949999999997</v>
      </c>
      <c r="I51" s="256">
        <v>0</v>
      </c>
      <c r="J51" s="256">
        <v>56236.949999999997</v>
      </c>
      <c r="K51" s="256">
        <v>0</v>
      </c>
      <c r="L51" s="256">
        <v>0</v>
      </c>
      <c r="M51" s="256">
        <v>56236.949999999997</v>
      </c>
      <c r="N51" s="256">
        <v>0</v>
      </c>
      <c r="O51" s="256">
        <v>0</v>
      </c>
      <c r="P51" s="256">
        <v>0</v>
      </c>
      <c r="Q51" s="256">
        <v>0</v>
      </c>
      <c r="R51" s="256">
        <v>0</v>
      </c>
    </row>
    <row r="52" spans="1:18" ht="12.75">
      <c r="A52" s="200">
        <v>40</v>
      </c>
      <c r="B52" t="s">
        <v>499</v>
      </c>
      <c r="C52" t="s">
        <v>570</v>
      </c>
      <c r="D52" t="s">
        <v>571</v>
      </c>
      <c r="E52" s="200">
        <v>48625</v>
      </c>
      <c r="F52" s="261">
        <v>44368</v>
      </c>
      <c r="G52" s="200" t="s">
        <v>502</v>
      </c>
      <c r="H52" s="256">
        <v>375892.73898000008</v>
      </c>
      <c r="I52" s="256">
        <v>0</v>
      </c>
      <c r="J52" s="256">
        <v>375892.73898000008</v>
      </c>
      <c r="K52" s="256">
        <v>0</v>
      </c>
      <c r="L52" s="256">
        <v>0</v>
      </c>
      <c r="M52" s="256">
        <v>375892.73898000008</v>
      </c>
      <c r="N52" s="256">
        <v>0</v>
      </c>
      <c r="O52" s="256">
        <v>0</v>
      </c>
      <c r="P52" s="256">
        <v>0</v>
      </c>
      <c r="Q52" s="256">
        <v>0</v>
      </c>
      <c r="R52" s="256">
        <v>0</v>
      </c>
    </row>
    <row r="53" spans="1:18" ht="12.75">
      <c r="A53" s="200">
        <v>41</v>
      </c>
      <c r="B53" t="s">
        <v>499</v>
      </c>
      <c r="C53" t="s">
        <v>572</v>
      </c>
      <c r="D53" t="s">
        <v>573</v>
      </c>
      <c r="E53" s="200">
        <v>48668</v>
      </c>
      <c r="F53" s="261">
        <v>44368</v>
      </c>
      <c r="G53" s="200" t="s">
        <v>502</v>
      </c>
      <c r="H53" s="256">
        <v>1263415.1551000003</v>
      </c>
      <c r="I53" s="256">
        <v>0</v>
      </c>
      <c r="J53" s="256">
        <v>1263415.1551000003</v>
      </c>
      <c r="K53" s="256">
        <v>0</v>
      </c>
      <c r="L53" s="256">
        <v>0</v>
      </c>
      <c r="M53" s="256">
        <v>1263415.1551000003</v>
      </c>
      <c r="N53" s="256">
        <v>0</v>
      </c>
      <c r="O53" s="256">
        <v>0</v>
      </c>
      <c r="P53" s="256">
        <v>0</v>
      </c>
      <c r="Q53" s="256">
        <v>0</v>
      </c>
      <c r="R53" s="256">
        <v>0</v>
      </c>
    </row>
    <row r="54" spans="1:18" ht="12.75">
      <c r="A54" s="200">
        <v>42</v>
      </c>
      <c r="B54" t="s">
        <v>499</v>
      </c>
      <c r="C54" t="s">
        <v>570</v>
      </c>
      <c r="D54" t="s">
        <v>571</v>
      </c>
      <c r="E54" s="200">
        <v>48668</v>
      </c>
      <c r="F54" s="261">
        <v>44368</v>
      </c>
      <c r="G54" s="200" t="s">
        <v>502</v>
      </c>
      <c r="H54" s="256">
        <v>171894.01053</v>
      </c>
      <c r="I54" s="256">
        <v>0</v>
      </c>
      <c r="J54" s="256">
        <v>171894.01053</v>
      </c>
      <c r="K54" s="256">
        <v>0</v>
      </c>
      <c r="L54" s="256">
        <v>0</v>
      </c>
      <c r="M54" s="256">
        <v>171894.01053</v>
      </c>
      <c r="N54" s="256">
        <v>0</v>
      </c>
      <c r="O54" s="256">
        <v>0</v>
      </c>
      <c r="P54" s="256">
        <v>0</v>
      </c>
      <c r="Q54" s="256">
        <v>0</v>
      </c>
      <c r="R54" s="256">
        <v>0</v>
      </c>
    </row>
    <row r="55" spans="1:18" ht="12.75">
      <c r="A55" s="200">
        <v>43</v>
      </c>
      <c r="B55" t="s">
        <v>499</v>
      </c>
      <c r="C55" t="s">
        <v>540</v>
      </c>
      <c r="D55" t="s">
        <v>541</v>
      </c>
      <c r="E55" s="200">
        <v>48785</v>
      </c>
      <c r="F55" s="261">
        <v>44193</v>
      </c>
      <c r="G55" s="200" t="s">
        <v>502</v>
      </c>
      <c r="H55" s="256">
        <v>74767.120776999989</v>
      </c>
      <c r="I55" s="256">
        <v>0</v>
      </c>
      <c r="J55" s="256">
        <v>74767.120776999989</v>
      </c>
      <c r="K55" s="256">
        <v>0</v>
      </c>
      <c r="L55" s="256">
        <v>0</v>
      </c>
      <c r="M55" s="256">
        <v>74767.120776999989</v>
      </c>
      <c r="N55" s="256">
        <v>0</v>
      </c>
      <c r="O55" s="256">
        <v>0</v>
      </c>
      <c r="P55" s="256">
        <v>0</v>
      </c>
      <c r="Q55" s="256">
        <v>0</v>
      </c>
      <c r="R55" s="256">
        <v>0</v>
      </c>
    </row>
    <row r="56" spans="1:18" ht="12.75">
      <c r="A56" s="200">
        <v>44</v>
      </c>
      <c r="B56" t="s">
        <v>499</v>
      </c>
      <c r="C56" t="s">
        <v>671</v>
      </c>
      <c r="D56" t="s">
        <v>672</v>
      </c>
      <c r="E56" s="200">
        <v>48861</v>
      </c>
      <c r="F56" s="261">
        <v>43913</v>
      </c>
      <c r="G56" s="200" t="s">
        <v>502</v>
      </c>
      <c r="H56" s="256">
        <v>39946.07</v>
      </c>
      <c r="I56" s="256">
        <v>0</v>
      </c>
      <c r="J56" s="256">
        <v>39946.07</v>
      </c>
      <c r="K56" s="256">
        <v>0</v>
      </c>
      <c r="L56" s="256">
        <v>0</v>
      </c>
      <c r="M56" s="256">
        <v>39946.07</v>
      </c>
      <c r="N56" s="256">
        <v>0</v>
      </c>
      <c r="O56" s="256">
        <v>0</v>
      </c>
      <c r="P56" s="256">
        <v>0</v>
      </c>
      <c r="Q56" s="256">
        <v>0</v>
      </c>
      <c r="R56" s="256">
        <v>0</v>
      </c>
    </row>
    <row r="57" spans="1:18" ht="12.75">
      <c r="A57" s="200">
        <v>45</v>
      </c>
      <c r="B57" t="s">
        <v>499</v>
      </c>
      <c r="C57" t="s">
        <v>574</v>
      </c>
      <c r="D57" t="s">
        <v>575</v>
      </c>
      <c r="E57" s="200">
        <v>48909</v>
      </c>
      <c r="F57" s="261">
        <v>44362</v>
      </c>
      <c r="G57" s="200" t="s">
        <v>502</v>
      </c>
      <c r="H57" s="256">
        <v>2392809.54</v>
      </c>
      <c r="I57" s="256">
        <v>0</v>
      </c>
      <c r="J57" s="256">
        <v>2392809.54</v>
      </c>
      <c r="K57" s="256">
        <v>0</v>
      </c>
      <c r="L57" s="256">
        <v>0</v>
      </c>
      <c r="M57" s="256">
        <v>2392809.54</v>
      </c>
      <c r="N57" s="256">
        <v>0</v>
      </c>
      <c r="O57" s="256">
        <v>0</v>
      </c>
      <c r="P57" s="256">
        <v>0</v>
      </c>
      <c r="Q57" s="256">
        <v>0</v>
      </c>
      <c r="R57" s="256">
        <v>0</v>
      </c>
    </row>
    <row r="58" spans="1:18" ht="12.75">
      <c r="A58" s="200">
        <v>46</v>
      </c>
      <c r="B58" t="s">
        <v>499</v>
      </c>
      <c r="C58" t="s">
        <v>576</v>
      </c>
      <c r="D58" t="s">
        <v>577</v>
      </c>
      <c r="E58" s="200">
        <v>48909</v>
      </c>
      <c r="F58" s="261">
        <v>44351</v>
      </c>
      <c r="G58" s="200" t="s">
        <v>502</v>
      </c>
      <c r="H58" s="256">
        <v>289630.03000000003</v>
      </c>
      <c r="I58" s="256">
        <v>0</v>
      </c>
      <c r="J58" s="256">
        <v>289630.03000000003</v>
      </c>
      <c r="K58" s="256">
        <v>0</v>
      </c>
      <c r="L58" s="256">
        <v>0</v>
      </c>
      <c r="M58" s="256">
        <v>289630.03000000003</v>
      </c>
      <c r="N58" s="256">
        <v>0</v>
      </c>
      <c r="O58" s="256">
        <v>0</v>
      </c>
      <c r="P58" s="256">
        <v>0</v>
      </c>
      <c r="Q58" s="256">
        <v>0</v>
      </c>
      <c r="R58" s="256">
        <v>0</v>
      </c>
    </row>
    <row r="59" spans="1:18" ht="12.75">
      <c r="A59" s="200">
        <v>47</v>
      </c>
      <c r="B59" t="s">
        <v>499</v>
      </c>
      <c r="C59" t="s">
        <v>572</v>
      </c>
      <c r="D59" t="s">
        <v>573</v>
      </c>
      <c r="E59" s="200">
        <v>48909</v>
      </c>
      <c r="F59" s="261">
        <v>44368</v>
      </c>
      <c r="G59" s="200" t="s">
        <v>502</v>
      </c>
      <c r="H59" s="256">
        <v>1021241.5449000001</v>
      </c>
      <c r="I59" s="256">
        <v>0</v>
      </c>
      <c r="J59" s="256">
        <v>1021241.5449000001</v>
      </c>
      <c r="K59" s="256">
        <v>0</v>
      </c>
      <c r="L59" s="256">
        <v>0</v>
      </c>
      <c r="M59" s="256">
        <v>1021241.5449000001</v>
      </c>
      <c r="N59" s="256">
        <v>0</v>
      </c>
      <c r="O59" s="256">
        <v>0</v>
      </c>
      <c r="P59" s="256">
        <v>0</v>
      </c>
      <c r="Q59" s="256">
        <v>0</v>
      </c>
      <c r="R59" s="256">
        <v>0</v>
      </c>
    </row>
    <row r="60" spans="1:18" ht="12.75">
      <c r="A60" s="200">
        <v>48</v>
      </c>
      <c r="B60" t="s">
        <v>499</v>
      </c>
      <c r="C60" t="s">
        <v>570</v>
      </c>
      <c r="D60" t="s">
        <v>571</v>
      </c>
      <c r="E60" s="200">
        <v>49151</v>
      </c>
      <c r="F60" s="261">
        <v>44368</v>
      </c>
      <c r="G60" s="200" t="s">
        <v>502</v>
      </c>
      <c r="H60" s="256">
        <v>121061.54049</v>
      </c>
      <c r="I60" s="256">
        <v>0</v>
      </c>
      <c r="J60" s="256">
        <v>121061.54049</v>
      </c>
      <c r="K60" s="256">
        <v>0</v>
      </c>
      <c r="L60" s="256">
        <v>0</v>
      </c>
      <c r="M60" s="256">
        <v>121061.54049</v>
      </c>
      <c r="N60" s="256">
        <v>0</v>
      </c>
      <c r="O60" s="256">
        <v>0</v>
      </c>
      <c r="P60" s="256">
        <v>0</v>
      </c>
      <c r="Q60" s="256">
        <v>0</v>
      </c>
      <c r="R60" s="256">
        <v>0</v>
      </c>
    </row>
    <row r="61" spans="1:18" ht="12.75">
      <c r="A61" s="200">
        <v>49</v>
      </c>
      <c r="B61" t="s">
        <v>499</v>
      </c>
      <c r="C61" t="s">
        <v>538</v>
      </c>
      <c r="D61" t="s">
        <v>539</v>
      </c>
      <c r="E61" s="200">
        <v>49723</v>
      </c>
      <c r="F61" s="261">
        <v>44183</v>
      </c>
      <c r="G61" s="200" t="s">
        <v>502</v>
      </c>
      <c r="H61" s="256">
        <v>18380.541619</v>
      </c>
      <c r="I61" s="256">
        <v>0</v>
      </c>
      <c r="J61" s="256">
        <v>18380.541619</v>
      </c>
      <c r="K61" s="256">
        <v>0</v>
      </c>
      <c r="L61" s="256">
        <v>0</v>
      </c>
      <c r="M61" s="256">
        <v>18380.541619</v>
      </c>
      <c r="N61" s="256">
        <v>0</v>
      </c>
      <c r="O61" s="256">
        <v>0</v>
      </c>
      <c r="P61" s="256">
        <v>0</v>
      </c>
      <c r="Q61" s="256">
        <v>0</v>
      </c>
      <c r="R61" s="256">
        <v>0</v>
      </c>
    </row>
    <row r="62" spans="1:18" ht="12.75">
      <c r="A62" s="200">
        <v>50</v>
      </c>
      <c r="B62" t="s">
        <v>499</v>
      </c>
      <c r="C62" t="s">
        <v>540</v>
      </c>
      <c r="D62" t="s">
        <v>541</v>
      </c>
      <c r="E62" s="200">
        <v>49723</v>
      </c>
      <c r="F62" s="261">
        <v>44193</v>
      </c>
      <c r="G62" s="200" t="s">
        <v>502</v>
      </c>
      <c r="H62" s="256">
        <v>1612978.2692229999</v>
      </c>
      <c r="I62" s="256">
        <v>0</v>
      </c>
      <c r="J62" s="256">
        <v>1612978.2692229999</v>
      </c>
      <c r="K62" s="256">
        <v>0</v>
      </c>
      <c r="L62" s="256">
        <v>0</v>
      </c>
      <c r="M62" s="256">
        <v>1612978.2692229999</v>
      </c>
      <c r="N62" s="256">
        <v>0</v>
      </c>
      <c r="O62" s="256">
        <v>0</v>
      </c>
      <c r="P62" s="256">
        <v>0</v>
      </c>
      <c r="Q62" s="256">
        <v>0</v>
      </c>
      <c r="R62" s="256">
        <v>0</v>
      </c>
    </row>
    <row r="63" spans="1:18" ht="12.75">
      <c r="A63" s="200">
        <v>51</v>
      </c>
      <c r="B63" t="s">
        <v>499</v>
      </c>
      <c r="C63" t="s">
        <v>517</v>
      </c>
      <c r="D63" t="s">
        <v>518</v>
      </c>
      <c r="E63" s="200">
        <v>50217</v>
      </c>
      <c r="F63" s="261">
        <v>44173</v>
      </c>
      <c r="G63" s="200" t="s">
        <v>502</v>
      </c>
      <c r="H63" s="256">
        <v>8884.9799999999996</v>
      </c>
      <c r="I63" s="256">
        <v>0</v>
      </c>
      <c r="J63" s="256">
        <v>8884.9799999999996</v>
      </c>
      <c r="K63" s="256">
        <v>0</v>
      </c>
      <c r="L63" s="256">
        <v>0</v>
      </c>
      <c r="M63" s="256">
        <v>8884.9799999999996</v>
      </c>
      <c r="N63" s="256">
        <v>0</v>
      </c>
      <c r="O63" s="256">
        <v>0</v>
      </c>
      <c r="P63" s="256">
        <v>0</v>
      </c>
      <c r="Q63" s="256">
        <v>0</v>
      </c>
      <c r="R63" s="256">
        <v>0</v>
      </c>
    </row>
    <row r="64" spans="1:18" ht="12.75">
      <c r="A64" s="200">
        <v>52</v>
      </c>
      <c r="B64" t="s">
        <v>499</v>
      </c>
      <c r="C64" t="s">
        <v>596</v>
      </c>
      <c r="D64" t="s">
        <v>597</v>
      </c>
      <c r="E64" s="200">
        <v>50560</v>
      </c>
      <c r="F64" s="261">
        <v>44284</v>
      </c>
      <c r="G64" s="200" t="s">
        <v>502</v>
      </c>
      <c r="H64" s="256">
        <v>53817.849999999999</v>
      </c>
      <c r="I64" s="256">
        <v>0</v>
      </c>
      <c r="J64" s="256">
        <v>53817.849999999999</v>
      </c>
      <c r="K64" s="256">
        <v>0</v>
      </c>
      <c r="L64" s="256">
        <v>0</v>
      </c>
      <c r="M64" s="256">
        <v>53817.849999999999</v>
      </c>
      <c r="N64" s="256">
        <v>0</v>
      </c>
      <c r="O64" s="256">
        <v>0</v>
      </c>
      <c r="P64" s="256">
        <v>0</v>
      </c>
      <c r="Q64" s="256">
        <v>0</v>
      </c>
      <c r="R64" s="256">
        <v>0</v>
      </c>
    </row>
    <row r="65" spans="1:18" ht="12.75">
      <c r="A65" s="200">
        <v>53</v>
      </c>
      <c r="B65" t="s">
        <v>640</v>
      </c>
      <c r="C65" t="s">
        <v>651</v>
      </c>
      <c r="D65" t="s">
        <v>652</v>
      </c>
      <c r="E65" s="200">
        <v>38290</v>
      </c>
      <c r="F65" s="261">
        <v>41508</v>
      </c>
      <c r="G65" s="200" t="s">
        <v>503</v>
      </c>
      <c r="H65" s="256">
        <v>21212225.23</v>
      </c>
      <c r="I65" s="256">
        <v>0</v>
      </c>
      <c r="J65" s="256">
        <v>0</v>
      </c>
      <c r="K65" s="256">
        <v>20753629.904863976</v>
      </c>
      <c r="L65" s="256">
        <v>0</v>
      </c>
      <c r="M65" s="256">
        <v>20753629.904863976</v>
      </c>
      <c r="N65" s="256">
        <v>0</v>
      </c>
      <c r="O65" s="256">
        <v>458595.3251360245</v>
      </c>
      <c r="P65" s="256">
        <v>458595.3251360245</v>
      </c>
      <c r="Q65" s="256">
        <v>0</v>
      </c>
      <c r="R65" s="256">
        <v>0</v>
      </c>
    </row>
    <row r="66" spans="1:18" ht="12.75">
      <c r="A66" s="200">
        <v>54</v>
      </c>
      <c r="B66" t="s">
        <v>640</v>
      </c>
      <c r="C66" t="s">
        <v>653</v>
      </c>
      <c r="D66" t="s">
        <v>654</v>
      </c>
      <c r="E66" s="200">
        <v>38290</v>
      </c>
      <c r="F66" s="261">
        <v>41508</v>
      </c>
      <c r="G66" s="200" t="s">
        <v>503</v>
      </c>
      <c r="H66" s="256">
        <v>20693102.34</v>
      </c>
      <c r="I66" s="256">
        <v>0</v>
      </c>
      <c r="J66" s="256">
        <v>0</v>
      </c>
      <c r="K66" s="256">
        <v>20123471.159020234</v>
      </c>
      <c r="L66" s="256">
        <v>0</v>
      </c>
      <c r="M66" s="256">
        <v>20123471.159020234</v>
      </c>
      <c r="N66" s="256">
        <v>0</v>
      </c>
      <c r="O66" s="256">
        <v>569631.18097976595</v>
      </c>
      <c r="P66" s="256">
        <v>569631.18097976595</v>
      </c>
      <c r="Q66" s="256">
        <v>0</v>
      </c>
      <c r="R66" s="256">
        <v>0</v>
      </c>
    </row>
    <row r="67" spans="1:18" ht="12.75">
      <c r="A67" s="200">
        <v>55</v>
      </c>
      <c r="B67" t="s">
        <v>640</v>
      </c>
      <c r="C67" t="s">
        <v>657</v>
      </c>
      <c r="D67" t="s">
        <v>658</v>
      </c>
      <c r="E67" s="200">
        <v>38560</v>
      </c>
      <c r="F67" s="261">
        <v>41393</v>
      </c>
      <c r="G67" s="200" t="s">
        <v>503</v>
      </c>
      <c r="H67" s="256">
        <v>30972359.959999997</v>
      </c>
      <c r="I67" s="256">
        <v>0</v>
      </c>
      <c r="J67" s="256">
        <v>0</v>
      </c>
      <c r="K67" s="256">
        <v>24651355.766211677</v>
      </c>
      <c r="L67" s="256">
        <v>0</v>
      </c>
      <c r="M67" s="256">
        <v>24651355.766211677</v>
      </c>
      <c r="N67" s="256">
        <v>0</v>
      </c>
      <c r="O67" s="256">
        <v>6321004.1937883226</v>
      </c>
      <c r="P67" s="256">
        <v>6321004.1937883226</v>
      </c>
      <c r="Q67" s="256">
        <v>0</v>
      </c>
      <c r="R67" s="256">
        <v>0</v>
      </c>
    </row>
    <row r="68" spans="1:18" ht="12.75">
      <c r="A68" s="200">
        <v>56</v>
      </c>
      <c r="B68" t="s">
        <v>640</v>
      </c>
      <c r="C68" t="s">
        <v>663</v>
      </c>
      <c r="D68" t="s">
        <v>664</v>
      </c>
      <c r="E68" s="200">
        <v>38750</v>
      </c>
      <c r="F68" s="261">
        <v>41508</v>
      </c>
      <c r="G68" s="200" t="s">
        <v>503</v>
      </c>
      <c r="H68" s="256">
        <v>17767807.530000001</v>
      </c>
      <c r="I68" s="256">
        <v>0</v>
      </c>
      <c r="J68" s="256">
        <v>0</v>
      </c>
      <c r="K68" s="256">
        <v>17399163.950317647</v>
      </c>
      <c r="L68" s="256">
        <v>0</v>
      </c>
      <c r="M68" s="256">
        <v>17399163.950317647</v>
      </c>
      <c r="N68" s="256">
        <v>0</v>
      </c>
      <c r="O68" s="256">
        <v>368643.57968235388</v>
      </c>
      <c r="P68" s="256">
        <v>368643.57968235388</v>
      </c>
      <c r="Q68" s="256">
        <v>0</v>
      </c>
      <c r="R68" s="256">
        <v>0</v>
      </c>
    </row>
    <row r="69" spans="1:18" ht="12.75">
      <c r="A69" s="200">
        <v>57</v>
      </c>
      <c r="B69" t="s">
        <v>640</v>
      </c>
      <c r="C69" t="s">
        <v>641</v>
      </c>
      <c r="D69" t="s">
        <v>642</v>
      </c>
      <c r="E69" s="200">
        <v>40484</v>
      </c>
      <c r="F69" s="261">
        <v>41614</v>
      </c>
      <c r="G69" s="200" t="s">
        <v>503</v>
      </c>
      <c r="H69" s="256">
        <v>1148113.45</v>
      </c>
      <c r="I69" s="256">
        <v>0</v>
      </c>
      <c r="J69" s="256">
        <v>0</v>
      </c>
      <c r="K69" s="256">
        <v>915475.98045052809</v>
      </c>
      <c r="L69" s="256">
        <v>0</v>
      </c>
      <c r="M69" s="256">
        <v>915475.98045052809</v>
      </c>
      <c r="N69" s="256">
        <v>0</v>
      </c>
      <c r="O69" s="256">
        <v>232637.46954947183</v>
      </c>
      <c r="P69" s="256">
        <v>232637.46954947183</v>
      </c>
      <c r="Q69" s="256">
        <v>0</v>
      </c>
      <c r="R69" s="256">
        <v>0</v>
      </c>
    </row>
    <row r="70" spans="1:18" ht="12.75">
      <c r="A70" s="200">
        <v>58</v>
      </c>
      <c r="B70" t="s">
        <v>640</v>
      </c>
      <c r="C70" t="s">
        <v>667</v>
      </c>
      <c r="D70" t="s">
        <v>668</v>
      </c>
      <c r="E70" s="200">
        <v>42063</v>
      </c>
      <c r="F70" s="261">
        <v>42235</v>
      </c>
      <c r="G70" s="200" t="s">
        <v>503</v>
      </c>
      <c r="H70" s="256">
        <v>16493209.26</v>
      </c>
      <c r="I70" s="256">
        <v>0</v>
      </c>
      <c r="J70" s="256">
        <v>0</v>
      </c>
      <c r="K70" s="256">
        <v>16493209.26</v>
      </c>
      <c r="L70" s="256">
        <v>0</v>
      </c>
      <c r="M70" s="256">
        <v>16493209.26</v>
      </c>
      <c r="N70" s="256">
        <v>0</v>
      </c>
      <c r="O70" s="256">
        <v>0</v>
      </c>
      <c r="P70" s="256">
        <v>0</v>
      </c>
      <c r="Q70" s="256">
        <v>0</v>
      </c>
      <c r="R70" s="256">
        <v>0</v>
      </c>
    </row>
    <row r="71" spans="1:18" ht="12.75">
      <c r="A71" s="200">
        <v>59</v>
      </c>
      <c r="B71" t="s">
        <v>640</v>
      </c>
      <c r="C71" t="s">
        <v>673</v>
      </c>
      <c r="D71" t="s">
        <v>674</v>
      </c>
      <c r="E71" s="200">
        <v>45308</v>
      </c>
      <c r="F71" s="261">
        <v>43600</v>
      </c>
      <c r="G71" s="200" t="s">
        <v>503</v>
      </c>
      <c r="H71" s="256">
        <v>242826.63000000001</v>
      </c>
      <c r="I71" s="256">
        <v>0</v>
      </c>
      <c r="J71" s="256">
        <v>0</v>
      </c>
      <c r="K71" s="256">
        <v>150735.83127598194</v>
      </c>
      <c r="L71" s="256">
        <v>0</v>
      </c>
      <c r="M71" s="256">
        <v>150735.83127598194</v>
      </c>
      <c r="N71" s="256">
        <v>0</v>
      </c>
      <c r="O71" s="256">
        <v>92090.798724018066</v>
      </c>
      <c r="P71" s="256">
        <v>92090.798724018066</v>
      </c>
      <c r="Q71" s="256">
        <v>0</v>
      </c>
      <c r="R71" s="256">
        <v>0</v>
      </c>
    </row>
    <row r="72" spans="1:18" ht="12.75">
      <c r="A72" s="200">
        <v>60</v>
      </c>
      <c r="B72" t="s">
        <v>640</v>
      </c>
      <c r="C72" t="s">
        <v>675</v>
      </c>
      <c r="D72" t="s">
        <v>676</v>
      </c>
      <c r="E72" s="200">
        <v>45397</v>
      </c>
      <c r="F72" s="261">
        <v>43600</v>
      </c>
      <c r="G72" s="200" t="s">
        <v>503</v>
      </c>
      <c r="H72" s="256">
        <v>362456.22999999998</v>
      </c>
      <c r="I72" s="256">
        <v>0</v>
      </c>
      <c r="J72" s="256">
        <v>0</v>
      </c>
      <c r="K72" s="256">
        <v>235592.93616680134</v>
      </c>
      <c r="L72" s="256">
        <v>0</v>
      </c>
      <c r="M72" s="256">
        <v>235592.93616680134</v>
      </c>
      <c r="N72" s="256">
        <v>0</v>
      </c>
      <c r="O72" s="256">
        <v>126863.29383319864</v>
      </c>
      <c r="P72" s="256">
        <v>126863.29383319864</v>
      </c>
      <c r="Q72" s="256">
        <v>0</v>
      </c>
      <c r="R72" s="256">
        <v>0</v>
      </c>
    </row>
    <row r="73" spans="1:18" ht="12.75">
      <c r="A73" s="200">
        <v>61</v>
      </c>
      <c r="B73" t="s">
        <v>640</v>
      </c>
      <c r="C73" t="s">
        <v>669</v>
      </c>
      <c r="D73" t="s">
        <v>670</v>
      </c>
      <c r="E73" s="200">
        <v>45622</v>
      </c>
      <c r="F73" s="261">
        <v>42818</v>
      </c>
      <c r="G73" s="200" t="s">
        <v>503</v>
      </c>
      <c r="H73" s="256">
        <v>3593846.77</v>
      </c>
      <c r="I73" s="256">
        <v>0</v>
      </c>
      <c r="J73" s="256">
        <v>0</v>
      </c>
      <c r="K73" s="256">
        <v>3482445.4139777059</v>
      </c>
      <c r="L73" s="256">
        <v>0</v>
      </c>
      <c r="M73" s="256">
        <v>3482445.4139777059</v>
      </c>
      <c r="N73" s="256">
        <v>0</v>
      </c>
      <c r="O73" s="256">
        <v>111401.35602229415</v>
      </c>
      <c r="P73" s="256">
        <v>111401.35602229415</v>
      </c>
      <c r="Q73" s="256">
        <v>0</v>
      </c>
      <c r="R73" s="256">
        <v>0</v>
      </c>
    </row>
    <row r="74" spans="1:18" ht="12.75">
      <c r="A74" s="200">
        <v>62</v>
      </c>
      <c r="B74" t="s">
        <v>499</v>
      </c>
      <c r="C74" t="s">
        <v>500</v>
      </c>
      <c r="D74" t="s">
        <v>501</v>
      </c>
      <c r="E74" s="200">
        <v>47368</v>
      </c>
      <c r="F74" s="261">
        <v>43699</v>
      </c>
      <c r="G74" s="200" t="s">
        <v>503</v>
      </c>
      <c r="H74" s="256">
        <v>8027738.2400000002</v>
      </c>
      <c r="I74" s="256">
        <v>0</v>
      </c>
      <c r="J74" s="256">
        <v>7989511.4100000001</v>
      </c>
      <c r="K74" s="256">
        <v>0</v>
      </c>
      <c r="L74" s="256">
        <v>0</v>
      </c>
      <c r="M74" s="256">
        <v>7989511.4100000001</v>
      </c>
      <c r="N74" s="256">
        <v>38226.830000000002</v>
      </c>
      <c r="O74" s="256">
        <v>0</v>
      </c>
      <c r="P74" s="256">
        <v>38226.830000000002</v>
      </c>
      <c r="Q74" s="256">
        <v>0</v>
      </c>
      <c r="R74" s="256">
        <v>0</v>
      </c>
    </row>
    <row r="75" spans="1:18" ht="12.75">
      <c r="A75" s="200">
        <v>63</v>
      </c>
      <c r="B75" t="s">
        <v>499</v>
      </c>
      <c r="C75" t="s">
        <v>511</v>
      </c>
      <c r="D75" t="s">
        <v>512</v>
      </c>
      <c r="E75" s="200">
        <v>47368</v>
      </c>
      <c r="F75" s="261">
        <v>43829</v>
      </c>
      <c r="G75" s="200" t="s">
        <v>503</v>
      </c>
      <c r="H75" s="256">
        <v>1262993.28</v>
      </c>
      <c r="I75" s="256">
        <v>0</v>
      </c>
      <c r="J75" s="256">
        <v>1261898.3600000001</v>
      </c>
      <c r="K75" s="256">
        <v>0</v>
      </c>
      <c r="L75" s="256">
        <v>0</v>
      </c>
      <c r="M75" s="256">
        <v>1261898.3600000001</v>
      </c>
      <c r="N75" s="256">
        <v>1094.9200000000001</v>
      </c>
      <c r="O75" s="256">
        <v>0</v>
      </c>
      <c r="P75" s="256">
        <v>1094.9200000000001</v>
      </c>
      <c r="Q75" s="256">
        <v>0</v>
      </c>
      <c r="R75" s="256">
        <v>0</v>
      </c>
    </row>
    <row r="76" spans="1:18" ht="12.75">
      <c r="A76" s="200">
        <v>64</v>
      </c>
      <c r="B76" t="s">
        <v>499</v>
      </c>
      <c r="C76" t="s">
        <v>548</v>
      </c>
      <c r="D76" t="s">
        <v>549</v>
      </c>
      <c r="E76" s="200">
        <v>48095</v>
      </c>
      <c r="F76" s="261">
        <v>44185</v>
      </c>
      <c r="G76" s="200" t="s">
        <v>503</v>
      </c>
      <c r="H76" s="256">
        <v>5307291.3600000003</v>
      </c>
      <c r="I76" s="256">
        <v>0</v>
      </c>
      <c r="J76" s="256">
        <v>5304744.29</v>
      </c>
      <c r="K76" s="256">
        <v>0</v>
      </c>
      <c r="L76" s="256">
        <v>0</v>
      </c>
      <c r="M76" s="256">
        <v>5304744.29</v>
      </c>
      <c r="N76" s="256">
        <v>2547.0700000000002</v>
      </c>
      <c r="O76" s="256">
        <v>0</v>
      </c>
      <c r="P76" s="256">
        <v>2547.0700000000002</v>
      </c>
      <c r="Q76" s="256">
        <v>0</v>
      </c>
      <c r="R76" s="256">
        <v>0</v>
      </c>
    </row>
    <row r="77" spans="1:18" ht="12.75">
      <c r="A77" s="200">
        <v>65</v>
      </c>
      <c r="B77" t="s">
        <v>499</v>
      </c>
      <c r="C77" t="s">
        <v>550</v>
      </c>
      <c r="D77" t="s">
        <v>551</v>
      </c>
      <c r="E77" s="200">
        <v>48095</v>
      </c>
      <c r="F77" s="261">
        <v>44166</v>
      </c>
      <c r="G77" s="200" t="s">
        <v>503</v>
      </c>
      <c r="H77" s="256">
        <v>4152311.21</v>
      </c>
      <c r="I77" s="256">
        <v>0</v>
      </c>
      <c r="J77" s="256">
        <v>4152150.5299999998</v>
      </c>
      <c r="K77" s="256">
        <v>0</v>
      </c>
      <c r="L77" s="256">
        <v>0</v>
      </c>
      <c r="M77" s="256">
        <v>4152150.5299999998</v>
      </c>
      <c r="N77" s="256">
        <v>160.68000000000001</v>
      </c>
      <c r="O77" s="256">
        <v>0</v>
      </c>
      <c r="P77" s="256">
        <v>160.68000000000001</v>
      </c>
      <c r="Q77" s="256">
        <v>0</v>
      </c>
      <c r="R77" s="256">
        <v>0</v>
      </c>
    </row>
    <row r="78" spans="1:18" ht="12.75">
      <c r="A78" s="200">
        <v>66</v>
      </c>
      <c r="B78" t="s">
        <v>499</v>
      </c>
      <c r="C78" t="s">
        <v>630</v>
      </c>
      <c r="D78" t="s">
        <v>631</v>
      </c>
      <c r="E78" s="200">
        <v>48095</v>
      </c>
      <c r="F78" s="261">
        <v>43830</v>
      </c>
      <c r="G78" s="200" t="s">
        <v>503</v>
      </c>
      <c r="H78" s="256">
        <v>5983113.0499999998</v>
      </c>
      <c r="I78" s="256">
        <v>0</v>
      </c>
      <c r="J78" s="256">
        <v>5983113.0499999998</v>
      </c>
      <c r="K78" s="256">
        <v>0</v>
      </c>
      <c r="L78" s="256">
        <v>0</v>
      </c>
      <c r="M78" s="256">
        <v>5983113.0499999998</v>
      </c>
      <c r="N78" s="256">
        <v>0</v>
      </c>
      <c r="O78" s="256">
        <v>0</v>
      </c>
      <c r="P78" s="256">
        <v>0</v>
      </c>
      <c r="Q78" s="256">
        <v>0</v>
      </c>
      <c r="R78" s="256">
        <v>0</v>
      </c>
    </row>
    <row r="79" spans="1:18" ht="12.75">
      <c r="A79" s="200">
        <v>67</v>
      </c>
      <c r="B79" t="s">
        <v>499</v>
      </c>
      <c r="C79" t="s">
        <v>538</v>
      </c>
      <c r="D79" t="s">
        <v>539</v>
      </c>
      <c r="E79" s="200">
        <v>48095</v>
      </c>
      <c r="F79" s="261">
        <v>44183</v>
      </c>
      <c r="G79" s="200" t="s">
        <v>503</v>
      </c>
      <c r="H79" s="256">
        <v>15473708.439215001</v>
      </c>
      <c r="I79" s="256">
        <v>0</v>
      </c>
      <c r="J79" s="256">
        <v>14680935.69238</v>
      </c>
      <c r="K79" s="256">
        <v>0</v>
      </c>
      <c r="L79" s="256">
        <v>0</v>
      </c>
      <c r="M79" s="256">
        <v>14680935.69238</v>
      </c>
      <c r="N79" s="256">
        <v>792772.746835</v>
      </c>
      <c r="O79" s="256">
        <v>0</v>
      </c>
      <c r="P79" s="256">
        <v>792772.746835</v>
      </c>
      <c r="Q79" s="256">
        <v>0</v>
      </c>
      <c r="R79" s="256">
        <v>0</v>
      </c>
    </row>
    <row r="80" spans="1:18" ht="12.75">
      <c r="A80" s="200">
        <v>68</v>
      </c>
      <c r="B80" t="s">
        <v>499</v>
      </c>
      <c r="C80" t="s">
        <v>628</v>
      </c>
      <c r="D80" t="s">
        <v>629</v>
      </c>
      <c r="E80" s="200">
        <v>48310</v>
      </c>
      <c r="F80" s="261">
        <v>43607</v>
      </c>
      <c r="G80" s="200" t="s">
        <v>503</v>
      </c>
      <c r="H80" s="256">
        <v>3418530.2000000002</v>
      </c>
      <c r="I80" s="256">
        <v>0</v>
      </c>
      <c r="J80" s="256">
        <v>3382251.0899999999</v>
      </c>
      <c r="K80" s="256">
        <v>0</v>
      </c>
      <c r="L80" s="256">
        <v>0</v>
      </c>
      <c r="M80" s="256">
        <v>3382251.0899999999</v>
      </c>
      <c r="N80" s="256">
        <v>36279.110000000001</v>
      </c>
      <c r="O80" s="256">
        <v>0</v>
      </c>
      <c r="P80" s="256">
        <v>36279.110000000001</v>
      </c>
      <c r="Q80" s="256">
        <v>0</v>
      </c>
      <c r="R80" s="256">
        <v>0</v>
      </c>
    </row>
    <row r="81" spans="1:18" ht="12.75">
      <c r="A81" s="200">
        <v>69</v>
      </c>
      <c r="B81" t="s">
        <v>499</v>
      </c>
      <c r="C81" t="s">
        <v>568</v>
      </c>
      <c r="D81" t="s">
        <v>569</v>
      </c>
      <c r="E81" s="200">
        <v>48625</v>
      </c>
      <c r="F81" s="261">
        <v>44364</v>
      </c>
      <c r="G81" s="200" t="s">
        <v>503</v>
      </c>
      <c r="H81" s="256">
        <v>1712220.6799999999</v>
      </c>
      <c r="I81" s="256">
        <v>0</v>
      </c>
      <c r="J81" s="256">
        <v>1712220.6799999999</v>
      </c>
      <c r="K81" s="256">
        <v>0</v>
      </c>
      <c r="L81" s="256">
        <v>0</v>
      </c>
      <c r="M81" s="256">
        <v>1712220.6799999999</v>
      </c>
      <c r="N81" s="256">
        <v>0</v>
      </c>
      <c r="O81" s="256">
        <v>0</v>
      </c>
      <c r="P81" s="256">
        <v>0</v>
      </c>
      <c r="Q81" s="256">
        <v>0</v>
      </c>
      <c r="R81" s="256">
        <v>0</v>
      </c>
    </row>
    <row r="82" spans="1:18" ht="12.75">
      <c r="A82" s="200">
        <v>70</v>
      </c>
      <c r="B82" t="s">
        <v>499</v>
      </c>
      <c r="C82" t="s">
        <v>570</v>
      </c>
      <c r="D82" t="s">
        <v>571</v>
      </c>
      <c r="E82" s="200">
        <v>48625</v>
      </c>
      <c r="F82" s="261">
        <v>44368</v>
      </c>
      <c r="G82" s="200" t="s">
        <v>503</v>
      </c>
      <c r="H82" s="256">
        <v>7248707.7192800008</v>
      </c>
      <c r="I82" s="256">
        <v>0</v>
      </c>
      <c r="J82" s="256">
        <v>7248707.7192800008</v>
      </c>
      <c r="K82" s="256">
        <v>0</v>
      </c>
      <c r="L82" s="256">
        <v>0</v>
      </c>
      <c r="M82" s="256">
        <v>7248707.7192800008</v>
      </c>
      <c r="N82" s="256">
        <v>0</v>
      </c>
      <c r="O82" s="256">
        <v>0</v>
      </c>
      <c r="P82" s="256">
        <v>0</v>
      </c>
      <c r="Q82" s="256">
        <v>0</v>
      </c>
      <c r="R82" s="256">
        <v>0</v>
      </c>
    </row>
    <row r="83" spans="1:18" ht="12.75">
      <c r="A83" s="200">
        <v>71</v>
      </c>
      <c r="B83" t="s">
        <v>499</v>
      </c>
      <c r="C83" t="s">
        <v>572</v>
      </c>
      <c r="D83" t="s">
        <v>573</v>
      </c>
      <c r="E83" s="200">
        <v>48668</v>
      </c>
      <c r="F83" s="261">
        <v>44368</v>
      </c>
      <c r="G83" s="200" t="s">
        <v>503</v>
      </c>
      <c r="H83" s="256">
        <v>4670897.6998600001</v>
      </c>
      <c r="I83" s="256">
        <v>0</v>
      </c>
      <c r="J83" s="256">
        <v>4669485.0447700005</v>
      </c>
      <c r="K83" s="256">
        <v>0</v>
      </c>
      <c r="L83" s="256">
        <v>0</v>
      </c>
      <c r="M83" s="256">
        <v>4669485.0447700005</v>
      </c>
      <c r="N83" s="256">
        <v>1412.6550900000002</v>
      </c>
      <c r="O83" s="256">
        <v>0</v>
      </c>
      <c r="P83" s="256">
        <v>1412.6550900000002</v>
      </c>
      <c r="Q83" s="256">
        <v>0</v>
      </c>
      <c r="R83" s="256">
        <v>0</v>
      </c>
    </row>
    <row r="84" spans="1:18" ht="12.75">
      <c r="A84" s="200">
        <v>72</v>
      </c>
      <c r="B84" t="s">
        <v>499</v>
      </c>
      <c r="C84" t="s">
        <v>570</v>
      </c>
      <c r="D84" t="s">
        <v>571</v>
      </c>
      <c r="E84" s="200">
        <v>48668</v>
      </c>
      <c r="F84" s="261">
        <v>44368</v>
      </c>
      <c r="G84" s="200" t="s">
        <v>503</v>
      </c>
      <c r="H84" s="256">
        <v>3314800.50508</v>
      </c>
      <c r="I84" s="256">
        <v>0</v>
      </c>
      <c r="J84" s="256">
        <v>3314800.50508</v>
      </c>
      <c r="K84" s="256">
        <v>0</v>
      </c>
      <c r="L84" s="256">
        <v>0</v>
      </c>
      <c r="M84" s="256">
        <v>3314800.50508</v>
      </c>
      <c r="N84" s="256">
        <v>0</v>
      </c>
      <c r="O84" s="256">
        <v>0</v>
      </c>
      <c r="P84" s="256">
        <v>0</v>
      </c>
      <c r="Q84" s="256">
        <v>0</v>
      </c>
      <c r="R84" s="256">
        <v>0</v>
      </c>
    </row>
    <row r="85" spans="1:18" ht="12.75">
      <c r="A85" s="200">
        <v>73</v>
      </c>
      <c r="B85" t="s">
        <v>499</v>
      </c>
      <c r="C85" t="s">
        <v>540</v>
      </c>
      <c r="D85" t="s">
        <v>541</v>
      </c>
      <c r="E85" s="200">
        <v>48785</v>
      </c>
      <c r="F85" s="261">
        <v>44193</v>
      </c>
      <c r="G85" s="200" t="s">
        <v>503</v>
      </c>
      <c r="H85" s="256">
        <v>507531.325358</v>
      </c>
      <c r="I85" s="256">
        <v>0</v>
      </c>
      <c r="J85" s="256">
        <v>480170.56399500003</v>
      </c>
      <c r="K85" s="256">
        <v>0</v>
      </c>
      <c r="L85" s="256">
        <v>0</v>
      </c>
      <c r="M85" s="256">
        <v>480170.56399500003</v>
      </c>
      <c r="N85" s="256">
        <v>27360.761363000001</v>
      </c>
      <c r="O85" s="256">
        <v>0</v>
      </c>
      <c r="P85" s="256">
        <v>27360.761363000001</v>
      </c>
      <c r="Q85" s="256">
        <v>0</v>
      </c>
      <c r="R85" s="256">
        <v>0</v>
      </c>
    </row>
    <row r="86" spans="1:18" ht="12.75">
      <c r="A86" s="200">
        <v>74</v>
      </c>
      <c r="B86" t="s">
        <v>499</v>
      </c>
      <c r="C86" t="s">
        <v>671</v>
      </c>
      <c r="D86" t="s">
        <v>672</v>
      </c>
      <c r="E86" s="200">
        <v>48861</v>
      </c>
      <c r="F86" s="261">
        <v>43913</v>
      </c>
      <c r="G86" s="200" t="s">
        <v>503</v>
      </c>
      <c r="H86" s="256">
        <v>3624835.9100000001</v>
      </c>
      <c r="I86" s="256">
        <v>0</v>
      </c>
      <c r="J86" s="256">
        <v>3624835.9100000001</v>
      </c>
      <c r="K86" s="256">
        <v>0</v>
      </c>
      <c r="L86" s="256">
        <v>0</v>
      </c>
      <c r="M86" s="256">
        <v>3624835.9100000001</v>
      </c>
      <c r="N86" s="256">
        <v>0</v>
      </c>
      <c r="O86" s="256">
        <v>0</v>
      </c>
      <c r="P86" s="256">
        <v>0</v>
      </c>
      <c r="Q86" s="256">
        <v>0</v>
      </c>
      <c r="R86" s="256">
        <v>0</v>
      </c>
    </row>
    <row r="87" spans="1:18" ht="12.75">
      <c r="A87" s="200">
        <v>75</v>
      </c>
      <c r="B87" t="s">
        <v>499</v>
      </c>
      <c r="C87" t="s">
        <v>574</v>
      </c>
      <c r="D87" t="s">
        <v>575</v>
      </c>
      <c r="E87" s="200">
        <v>48909</v>
      </c>
      <c r="F87" s="261">
        <v>44362</v>
      </c>
      <c r="G87" s="200" t="s">
        <v>503</v>
      </c>
      <c r="H87" s="256">
        <v>9747270.1699999999</v>
      </c>
      <c r="I87" s="256">
        <v>0</v>
      </c>
      <c r="J87" s="256">
        <v>9747270.1699999999</v>
      </c>
      <c r="K87" s="256">
        <v>0</v>
      </c>
      <c r="L87" s="256">
        <v>0</v>
      </c>
      <c r="M87" s="256">
        <v>9747270.1699999999</v>
      </c>
      <c r="N87" s="256">
        <v>0</v>
      </c>
      <c r="O87" s="256">
        <v>0</v>
      </c>
      <c r="P87" s="256">
        <v>0</v>
      </c>
      <c r="Q87" s="256">
        <v>0</v>
      </c>
      <c r="R87" s="256">
        <v>0</v>
      </c>
    </row>
    <row r="88" spans="1:18" ht="12.75">
      <c r="A88" s="200">
        <v>76</v>
      </c>
      <c r="B88" t="s">
        <v>499</v>
      </c>
      <c r="C88" t="s">
        <v>576</v>
      </c>
      <c r="D88" t="s">
        <v>577</v>
      </c>
      <c r="E88" s="200">
        <v>48909</v>
      </c>
      <c r="F88" s="261">
        <v>44351</v>
      </c>
      <c r="G88" s="200" t="s">
        <v>503</v>
      </c>
      <c r="H88" s="256">
        <v>3932383.0099999998</v>
      </c>
      <c r="I88" s="256">
        <v>0</v>
      </c>
      <c r="J88" s="256">
        <v>3932383.0099999998</v>
      </c>
      <c r="K88" s="256">
        <v>0</v>
      </c>
      <c r="L88" s="256">
        <v>0</v>
      </c>
      <c r="M88" s="256">
        <v>3932383.0099999998</v>
      </c>
      <c r="N88" s="256">
        <v>0</v>
      </c>
      <c r="O88" s="256">
        <v>0</v>
      </c>
      <c r="P88" s="256">
        <v>0</v>
      </c>
      <c r="Q88" s="256">
        <v>0</v>
      </c>
      <c r="R88" s="256">
        <v>0</v>
      </c>
    </row>
    <row r="89" spans="1:18" ht="12.75">
      <c r="A89" s="200">
        <v>77</v>
      </c>
      <c r="B89" t="s">
        <v>499</v>
      </c>
      <c r="C89" t="s">
        <v>572</v>
      </c>
      <c r="D89" t="s">
        <v>573</v>
      </c>
      <c r="E89" s="200">
        <v>48909</v>
      </c>
      <c r="F89" s="261">
        <v>44368</v>
      </c>
      <c r="G89" s="200" t="s">
        <v>503</v>
      </c>
      <c r="H89" s="256">
        <v>3775571.9201399996</v>
      </c>
      <c r="I89" s="256">
        <v>0</v>
      </c>
      <c r="J89" s="256">
        <v>3774430.0452299998</v>
      </c>
      <c r="K89" s="256">
        <v>0</v>
      </c>
      <c r="L89" s="256">
        <v>0</v>
      </c>
      <c r="M89" s="256">
        <v>3774430.0452299998</v>
      </c>
      <c r="N89" s="256">
        <v>1141.87491</v>
      </c>
      <c r="O89" s="256">
        <v>0</v>
      </c>
      <c r="P89" s="256">
        <v>1141.87491</v>
      </c>
      <c r="Q89" s="256">
        <v>0</v>
      </c>
      <c r="R89" s="256">
        <v>0</v>
      </c>
    </row>
    <row r="90" spans="1:18" ht="12.75">
      <c r="A90" s="200">
        <v>78</v>
      </c>
      <c r="B90" t="s">
        <v>499</v>
      </c>
      <c r="C90" t="s">
        <v>570</v>
      </c>
      <c r="D90" t="s">
        <v>571</v>
      </c>
      <c r="E90" s="200">
        <v>49151</v>
      </c>
      <c r="F90" s="261">
        <v>44368</v>
      </c>
      <c r="G90" s="200" t="s">
        <v>503</v>
      </c>
      <c r="H90" s="256">
        <v>2334548.2156399996</v>
      </c>
      <c r="I90" s="256">
        <v>0</v>
      </c>
      <c r="J90" s="256">
        <v>2334548.2156399996</v>
      </c>
      <c r="K90" s="256">
        <v>0</v>
      </c>
      <c r="L90" s="256">
        <v>0</v>
      </c>
      <c r="M90" s="256">
        <v>2334548.2156399996</v>
      </c>
      <c r="N90" s="256">
        <v>0</v>
      </c>
      <c r="O90" s="256">
        <v>0</v>
      </c>
      <c r="P90" s="256">
        <v>0</v>
      </c>
      <c r="Q90" s="256">
        <v>0</v>
      </c>
      <c r="R90" s="256">
        <v>0</v>
      </c>
    </row>
    <row r="91" spans="1:18" ht="12.75">
      <c r="A91" s="200">
        <v>79</v>
      </c>
      <c r="B91" t="s">
        <v>499</v>
      </c>
      <c r="C91" t="s">
        <v>538</v>
      </c>
      <c r="D91" t="s">
        <v>539</v>
      </c>
      <c r="E91" s="200">
        <v>49723</v>
      </c>
      <c r="F91" s="261">
        <v>44183</v>
      </c>
      <c r="G91" s="200" t="s">
        <v>503</v>
      </c>
      <c r="H91" s="256">
        <v>427749.210785</v>
      </c>
      <c r="I91" s="256">
        <v>0</v>
      </c>
      <c r="J91" s="256">
        <v>405834.10762000002</v>
      </c>
      <c r="K91" s="256">
        <v>0</v>
      </c>
      <c r="L91" s="256">
        <v>0</v>
      </c>
      <c r="M91" s="256">
        <v>405834.10762000002</v>
      </c>
      <c r="N91" s="256">
        <v>21915.103165</v>
      </c>
      <c r="O91" s="256">
        <v>0</v>
      </c>
      <c r="P91" s="256">
        <v>21915.103165</v>
      </c>
      <c r="Q91" s="256">
        <v>0</v>
      </c>
      <c r="R91" s="256">
        <v>0</v>
      </c>
    </row>
    <row r="92" spans="1:18" ht="12.75">
      <c r="A92" s="200">
        <v>80</v>
      </c>
      <c r="B92" t="s">
        <v>499</v>
      </c>
      <c r="C92" t="s">
        <v>540</v>
      </c>
      <c r="D92" t="s">
        <v>541</v>
      </c>
      <c r="E92" s="200">
        <v>49723</v>
      </c>
      <c r="F92" s="261">
        <v>44193</v>
      </c>
      <c r="G92" s="200" t="s">
        <v>503</v>
      </c>
      <c r="H92" s="256">
        <v>10949157.734642001</v>
      </c>
      <c r="I92" s="256">
        <v>0</v>
      </c>
      <c r="J92" s="256">
        <v>10358894.086005</v>
      </c>
      <c r="K92" s="256">
        <v>0</v>
      </c>
      <c r="L92" s="256">
        <v>0</v>
      </c>
      <c r="M92" s="256">
        <v>10358894.086005</v>
      </c>
      <c r="N92" s="256">
        <v>590263.64863700001</v>
      </c>
      <c r="O92" s="256">
        <v>0</v>
      </c>
      <c r="P92" s="256">
        <v>590263.64863700001</v>
      </c>
      <c r="Q92" s="256">
        <v>0</v>
      </c>
      <c r="R92" s="256">
        <v>0</v>
      </c>
    </row>
    <row r="93" spans="1:18" ht="12.75">
      <c r="A93" s="200">
        <v>81</v>
      </c>
      <c r="B93" t="s">
        <v>499</v>
      </c>
      <c r="C93" t="s">
        <v>517</v>
      </c>
      <c r="D93" t="s">
        <v>518</v>
      </c>
      <c r="E93" s="200">
        <v>50217</v>
      </c>
      <c r="F93" s="261">
        <v>44173</v>
      </c>
      <c r="G93" s="200" t="s">
        <v>503</v>
      </c>
      <c r="H93" s="256">
        <v>967488.80000000005</v>
      </c>
      <c r="I93" s="256">
        <v>0</v>
      </c>
      <c r="J93" s="256">
        <v>964891.88</v>
      </c>
      <c r="K93" s="256">
        <v>0</v>
      </c>
      <c r="L93" s="256">
        <v>0</v>
      </c>
      <c r="M93" s="256">
        <v>964891.88</v>
      </c>
      <c r="N93" s="256">
        <v>2596.9200000000001</v>
      </c>
      <c r="O93" s="256">
        <v>0</v>
      </c>
      <c r="P93" s="256">
        <v>2596.9200000000001</v>
      </c>
      <c r="Q93" s="256">
        <v>0</v>
      </c>
      <c r="R93" s="256">
        <v>0</v>
      </c>
    </row>
    <row r="94" spans="1:18" ht="12.75">
      <c r="A94" s="200">
        <v>82</v>
      </c>
      <c r="B94" t="s">
        <v>499</v>
      </c>
      <c r="C94" t="s">
        <v>596</v>
      </c>
      <c r="D94" t="s">
        <v>597</v>
      </c>
      <c r="E94" s="200">
        <v>50560</v>
      </c>
      <c r="F94" s="261">
        <v>44284</v>
      </c>
      <c r="G94" s="200" t="s">
        <v>503</v>
      </c>
      <c r="H94" s="256">
        <v>878903.09999999998</v>
      </c>
      <c r="I94" s="256">
        <v>0</v>
      </c>
      <c r="J94" s="256">
        <v>624970.21999999997</v>
      </c>
      <c r="K94" s="256">
        <v>0</v>
      </c>
      <c r="L94" s="256">
        <v>0</v>
      </c>
      <c r="M94" s="256">
        <v>624970.21999999997</v>
      </c>
      <c r="N94" s="256">
        <v>253932.88000000001</v>
      </c>
      <c r="O94" s="256">
        <v>0</v>
      </c>
      <c r="P94" s="256">
        <v>253932.88000000001</v>
      </c>
      <c r="Q94" s="256">
        <v>0</v>
      </c>
      <c r="R94" s="256">
        <v>0</v>
      </c>
    </row>
    <row r="95" spans="1:18" ht="12.75">
      <c r="A95" s="200">
        <v>83</v>
      </c>
      <c r="B95" t="s">
        <v>640</v>
      </c>
      <c r="C95" t="s">
        <v>649</v>
      </c>
      <c r="D95" t="s">
        <v>650</v>
      </c>
      <c r="E95" s="200">
        <v>38290</v>
      </c>
      <c r="F95" s="261">
        <v>41508</v>
      </c>
      <c r="G95" s="200" t="s">
        <v>506</v>
      </c>
      <c r="H95" s="256">
        <v>69659558.019999996</v>
      </c>
      <c r="I95" s="256">
        <v>0</v>
      </c>
      <c r="J95" s="256">
        <v>0</v>
      </c>
      <c r="K95" s="256">
        <v>69659558.019999996</v>
      </c>
      <c r="L95" s="256">
        <v>0</v>
      </c>
      <c r="M95" s="256">
        <v>69659558.019999996</v>
      </c>
      <c r="N95" s="256">
        <v>0</v>
      </c>
      <c r="O95" s="256">
        <v>0</v>
      </c>
      <c r="P95" s="256">
        <v>0</v>
      </c>
      <c r="Q95" s="256">
        <v>0</v>
      </c>
      <c r="R95" s="256">
        <v>0</v>
      </c>
    </row>
    <row r="96" spans="1:18" ht="12.75">
      <c r="A96" s="200">
        <v>84</v>
      </c>
      <c r="B96" t="s">
        <v>640</v>
      </c>
      <c r="C96" t="s">
        <v>655</v>
      </c>
      <c r="D96" t="s">
        <v>656</v>
      </c>
      <c r="E96" s="200">
        <v>38560</v>
      </c>
      <c r="F96" s="261">
        <v>41393</v>
      </c>
      <c r="G96" s="200" t="s">
        <v>506</v>
      </c>
      <c r="H96" s="256">
        <v>53323396.829999998</v>
      </c>
      <c r="I96" s="256">
        <v>0</v>
      </c>
      <c r="J96" s="256">
        <v>0</v>
      </c>
      <c r="K96" s="256">
        <v>53323396.829999998</v>
      </c>
      <c r="L96" s="256">
        <v>0</v>
      </c>
      <c r="M96" s="256">
        <v>53323396.829999998</v>
      </c>
      <c r="N96" s="256">
        <v>0</v>
      </c>
      <c r="O96" s="256">
        <v>0</v>
      </c>
      <c r="P96" s="256">
        <v>0</v>
      </c>
      <c r="Q96" s="256">
        <v>0</v>
      </c>
      <c r="R96" s="256">
        <v>0</v>
      </c>
    </row>
    <row r="97" spans="1:18" ht="12.75">
      <c r="A97" s="200">
        <v>85</v>
      </c>
      <c r="B97" t="s">
        <v>640</v>
      </c>
      <c r="C97" t="s">
        <v>659</v>
      </c>
      <c r="D97" t="s">
        <v>660</v>
      </c>
      <c r="E97" s="200">
        <v>38750</v>
      </c>
      <c r="F97" s="261">
        <v>41508</v>
      </c>
      <c r="G97" s="200" t="s">
        <v>506</v>
      </c>
      <c r="H97" s="256">
        <v>43370499.869999997</v>
      </c>
      <c r="I97" s="256">
        <v>0</v>
      </c>
      <c r="J97" s="256">
        <v>0</v>
      </c>
      <c r="K97" s="256">
        <v>43370499.869999997</v>
      </c>
      <c r="L97" s="256">
        <v>0</v>
      </c>
      <c r="M97" s="256">
        <v>43370499.869999997</v>
      </c>
      <c r="N97" s="256">
        <v>0</v>
      </c>
      <c r="O97" s="256">
        <v>0</v>
      </c>
      <c r="P97" s="256">
        <v>0</v>
      </c>
      <c r="Q97" s="256">
        <v>0</v>
      </c>
      <c r="R97" s="256">
        <v>0</v>
      </c>
    </row>
    <row r="98" spans="1:18" ht="12.75">
      <c r="A98" s="200">
        <v>86</v>
      </c>
      <c r="B98" t="s">
        <v>640</v>
      </c>
      <c r="C98" t="s">
        <v>661</v>
      </c>
      <c r="D98" t="s">
        <v>662</v>
      </c>
      <c r="E98" s="200">
        <v>38750</v>
      </c>
      <c r="F98" s="261">
        <v>41508</v>
      </c>
      <c r="G98" s="200" t="s">
        <v>506</v>
      </c>
      <c r="H98" s="256">
        <v>20210587.140000001</v>
      </c>
      <c r="I98" s="256">
        <v>0</v>
      </c>
      <c r="J98" s="256">
        <v>0</v>
      </c>
      <c r="K98" s="256">
        <v>20210587.140000001</v>
      </c>
      <c r="L98" s="256">
        <v>0</v>
      </c>
      <c r="M98" s="256">
        <v>20210587.140000001</v>
      </c>
      <c r="N98" s="256">
        <v>0</v>
      </c>
      <c r="O98" s="256">
        <v>0</v>
      </c>
      <c r="P98" s="256">
        <v>0</v>
      </c>
      <c r="Q98" s="256">
        <v>0</v>
      </c>
      <c r="R98" s="256">
        <v>0</v>
      </c>
    </row>
    <row r="99" spans="1:18" ht="12.75">
      <c r="A99" s="200">
        <v>87</v>
      </c>
      <c r="B99" t="s">
        <v>640</v>
      </c>
      <c r="C99" t="s">
        <v>665</v>
      </c>
      <c r="D99" t="s">
        <v>666</v>
      </c>
      <c r="E99" s="200">
        <v>38829</v>
      </c>
      <c r="F99" s="261">
        <v>41592</v>
      </c>
      <c r="G99" s="200" t="s">
        <v>506</v>
      </c>
      <c r="H99" s="256">
        <v>87545173.790000007</v>
      </c>
      <c r="I99" s="256">
        <v>0</v>
      </c>
      <c r="J99" s="256">
        <v>0</v>
      </c>
      <c r="K99" s="256">
        <v>87545173.790000007</v>
      </c>
      <c r="L99" s="256">
        <v>0</v>
      </c>
      <c r="M99" s="256">
        <v>87545173.790000007</v>
      </c>
      <c r="N99" s="256">
        <v>0</v>
      </c>
      <c r="O99" s="256">
        <v>0</v>
      </c>
      <c r="P99" s="256">
        <v>0</v>
      </c>
      <c r="Q99" s="256">
        <v>0</v>
      </c>
      <c r="R99" s="256">
        <v>0</v>
      </c>
    </row>
    <row r="100" spans="1:18" ht="12.75">
      <c r="A100" s="200">
        <v>88</v>
      </c>
      <c r="B100" t="s">
        <v>640</v>
      </c>
      <c r="C100" t="s">
        <v>667</v>
      </c>
      <c r="D100" t="s">
        <v>668</v>
      </c>
      <c r="E100" s="200">
        <v>42063</v>
      </c>
      <c r="F100" s="261">
        <v>42235</v>
      </c>
      <c r="G100" s="200" t="s">
        <v>506</v>
      </c>
      <c r="H100" s="256">
        <v>96128.550000000003</v>
      </c>
      <c r="I100" s="256">
        <v>0</v>
      </c>
      <c r="J100" s="256">
        <v>0</v>
      </c>
      <c r="K100" s="256">
        <v>96128.550000000003</v>
      </c>
      <c r="L100" s="256">
        <v>0</v>
      </c>
      <c r="M100" s="256">
        <v>96128.550000000003</v>
      </c>
      <c r="N100" s="256">
        <v>0</v>
      </c>
      <c r="O100" s="256">
        <v>0</v>
      </c>
      <c r="P100" s="256">
        <v>0</v>
      </c>
      <c r="Q100" s="256">
        <v>0</v>
      </c>
      <c r="R100" s="256">
        <v>0</v>
      </c>
    </row>
    <row r="101" spans="1:18" ht="12.75">
      <c r="A101" s="200">
        <v>89</v>
      </c>
      <c r="B101" t="s">
        <v>499</v>
      </c>
      <c r="C101" t="s">
        <v>616</v>
      </c>
      <c r="D101" t="s">
        <v>617</v>
      </c>
      <c r="E101" s="200">
        <v>45323</v>
      </c>
      <c r="F101" s="261">
        <v>42913</v>
      </c>
      <c r="G101" s="200" t="s">
        <v>506</v>
      </c>
      <c r="H101" s="256">
        <v>168722.84</v>
      </c>
      <c r="I101" s="256">
        <v>0</v>
      </c>
      <c r="J101" s="256">
        <v>168722.84</v>
      </c>
      <c r="K101" s="256">
        <v>0</v>
      </c>
      <c r="L101" s="256">
        <v>0</v>
      </c>
      <c r="M101" s="256">
        <v>168722.84</v>
      </c>
      <c r="N101" s="256">
        <v>0</v>
      </c>
      <c r="O101" s="256">
        <v>0</v>
      </c>
      <c r="P101" s="256">
        <v>0</v>
      </c>
      <c r="Q101" s="256">
        <v>0</v>
      </c>
      <c r="R101" s="256">
        <v>0</v>
      </c>
    </row>
    <row r="102" spans="1:18" ht="12.75">
      <c r="A102" s="200">
        <v>90</v>
      </c>
      <c r="B102" t="s">
        <v>499</v>
      </c>
      <c r="C102" t="s">
        <v>618</v>
      </c>
      <c r="D102" t="s">
        <v>619</v>
      </c>
      <c r="E102" s="200">
        <v>46987</v>
      </c>
      <c r="F102" s="261">
        <v>43438</v>
      </c>
      <c r="G102" s="200" t="s">
        <v>506</v>
      </c>
      <c r="H102" s="256">
        <v>80603.940000000002</v>
      </c>
      <c r="I102" s="256">
        <v>0</v>
      </c>
      <c r="J102" s="256">
        <v>80603.940000000002</v>
      </c>
      <c r="K102" s="256">
        <v>0</v>
      </c>
      <c r="L102" s="256">
        <v>0</v>
      </c>
      <c r="M102" s="256">
        <v>80603.940000000002</v>
      </c>
      <c r="N102" s="256">
        <v>0</v>
      </c>
      <c r="O102" s="256">
        <v>0</v>
      </c>
      <c r="P102" s="256">
        <v>0</v>
      </c>
      <c r="Q102" s="256">
        <v>0</v>
      </c>
      <c r="R102" s="256">
        <v>0</v>
      </c>
    </row>
    <row r="103" spans="1:18" ht="12.75">
      <c r="A103" s="200">
        <v>91</v>
      </c>
      <c r="B103" t="s">
        <v>499</v>
      </c>
      <c r="C103" t="s">
        <v>509</v>
      </c>
      <c r="D103" t="s">
        <v>510</v>
      </c>
      <c r="E103" s="200">
        <v>47368</v>
      </c>
      <c r="F103" s="261">
        <v>43753</v>
      </c>
      <c r="G103" s="200" t="s">
        <v>506</v>
      </c>
      <c r="H103" s="256">
        <v>14271323.94</v>
      </c>
      <c r="I103" s="256">
        <v>0</v>
      </c>
      <c r="J103" s="256">
        <v>14271323.94</v>
      </c>
      <c r="K103" s="256">
        <v>0</v>
      </c>
      <c r="L103" s="256">
        <v>0</v>
      </c>
      <c r="M103" s="256">
        <v>14271323.94</v>
      </c>
      <c r="N103" s="256">
        <v>0</v>
      </c>
      <c r="O103" s="256">
        <v>0</v>
      </c>
      <c r="P103" s="256">
        <v>0</v>
      </c>
      <c r="Q103" s="256">
        <v>0</v>
      </c>
      <c r="R103" s="256">
        <v>0</v>
      </c>
    </row>
    <row r="104" spans="1:18" ht="12.75">
      <c r="A104" s="200">
        <v>92</v>
      </c>
      <c r="B104" t="s">
        <v>499</v>
      </c>
      <c r="C104" t="s">
        <v>554</v>
      </c>
      <c r="D104" t="s">
        <v>510</v>
      </c>
      <c r="E104" s="200">
        <v>47368</v>
      </c>
      <c r="F104" s="261">
        <v>43822</v>
      </c>
      <c r="G104" s="200" t="s">
        <v>506</v>
      </c>
      <c r="H104" s="256">
        <v>10821417.869999999</v>
      </c>
      <c r="I104" s="256">
        <v>0</v>
      </c>
      <c r="J104" s="256">
        <v>10821417.869999999</v>
      </c>
      <c r="K104" s="256">
        <v>0</v>
      </c>
      <c r="L104" s="256">
        <v>0</v>
      </c>
      <c r="M104" s="256">
        <v>10821417.869999999</v>
      </c>
      <c r="N104" s="256">
        <v>0</v>
      </c>
      <c r="O104" s="256">
        <v>0</v>
      </c>
      <c r="P104" s="256">
        <v>0</v>
      </c>
      <c r="Q104" s="256">
        <v>0</v>
      </c>
      <c r="R104" s="256">
        <v>0</v>
      </c>
    </row>
    <row r="105" spans="1:18" ht="12.75">
      <c r="A105" s="200">
        <v>93</v>
      </c>
      <c r="B105" t="s">
        <v>499</v>
      </c>
      <c r="C105" t="s">
        <v>528</v>
      </c>
      <c r="D105" t="s">
        <v>529</v>
      </c>
      <c r="E105" s="200">
        <v>48095</v>
      </c>
      <c r="F105" s="261">
        <v>44188</v>
      </c>
      <c r="G105" s="200" t="s">
        <v>506</v>
      </c>
      <c r="H105" s="256">
        <v>36639932.119999997</v>
      </c>
      <c r="I105" s="256">
        <v>0</v>
      </c>
      <c r="J105" s="256">
        <v>36639932.119999997</v>
      </c>
      <c r="K105" s="256">
        <v>0</v>
      </c>
      <c r="L105" s="256">
        <v>0</v>
      </c>
      <c r="M105" s="256">
        <v>36639932.119999997</v>
      </c>
      <c r="N105" s="256">
        <v>0</v>
      </c>
      <c r="O105" s="256">
        <v>0</v>
      </c>
      <c r="P105" s="256">
        <v>0</v>
      </c>
      <c r="Q105" s="256">
        <v>0</v>
      </c>
      <c r="R105" s="256">
        <v>0</v>
      </c>
    </row>
    <row r="106" spans="1:18" ht="12.75">
      <c r="A106" s="200">
        <v>94</v>
      </c>
      <c r="B106" t="s">
        <v>499</v>
      </c>
      <c r="C106" t="s">
        <v>530</v>
      </c>
      <c r="D106" t="s">
        <v>531</v>
      </c>
      <c r="E106" s="200">
        <v>48095</v>
      </c>
      <c r="F106" s="261">
        <v>44014</v>
      </c>
      <c r="G106" s="200" t="s">
        <v>506</v>
      </c>
      <c r="H106" s="256">
        <v>18024583.859999999</v>
      </c>
      <c r="I106" s="256">
        <v>0</v>
      </c>
      <c r="J106" s="256">
        <v>18024583.859999999</v>
      </c>
      <c r="K106" s="256">
        <v>0</v>
      </c>
      <c r="L106" s="256">
        <v>0</v>
      </c>
      <c r="M106" s="256">
        <v>18024583.859999999</v>
      </c>
      <c r="N106" s="256">
        <v>0</v>
      </c>
      <c r="O106" s="256">
        <v>0</v>
      </c>
      <c r="P106" s="256">
        <v>0</v>
      </c>
      <c r="Q106" s="256">
        <v>0</v>
      </c>
      <c r="R106" s="256">
        <v>0</v>
      </c>
    </row>
    <row r="107" spans="1:18" ht="12.75">
      <c r="A107" s="200">
        <v>95</v>
      </c>
      <c r="B107" t="s">
        <v>499</v>
      </c>
      <c r="C107" t="s">
        <v>532</v>
      </c>
      <c r="D107" t="s">
        <v>533</v>
      </c>
      <c r="E107" s="200">
        <v>48095</v>
      </c>
      <c r="F107" s="261">
        <v>44014</v>
      </c>
      <c r="G107" s="200" t="s">
        <v>506</v>
      </c>
      <c r="H107" s="256">
        <v>2463603.6699999999</v>
      </c>
      <c r="I107" s="256">
        <v>0</v>
      </c>
      <c r="J107" s="256">
        <v>2463603.6699999999</v>
      </c>
      <c r="K107" s="256">
        <v>0</v>
      </c>
      <c r="L107" s="256">
        <v>0</v>
      </c>
      <c r="M107" s="256">
        <v>2463603.6699999999</v>
      </c>
      <c r="N107" s="256">
        <v>0</v>
      </c>
      <c r="O107" s="256">
        <v>0</v>
      </c>
      <c r="P107" s="256">
        <v>0</v>
      </c>
      <c r="Q107" s="256">
        <v>0</v>
      </c>
      <c r="R107" s="256">
        <v>0</v>
      </c>
    </row>
    <row r="108" spans="1:18" ht="12.75">
      <c r="A108" s="200">
        <v>96</v>
      </c>
      <c r="B108" t="s">
        <v>499</v>
      </c>
      <c r="C108" t="s">
        <v>534</v>
      </c>
      <c r="D108" t="s">
        <v>535</v>
      </c>
      <c r="E108" s="200">
        <v>48095</v>
      </c>
      <c r="F108" s="261">
        <v>43976</v>
      </c>
      <c r="G108" s="200" t="s">
        <v>506</v>
      </c>
      <c r="H108" s="256">
        <v>11958855.23</v>
      </c>
      <c r="I108" s="256">
        <v>0</v>
      </c>
      <c r="J108" s="256">
        <v>11958855.23</v>
      </c>
      <c r="K108" s="256">
        <v>0</v>
      </c>
      <c r="L108" s="256">
        <v>0</v>
      </c>
      <c r="M108" s="256">
        <v>11958855.23</v>
      </c>
      <c r="N108" s="256">
        <v>0</v>
      </c>
      <c r="O108" s="256">
        <v>0</v>
      </c>
      <c r="P108" s="256">
        <v>0</v>
      </c>
      <c r="Q108" s="256">
        <v>0</v>
      </c>
      <c r="R108" s="256">
        <v>0</v>
      </c>
    </row>
    <row r="109" spans="1:18" ht="12.75">
      <c r="A109" s="200">
        <v>97</v>
      </c>
      <c r="B109" t="s">
        <v>499</v>
      </c>
      <c r="C109" t="s">
        <v>624</v>
      </c>
      <c r="D109" t="s">
        <v>625</v>
      </c>
      <c r="E109" s="200">
        <v>48310</v>
      </c>
      <c r="F109" s="261">
        <v>43528</v>
      </c>
      <c r="G109" s="200" t="s">
        <v>506</v>
      </c>
      <c r="H109" s="256">
        <v>47167.510000000002</v>
      </c>
      <c r="I109" s="256">
        <v>0</v>
      </c>
      <c r="J109" s="256">
        <v>47167.510000000002</v>
      </c>
      <c r="K109" s="256">
        <v>0</v>
      </c>
      <c r="L109" s="256">
        <v>0</v>
      </c>
      <c r="M109" s="256">
        <v>47167.510000000002</v>
      </c>
      <c r="N109" s="256">
        <v>0</v>
      </c>
      <c r="O109" s="256">
        <v>0</v>
      </c>
      <c r="P109" s="256">
        <v>0</v>
      </c>
      <c r="Q109" s="256">
        <v>0</v>
      </c>
      <c r="R109" s="256">
        <v>0</v>
      </c>
    </row>
    <row r="110" spans="1:18" ht="12.75">
      <c r="A110" s="200">
        <v>98</v>
      </c>
      <c r="B110" t="s">
        <v>499</v>
      </c>
      <c r="C110" t="s">
        <v>504</v>
      </c>
      <c r="D110" t="s">
        <v>505</v>
      </c>
      <c r="E110" s="200">
        <v>48544</v>
      </c>
      <c r="F110" s="261">
        <v>43830</v>
      </c>
      <c r="G110" s="200" t="s">
        <v>506</v>
      </c>
      <c r="H110" s="256">
        <v>1344529.8300000001</v>
      </c>
      <c r="I110" s="256">
        <v>0</v>
      </c>
      <c r="J110" s="256">
        <v>1344529.8300000001</v>
      </c>
      <c r="K110" s="256">
        <v>0</v>
      </c>
      <c r="L110" s="256">
        <v>0</v>
      </c>
      <c r="M110" s="256">
        <v>1344529.8300000001</v>
      </c>
      <c r="N110" s="256">
        <v>0</v>
      </c>
      <c r="O110" s="256">
        <v>0</v>
      </c>
      <c r="P110" s="256">
        <v>0</v>
      </c>
      <c r="Q110" s="256">
        <v>0</v>
      </c>
      <c r="R110" s="256">
        <v>0</v>
      </c>
    </row>
    <row r="111" spans="1:18" ht="12.75">
      <c r="A111" s="200">
        <v>99</v>
      </c>
      <c r="B111" t="s">
        <v>499</v>
      </c>
      <c r="C111" t="s">
        <v>556</v>
      </c>
      <c r="D111" t="s">
        <v>557</v>
      </c>
      <c r="E111" s="200">
        <v>48544</v>
      </c>
      <c r="F111" s="261">
        <v>43830</v>
      </c>
      <c r="G111" s="200" t="s">
        <v>506</v>
      </c>
      <c r="H111" s="256">
        <v>1418601.28</v>
      </c>
      <c r="I111" s="256">
        <v>0</v>
      </c>
      <c r="J111" s="256">
        <v>1418601.28</v>
      </c>
      <c r="K111" s="256">
        <v>0</v>
      </c>
      <c r="L111" s="256">
        <v>0</v>
      </c>
      <c r="M111" s="256">
        <v>1418601.28</v>
      </c>
      <c r="N111" s="256">
        <v>0</v>
      </c>
      <c r="O111" s="256">
        <v>0</v>
      </c>
      <c r="P111" s="256">
        <v>0</v>
      </c>
      <c r="Q111" s="256">
        <v>0</v>
      </c>
      <c r="R111" s="256">
        <v>0</v>
      </c>
    </row>
    <row r="112" spans="1:18" ht="12.75">
      <c r="A112" s="200">
        <v>100</v>
      </c>
      <c r="B112" t="s">
        <v>499</v>
      </c>
      <c r="C112" t="s">
        <v>552</v>
      </c>
      <c r="D112" t="s">
        <v>553</v>
      </c>
      <c r="E112" s="200">
        <v>48582</v>
      </c>
      <c r="F112" s="261">
        <v>44175</v>
      </c>
      <c r="G112" s="200" t="s">
        <v>506</v>
      </c>
      <c r="H112" s="256">
        <v>1612252.25</v>
      </c>
      <c r="I112" s="256">
        <v>0</v>
      </c>
      <c r="J112" s="256">
        <v>1612252.25</v>
      </c>
      <c r="K112" s="256">
        <v>0</v>
      </c>
      <c r="L112" s="256">
        <v>0</v>
      </c>
      <c r="M112" s="256">
        <v>1612252.25</v>
      </c>
      <c r="N112" s="256">
        <v>0</v>
      </c>
      <c r="O112" s="256">
        <v>0</v>
      </c>
      <c r="P112" s="256">
        <v>0</v>
      </c>
      <c r="Q112" s="256">
        <v>0</v>
      </c>
      <c r="R112" s="256">
        <v>0</v>
      </c>
    </row>
    <row r="113" spans="1:18" ht="12.75">
      <c r="A113" s="200">
        <v>101</v>
      </c>
      <c r="B113" t="s">
        <v>499</v>
      </c>
      <c r="C113" t="s">
        <v>564</v>
      </c>
      <c r="D113" t="s">
        <v>565</v>
      </c>
      <c r="E113" s="200">
        <v>48625</v>
      </c>
      <c r="F113" s="261">
        <v>44277</v>
      </c>
      <c r="G113" s="200" t="s">
        <v>506</v>
      </c>
      <c r="H113" s="256">
        <v>8097927.3099999996</v>
      </c>
      <c r="I113" s="256">
        <v>0</v>
      </c>
      <c r="J113" s="256">
        <v>8097927.3099999996</v>
      </c>
      <c r="K113" s="256">
        <v>0</v>
      </c>
      <c r="L113" s="256">
        <v>0</v>
      </c>
      <c r="M113" s="256">
        <v>8097927.3099999996</v>
      </c>
      <c r="N113" s="256">
        <v>0</v>
      </c>
      <c r="O113" s="256">
        <v>0</v>
      </c>
      <c r="P113" s="256">
        <v>0</v>
      </c>
      <c r="Q113" s="256">
        <v>0</v>
      </c>
      <c r="R113" s="256">
        <v>0</v>
      </c>
    </row>
    <row r="114" spans="1:18" ht="12.75">
      <c r="A114" s="200">
        <v>102</v>
      </c>
      <c r="B114" t="s">
        <v>499</v>
      </c>
      <c r="C114" t="s">
        <v>544</v>
      </c>
      <c r="D114" t="s">
        <v>545</v>
      </c>
      <c r="E114" s="200">
        <v>48785</v>
      </c>
      <c r="F114" s="261">
        <v>44182</v>
      </c>
      <c r="G114" s="200" t="s">
        <v>506</v>
      </c>
      <c r="H114" s="256">
        <v>15709179.48</v>
      </c>
      <c r="I114" s="256">
        <v>0</v>
      </c>
      <c r="J114" s="256">
        <v>15709179.48</v>
      </c>
      <c r="K114" s="256">
        <v>0</v>
      </c>
      <c r="L114" s="256">
        <v>0</v>
      </c>
      <c r="M114" s="256">
        <v>15709179.48</v>
      </c>
      <c r="N114" s="256">
        <v>0</v>
      </c>
      <c r="O114" s="256">
        <v>0</v>
      </c>
      <c r="P114" s="256">
        <v>0</v>
      </c>
      <c r="Q114" s="256">
        <v>0</v>
      </c>
      <c r="R114" s="256">
        <v>0</v>
      </c>
    </row>
    <row r="115" spans="1:18" ht="12.75">
      <c r="A115" s="200">
        <v>103</v>
      </c>
      <c r="B115" t="s">
        <v>499</v>
      </c>
      <c r="C115" t="s">
        <v>677</v>
      </c>
      <c r="D115" t="s">
        <v>678</v>
      </c>
      <c r="E115" s="200">
        <v>48861</v>
      </c>
      <c r="F115" s="261">
        <v>43913</v>
      </c>
      <c r="G115" s="200" t="s">
        <v>506</v>
      </c>
      <c r="H115" s="256">
        <v>2228598.6899999999</v>
      </c>
      <c r="I115" s="256">
        <v>0</v>
      </c>
      <c r="J115" s="256">
        <v>2228598.6899999999</v>
      </c>
      <c r="K115" s="256">
        <v>0</v>
      </c>
      <c r="L115" s="256">
        <v>0</v>
      </c>
      <c r="M115" s="256">
        <v>2228598.6899999999</v>
      </c>
      <c r="N115" s="256">
        <v>0</v>
      </c>
      <c r="O115" s="256">
        <v>0</v>
      </c>
      <c r="P115" s="256">
        <v>0</v>
      </c>
      <c r="Q115" s="256">
        <v>0</v>
      </c>
      <c r="R115" s="256">
        <v>0</v>
      </c>
    </row>
    <row r="116" spans="1:18" ht="12.75">
      <c r="A116" s="200">
        <v>104</v>
      </c>
      <c r="B116" t="s">
        <v>499</v>
      </c>
      <c r="C116" t="s">
        <v>566</v>
      </c>
      <c r="D116" t="s">
        <v>567</v>
      </c>
      <c r="E116" s="200">
        <v>48909</v>
      </c>
      <c r="F116" s="261">
        <v>44337</v>
      </c>
      <c r="G116" s="200" t="s">
        <v>506</v>
      </c>
      <c r="H116" s="256">
        <v>8650939</v>
      </c>
      <c r="I116" s="256">
        <v>0</v>
      </c>
      <c r="J116" s="256">
        <v>8650939</v>
      </c>
      <c r="K116" s="256">
        <v>0</v>
      </c>
      <c r="L116" s="256">
        <v>0</v>
      </c>
      <c r="M116" s="256">
        <v>8650939</v>
      </c>
      <c r="N116" s="256">
        <v>0</v>
      </c>
      <c r="O116" s="256">
        <v>0</v>
      </c>
      <c r="P116" s="256">
        <v>0</v>
      </c>
      <c r="Q116" s="256">
        <v>0</v>
      </c>
      <c r="R116" s="256">
        <v>0</v>
      </c>
    </row>
    <row r="117" spans="1:18" ht="12.75">
      <c r="A117" s="200">
        <v>105</v>
      </c>
      <c r="B117" t="s">
        <v>499</v>
      </c>
      <c r="C117" t="s">
        <v>612</v>
      </c>
      <c r="D117" t="s">
        <v>613</v>
      </c>
      <c r="E117" s="200">
        <v>49151</v>
      </c>
      <c r="F117" s="261">
        <v>44332</v>
      </c>
      <c r="G117" s="200" t="s">
        <v>506</v>
      </c>
      <c r="H117" s="256">
        <v>11742.49</v>
      </c>
      <c r="I117" s="256">
        <v>0</v>
      </c>
      <c r="J117" s="256">
        <v>11742.49</v>
      </c>
      <c r="K117" s="256">
        <v>0</v>
      </c>
      <c r="L117" s="256">
        <v>0</v>
      </c>
      <c r="M117" s="256">
        <v>11742.49</v>
      </c>
      <c r="N117" s="256">
        <v>0</v>
      </c>
      <c r="O117" s="256">
        <v>0</v>
      </c>
      <c r="P117" s="256">
        <v>0</v>
      </c>
      <c r="Q117" s="256">
        <v>0</v>
      </c>
      <c r="R117" s="256">
        <v>0</v>
      </c>
    </row>
    <row r="118" spans="1:18" ht="12.75">
      <c r="A118" s="200">
        <v>106</v>
      </c>
      <c r="B118" t="s">
        <v>499</v>
      </c>
      <c r="C118" t="s">
        <v>578</v>
      </c>
      <c r="D118" t="s">
        <v>579</v>
      </c>
      <c r="E118" s="200">
        <v>49304</v>
      </c>
      <c r="F118" s="261">
        <v>44175</v>
      </c>
      <c r="G118" s="200" t="s">
        <v>506</v>
      </c>
      <c r="H118" s="256">
        <v>1736648.22</v>
      </c>
      <c r="I118" s="256">
        <v>0</v>
      </c>
      <c r="J118" s="256">
        <v>1736648.22</v>
      </c>
      <c r="K118" s="256">
        <v>0</v>
      </c>
      <c r="L118" s="256">
        <v>0</v>
      </c>
      <c r="M118" s="256">
        <v>1736648.22</v>
      </c>
      <c r="N118" s="256">
        <v>0</v>
      </c>
      <c r="O118" s="256">
        <v>0</v>
      </c>
      <c r="P118" s="256">
        <v>0</v>
      </c>
      <c r="Q118" s="256">
        <v>0</v>
      </c>
      <c r="R118" s="256">
        <v>0</v>
      </c>
    </row>
    <row r="119" spans="1:18" ht="12.75">
      <c r="A119" s="200">
        <v>107</v>
      </c>
      <c r="B119" t="s">
        <v>499</v>
      </c>
      <c r="C119" t="s">
        <v>546</v>
      </c>
      <c r="D119" t="s">
        <v>547</v>
      </c>
      <c r="E119" s="200">
        <v>49723</v>
      </c>
      <c r="F119" s="261">
        <v>44183</v>
      </c>
      <c r="G119" s="200" t="s">
        <v>506</v>
      </c>
      <c r="H119" s="256">
        <v>4891859.1799999997</v>
      </c>
      <c r="I119" s="256">
        <v>0</v>
      </c>
      <c r="J119" s="256">
        <v>4891859.1799999997</v>
      </c>
      <c r="K119" s="256">
        <v>0</v>
      </c>
      <c r="L119" s="256">
        <v>0</v>
      </c>
      <c r="M119" s="256">
        <v>4891859.1799999997</v>
      </c>
      <c r="N119" s="256">
        <v>0</v>
      </c>
      <c r="O119" s="256">
        <v>0</v>
      </c>
      <c r="P119" s="256">
        <v>0</v>
      </c>
      <c r="Q119" s="256">
        <v>0</v>
      </c>
      <c r="R119" s="256">
        <v>0</v>
      </c>
    </row>
    <row r="120" spans="1:18" ht="12.75">
      <c r="A120" s="200">
        <v>108</v>
      </c>
      <c r="B120" t="s">
        <v>499</v>
      </c>
      <c r="C120" t="s">
        <v>587</v>
      </c>
      <c r="D120" t="s">
        <v>588</v>
      </c>
      <c r="E120" s="200">
        <v>50560</v>
      </c>
      <c r="F120" s="261">
        <v>44287</v>
      </c>
      <c r="G120" s="200" t="s">
        <v>506</v>
      </c>
      <c r="H120" s="256">
        <v>475.52999999999997</v>
      </c>
      <c r="I120" s="256">
        <v>0</v>
      </c>
      <c r="J120" s="256">
        <v>475.52999999999997</v>
      </c>
      <c r="K120" s="256">
        <v>0</v>
      </c>
      <c r="L120" s="256">
        <v>0</v>
      </c>
      <c r="M120" s="256">
        <v>475.52999999999997</v>
      </c>
      <c r="N120" s="256">
        <v>0</v>
      </c>
      <c r="O120" s="256">
        <v>0</v>
      </c>
      <c r="P120" s="256">
        <v>0</v>
      </c>
      <c r="Q120" s="256">
        <v>0</v>
      </c>
      <c r="R120" s="256">
        <v>0</v>
      </c>
    </row>
    <row r="121" spans="1:18" ht="12.75">
      <c r="A121" s="200">
        <v>109</v>
      </c>
      <c r="B121" t="s">
        <v>640</v>
      </c>
      <c r="C121" t="s">
        <v>649</v>
      </c>
      <c r="D121" t="s">
        <v>650</v>
      </c>
      <c r="E121" s="200">
        <v>38290</v>
      </c>
      <c r="F121" s="261">
        <v>41508</v>
      </c>
      <c r="G121" s="200" t="s">
        <v>507</v>
      </c>
      <c r="H121" s="256">
        <v>5443683.5300000003</v>
      </c>
      <c r="I121" s="256">
        <v>0</v>
      </c>
      <c r="J121" s="256">
        <v>0</v>
      </c>
      <c r="K121" s="256">
        <v>5443683.5300000003</v>
      </c>
      <c r="L121" s="256">
        <v>0</v>
      </c>
      <c r="M121" s="256">
        <v>5443683.5300000003</v>
      </c>
      <c r="N121" s="256">
        <v>0</v>
      </c>
      <c r="O121" s="256">
        <v>0</v>
      </c>
      <c r="P121" s="256">
        <v>0</v>
      </c>
      <c r="Q121" s="256">
        <v>0</v>
      </c>
      <c r="R121" s="256">
        <v>0</v>
      </c>
    </row>
    <row r="122" spans="1:18" ht="12.75">
      <c r="A122" s="200">
        <v>110</v>
      </c>
      <c r="B122" t="s">
        <v>640</v>
      </c>
      <c r="C122" t="s">
        <v>655</v>
      </c>
      <c r="D122" t="s">
        <v>656</v>
      </c>
      <c r="E122" s="200">
        <v>38560</v>
      </c>
      <c r="F122" s="261">
        <v>41393</v>
      </c>
      <c r="G122" s="200" t="s">
        <v>507</v>
      </c>
      <c r="H122" s="256">
        <v>10485009.710000001</v>
      </c>
      <c r="I122" s="256">
        <v>0</v>
      </c>
      <c r="J122" s="256">
        <v>0</v>
      </c>
      <c r="K122" s="256">
        <v>10485009.710000001</v>
      </c>
      <c r="L122" s="256">
        <v>0</v>
      </c>
      <c r="M122" s="256">
        <v>10485009.710000001</v>
      </c>
      <c r="N122" s="256">
        <v>0</v>
      </c>
      <c r="O122" s="256">
        <v>0</v>
      </c>
      <c r="P122" s="256">
        <v>0</v>
      </c>
      <c r="Q122" s="256">
        <v>0</v>
      </c>
      <c r="R122" s="256">
        <v>0</v>
      </c>
    </row>
    <row r="123" spans="1:18" ht="12.75">
      <c r="A123" s="200">
        <v>111</v>
      </c>
      <c r="B123" t="s">
        <v>640</v>
      </c>
      <c r="C123" t="s">
        <v>659</v>
      </c>
      <c r="D123" t="s">
        <v>660</v>
      </c>
      <c r="E123" s="200">
        <v>38750</v>
      </c>
      <c r="F123" s="261">
        <v>41508</v>
      </c>
      <c r="G123" s="200" t="s">
        <v>507</v>
      </c>
      <c r="H123" s="256">
        <v>757088.15000000002</v>
      </c>
      <c r="I123" s="256">
        <v>0</v>
      </c>
      <c r="J123" s="256">
        <v>0</v>
      </c>
      <c r="K123" s="256">
        <v>757088.15000000002</v>
      </c>
      <c r="L123" s="256">
        <v>0</v>
      </c>
      <c r="M123" s="256">
        <v>757088.15000000002</v>
      </c>
      <c r="N123" s="256">
        <v>0</v>
      </c>
      <c r="O123" s="256">
        <v>0</v>
      </c>
      <c r="P123" s="256">
        <v>0</v>
      </c>
      <c r="Q123" s="256">
        <v>0</v>
      </c>
      <c r="R123" s="256">
        <v>0</v>
      </c>
    </row>
    <row r="124" spans="1:18" ht="12.75">
      <c r="A124" s="200">
        <v>112</v>
      </c>
      <c r="B124" t="s">
        <v>640</v>
      </c>
      <c r="C124" t="s">
        <v>661</v>
      </c>
      <c r="D124" t="s">
        <v>662</v>
      </c>
      <c r="E124" s="200">
        <v>38750</v>
      </c>
      <c r="F124" s="261">
        <v>41508</v>
      </c>
      <c r="G124" s="200" t="s">
        <v>507</v>
      </c>
      <c r="H124" s="256">
        <v>658644.19999999995</v>
      </c>
      <c r="I124" s="256">
        <v>0</v>
      </c>
      <c r="J124" s="256">
        <v>0</v>
      </c>
      <c r="K124" s="256">
        <v>658644.19999999995</v>
      </c>
      <c r="L124" s="256">
        <v>0</v>
      </c>
      <c r="M124" s="256">
        <v>658644.19999999995</v>
      </c>
      <c r="N124" s="256">
        <v>0</v>
      </c>
      <c r="O124" s="256">
        <v>0</v>
      </c>
      <c r="P124" s="256">
        <v>0</v>
      </c>
      <c r="Q124" s="256">
        <v>0</v>
      </c>
      <c r="R124" s="256">
        <v>0</v>
      </c>
    </row>
    <row r="125" spans="1:18" ht="12.75">
      <c r="A125" s="200">
        <v>113</v>
      </c>
      <c r="B125" t="s">
        <v>640</v>
      </c>
      <c r="C125" t="s">
        <v>665</v>
      </c>
      <c r="D125" t="s">
        <v>666</v>
      </c>
      <c r="E125" s="200">
        <v>38829</v>
      </c>
      <c r="F125" s="261">
        <v>41592</v>
      </c>
      <c r="G125" s="200" t="s">
        <v>507</v>
      </c>
      <c r="H125" s="256">
        <v>34529313.130000003</v>
      </c>
      <c r="I125" s="256">
        <v>0</v>
      </c>
      <c r="J125" s="256">
        <v>0</v>
      </c>
      <c r="K125" s="256">
        <v>34529313.130000003</v>
      </c>
      <c r="L125" s="256">
        <v>0</v>
      </c>
      <c r="M125" s="256">
        <v>34529313.130000003</v>
      </c>
      <c r="N125" s="256">
        <v>0</v>
      </c>
      <c r="O125" s="256">
        <v>0</v>
      </c>
      <c r="P125" s="256">
        <v>0</v>
      </c>
      <c r="Q125" s="256">
        <v>0</v>
      </c>
      <c r="R125" s="256">
        <v>0</v>
      </c>
    </row>
    <row r="126" spans="1:18" ht="12.75">
      <c r="A126" s="200">
        <v>114</v>
      </c>
      <c r="B126" t="s">
        <v>640</v>
      </c>
      <c r="C126" t="s">
        <v>641</v>
      </c>
      <c r="D126" t="s">
        <v>642</v>
      </c>
      <c r="E126" s="200">
        <v>40484</v>
      </c>
      <c r="F126" s="261">
        <v>41614</v>
      </c>
      <c r="G126" s="200" t="s">
        <v>507</v>
      </c>
      <c r="H126" s="256">
        <v>1480771.1899999999</v>
      </c>
      <c r="I126" s="256">
        <v>0</v>
      </c>
      <c r="J126" s="256">
        <v>0</v>
      </c>
      <c r="K126" s="256">
        <v>1480771.1899999999</v>
      </c>
      <c r="L126" s="256">
        <v>0</v>
      </c>
      <c r="M126" s="256">
        <v>1480771.1899999999</v>
      </c>
      <c r="N126" s="256">
        <v>0</v>
      </c>
      <c r="O126" s="256">
        <v>0</v>
      </c>
      <c r="P126" s="256">
        <v>0</v>
      </c>
      <c r="Q126" s="256">
        <v>0</v>
      </c>
      <c r="R126" s="256">
        <v>0</v>
      </c>
    </row>
    <row r="127" spans="1:18" ht="12.75">
      <c r="A127" s="200">
        <v>115</v>
      </c>
      <c r="B127" t="s">
        <v>640</v>
      </c>
      <c r="C127" t="s">
        <v>643</v>
      </c>
      <c r="D127" t="s">
        <v>644</v>
      </c>
      <c r="E127" s="200">
        <v>40645</v>
      </c>
      <c r="F127" s="261">
        <v>41394</v>
      </c>
      <c r="G127" s="200" t="s">
        <v>507</v>
      </c>
      <c r="H127" s="256">
        <v>1544074.72</v>
      </c>
      <c r="I127" s="256">
        <v>0</v>
      </c>
      <c r="J127" s="256">
        <v>0</v>
      </c>
      <c r="K127" s="256">
        <v>1544074.72</v>
      </c>
      <c r="L127" s="256">
        <v>0</v>
      </c>
      <c r="M127" s="256">
        <v>1544074.72</v>
      </c>
      <c r="N127" s="256">
        <v>0</v>
      </c>
      <c r="O127" s="256">
        <v>0</v>
      </c>
      <c r="P127" s="256">
        <v>0</v>
      </c>
      <c r="Q127" s="256">
        <v>0</v>
      </c>
      <c r="R127" s="256">
        <v>0</v>
      </c>
    </row>
    <row r="128" spans="1:18" ht="12.75">
      <c r="A128" s="200">
        <v>116</v>
      </c>
      <c r="B128" t="s">
        <v>640</v>
      </c>
      <c r="C128" t="s">
        <v>645</v>
      </c>
      <c r="D128" t="s">
        <v>646</v>
      </c>
      <c r="E128" s="200">
        <v>40645</v>
      </c>
      <c r="F128" s="261">
        <v>41394</v>
      </c>
      <c r="G128" s="200" t="s">
        <v>507</v>
      </c>
      <c r="H128" s="256">
        <v>1538636.29</v>
      </c>
      <c r="I128" s="256">
        <v>0</v>
      </c>
      <c r="J128" s="256">
        <v>0</v>
      </c>
      <c r="K128" s="256">
        <v>1538636.29</v>
      </c>
      <c r="L128" s="256">
        <v>0</v>
      </c>
      <c r="M128" s="256">
        <v>1538636.29</v>
      </c>
      <c r="N128" s="256">
        <v>0</v>
      </c>
      <c r="O128" s="256">
        <v>0</v>
      </c>
      <c r="P128" s="256">
        <v>0</v>
      </c>
      <c r="Q128" s="256">
        <v>0</v>
      </c>
      <c r="R128" s="256">
        <v>0</v>
      </c>
    </row>
    <row r="129" spans="1:18" ht="12.75">
      <c r="A129" s="200">
        <v>117</v>
      </c>
      <c r="B129" t="s">
        <v>640</v>
      </c>
      <c r="C129" t="s">
        <v>667</v>
      </c>
      <c r="D129" t="s">
        <v>668</v>
      </c>
      <c r="E129" s="200">
        <v>42063</v>
      </c>
      <c r="F129" s="261">
        <v>42235</v>
      </c>
      <c r="G129" s="200" t="s">
        <v>507</v>
      </c>
      <c r="H129" s="256">
        <v>3255811.3200000003</v>
      </c>
      <c r="I129" s="256">
        <v>0</v>
      </c>
      <c r="J129" s="256">
        <v>0</v>
      </c>
      <c r="K129" s="256">
        <v>3255811.3200000003</v>
      </c>
      <c r="L129" s="256">
        <v>0</v>
      </c>
      <c r="M129" s="256">
        <v>3255811.3200000003</v>
      </c>
      <c r="N129" s="256">
        <v>0</v>
      </c>
      <c r="O129" s="256">
        <v>0</v>
      </c>
      <c r="P129" s="256">
        <v>0</v>
      </c>
      <c r="Q129" s="256">
        <v>0</v>
      </c>
      <c r="R129" s="256">
        <v>0</v>
      </c>
    </row>
    <row r="130" spans="1:18" ht="12.75">
      <c r="A130" s="200">
        <v>118</v>
      </c>
      <c r="B130" t="s">
        <v>640</v>
      </c>
      <c r="C130" t="s">
        <v>647</v>
      </c>
      <c r="D130" t="s">
        <v>648</v>
      </c>
      <c r="E130" s="200">
        <v>43889</v>
      </c>
      <c r="F130" s="261">
        <v>42160</v>
      </c>
      <c r="G130" s="200" t="s">
        <v>507</v>
      </c>
      <c r="H130" s="256">
        <v>1326223.3000000001</v>
      </c>
      <c r="I130" s="256">
        <v>0</v>
      </c>
      <c r="J130" s="256">
        <v>0</v>
      </c>
      <c r="K130" s="256">
        <v>1326223.3000000001</v>
      </c>
      <c r="L130" s="256">
        <v>0</v>
      </c>
      <c r="M130" s="256">
        <v>1326223.3000000001</v>
      </c>
      <c r="N130" s="256">
        <v>0</v>
      </c>
      <c r="O130" s="256">
        <v>0</v>
      </c>
      <c r="P130" s="256">
        <v>0</v>
      </c>
      <c r="Q130" s="256">
        <v>0</v>
      </c>
      <c r="R130" s="256">
        <v>0</v>
      </c>
    </row>
    <row r="131" spans="1:18" ht="12.75">
      <c r="A131" s="200">
        <v>119</v>
      </c>
      <c r="B131" t="s">
        <v>499</v>
      </c>
      <c r="C131" t="s">
        <v>679</v>
      </c>
      <c r="D131" t="s">
        <v>680</v>
      </c>
      <c r="E131" s="200">
        <v>45308</v>
      </c>
      <c r="F131" s="261">
        <v>43600</v>
      </c>
      <c r="G131" s="200" t="s">
        <v>507</v>
      </c>
      <c r="H131" s="256">
        <v>9758708.1500000004</v>
      </c>
      <c r="I131" s="256">
        <v>0</v>
      </c>
      <c r="J131" s="256">
        <v>9758708.1500000004</v>
      </c>
      <c r="K131" s="256">
        <v>0</v>
      </c>
      <c r="L131" s="256">
        <v>0</v>
      </c>
      <c r="M131" s="256">
        <v>9758708.1500000004</v>
      </c>
      <c r="N131" s="256">
        <v>0</v>
      </c>
      <c r="O131" s="256">
        <v>0</v>
      </c>
      <c r="P131" s="256">
        <v>0</v>
      </c>
      <c r="Q131" s="256">
        <v>0</v>
      </c>
      <c r="R131" s="256">
        <v>0</v>
      </c>
    </row>
    <row r="132" spans="1:18" ht="12.75">
      <c r="A132" s="200">
        <v>120</v>
      </c>
      <c r="B132" t="s">
        <v>499</v>
      </c>
      <c r="C132" t="s">
        <v>616</v>
      </c>
      <c r="D132" t="s">
        <v>617</v>
      </c>
      <c r="E132" s="200">
        <v>45323</v>
      </c>
      <c r="F132" s="261">
        <v>42913</v>
      </c>
      <c r="G132" s="200" t="s">
        <v>507</v>
      </c>
      <c r="H132" s="256">
        <v>7255082.2000000002</v>
      </c>
      <c r="I132" s="256">
        <v>0</v>
      </c>
      <c r="J132" s="256">
        <v>7255082.2000000002</v>
      </c>
      <c r="K132" s="256">
        <v>0</v>
      </c>
      <c r="L132" s="256">
        <v>0</v>
      </c>
      <c r="M132" s="256">
        <v>7255082.2000000002</v>
      </c>
      <c r="N132" s="256">
        <v>0</v>
      </c>
      <c r="O132" s="256">
        <v>0</v>
      </c>
      <c r="P132" s="256">
        <v>0</v>
      </c>
      <c r="Q132" s="256">
        <v>0</v>
      </c>
      <c r="R132" s="256">
        <v>0</v>
      </c>
    </row>
    <row r="133" spans="1:18" ht="12.75">
      <c r="A133" s="200">
        <v>121</v>
      </c>
      <c r="B133" t="s">
        <v>499</v>
      </c>
      <c r="C133" t="s">
        <v>681</v>
      </c>
      <c r="D133" t="s">
        <v>682</v>
      </c>
      <c r="E133" s="200">
        <v>45397</v>
      </c>
      <c r="F133" s="261">
        <v>43600</v>
      </c>
      <c r="G133" s="200" t="s">
        <v>507</v>
      </c>
      <c r="H133" s="256">
        <v>11605588.789999999</v>
      </c>
      <c r="I133" s="256">
        <v>0</v>
      </c>
      <c r="J133" s="256">
        <v>11605588.789999999</v>
      </c>
      <c r="K133" s="256">
        <v>0</v>
      </c>
      <c r="L133" s="256">
        <v>0</v>
      </c>
      <c r="M133" s="256">
        <v>11605588.789999999</v>
      </c>
      <c r="N133" s="256">
        <v>0</v>
      </c>
      <c r="O133" s="256">
        <v>0</v>
      </c>
      <c r="P133" s="256">
        <v>0</v>
      </c>
      <c r="Q133" s="256">
        <v>0</v>
      </c>
      <c r="R133" s="256">
        <v>0</v>
      </c>
    </row>
    <row r="134" spans="1:18" ht="12.75">
      <c r="A134" s="200">
        <v>122</v>
      </c>
      <c r="B134" t="s">
        <v>499</v>
      </c>
      <c r="C134" t="s">
        <v>618</v>
      </c>
      <c r="D134" t="s">
        <v>619</v>
      </c>
      <c r="E134" s="200">
        <v>46987</v>
      </c>
      <c r="F134" s="261">
        <v>43438</v>
      </c>
      <c r="G134" s="200" t="s">
        <v>507</v>
      </c>
      <c r="H134" s="256">
        <v>4123908.3599999999</v>
      </c>
      <c r="I134" s="256">
        <v>0</v>
      </c>
      <c r="J134" s="256">
        <v>4123908.3599999999</v>
      </c>
      <c r="K134" s="256">
        <v>0</v>
      </c>
      <c r="L134" s="256">
        <v>0</v>
      </c>
      <c r="M134" s="256">
        <v>4123908.3599999999</v>
      </c>
      <c r="N134" s="256">
        <v>0</v>
      </c>
      <c r="O134" s="256">
        <v>0</v>
      </c>
      <c r="P134" s="256">
        <v>0</v>
      </c>
      <c r="Q134" s="256">
        <v>0</v>
      </c>
      <c r="R134" s="256">
        <v>0</v>
      </c>
    </row>
    <row r="135" spans="1:18" ht="12.75">
      <c r="A135" s="200">
        <v>123</v>
      </c>
      <c r="B135" t="s">
        <v>499</v>
      </c>
      <c r="C135" t="s">
        <v>509</v>
      </c>
      <c r="D135" t="s">
        <v>510</v>
      </c>
      <c r="E135" s="200">
        <v>47368</v>
      </c>
      <c r="F135" s="261">
        <v>43753</v>
      </c>
      <c r="G135" s="200" t="s">
        <v>507</v>
      </c>
      <c r="H135" s="256">
        <v>819762.66000000003</v>
      </c>
      <c r="I135" s="256">
        <v>0</v>
      </c>
      <c r="J135" s="256">
        <v>819762.66000000003</v>
      </c>
      <c r="K135" s="256">
        <v>0</v>
      </c>
      <c r="L135" s="256">
        <v>0</v>
      </c>
      <c r="M135" s="256">
        <v>819762.66000000003</v>
      </c>
      <c r="N135" s="256">
        <v>0</v>
      </c>
      <c r="O135" s="256">
        <v>0</v>
      </c>
      <c r="P135" s="256">
        <v>0</v>
      </c>
      <c r="Q135" s="256">
        <v>0</v>
      </c>
      <c r="R135" s="256">
        <v>0</v>
      </c>
    </row>
    <row r="136" spans="1:18" ht="12.75">
      <c r="A136" s="200">
        <v>124</v>
      </c>
      <c r="B136" t="s">
        <v>499</v>
      </c>
      <c r="C136" t="s">
        <v>554</v>
      </c>
      <c r="D136" t="s">
        <v>510</v>
      </c>
      <c r="E136" s="200">
        <v>47368</v>
      </c>
      <c r="F136" s="261">
        <v>43822</v>
      </c>
      <c r="G136" s="200" t="s">
        <v>507</v>
      </c>
      <c r="H136" s="256">
        <v>572322.64000000001</v>
      </c>
      <c r="I136" s="256">
        <v>0</v>
      </c>
      <c r="J136" s="256">
        <v>572322.64000000001</v>
      </c>
      <c r="K136" s="256">
        <v>0</v>
      </c>
      <c r="L136" s="256">
        <v>0</v>
      </c>
      <c r="M136" s="256">
        <v>572322.64000000001</v>
      </c>
      <c r="N136" s="256">
        <v>0</v>
      </c>
      <c r="O136" s="256">
        <v>0</v>
      </c>
      <c r="P136" s="256">
        <v>0</v>
      </c>
      <c r="Q136" s="256">
        <v>0</v>
      </c>
      <c r="R136" s="256">
        <v>0</v>
      </c>
    </row>
    <row r="137" spans="1:18" ht="12.75">
      <c r="A137" s="200">
        <v>125</v>
      </c>
      <c r="B137" t="s">
        <v>499</v>
      </c>
      <c r="C137" t="s">
        <v>620</v>
      </c>
      <c r="D137" t="s">
        <v>621</v>
      </c>
      <c r="E137" s="200">
        <v>47458</v>
      </c>
      <c r="F137" s="261">
        <v>43206</v>
      </c>
      <c r="G137" s="200" t="s">
        <v>507</v>
      </c>
      <c r="H137" s="256">
        <v>1198741.3500000001</v>
      </c>
      <c r="I137" s="256">
        <v>0</v>
      </c>
      <c r="J137" s="256">
        <v>1198741.3500000001</v>
      </c>
      <c r="K137" s="256">
        <v>0</v>
      </c>
      <c r="L137" s="256">
        <v>0</v>
      </c>
      <c r="M137" s="256">
        <v>1198741.3500000001</v>
      </c>
      <c r="N137" s="256">
        <v>0</v>
      </c>
      <c r="O137" s="256">
        <v>0</v>
      </c>
      <c r="P137" s="256">
        <v>0</v>
      </c>
      <c r="Q137" s="256">
        <v>0</v>
      </c>
      <c r="R137" s="256">
        <v>0</v>
      </c>
    </row>
    <row r="138" spans="1:18" ht="12.75">
      <c r="A138" s="200">
        <v>126</v>
      </c>
      <c r="B138" t="s">
        <v>499</v>
      </c>
      <c r="C138" t="s">
        <v>622</v>
      </c>
      <c r="D138" t="s">
        <v>623</v>
      </c>
      <c r="E138" s="200">
        <v>47595</v>
      </c>
      <c r="F138" s="261">
        <v>43420</v>
      </c>
      <c r="G138" s="200" t="s">
        <v>507</v>
      </c>
      <c r="H138" s="256">
        <v>4388653.6200000001</v>
      </c>
      <c r="I138" s="256">
        <v>0</v>
      </c>
      <c r="J138" s="256">
        <v>4388653.6200000001</v>
      </c>
      <c r="K138" s="256">
        <v>0</v>
      </c>
      <c r="L138" s="256">
        <v>0</v>
      </c>
      <c r="M138" s="256">
        <v>4388653.6200000001</v>
      </c>
      <c r="N138" s="256">
        <v>0</v>
      </c>
      <c r="O138" s="256">
        <v>0</v>
      </c>
      <c r="P138" s="256">
        <v>0</v>
      </c>
      <c r="Q138" s="256">
        <v>0</v>
      </c>
      <c r="R138" s="256">
        <v>0</v>
      </c>
    </row>
    <row r="139" spans="1:18" ht="12.75">
      <c r="A139" s="200">
        <v>127</v>
      </c>
      <c r="B139" t="s">
        <v>499</v>
      </c>
      <c r="C139" t="s">
        <v>519</v>
      </c>
      <c r="D139" t="s">
        <v>520</v>
      </c>
      <c r="E139" s="200">
        <v>47808</v>
      </c>
      <c r="F139" s="261">
        <v>44195</v>
      </c>
      <c r="G139" s="200" t="s">
        <v>507</v>
      </c>
      <c r="H139" s="256">
        <v>9463415.4900000002</v>
      </c>
      <c r="I139" s="256">
        <v>0</v>
      </c>
      <c r="J139" s="256">
        <v>9463415.4900000002</v>
      </c>
      <c r="K139" s="256">
        <v>0</v>
      </c>
      <c r="L139" s="256">
        <v>0</v>
      </c>
      <c r="M139" s="256">
        <v>9463415.4900000002</v>
      </c>
      <c r="N139" s="256">
        <v>0</v>
      </c>
      <c r="O139" s="256">
        <v>0</v>
      </c>
      <c r="P139" s="256">
        <v>0</v>
      </c>
      <c r="Q139" s="256">
        <v>0</v>
      </c>
      <c r="R139" s="256">
        <v>0</v>
      </c>
    </row>
    <row r="140" spans="1:18" ht="12.75">
      <c r="A140" s="200">
        <v>128</v>
      </c>
      <c r="B140" t="s">
        <v>499</v>
      </c>
      <c r="C140" t="s">
        <v>528</v>
      </c>
      <c r="D140" t="s">
        <v>529</v>
      </c>
      <c r="E140" s="200">
        <v>48095</v>
      </c>
      <c r="F140" s="261">
        <v>44188</v>
      </c>
      <c r="G140" s="200" t="s">
        <v>507</v>
      </c>
      <c r="H140" s="256">
        <v>1776549.96</v>
      </c>
      <c r="I140" s="256">
        <v>0</v>
      </c>
      <c r="J140" s="256">
        <v>1776549.96</v>
      </c>
      <c r="K140" s="256">
        <v>0</v>
      </c>
      <c r="L140" s="256">
        <v>0</v>
      </c>
      <c r="M140" s="256">
        <v>1776549.96</v>
      </c>
      <c r="N140" s="256">
        <v>0</v>
      </c>
      <c r="O140" s="256">
        <v>0</v>
      </c>
      <c r="P140" s="256">
        <v>0</v>
      </c>
      <c r="Q140" s="256">
        <v>0</v>
      </c>
      <c r="R140" s="256">
        <v>0</v>
      </c>
    </row>
    <row r="141" spans="1:18" ht="12.75">
      <c r="A141" s="200">
        <v>129</v>
      </c>
      <c r="B141" t="s">
        <v>499</v>
      </c>
      <c r="C141" t="s">
        <v>530</v>
      </c>
      <c r="D141" t="s">
        <v>531</v>
      </c>
      <c r="E141" s="200">
        <v>48095</v>
      </c>
      <c r="F141" s="261">
        <v>44014</v>
      </c>
      <c r="G141" s="200" t="s">
        <v>507</v>
      </c>
      <c r="H141" s="256">
        <v>4647222.3200000003</v>
      </c>
      <c r="I141" s="256">
        <v>0</v>
      </c>
      <c r="J141" s="256">
        <v>4647222.3200000003</v>
      </c>
      <c r="K141" s="256">
        <v>0</v>
      </c>
      <c r="L141" s="256">
        <v>0</v>
      </c>
      <c r="M141" s="256">
        <v>4647222.3200000003</v>
      </c>
      <c r="N141" s="256">
        <v>0</v>
      </c>
      <c r="O141" s="256">
        <v>0</v>
      </c>
      <c r="P141" s="256">
        <v>0</v>
      </c>
      <c r="Q141" s="256">
        <v>0</v>
      </c>
      <c r="R141" s="256">
        <v>0</v>
      </c>
    </row>
    <row r="142" spans="1:18" ht="12.75">
      <c r="A142" s="200">
        <v>130</v>
      </c>
      <c r="B142" t="s">
        <v>499</v>
      </c>
      <c r="C142" t="s">
        <v>532</v>
      </c>
      <c r="D142" t="s">
        <v>533</v>
      </c>
      <c r="E142" s="200">
        <v>48095</v>
      </c>
      <c r="F142" s="261">
        <v>44014</v>
      </c>
      <c r="G142" s="200" t="s">
        <v>507</v>
      </c>
      <c r="H142" s="256">
        <v>812947.93000000005</v>
      </c>
      <c r="I142" s="256">
        <v>0</v>
      </c>
      <c r="J142" s="256">
        <v>812947.93000000005</v>
      </c>
      <c r="K142" s="256">
        <v>0</v>
      </c>
      <c r="L142" s="256">
        <v>0</v>
      </c>
      <c r="M142" s="256">
        <v>812947.93000000005</v>
      </c>
      <c r="N142" s="256">
        <v>0</v>
      </c>
      <c r="O142" s="256">
        <v>0</v>
      </c>
      <c r="P142" s="256">
        <v>0</v>
      </c>
      <c r="Q142" s="256">
        <v>0</v>
      </c>
      <c r="R142" s="256">
        <v>0</v>
      </c>
    </row>
    <row r="143" spans="1:18" ht="12.75">
      <c r="A143" s="200">
        <v>131</v>
      </c>
      <c r="B143" t="s">
        <v>499</v>
      </c>
      <c r="C143" t="s">
        <v>534</v>
      </c>
      <c r="D143" t="s">
        <v>535</v>
      </c>
      <c r="E143" s="200">
        <v>48095</v>
      </c>
      <c r="F143" s="261">
        <v>43976</v>
      </c>
      <c r="G143" s="200" t="s">
        <v>507</v>
      </c>
      <c r="H143" s="256">
        <v>7231450.9100000001</v>
      </c>
      <c r="I143" s="256">
        <v>0</v>
      </c>
      <c r="J143" s="256">
        <v>7231450.9100000001</v>
      </c>
      <c r="K143" s="256">
        <v>0</v>
      </c>
      <c r="L143" s="256">
        <v>0</v>
      </c>
      <c r="M143" s="256">
        <v>7231450.9100000001</v>
      </c>
      <c r="N143" s="256">
        <v>0</v>
      </c>
      <c r="O143" s="256">
        <v>0</v>
      </c>
      <c r="P143" s="256">
        <v>0</v>
      </c>
      <c r="Q143" s="256">
        <v>0</v>
      </c>
      <c r="R143" s="256">
        <v>0</v>
      </c>
    </row>
    <row r="144" spans="1:18" ht="12.75">
      <c r="A144" s="200">
        <v>132</v>
      </c>
      <c r="B144" t="s">
        <v>499</v>
      </c>
      <c r="C144" t="s">
        <v>624</v>
      </c>
      <c r="D144" t="s">
        <v>625</v>
      </c>
      <c r="E144" s="200">
        <v>48310</v>
      </c>
      <c r="F144" s="261">
        <v>43528</v>
      </c>
      <c r="G144" s="200" t="s">
        <v>507</v>
      </c>
      <c r="H144" s="256">
        <v>1637760.27</v>
      </c>
      <c r="I144" s="256">
        <v>0</v>
      </c>
      <c r="J144" s="256">
        <v>1637760.27</v>
      </c>
      <c r="K144" s="256">
        <v>0</v>
      </c>
      <c r="L144" s="256">
        <v>0</v>
      </c>
      <c r="M144" s="256">
        <v>1637760.27</v>
      </c>
      <c r="N144" s="256">
        <v>0</v>
      </c>
      <c r="O144" s="256">
        <v>0</v>
      </c>
      <c r="P144" s="256">
        <v>0</v>
      </c>
      <c r="Q144" s="256">
        <v>0</v>
      </c>
      <c r="R144" s="256">
        <v>0</v>
      </c>
    </row>
    <row r="145" spans="1:18" ht="12.75">
      <c r="A145" s="200">
        <v>133</v>
      </c>
      <c r="B145" t="s">
        <v>499</v>
      </c>
      <c r="C145" t="s">
        <v>504</v>
      </c>
      <c r="D145" t="s">
        <v>505</v>
      </c>
      <c r="E145" s="200">
        <v>48544</v>
      </c>
      <c r="F145" s="261">
        <v>43830</v>
      </c>
      <c r="G145" s="200" t="s">
        <v>507</v>
      </c>
      <c r="H145" s="256">
        <v>9885294.3800000008</v>
      </c>
      <c r="I145" s="256">
        <v>0</v>
      </c>
      <c r="J145" s="256">
        <v>9885294.3800000008</v>
      </c>
      <c r="K145" s="256">
        <v>0</v>
      </c>
      <c r="L145" s="256">
        <v>0</v>
      </c>
      <c r="M145" s="256">
        <v>9885294.3800000008</v>
      </c>
      <c r="N145" s="256">
        <v>0</v>
      </c>
      <c r="O145" s="256">
        <v>0</v>
      </c>
      <c r="P145" s="256">
        <v>0</v>
      </c>
      <c r="Q145" s="256">
        <v>0</v>
      </c>
      <c r="R145" s="256">
        <v>0</v>
      </c>
    </row>
    <row r="146" spans="1:18" ht="12.75">
      <c r="A146" s="200">
        <v>134</v>
      </c>
      <c r="B146" t="s">
        <v>499</v>
      </c>
      <c r="C146" t="s">
        <v>556</v>
      </c>
      <c r="D146" t="s">
        <v>557</v>
      </c>
      <c r="E146" s="200">
        <v>48544</v>
      </c>
      <c r="F146" s="261">
        <v>43830</v>
      </c>
      <c r="G146" s="200" t="s">
        <v>507</v>
      </c>
      <c r="H146" s="256">
        <v>13448836.26</v>
      </c>
      <c r="I146" s="256">
        <v>0</v>
      </c>
      <c r="J146" s="256">
        <v>13448836.26</v>
      </c>
      <c r="K146" s="256">
        <v>0</v>
      </c>
      <c r="L146" s="256">
        <v>0</v>
      </c>
      <c r="M146" s="256">
        <v>13448836.26</v>
      </c>
      <c r="N146" s="256">
        <v>0</v>
      </c>
      <c r="O146" s="256">
        <v>0</v>
      </c>
      <c r="P146" s="256">
        <v>0</v>
      </c>
      <c r="Q146" s="256">
        <v>0</v>
      </c>
      <c r="R146" s="256">
        <v>0</v>
      </c>
    </row>
    <row r="147" spans="1:18" ht="12.75">
      <c r="A147" s="200">
        <v>135</v>
      </c>
      <c r="B147" t="s">
        <v>499</v>
      </c>
      <c r="C147" t="s">
        <v>552</v>
      </c>
      <c r="D147" t="s">
        <v>553</v>
      </c>
      <c r="E147" s="200">
        <v>48582</v>
      </c>
      <c r="F147" s="261">
        <v>44175</v>
      </c>
      <c r="G147" s="200" t="s">
        <v>507</v>
      </c>
      <c r="H147" s="256">
        <v>12433850.640000001</v>
      </c>
      <c r="I147" s="256">
        <v>0</v>
      </c>
      <c r="J147" s="256">
        <v>12433850.640000001</v>
      </c>
      <c r="K147" s="256">
        <v>0</v>
      </c>
      <c r="L147" s="256">
        <v>0</v>
      </c>
      <c r="M147" s="256">
        <v>12433850.640000001</v>
      </c>
      <c r="N147" s="256">
        <v>0</v>
      </c>
      <c r="O147" s="256">
        <v>0</v>
      </c>
      <c r="P147" s="256">
        <v>0</v>
      </c>
      <c r="Q147" s="256">
        <v>0</v>
      </c>
      <c r="R147" s="256">
        <v>0</v>
      </c>
    </row>
    <row r="148" spans="1:18" ht="12.75">
      <c r="A148" s="200">
        <v>136</v>
      </c>
      <c r="B148" t="s">
        <v>499</v>
      </c>
      <c r="C148" t="s">
        <v>564</v>
      </c>
      <c r="D148" t="s">
        <v>565</v>
      </c>
      <c r="E148" s="200">
        <v>48625</v>
      </c>
      <c r="F148" s="261">
        <v>44277</v>
      </c>
      <c r="G148" s="200" t="s">
        <v>507</v>
      </c>
      <c r="H148" s="256">
        <v>43145594.850000001</v>
      </c>
      <c r="I148" s="256">
        <v>0</v>
      </c>
      <c r="J148" s="256">
        <v>43145594.850000001</v>
      </c>
      <c r="K148" s="256">
        <v>0</v>
      </c>
      <c r="L148" s="256">
        <v>0</v>
      </c>
      <c r="M148" s="256">
        <v>43145594.850000001</v>
      </c>
      <c r="N148" s="256">
        <v>0</v>
      </c>
      <c r="O148" s="256">
        <v>0</v>
      </c>
      <c r="P148" s="256">
        <v>0</v>
      </c>
      <c r="Q148" s="256">
        <v>0</v>
      </c>
      <c r="R148" s="256">
        <v>0</v>
      </c>
    </row>
    <row r="149" spans="1:18" ht="12.75">
      <c r="A149" s="200">
        <v>137</v>
      </c>
      <c r="B149" t="s">
        <v>499</v>
      </c>
      <c r="C149" t="s">
        <v>608</v>
      </c>
      <c r="D149" t="s">
        <v>609</v>
      </c>
      <c r="E149">
        <v>48668</v>
      </c>
      <c r="F149">
        <v>44348</v>
      </c>
      <c r="G149" t="s">
        <v>507</v>
      </c>
      <c r="H149" s="256">
        <v>82724.320000000007</v>
      </c>
      <c r="I149" s="256">
        <v>0</v>
      </c>
      <c r="J149" s="256">
        <v>82724.320000000007</v>
      </c>
      <c r="K149" s="256">
        <v>0</v>
      </c>
      <c r="L149" s="256">
        <v>0</v>
      </c>
      <c r="M149" s="256">
        <v>82724.320000000007</v>
      </c>
      <c r="N149" s="256">
        <v>0</v>
      </c>
      <c r="O149" s="256">
        <v>0</v>
      </c>
      <c r="P149" s="256">
        <v>0</v>
      </c>
      <c r="Q149" s="256">
        <v>0</v>
      </c>
      <c r="R149" s="256">
        <v>0</v>
      </c>
    </row>
    <row r="150" spans="1:18" ht="12.75">
      <c r="A150" s="200">
        <v>138</v>
      </c>
      <c r="B150" t="s">
        <v>499</v>
      </c>
      <c r="C150" t="s">
        <v>677</v>
      </c>
      <c r="D150" t="s">
        <v>678</v>
      </c>
      <c r="E150">
        <v>48861</v>
      </c>
      <c r="F150">
        <v>43913</v>
      </c>
      <c r="G150" t="s">
        <v>507</v>
      </c>
      <c r="H150" s="256">
        <v>7674736.75</v>
      </c>
      <c r="I150" s="256">
        <v>0</v>
      </c>
      <c r="J150" s="256">
        <v>7674736.75</v>
      </c>
      <c r="K150" s="256">
        <v>0</v>
      </c>
      <c r="L150" s="256">
        <v>0</v>
      </c>
      <c r="M150" s="256">
        <v>7674736.75</v>
      </c>
      <c r="N150" s="256">
        <v>0</v>
      </c>
      <c r="O150" s="256">
        <v>0</v>
      </c>
      <c r="P150" s="256">
        <v>0</v>
      </c>
      <c r="Q150" s="256">
        <v>0</v>
      </c>
      <c r="R150" s="256">
        <v>0</v>
      </c>
    </row>
    <row r="151" spans="1:18" ht="12.75">
      <c r="A151" s="200">
        <v>139</v>
      </c>
      <c r="B151" t="s">
        <v>499</v>
      </c>
      <c r="C151" t="s">
        <v>566</v>
      </c>
      <c r="D151" t="s">
        <v>567</v>
      </c>
      <c r="E151">
        <v>48909</v>
      </c>
      <c r="F151">
        <v>44337</v>
      </c>
      <c r="G151" t="s">
        <v>507</v>
      </c>
      <c r="H151" s="256">
        <v>33242750.969999999</v>
      </c>
      <c r="I151" s="256">
        <v>0</v>
      </c>
      <c r="J151" s="256">
        <v>33242750.969999999</v>
      </c>
      <c r="K151" s="256">
        <v>0</v>
      </c>
      <c r="L151" s="256">
        <v>0</v>
      </c>
      <c r="M151" s="256">
        <v>33242750.969999999</v>
      </c>
      <c r="N151" s="256">
        <v>0</v>
      </c>
      <c r="O151" s="256">
        <v>0</v>
      </c>
      <c r="P151" s="256">
        <v>0</v>
      </c>
      <c r="Q151" s="256">
        <v>0</v>
      </c>
      <c r="R151" s="256">
        <v>0</v>
      </c>
    </row>
    <row r="152" spans="1:18" ht="12.75">
      <c r="A152" s="200">
        <v>140</v>
      </c>
      <c r="B152" t="s">
        <v>499</v>
      </c>
      <c r="C152" t="s">
        <v>612</v>
      </c>
      <c r="D152" t="s">
        <v>613</v>
      </c>
      <c r="E152">
        <v>49151</v>
      </c>
      <c r="F152">
        <v>44332</v>
      </c>
      <c r="G152" t="s">
        <v>507</v>
      </c>
      <c r="H152" s="256">
        <v>44529.239999999998</v>
      </c>
      <c r="I152" s="256">
        <v>0</v>
      </c>
      <c r="J152" s="256">
        <v>44529.239999999998</v>
      </c>
      <c r="K152" s="256">
        <v>0</v>
      </c>
      <c r="L152" s="256">
        <v>0</v>
      </c>
      <c r="M152" s="256">
        <v>44529.239999999998</v>
      </c>
      <c r="N152" s="256">
        <v>0</v>
      </c>
      <c r="O152" s="256">
        <v>0</v>
      </c>
      <c r="P152" s="256">
        <v>0</v>
      </c>
      <c r="Q152" s="256">
        <v>0</v>
      </c>
      <c r="R152" s="256">
        <v>0</v>
      </c>
    </row>
    <row r="153" spans="1:18" ht="12.75">
      <c r="A153" s="200">
        <v>141</v>
      </c>
      <c r="B153" t="s">
        <v>499</v>
      </c>
      <c r="C153" t="s">
        <v>578</v>
      </c>
      <c r="D153" t="s">
        <v>579</v>
      </c>
      <c r="E153">
        <v>49304</v>
      </c>
      <c r="F153">
        <v>44175</v>
      </c>
      <c r="G153" t="s">
        <v>507</v>
      </c>
      <c r="H153" s="256">
        <v>9882435.4100000001</v>
      </c>
      <c r="I153" s="256">
        <v>0</v>
      </c>
      <c r="J153" s="256">
        <v>9882435.4100000001</v>
      </c>
      <c r="K153" s="256">
        <v>0</v>
      </c>
      <c r="L153" s="256">
        <v>0</v>
      </c>
      <c r="M153" s="256">
        <v>9882435.4100000001</v>
      </c>
      <c r="N153" s="256">
        <v>0</v>
      </c>
      <c r="O153" s="256">
        <v>0</v>
      </c>
      <c r="P153" s="256">
        <v>0</v>
      </c>
      <c r="Q153" s="256">
        <v>0</v>
      </c>
      <c r="R153" s="256">
        <v>0</v>
      </c>
    </row>
    <row r="154" spans="1:18" ht="12.75">
      <c r="A154" s="200">
        <v>142</v>
      </c>
      <c r="B154" t="s">
        <v>499</v>
      </c>
      <c r="C154" t="s">
        <v>546</v>
      </c>
      <c r="D154" t="s">
        <v>547</v>
      </c>
      <c r="E154">
        <v>49723</v>
      </c>
      <c r="F154">
        <v>44183</v>
      </c>
      <c r="G154" t="s">
        <v>507</v>
      </c>
      <c r="H154" s="256">
        <v>266593.33000000002</v>
      </c>
      <c r="I154" s="256">
        <v>0</v>
      </c>
      <c r="J154" s="256">
        <v>266593.33000000002</v>
      </c>
      <c r="K154" s="256">
        <v>0</v>
      </c>
      <c r="L154" s="256">
        <v>0</v>
      </c>
      <c r="M154" s="256">
        <v>266593.33000000002</v>
      </c>
      <c r="N154" s="256">
        <v>0</v>
      </c>
      <c r="O154" s="256">
        <v>0</v>
      </c>
      <c r="P154" s="256">
        <v>0</v>
      </c>
      <c r="Q154" s="256">
        <v>0</v>
      </c>
      <c r="R154" s="256">
        <v>0</v>
      </c>
    </row>
    <row r="155" spans="1:18" ht="12.75">
      <c r="A155" s="200">
        <v>143</v>
      </c>
      <c r="B155" t="s">
        <v>499</v>
      </c>
      <c r="C155" t="s">
        <v>626</v>
      </c>
      <c r="D155" t="s">
        <v>627</v>
      </c>
      <c r="E155">
        <v>50217</v>
      </c>
      <c r="F155">
        <v>44174</v>
      </c>
      <c r="G155" t="s">
        <v>507</v>
      </c>
      <c r="H155" s="256">
        <v>2483315.4199999999</v>
      </c>
      <c r="I155" s="256">
        <v>0</v>
      </c>
      <c r="J155" s="256">
        <v>2483315.4199999999</v>
      </c>
      <c r="K155" s="256">
        <v>0</v>
      </c>
      <c r="L155" s="256">
        <v>0</v>
      </c>
      <c r="M155" s="256">
        <v>2483315.4199999999</v>
      </c>
      <c r="N155" s="256">
        <v>0</v>
      </c>
      <c r="O155" s="256">
        <v>0</v>
      </c>
      <c r="P155" s="256">
        <v>0</v>
      </c>
      <c r="Q155" s="256">
        <v>0</v>
      </c>
      <c r="R155" s="256">
        <v>0</v>
      </c>
    </row>
    <row r="156" spans="1:18" ht="12.75">
      <c r="A156" s="200">
        <v>144</v>
      </c>
      <c r="B156" t="s">
        <v>499</v>
      </c>
      <c r="C156" t="s">
        <v>587</v>
      </c>
      <c r="D156" t="s">
        <v>588</v>
      </c>
      <c r="E156">
        <v>50560</v>
      </c>
      <c r="F156">
        <v>44287</v>
      </c>
      <c r="G156" t="s">
        <v>507</v>
      </c>
      <c r="H156" s="256">
        <v>3322220.8900000001</v>
      </c>
      <c r="I156" s="256">
        <v>0</v>
      </c>
      <c r="J156" s="256">
        <v>3322220.8900000001</v>
      </c>
      <c r="K156" s="256">
        <v>0</v>
      </c>
      <c r="L156" s="256">
        <v>0</v>
      </c>
      <c r="M156" s="256">
        <v>3322220.8900000001</v>
      </c>
      <c r="N156" s="256">
        <v>0</v>
      </c>
      <c r="O156" s="256">
        <v>0</v>
      </c>
      <c r="P156" s="256">
        <v>0</v>
      </c>
      <c r="Q156" s="256">
        <v>0</v>
      </c>
      <c r="R156" s="256">
        <v>0</v>
      </c>
    </row>
    <row r="157" spans="1:18" ht="12.75">
      <c r="A157" s="200">
        <v>145</v>
      </c>
      <c r="B157" t="s">
        <v>640</v>
      </c>
      <c r="C157" t="s">
        <v>649</v>
      </c>
      <c r="D157" t="s">
        <v>650</v>
      </c>
      <c r="E157">
        <v>38290</v>
      </c>
      <c r="F157">
        <v>41508</v>
      </c>
      <c r="G157" t="s">
        <v>508</v>
      </c>
      <c r="H157" s="256">
        <v>47945322.149999999</v>
      </c>
      <c r="I157" s="256">
        <v>0</v>
      </c>
      <c r="J157" s="256">
        <v>0</v>
      </c>
      <c r="K157" s="256">
        <v>47945322.149999999</v>
      </c>
      <c r="L157" s="256">
        <v>0</v>
      </c>
      <c r="M157" s="256">
        <v>47945322.149999999</v>
      </c>
      <c r="N157" s="256">
        <v>0</v>
      </c>
      <c r="O157" s="256">
        <v>0</v>
      </c>
      <c r="P157" s="256">
        <v>0</v>
      </c>
      <c r="Q157" s="256">
        <v>0</v>
      </c>
      <c r="R157" s="256">
        <v>0</v>
      </c>
    </row>
    <row r="158" spans="1:18" ht="12.75">
      <c r="A158" s="200">
        <v>146</v>
      </c>
      <c r="B158" t="s">
        <v>640</v>
      </c>
      <c r="C158" t="s">
        <v>651</v>
      </c>
      <c r="D158" t="s">
        <v>652</v>
      </c>
      <c r="E158">
        <v>38290</v>
      </c>
      <c r="F158">
        <v>41508</v>
      </c>
      <c r="G158" t="s">
        <v>508</v>
      </c>
      <c r="H158" s="256">
        <v>1155641.6400000001</v>
      </c>
      <c r="I158" s="256">
        <v>0</v>
      </c>
      <c r="J158" s="256">
        <v>0</v>
      </c>
      <c r="K158" s="256">
        <v>1155641.6400000001</v>
      </c>
      <c r="L158" s="256">
        <v>0</v>
      </c>
      <c r="M158" s="256">
        <v>1155641.6400000001</v>
      </c>
      <c r="N158" s="256">
        <v>0</v>
      </c>
      <c r="O158" s="256">
        <v>0</v>
      </c>
      <c r="P158" s="256">
        <v>0</v>
      </c>
      <c r="Q158" s="256">
        <v>0</v>
      </c>
      <c r="R158" s="256">
        <v>0</v>
      </c>
    </row>
    <row r="159" spans="1:18" ht="12.75">
      <c r="A159" s="200">
        <v>147</v>
      </c>
      <c r="B159" t="s">
        <v>640</v>
      </c>
      <c r="C159" t="s">
        <v>653</v>
      </c>
      <c r="D159" t="s">
        <v>654</v>
      </c>
      <c r="E159">
        <v>38290</v>
      </c>
      <c r="F159">
        <v>41508</v>
      </c>
      <c r="G159" t="s">
        <v>508</v>
      </c>
      <c r="H159" s="256">
        <v>1433702.1599999999</v>
      </c>
      <c r="I159" s="256">
        <v>0</v>
      </c>
      <c r="J159" s="256">
        <v>0</v>
      </c>
      <c r="K159" s="256">
        <v>1433702.1599999999</v>
      </c>
      <c r="L159" s="256">
        <v>0</v>
      </c>
      <c r="M159" s="256">
        <v>1433702.1599999999</v>
      </c>
      <c r="N159" s="256">
        <v>0</v>
      </c>
      <c r="O159" s="256">
        <v>0</v>
      </c>
      <c r="P159" s="256">
        <v>0</v>
      </c>
      <c r="Q159" s="256">
        <v>0</v>
      </c>
      <c r="R159" s="256">
        <v>0</v>
      </c>
    </row>
    <row r="160" spans="1:18" ht="12.75">
      <c r="A160" s="200">
        <v>148</v>
      </c>
      <c r="B160" t="s">
        <v>640</v>
      </c>
      <c r="C160" t="s">
        <v>655</v>
      </c>
      <c r="D160" t="s">
        <v>656</v>
      </c>
      <c r="E160">
        <v>38560</v>
      </c>
      <c r="F160">
        <v>41393</v>
      </c>
      <c r="G160" t="s">
        <v>508</v>
      </c>
      <c r="H160" s="256">
        <v>35417040.539999999</v>
      </c>
      <c r="I160" s="256">
        <v>0</v>
      </c>
      <c r="J160" s="256">
        <v>0</v>
      </c>
      <c r="K160" s="256">
        <v>35417040.539999999</v>
      </c>
      <c r="L160" s="256">
        <v>0</v>
      </c>
      <c r="M160" s="256">
        <v>35417040.539999999</v>
      </c>
      <c r="N160" s="256">
        <v>0</v>
      </c>
      <c r="O160" s="256">
        <v>0</v>
      </c>
      <c r="P160" s="256">
        <v>0</v>
      </c>
      <c r="Q160" s="256">
        <v>0</v>
      </c>
      <c r="R160" s="256">
        <v>0</v>
      </c>
    </row>
    <row r="161" spans="1:18" ht="12.75">
      <c r="A161" s="200">
        <v>149</v>
      </c>
      <c r="B161" t="s">
        <v>640</v>
      </c>
      <c r="C161" t="s">
        <v>659</v>
      </c>
      <c r="D161" t="s">
        <v>660</v>
      </c>
      <c r="E161">
        <v>38750</v>
      </c>
      <c r="F161">
        <v>41508</v>
      </c>
      <c r="G161" t="s">
        <v>508</v>
      </c>
      <c r="H161" s="256">
        <v>22104021.940000001</v>
      </c>
      <c r="I161" s="256">
        <v>0</v>
      </c>
      <c r="J161" s="256">
        <v>0</v>
      </c>
      <c r="K161" s="256">
        <v>22104021.940000001</v>
      </c>
      <c r="L161" s="256">
        <v>0</v>
      </c>
      <c r="M161" s="256">
        <v>22104021.940000001</v>
      </c>
      <c r="N161" s="256">
        <v>0</v>
      </c>
      <c r="O161" s="256">
        <v>0</v>
      </c>
      <c r="P161" s="256">
        <v>0</v>
      </c>
      <c r="Q161" s="256">
        <v>0</v>
      </c>
      <c r="R161" s="256">
        <v>0</v>
      </c>
    </row>
    <row r="162" spans="1:18" ht="12.75">
      <c r="A162" s="200">
        <v>150</v>
      </c>
      <c r="B162" t="s">
        <v>640</v>
      </c>
      <c r="C162" t="s">
        <v>661</v>
      </c>
      <c r="D162" t="s">
        <v>662</v>
      </c>
      <c r="E162">
        <v>38750</v>
      </c>
      <c r="F162">
        <v>41508</v>
      </c>
      <c r="G162" t="s">
        <v>508</v>
      </c>
      <c r="H162" s="256">
        <v>12860781.390000001</v>
      </c>
      <c r="I162" s="256">
        <v>0</v>
      </c>
      <c r="J162" s="256">
        <v>0</v>
      </c>
      <c r="K162" s="256">
        <v>12860781.390000001</v>
      </c>
      <c r="L162" s="256">
        <v>0</v>
      </c>
      <c r="M162" s="256">
        <v>12860781.390000001</v>
      </c>
      <c r="N162" s="256">
        <v>0</v>
      </c>
      <c r="O162" s="256">
        <v>0</v>
      </c>
      <c r="P162" s="256">
        <v>0</v>
      </c>
      <c r="Q162" s="256">
        <v>0</v>
      </c>
      <c r="R162" s="256">
        <v>0</v>
      </c>
    </row>
    <row r="163" spans="1:18" ht="12.75">
      <c r="A163" s="200">
        <v>151</v>
      </c>
      <c r="B163" t="s">
        <v>640</v>
      </c>
      <c r="C163" t="s">
        <v>663</v>
      </c>
      <c r="D163" t="s">
        <v>664</v>
      </c>
      <c r="E163">
        <v>38750</v>
      </c>
      <c r="F163">
        <v>41508</v>
      </c>
      <c r="G163" t="s">
        <v>508</v>
      </c>
      <c r="H163" s="256">
        <v>1227461.6599999999</v>
      </c>
      <c r="I163" s="256">
        <v>0</v>
      </c>
      <c r="J163" s="256">
        <v>0</v>
      </c>
      <c r="K163" s="256">
        <v>1227461.6599999999</v>
      </c>
      <c r="L163" s="256">
        <v>0</v>
      </c>
      <c r="M163" s="256">
        <v>1227461.6599999999</v>
      </c>
      <c r="N163" s="256">
        <v>0</v>
      </c>
      <c r="O163" s="256">
        <v>0</v>
      </c>
      <c r="P163" s="256">
        <v>0</v>
      </c>
      <c r="Q163" s="256">
        <v>0</v>
      </c>
      <c r="R163" s="256">
        <v>0</v>
      </c>
    </row>
    <row r="164" spans="1:18" ht="12.75">
      <c r="A164" s="200">
        <v>152</v>
      </c>
      <c r="B164" t="s">
        <v>640</v>
      </c>
      <c r="C164" t="s">
        <v>665</v>
      </c>
      <c r="D164" t="s">
        <v>666</v>
      </c>
      <c r="E164">
        <v>38829</v>
      </c>
      <c r="F164">
        <v>41592</v>
      </c>
      <c r="G164" t="s">
        <v>508</v>
      </c>
      <c r="H164" s="256">
        <v>46691465.579999998</v>
      </c>
      <c r="I164" s="256">
        <v>0</v>
      </c>
      <c r="J164" s="256">
        <v>0</v>
      </c>
      <c r="K164" s="256">
        <v>46691465.579999998</v>
      </c>
      <c r="L164" s="256">
        <v>0</v>
      </c>
      <c r="M164" s="256">
        <v>46691465.579999998</v>
      </c>
      <c r="N164" s="256">
        <v>0</v>
      </c>
      <c r="O164" s="256">
        <v>0</v>
      </c>
      <c r="P164" s="256">
        <v>0</v>
      </c>
      <c r="Q164" s="256">
        <v>0</v>
      </c>
      <c r="R164" s="256">
        <v>0</v>
      </c>
    </row>
    <row r="165" spans="1:18" ht="12.75">
      <c r="A165" s="200">
        <v>153</v>
      </c>
      <c r="B165" t="s">
        <v>640</v>
      </c>
      <c r="C165" t="s">
        <v>641</v>
      </c>
      <c r="D165" t="s">
        <v>642</v>
      </c>
      <c r="E165">
        <v>40484</v>
      </c>
      <c r="F165">
        <v>41614</v>
      </c>
      <c r="G165" t="s">
        <v>508</v>
      </c>
      <c r="H165" s="256">
        <v>307739.56</v>
      </c>
      <c r="I165" s="256">
        <v>0</v>
      </c>
      <c r="J165" s="256">
        <v>0</v>
      </c>
      <c r="K165" s="256">
        <v>307739.56</v>
      </c>
      <c r="L165" s="256">
        <v>0</v>
      </c>
      <c r="M165" s="256">
        <v>307739.56</v>
      </c>
      <c r="N165" s="256">
        <v>0</v>
      </c>
      <c r="O165" s="256">
        <v>0</v>
      </c>
      <c r="P165" s="256">
        <v>0</v>
      </c>
      <c r="Q165" s="256">
        <v>0</v>
      </c>
      <c r="R165" s="256">
        <v>0</v>
      </c>
    </row>
    <row r="166" spans="1:18" ht="12.75">
      <c r="A166" s="200">
        <v>154</v>
      </c>
      <c r="B166" t="s">
        <v>640</v>
      </c>
      <c r="C166" t="s">
        <v>683</v>
      </c>
      <c r="D166" t="s">
        <v>684</v>
      </c>
      <c r="E166">
        <v>40645</v>
      </c>
      <c r="F166">
        <v>41394</v>
      </c>
      <c r="G166" t="s">
        <v>508</v>
      </c>
      <c r="H166" s="256">
        <v>218300.59</v>
      </c>
      <c r="I166" s="256">
        <v>0</v>
      </c>
      <c r="J166" s="256">
        <v>0</v>
      </c>
      <c r="K166" s="256">
        <v>218300.59</v>
      </c>
      <c r="L166" s="256">
        <v>0</v>
      </c>
      <c r="M166" s="256">
        <v>218300.59</v>
      </c>
      <c r="N166" s="256">
        <v>0</v>
      </c>
      <c r="O166" s="256">
        <v>0</v>
      </c>
      <c r="P166" s="256">
        <v>0</v>
      </c>
      <c r="Q166" s="256">
        <v>0</v>
      </c>
      <c r="R166" s="256">
        <v>0</v>
      </c>
    </row>
    <row r="167" spans="1:18" ht="12.75">
      <c r="A167" s="200">
        <v>155</v>
      </c>
      <c r="B167" t="s">
        <v>640</v>
      </c>
      <c r="C167" t="s">
        <v>643</v>
      </c>
      <c r="D167" t="s">
        <v>644</v>
      </c>
      <c r="E167">
        <v>40645</v>
      </c>
      <c r="F167">
        <v>41394</v>
      </c>
      <c r="G167" t="s">
        <v>508</v>
      </c>
      <c r="H167" s="256">
        <v>530619.48999999999</v>
      </c>
      <c r="I167" s="256">
        <v>0</v>
      </c>
      <c r="J167" s="256">
        <v>0</v>
      </c>
      <c r="K167" s="256">
        <v>530619.48999999999</v>
      </c>
      <c r="L167" s="256">
        <v>0</v>
      </c>
      <c r="M167" s="256">
        <v>530619.48999999999</v>
      </c>
      <c r="N167" s="256">
        <v>0</v>
      </c>
      <c r="O167" s="256">
        <v>0</v>
      </c>
      <c r="P167" s="256">
        <v>0</v>
      </c>
      <c r="Q167" s="256">
        <v>0</v>
      </c>
      <c r="R167" s="256">
        <v>0</v>
      </c>
    </row>
    <row r="168" spans="1:18" ht="12.75">
      <c r="A168" s="200">
        <v>156</v>
      </c>
      <c r="B168" t="s">
        <v>640</v>
      </c>
      <c r="C168" t="s">
        <v>645</v>
      </c>
      <c r="D168" t="s">
        <v>646</v>
      </c>
      <c r="E168">
        <v>40645</v>
      </c>
      <c r="F168">
        <v>41394</v>
      </c>
      <c r="G168" t="s">
        <v>508</v>
      </c>
      <c r="H168" s="256">
        <v>437600.73999999999</v>
      </c>
      <c r="I168" s="256">
        <v>0</v>
      </c>
      <c r="J168" s="256">
        <v>0</v>
      </c>
      <c r="K168" s="256">
        <v>437600.73999999999</v>
      </c>
      <c r="L168" s="256">
        <v>0</v>
      </c>
      <c r="M168" s="256">
        <v>437600.73999999999</v>
      </c>
      <c r="N168" s="256">
        <v>0</v>
      </c>
      <c r="O168" s="256">
        <v>0</v>
      </c>
      <c r="P168" s="256">
        <v>0</v>
      </c>
      <c r="Q168" s="256">
        <v>0</v>
      </c>
      <c r="R168" s="256">
        <v>0</v>
      </c>
    </row>
    <row r="169" spans="1:18" ht="12.75">
      <c r="A169" s="200">
        <v>157</v>
      </c>
      <c r="B169" t="s">
        <v>640</v>
      </c>
      <c r="C169" t="s">
        <v>667</v>
      </c>
      <c r="D169" t="s">
        <v>668</v>
      </c>
      <c r="E169">
        <v>42063</v>
      </c>
      <c r="F169">
        <v>42235</v>
      </c>
      <c r="G169" t="s">
        <v>508</v>
      </c>
      <c r="H169" s="256">
        <v>1105803.7699999998</v>
      </c>
      <c r="I169" s="256">
        <v>0</v>
      </c>
      <c r="J169" s="256">
        <v>0</v>
      </c>
      <c r="K169" s="256">
        <v>1105803.7699999998</v>
      </c>
      <c r="L169" s="256">
        <v>0</v>
      </c>
      <c r="M169" s="256">
        <v>1105803.7699999998</v>
      </c>
      <c r="N169" s="256">
        <v>0</v>
      </c>
      <c r="O169" s="256">
        <v>0</v>
      </c>
      <c r="P169" s="256">
        <v>0</v>
      </c>
      <c r="Q169" s="256">
        <v>0</v>
      </c>
      <c r="R169" s="256">
        <v>0</v>
      </c>
    </row>
    <row r="170" spans="1:18" ht="12.75">
      <c r="A170" s="200">
        <v>158</v>
      </c>
      <c r="B170" t="s">
        <v>640</v>
      </c>
      <c r="C170" t="s">
        <v>647</v>
      </c>
      <c r="D170" t="s">
        <v>648</v>
      </c>
      <c r="E170">
        <v>43889</v>
      </c>
      <c r="F170">
        <v>42160</v>
      </c>
      <c r="G170" t="s">
        <v>508</v>
      </c>
      <c r="H170" s="256">
        <v>585259.88</v>
      </c>
      <c r="I170" s="256">
        <v>0</v>
      </c>
      <c r="J170" s="256">
        <v>0</v>
      </c>
      <c r="K170" s="256">
        <v>585259.88</v>
      </c>
      <c r="L170" s="256">
        <v>0</v>
      </c>
      <c r="M170" s="256">
        <v>585259.88</v>
      </c>
      <c r="N170" s="256">
        <v>0</v>
      </c>
      <c r="O170" s="256">
        <v>0</v>
      </c>
      <c r="P170" s="256">
        <v>0</v>
      </c>
      <c r="Q170" s="256">
        <v>0</v>
      </c>
      <c r="R170" s="256">
        <v>0</v>
      </c>
    </row>
    <row r="171" spans="1:18" ht="12.75">
      <c r="A171" s="200">
        <v>159</v>
      </c>
      <c r="B171" t="s">
        <v>499</v>
      </c>
      <c r="C171" t="s">
        <v>679</v>
      </c>
      <c r="D171" t="s">
        <v>680</v>
      </c>
      <c r="E171">
        <v>45308</v>
      </c>
      <c r="F171">
        <v>43600</v>
      </c>
      <c r="G171" t="s">
        <v>508</v>
      </c>
      <c r="H171" s="256">
        <v>5085691.3700000001</v>
      </c>
      <c r="I171" s="256">
        <v>0</v>
      </c>
      <c r="J171" s="256">
        <v>5085691.3700000001</v>
      </c>
      <c r="K171" s="256">
        <v>0</v>
      </c>
      <c r="L171" s="256">
        <v>0</v>
      </c>
      <c r="M171" s="256">
        <v>5085691.3700000001</v>
      </c>
      <c r="N171" s="256">
        <v>0</v>
      </c>
      <c r="O171" s="256">
        <v>0</v>
      </c>
      <c r="P171" s="256">
        <v>0</v>
      </c>
      <c r="Q171" s="256">
        <v>0</v>
      </c>
      <c r="R171" s="256">
        <v>0</v>
      </c>
    </row>
    <row r="172" spans="1:18" ht="12.75">
      <c r="A172" s="200">
        <v>160</v>
      </c>
      <c r="B172" t="s">
        <v>640</v>
      </c>
      <c r="C172" t="s">
        <v>685</v>
      </c>
      <c r="D172" t="s">
        <v>686</v>
      </c>
      <c r="E172">
        <v>45308</v>
      </c>
      <c r="F172">
        <v>43600</v>
      </c>
      <c r="G172" t="s">
        <v>508</v>
      </c>
      <c r="H172" s="256">
        <v>-110227.88000000001</v>
      </c>
      <c r="I172" s="256">
        <v>0</v>
      </c>
      <c r="J172" s="256">
        <v>0</v>
      </c>
      <c r="K172" s="256">
        <v>-110227.88000000001</v>
      </c>
      <c r="L172" s="256">
        <v>0</v>
      </c>
      <c r="M172" s="256">
        <v>-110227.88000000001</v>
      </c>
      <c r="N172" s="256">
        <v>0</v>
      </c>
      <c r="O172" s="256">
        <v>0</v>
      </c>
      <c r="P172" s="256">
        <v>0</v>
      </c>
      <c r="Q172" s="256">
        <v>0</v>
      </c>
      <c r="R172" s="256">
        <v>0</v>
      </c>
    </row>
    <row r="173" spans="1:18" ht="12.75">
      <c r="A173" s="200">
        <v>161</v>
      </c>
      <c r="B173" t="s">
        <v>499</v>
      </c>
      <c r="C173" t="s">
        <v>616</v>
      </c>
      <c r="D173" t="s">
        <v>617</v>
      </c>
      <c r="E173">
        <v>45323</v>
      </c>
      <c r="F173">
        <v>42913</v>
      </c>
      <c r="G173" t="s">
        <v>508</v>
      </c>
      <c r="H173" s="256">
        <v>9448479.1799999997</v>
      </c>
      <c r="I173" s="256">
        <v>0</v>
      </c>
      <c r="J173" s="256">
        <v>9448479.1799999997</v>
      </c>
      <c r="K173" s="256">
        <v>0</v>
      </c>
      <c r="L173" s="256">
        <v>0</v>
      </c>
      <c r="M173" s="256">
        <v>9448479.1799999997</v>
      </c>
      <c r="N173" s="256">
        <v>0</v>
      </c>
      <c r="O173" s="256">
        <v>0</v>
      </c>
      <c r="P173" s="256">
        <v>0</v>
      </c>
      <c r="Q173" s="256">
        <v>0</v>
      </c>
      <c r="R173" s="256">
        <v>0</v>
      </c>
    </row>
    <row r="174" spans="1:18" ht="12.75">
      <c r="A174" s="200">
        <v>162</v>
      </c>
      <c r="B174" t="s">
        <v>499</v>
      </c>
      <c r="C174" t="s">
        <v>681</v>
      </c>
      <c r="D174" t="s">
        <v>682</v>
      </c>
      <c r="E174">
        <v>45397</v>
      </c>
      <c r="F174">
        <v>43600</v>
      </c>
      <c r="G174" t="s">
        <v>508</v>
      </c>
      <c r="H174" s="256">
        <v>5416395.7699999996</v>
      </c>
      <c r="I174" s="256">
        <v>0</v>
      </c>
      <c r="J174" s="256">
        <v>5416395.7699999996</v>
      </c>
      <c r="K174" s="256">
        <v>0</v>
      </c>
      <c r="L174" s="256">
        <v>0</v>
      </c>
      <c r="M174" s="256">
        <v>5416395.7699999996</v>
      </c>
      <c r="N174" s="256">
        <v>0</v>
      </c>
      <c r="O174" s="256">
        <v>0</v>
      </c>
      <c r="P174" s="256">
        <v>0</v>
      </c>
      <c r="Q174" s="256">
        <v>0</v>
      </c>
      <c r="R174" s="256">
        <v>0</v>
      </c>
    </row>
    <row r="175" spans="1:18" ht="12.75">
      <c r="A175" s="200">
        <v>163</v>
      </c>
      <c r="B175" t="s">
        <v>640</v>
      </c>
      <c r="C175" t="s">
        <v>669</v>
      </c>
      <c r="D175" t="s">
        <v>670</v>
      </c>
      <c r="E175">
        <v>45622</v>
      </c>
      <c r="F175">
        <v>42818</v>
      </c>
      <c r="G175" t="s">
        <v>508</v>
      </c>
      <c r="H175" s="256">
        <v>508111.34000000003</v>
      </c>
      <c r="I175" s="256">
        <v>0</v>
      </c>
      <c r="J175" s="256">
        <v>0</v>
      </c>
      <c r="K175" s="256">
        <v>508111.34000000003</v>
      </c>
      <c r="L175" s="256">
        <v>0</v>
      </c>
      <c r="M175" s="256">
        <v>508111.34000000003</v>
      </c>
      <c r="N175" s="256">
        <v>0</v>
      </c>
      <c r="O175" s="256">
        <v>0</v>
      </c>
      <c r="P175" s="256">
        <v>0</v>
      </c>
      <c r="Q175" s="256">
        <v>0</v>
      </c>
      <c r="R175" s="256">
        <v>0</v>
      </c>
    </row>
    <row r="176" spans="1:18" ht="12.75">
      <c r="A176" s="200">
        <v>164</v>
      </c>
      <c r="B176" t="s">
        <v>499</v>
      </c>
      <c r="C176" t="s">
        <v>618</v>
      </c>
      <c r="D176" t="s">
        <v>619</v>
      </c>
      <c r="E176">
        <v>46987</v>
      </c>
      <c r="F176">
        <v>43438</v>
      </c>
      <c r="G176" t="s">
        <v>508</v>
      </c>
      <c r="H176" s="256">
        <v>2348655.0699999998</v>
      </c>
      <c r="I176" s="256">
        <v>0</v>
      </c>
      <c r="J176" s="256">
        <v>2348655.0699999998</v>
      </c>
      <c r="K176" s="256">
        <v>0</v>
      </c>
      <c r="L176" s="256">
        <v>0</v>
      </c>
      <c r="M176" s="256">
        <v>2348655.0699999998</v>
      </c>
      <c r="N176" s="256">
        <v>0</v>
      </c>
      <c r="O176" s="256">
        <v>0</v>
      </c>
      <c r="P176" s="256">
        <v>0</v>
      </c>
      <c r="Q176" s="256">
        <v>0</v>
      </c>
      <c r="R176" s="256">
        <v>0</v>
      </c>
    </row>
    <row r="177" spans="1:18" ht="12.75">
      <c r="A177" s="200">
        <v>165</v>
      </c>
      <c r="B177" t="s">
        <v>499</v>
      </c>
      <c r="C177" t="s">
        <v>509</v>
      </c>
      <c r="D177" t="s">
        <v>510</v>
      </c>
      <c r="E177">
        <v>47368</v>
      </c>
      <c r="F177">
        <v>43753</v>
      </c>
      <c r="G177" t="s">
        <v>508</v>
      </c>
      <c r="H177" s="256">
        <v>11524587.35</v>
      </c>
      <c r="I177" s="256">
        <v>0</v>
      </c>
      <c r="J177" s="256">
        <v>11524587.35</v>
      </c>
      <c r="K177" s="256">
        <v>0</v>
      </c>
      <c r="L177" s="256">
        <v>0</v>
      </c>
      <c r="M177" s="256">
        <v>11524587.35</v>
      </c>
      <c r="N177" s="256">
        <v>0</v>
      </c>
      <c r="O177" s="256">
        <v>0</v>
      </c>
      <c r="P177" s="256">
        <v>0</v>
      </c>
      <c r="Q177" s="256">
        <v>0</v>
      </c>
      <c r="R177" s="256">
        <v>0</v>
      </c>
    </row>
    <row r="178" spans="1:18" ht="12.75">
      <c r="A178" s="200">
        <v>166</v>
      </c>
      <c r="B178" t="s">
        <v>499</v>
      </c>
      <c r="C178" t="s">
        <v>554</v>
      </c>
      <c r="D178" t="s">
        <v>510</v>
      </c>
      <c r="E178">
        <v>47368</v>
      </c>
      <c r="F178">
        <v>43822</v>
      </c>
      <c r="G178" t="s">
        <v>508</v>
      </c>
      <c r="H178" s="256">
        <v>13708134.960000001</v>
      </c>
      <c r="I178" s="256">
        <v>0</v>
      </c>
      <c r="J178" s="256">
        <v>13708134.960000001</v>
      </c>
      <c r="K178" s="256">
        <v>0</v>
      </c>
      <c r="L178" s="256">
        <v>0</v>
      </c>
      <c r="M178" s="256">
        <v>13708134.960000001</v>
      </c>
      <c r="N178" s="256">
        <v>0</v>
      </c>
      <c r="O178" s="256">
        <v>0</v>
      </c>
      <c r="P178" s="256">
        <v>0</v>
      </c>
      <c r="Q178" s="256">
        <v>0</v>
      </c>
      <c r="R178" s="256">
        <v>0</v>
      </c>
    </row>
    <row r="179" spans="1:18" ht="12.75">
      <c r="A179" s="200">
        <v>167</v>
      </c>
      <c r="B179" t="s">
        <v>499</v>
      </c>
      <c r="C179" t="s">
        <v>620</v>
      </c>
      <c r="D179" t="s">
        <v>621</v>
      </c>
      <c r="E179">
        <v>47458</v>
      </c>
      <c r="F179">
        <v>43206</v>
      </c>
      <c r="G179" t="s">
        <v>508</v>
      </c>
      <c r="H179" s="256">
        <v>766408.33999999997</v>
      </c>
      <c r="I179" s="256">
        <v>0</v>
      </c>
      <c r="J179" s="256">
        <v>766408.33999999997</v>
      </c>
      <c r="K179" s="256">
        <v>0</v>
      </c>
      <c r="L179" s="256">
        <v>0</v>
      </c>
      <c r="M179" s="256">
        <v>766408.33999999997</v>
      </c>
      <c r="N179" s="256">
        <v>0</v>
      </c>
      <c r="O179" s="256">
        <v>0</v>
      </c>
      <c r="P179" s="256">
        <v>0</v>
      </c>
      <c r="Q179" s="256">
        <v>0</v>
      </c>
      <c r="R179" s="256">
        <v>0</v>
      </c>
    </row>
    <row r="180" spans="1:18" ht="12.75">
      <c r="A180" s="200">
        <v>168</v>
      </c>
      <c r="B180" t="s">
        <v>499</v>
      </c>
      <c r="C180" t="s">
        <v>622</v>
      </c>
      <c r="D180" t="s">
        <v>623</v>
      </c>
      <c r="E180">
        <v>47595</v>
      </c>
      <c r="F180">
        <v>43420</v>
      </c>
      <c r="G180" t="s">
        <v>508</v>
      </c>
      <c r="H180" s="256">
        <v>1151875.95</v>
      </c>
      <c r="I180" s="256">
        <v>0</v>
      </c>
      <c r="J180" s="256">
        <v>1151875.95</v>
      </c>
      <c r="K180" s="256">
        <v>0</v>
      </c>
      <c r="L180" s="256">
        <v>0</v>
      </c>
      <c r="M180" s="256">
        <v>1151875.95</v>
      </c>
      <c r="N180" s="256">
        <v>0</v>
      </c>
      <c r="O180" s="256">
        <v>0</v>
      </c>
      <c r="P180" s="256">
        <v>0</v>
      </c>
      <c r="Q180" s="256">
        <v>0</v>
      </c>
      <c r="R180" s="256">
        <v>0</v>
      </c>
    </row>
    <row r="181" spans="1:18" ht="12.75">
      <c r="A181" s="200">
        <v>169</v>
      </c>
      <c r="B181" t="s">
        <v>499</v>
      </c>
      <c r="C181" t="s">
        <v>519</v>
      </c>
      <c r="D181" t="s">
        <v>520</v>
      </c>
      <c r="E181">
        <v>47808</v>
      </c>
      <c r="F181">
        <v>44195</v>
      </c>
      <c r="G181" t="s">
        <v>508</v>
      </c>
      <c r="H181" s="256">
        <v>3107540.29</v>
      </c>
      <c r="I181" s="256">
        <v>0</v>
      </c>
      <c r="J181" s="256">
        <v>3107540.29</v>
      </c>
      <c r="K181" s="256">
        <v>0</v>
      </c>
      <c r="L181" s="256">
        <v>0</v>
      </c>
      <c r="M181" s="256">
        <v>3107540.29</v>
      </c>
      <c r="N181" s="256">
        <v>0</v>
      </c>
      <c r="O181" s="256">
        <v>0</v>
      </c>
      <c r="P181" s="256">
        <v>0</v>
      </c>
      <c r="Q181" s="256">
        <v>0</v>
      </c>
      <c r="R181" s="256">
        <v>0</v>
      </c>
    </row>
    <row r="182" spans="1:18" ht="12.75">
      <c r="A182" s="200">
        <v>170</v>
      </c>
      <c r="B182" t="s">
        <v>499</v>
      </c>
      <c r="C182" t="s">
        <v>528</v>
      </c>
      <c r="D182" t="s">
        <v>529</v>
      </c>
      <c r="E182">
        <v>48095</v>
      </c>
      <c r="F182">
        <v>44188</v>
      </c>
      <c r="G182" t="s">
        <v>508</v>
      </c>
      <c r="H182" s="256">
        <v>74739582.739999995</v>
      </c>
      <c r="I182" s="256">
        <v>0</v>
      </c>
      <c r="J182" s="256">
        <v>74739582.739999995</v>
      </c>
      <c r="K182" s="256">
        <v>0</v>
      </c>
      <c r="L182" s="256">
        <v>0</v>
      </c>
      <c r="M182" s="256">
        <v>74739582.739999995</v>
      </c>
      <c r="N182" s="256">
        <v>0</v>
      </c>
      <c r="O182" s="256">
        <v>0</v>
      </c>
      <c r="P182" s="256">
        <v>0</v>
      </c>
      <c r="Q182" s="256">
        <v>0</v>
      </c>
      <c r="R182" s="256">
        <v>0</v>
      </c>
    </row>
    <row r="183" spans="1:18" ht="12.75">
      <c r="A183" s="200">
        <v>171</v>
      </c>
      <c r="B183" t="s">
        <v>499</v>
      </c>
      <c r="C183" t="s">
        <v>530</v>
      </c>
      <c r="D183" t="s">
        <v>531</v>
      </c>
      <c r="E183">
        <v>48095</v>
      </c>
      <c r="F183">
        <v>44014</v>
      </c>
      <c r="G183" t="s">
        <v>508</v>
      </c>
      <c r="H183" s="256">
        <v>32652271.43</v>
      </c>
      <c r="I183" s="256">
        <v>0</v>
      </c>
      <c r="J183" s="256">
        <v>32652271.43</v>
      </c>
      <c r="K183" s="256">
        <v>0</v>
      </c>
      <c r="L183" s="256">
        <v>0</v>
      </c>
      <c r="M183" s="256">
        <v>32652271.43</v>
      </c>
      <c r="N183" s="256">
        <v>0</v>
      </c>
      <c r="O183" s="256">
        <v>0</v>
      </c>
      <c r="P183" s="256">
        <v>0</v>
      </c>
      <c r="Q183" s="256">
        <v>0</v>
      </c>
      <c r="R183" s="256">
        <v>0</v>
      </c>
    </row>
    <row r="184" spans="1:18" ht="12.75">
      <c r="A184" s="200">
        <v>172</v>
      </c>
      <c r="B184" t="s">
        <v>499</v>
      </c>
      <c r="C184" t="s">
        <v>532</v>
      </c>
      <c r="D184" t="s">
        <v>533</v>
      </c>
      <c r="E184">
        <v>48095</v>
      </c>
      <c r="F184">
        <v>44014</v>
      </c>
      <c r="G184" t="s">
        <v>508</v>
      </c>
      <c r="H184" s="256">
        <v>17356646.84</v>
      </c>
      <c r="I184" s="256">
        <v>0</v>
      </c>
      <c r="J184" s="256">
        <v>17356646.84</v>
      </c>
      <c r="K184" s="256">
        <v>0</v>
      </c>
      <c r="L184" s="256">
        <v>0</v>
      </c>
      <c r="M184" s="256">
        <v>17356646.84</v>
      </c>
      <c r="N184" s="256">
        <v>0</v>
      </c>
      <c r="O184" s="256">
        <v>0</v>
      </c>
      <c r="P184" s="256">
        <v>0</v>
      </c>
      <c r="Q184" s="256">
        <v>0</v>
      </c>
      <c r="R184" s="256">
        <v>0</v>
      </c>
    </row>
    <row r="185" spans="1:18" ht="12.75">
      <c r="A185" s="200">
        <v>173</v>
      </c>
      <c r="B185" t="s">
        <v>499</v>
      </c>
      <c r="C185" t="s">
        <v>534</v>
      </c>
      <c r="D185" t="s">
        <v>535</v>
      </c>
      <c r="E185">
        <v>48095</v>
      </c>
      <c r="F185">
        <v>43976</v>
      </c>
      <c r="G185" t="s">
        <v>508</v>
      </c>
      <c r="H185" s="256">
        <v>17742538.010000002</v>
      </c>
      <c r="I185" s="256">
        <v>0</v>
      </c>
      <c r="J185" s="256">
        <v>17742538.010000002</v>
      </c>
      <c r="K185" s="256">
        <v>0</v>
      </c>
      <c r="L185" s="256">
        <v>0</v>
      </c>
      <c r="M185" s="256">
        <v>17742538.010000002</v>
      </c>
      <c r="N185" s="256">
        <v>0</v>
      </c>
      <c r="O185" s="256">
        <v>0</v>
      </c>
      <c r="P185" s="256">
        <v>0</v>
      </c>
      <c r="Q185" s="256">
        <v>0</v>
      </c>
      <c r="R185" s="256">
        <v>0</v>
      </c>
    </row>
    <row r="186" spans="1:18" ht="12.75">
      <c r="A186" s="200">
        <v>174</v>
      </c>
      <c r="B186" t="s">
        <v>499</v>
      </c>
      <c r="C186" t="s">
        <v>624</v>
      </c>
      <c r="D186" t="s">
        <v>625</v>
      </c>
      <c r="E186">
        <v>48310</v>
      </c>
      <c r="F186">
        <v>43528</v>
      </c>
      <c r="G186" t="s">
        <v>508</v>
      </c>
      <c r="H186" s="256">
        <v>2058524.0600000001</v>
      </c>
      <c r="I186" s="256">
        <v>0</v>
      </c>
      <c r="J186" s="256">
        <v>2058524.0600000001</v>
      </c>
      <c r="K186" s="256">
        <v>0</v>
      </c>
      <c r="L186" s="256">
        <v>0</v>
      </c>
      <c r="M186" s="256">
        <v>2058524.0600000001</v>
      </c>
      <c r="N186" s="256">
        <v>0</v>
      </c>
      <c r="O186" s="256">
        <v>0</v>
      </c>
      <c r="P186" s="256">
        <v>0</v>
      </c>
      <c r="Q186" s="256">
        <v>0</v>
      </c>
      <c r="R186" s="256">
        <v>0</v>
      </c>
    </row>
    <row r="187" spans="1:18" ht="12.75">
      <c r="A187" s="200">
        <v>175</v>
      </c>
      <c r="B187" t="s">
        <v>499</v>
      </c>
      <c r="C187" t="s">
        <v>504</v>
      </c>
      <c r="D187" t="s">
        <v>505</v>
      </c>
      <c r="E187">
        <v>48544</v>
      </c>
      <c r="F187">
        <v>43830</v>
      </c>
      <c r="G187" t="s">
        <v>508</v>
      </c>
      <c r="H187" s="256">
        <v>4988870.6100000003</v>
      </c>
      <c r="I187" s="256">
        <v>0</v>
      </c>
      <c r="J187" s="256">
        <v>4988870.6100000003</v>
      </c>
      <c r="K187" s="256">
        <v>0</v>
      </c>
      <c r="L187" s="256">
        <v>0</v>
      </c>
      <c r="M187" s="256">
        <v>4988870.6100000003</v>
      </c>
      <c r="N187" s="256">
        <v>0</v>
      </c>
      <c r="O187" s="256">
        <v>0</v>
      </c>
      <c r="P187" s="256">
        <v>0</v>
      </c>
      <c r="Q187" s="256">
        <v>0</v>
      </c>
      <c r="R187" s="256">
        <v>0</v>
      </c>
    </row>
    <row r="188" spans="1:18" ht="12.75">
      <c r="A188" s="200">
        <v>176</v>
      </c>
      <c r="B188" t="s">
        <v>499</v>
      </c>
      <c r="C188" t="s">
        <v>556</v>
      </c>
      <c r="D188" t="s">
        <v>557</v>
      </c>
      <c r="E188">
        <v>48544</v>
      </c>
      <c r="F188">
        <v>43830</v>
      </c>
      <c r="G188" t="s">
        <v>508</v>
      </c>
      <c r="H188" s="256">
        <v>5781781.1500000004</v>
      </c>
      <c r="I188" s="256">
        <v>0</v>
      </c>
      <c r="J188" s="256">
        <v>5781781.1500000004</v>
      </c>
      <c r="K188" s="256">
        <v>0</v>
      </c>
      <c r="L188" s="256">
        <v>0</v>
      </c>
      <c r="M188" s="256">
        <v>5781781.1500000004</v>
      </c>
      <c r="N188" s="256">
        <v>0</v>
      </c>
      <c r="O188" s="256">
        <v>0</v>
      </c>
      <c r="P188" s="256">
        <v>0</v>
      </c>
      <c r="Q188" s="256">
        <v>0</v>
      </c>
      <c r="R188" s="256">
        <v>0</v>
      </c>
    </row>
    <row r="189" spans="1:18" ht="12.75">
      <c r="A189" s="200">
        <v>177</v>
      </c>
      <c r="B189" t="s">
        <v>499</v>
      </c>
      <c r="C189" t="s">
        <v>552</v>
      </c>
      <c r="D189" t="s">
        <v>553</v>
      </c>
      <c r="E189">
        <v>48582</v>
      </c>
      <c r="F189">
        <v>44175</v>
      </c>
      <c r="G189" t="s">
        <v>508</v>
      </c>
      <c r="H189" s="256">
        <v>8377433.04</v>
      </c>
      <c r="I189" s="256">
        <v>0</v>
      </c>
      <c r="J189" s="256">
        <v>8377433.04</v>
      </c>
      <c r="K189" s="256">
        <v>0</v>
      </c>
      <c r="L189" s="256">
        <v>0</v>
      </c>
      <c r="M189" s="256">
        <v>8377433.04</v>
      </c>
      <c r="N189" s="256">
        <v>0</v>
      </c>
      <c r="O189" s="256">
        <v>0</v>
      </c>
      <c r="P189" s="256">
        <v>0</v>
      </c>
      <c r="Q189" s="256">
        <v>0</v>
      </c>
      <c r="R189" s="256">
        <v>0</v>
      </c>
    </row>
    <row r="190" spans="1:18" ht="12.75">
      <c r="A190" s="200">
        <v>178</v>
      </c>
      <c r="B190" t="s">
        <v>499</v>
      </c>
      <c r="C190" t="s">
        <v>564</v>
      </c>
      <c r="D190" t="s">
        <v>565</v>
      </c>
      <c r="E190">
        <v>48625</v>
      </c>
      <c r="F190">
        <v>44277</v>
      </c>
      <c r="G190" t="s">
        <v>508</v>
      </c>
      <c r="H190" s="256">
        <v>17208951.879999999</v>
      </c>
      <c r="I190" s="256">
        <v>0</v>
      </c>
      <c r="J190" s="256">
        <v>17208951.879999999</v>
      </c>
      <c r="K190" s="256">
        <v>0</v>
      </c>
      <c r="L190" s="256">
        <v>0</v>
      </c>
      <c r="M190" s="256">
        <v>17208951.879999999</v>
      </c>
      <c r="N190" s="256">
        <v>0</v>
      </c>
      <c r="O190" s="256">
        <v>0</v>
      </c>
      <c r="P190" s="256">
        <v>0</v>
      </c>
      <c r="Q190" s="256">
        <v>0</v>
      </c>
      <c r="R190" s="256">
        <v>0</v>
      </c>
    </row>
    <row r="191" spans="1:18" ht="12.75">
      <c r="A191" s="200">
        <v>179</v>
      </c>
      <c r="B191" t="s">
        <v>499</v>
      </c>
      <c r="C191" t="s">
        <v>608</v>
      </c>
      <c r="D191" t="s">
        <v>609</v>
      </c>
      <c r="E191">
        <v>48668</v>
      </c>
      <c r="F191">
        <v>44348</v>
      </c>
      <c r="G191" t="s">
        <v>508</v>
      </c>
      <c r="H191" s="256">
        <v>65341.360000000001</v>
      </c>
      <c r="I191" s="256">
        <v>0</v>
      </c>
      <c r="J191" s="256">
        <v>65341.360000000001</v>
      </c>
      <c r="K191" s="256">
        <v>0</v>
      </c>
      <c r="L191" s="256">
        <v>0</v>
      </c>
      <c r="M191" s="256">
        <v>65341.360000000001</v>
      </c>
      <c r="N191" s="256">
        <v>0</v>
      </c>
      <c r="O191" s="256">
        <v>0</v>
      </c>
      <c r="P191" s="256">
        <v>0</v>
      </c>
      <c r="Q191" s="256">
        <v>0</v>
      </c>
      <c r="R191" s="256">
        <v>0</v>
      </c>
    </row>
    <row r="192" spans="1:18" ht="12.75">
      <c r="A192" s="200">
        <v>180</v>
      </c>
      <c r="B192" t="s">
        <v>499</v>
      </c>
      <c r="C192" t="s">
        <v>610</v>
      </c>
      <c r="D192" t="s">
        <v>611</v>
      </c>
      <c r="E192">
        <v>48668</v>
      </c>
      <c r="F192">
        <v>44328</v>
      </c>
      <c r="G192" t="s">
        <v>508</v>
      </c>
      <c r="H192" s="256">
        <v>83567.809999999998</v>
      </c>
      <c r="I192" s="256">
        <v>0</v>
      </c>
      <c r="J192" s="256">
        <v>83567.809999999998</v>
      </c>
      <c r="K192" s="256">
        <v>0</v>
      </c>
      <c r="L192" s="256">
        <v>0</v>
      </c>
      <c r="M192" s="256">
        <v>83567.809999999998</v>
      </c>
      <c r="N192" s="256">
        <v>0</v>
      </c>
      <c r="O192" s="256">
        <v>0</v>
      </c>
      <c r="P192" s="256">
        <v>0</v>
      </c>
      <c r="Q192" s="256">
        <v>0</v>
      </c>
      <c r="R192" s="256">
        <v>0</v>
      </c>
    </row>
    <row r="193" spans="1:18" ht="12.75">
      <c r="A193" s="200">
        <v>181</v>
      </c>
      <c r="B193" t="s">
        <v>499</v>
      </c>
      <c r="C193" t="s">
        <v>544</v>
      </c>
      <c r="D193" t="s">
        <v>545</v>
      </c>
      <c r="E193">
        <v>48785</v>
      </c>
      <c r="F193">
        <v>44182</v>
      </c>
      <c r="G193" t="s">
        <v>508</v>
      </c>
      <c r="H193" s="256">
        <v>29719332.91</v>
      </c>
      <c r="I193" s="256">
        <v>0</v>
      </c>
      <c r="J193" s="256">
        <v>29719332.91</v>
      </c>
      <c r="K193" s="256">
        <v>0</v>
      </c>
      <c r="L193" s="256">
        <v>0</v>
      </c>
      <c r="M193" s="256">
        <v>29719332.91</v>
      </c>
      <c r="N193" s="256">
        <v>0</v>
      </c>
      <c r="O193" s="256">
        <v>0</v>
      </c>
      <c r="P193" s="256">
        <v>0</v>
      </c>
      <c r="Q193" s="256">
        <v>0</v>
      </c>
      <c r="R193" s="256">
        <v>0</v>
      </c>
    </row>
    <row r="194" spans="1:18" ht="12.75">
      <c r="A194" s="200">
        <v>182</v>
      </c>
      <c r="B194" t="s">
        <v>499</v>
      </c>
      <c r="C194" t="s">
        <v>677</v>
      </c>
      <c r="D194" t="s">
        <v>678</v>
      </c>
      <c r="E194">
        <v>48861</v>
      </c>
      <c r="F194">
        <v>43913</v>
      </c>
      <c r="G194" t="s">
        <v>508</v>
      </c>
      <c r="H194" s="256">
        <v>5573044.4100000001</v>
      </c>
      <c r="I194" s="256">
        <v>0</v>
      </c>
      <c r="J194" s="256">
        <v>5573044.4100000001</v>
      </c>
      <c r="K194" s="256">
        <v>0</v>
      </c>
      <c r="L194" s="256">
        <v>0</v>
      </c>
      <c r="M194" s="256">
        <v>5573044.4100000001</v>
      </c>
      <c r="N194" s="256">
        <v>0</v>
      </c>
      <c r="O194" s="256">
        <v>0</v>
      </c>
      <c r="P194" s="256">
        <v>0</v>
      </c>
      <c r="Q194" s="256">
        <v>0</v>
      </c>
      <c r="R194" s="256">
        <v>0</v>
      </c>
    </row>
    <row r="195" spans="1:18" ht="12.75">
      <c r="A195" s="200">
        <v>183</v>
      </c>
      <c r="B195" t="s">
        <v>499</v>
      </c>
      <c r="C195" t="s">
        <v>566</v>
      </c>
      <c r="D195" t="s">
        <v>567</v>
      </c>
      <c r="E195">
        <v>48909</v>
      </c>
      <c r="F195">
        <v>44337</v>
      </c>
      <c r="G195" t="s">
        <v>508</v>
      </c>
      <c r="H195" s="256">
        <v>13207835.49</v>
      </c>
      <c r="I195" s="256">
        <v>0</v>
      </c>
      <c r="J195" s="256">
        <v>13207835.49</v>
      </c>
      <c r="K195" s="256">
        <v>0</v>
      </c>
      <c r="L195" s="256">
        <v>0</v>
      </c>
      <c r="M195" s="256">
        <v>13207835.49</v>
      </c>
      <c r="N195" s="256">
        <v>0</v>
      </c>
      <c r="O195" s="256">
        <v>0</v>
      </c>
      <c r="P195" s="256">
        <v>0</v>
      </c>
      <c r="Q195" s="256">
        <v>0</v>
      </c>
      <c r="R195" s="256">
        <v>0</v>
      </c>
    </row>
    <row r="196" spans="1:18" ht="12.75">
      <c r="A196" s="200">
        <v>184</v>
      </c>
      <c r="B196" t="s">
        <v>499</v>
      </c>
      <c r="C196" t="s">
        <v>604</v>
      </c>
      <c r="D196" t="s">
        <v>605</v>
      </c>
      <c r="E196">
        <v>48909</v>
      </c>
      <c r="F196">
        <v>44329</v>
      </c>
      <c r="G196" t="s">
        <v>508</v>
      </c>
      <c r="H196" s="256">
        <v>85607.429999999993</v>
      </c>
      <c r="I196" s="256">
        <v>0</v>
      </c>
      <c r="J196" s="256">
        <v>85607.429999999993</v>
      </c>
      <c r="K196" s="256">
        <v>0</v>
      </c>
      <c r="L196" s="256">
        <v>0</v>
      </c>
      <c r="M196" s="256">
        <v>85607.429999999993</v>
      </c>
      <c r="N196" s="256">
        <v>0</v>
      </c>
      <c r="O196" s="256">
        <v>0</v>
      </c>
      <c r="P196" s="256">
        <v>0</v>
      </c>
      <c r="Q196" s="256">
        <v>0</v>
      </c>
      <c r="R196" s="256">
        <v>0</v>
      </c>
    </row>
    <row r="197" spans="1:18" ht="12.75">
      <c r="A197" s="200">
        <v>185</v>
      </c>
      <c r="B197" t="s">
        <v>499</v>
      </c>
      <c r="C197" t="s">
        <v>606</v>
      </c>
      <c r="D197" t="s">
        <v>607</v>
      </c>
      <c r="E197">
        <v>48909</v>
      </c>
      <c r="F197">
        <v>44331</v>
      </c>
      <c r="G197" t="s">
        <v>508</v>
      </c>
      <c r="H197" s="256">
        <v>83592.179999999993</v>
      </c>
      <c r="I197" s="256">
        <v>0</v>
      </c>
      <c r="J197" s="256">
        <v>83592.179999999993</v>
      </c>
      <c r="K197" s="256">
        <v>0</v>
      </c>
      <c r="L197" s="256">
        <v>0</v>
      </c>
      <c r="M197" s="256">
        <v>83592.179999999993</v>
      </c>
      <c r="N197" s="256">
        <v>0</v>
      </c>
      <c r="O197" s="256">
        <v>0</v>
      </c>
      <c r="P197" s="256">
        <v>0</v>
      </c>
      <c r="Q197" s="256">
        <v>0</v>
      </c>
      <c r="R197" s="256">
        <v>0</v>
      </c>
    </row>
    <row r="198" spans="1:18" ht="12.75">
      <c r="A198" s="200">
        <v>186</v>
      </c>
      <c r="B198" t="s">
        <v>499</v>
      </c>
      <c r="C198" t="s">
        <v>612</v>
      </c>
      <c r="D198" t="s">
        <v>613</v>
      </c>
      <c r="E198">
        <v>49151</v>
      </c>
      <c r="F198">
        <v>44332</v>
      </c>
      <c r="G198" t="s">
        <v>508</v>
      </c>
      <c r="H198" s="256">
        <v>135913.19</v>
      </c>
      <c r="I198" s="256">
        <v>0</v>
      </c>
      <c r="J198" s="256">
        <v>135913.19</v>
      </c>
      <c r="K198" s="256">
        <v>0</v>
      </c>
      <c r="L198" s="256">
        <v>0</v>
      </c>
      <c r="M198" s="256">
        <v>135913.19</v>
      </c>
      <c r="N198" s="256">
        <v>0</v>
      </c>
      <c r="O198" s="256">
        <v>0</v>
      </c>
      <c r="P198" s="256">
        <v>0</v>
      </c>
      <c r="Q198" s="256">
        <v>0</v>
      </c>
      <c r="R198" s="256">
        <v>0</v>
      </c>
    </row>
    <row r="199" spans="1:18" ht="12.75">
      <c r="A199" s="200">
        <v>187</v>
      </c>
      <c r="B199" t="s">
        <v>499</v>
      </c>
      <c r="C199" t="s">
        <v>614</v>
      </c>
      <c r="D199" t="s">
        <v>615</v>
      </c>
      <c r="E199">
        <v>49151</v>
      </c>
      <c r="F199">
        <v>44332</v>
      </c>
      <c r="G199" t="s">
        <v>508</v>
      </c>
      <c r="H199" s="256">
        <v>84085.059999999998</v>
      </c>
      <c r="I199" s="256">
        <v>0</v>
      </c>
      <c r="J199" s="256">
        <v>84085.059999999998</v>
      </c>
      <c r="K199" s="256">
        <v>0</v>
      </c>
      <c r="L199" s="256">
        <v>0</v>
      </c>
      <c r="M199" s="256">
        <v>84085.059999999998</v>
      </c>
      <c r="N199" s="256">
        <v>0</v>
      </c>
      <c r="O199" s="256">
        <v>0</v>
      </c>
      <c r="P199" s="256">
        <v>0</v>
      </c>
      <c r="Q199" s="256">
        <v>0</v>
      </c>
      <c r="R199" s="256">
        <v>0</v>
      </c>
    </row>
    <row r="200" spans="1:18" ht="12.75">
      <c r="A200" s="200">
        <v>188</v>
      </c>
      <c r="B200" t="s">
        <v>499</v>
      </c>
      <c r="C200" t="s">
        <v>578</v>
      </c>
      <c r="D200" t="s">
        <v>579</v>
      </c>
      <c r="E200">
        <v>49304</v>
      </c>
      <c r="F200">
        <v>44175</v>
      </c>
      <c r="G200" t="s">
        <v>508</v>
      </c>
      <c r="H200" s="256">
        <v>5176353.7999999998</v>
      </c>
      <c r="I200" s="256">
        <v>0</v>
      </c>
      <c r="J200" s="256">
        <v>5176353.7999999998</v>
      </c>
      <c r="K200" s="256">
        <v>0</v>
      </c>
      <c r="L200" s="256">
        <v>0</v>
      </c>
      <c r="M200" s="256">
        <v>5176353.7999999998</v>
      </c>
      <c r="N200" s="256">
        <v>0</v>
      </c>
      <c r="O200" s="256">
        <v>0</v>
      </c>
      <c r="P200" s="256">
        <v>0</v>
      </c>
      <c r="Q200" s="256">
        <v>0</v>
      </c>
      <c r="R200" s="256">
        <v>0</v>
      </c>
    </row>
    <row r="201" spans="1:18" ht="12.75">
      <c r="A201" s="200">
        <v>189</v>
      </c>
      <c r="B201" t="s">
        <v>499</v>
      </c>
      <c r="C201" t="s">
        <v>546</v>
      </c>
      <c r="D201" t="s">
        <v>547</v>
      </c>
      <c r="E201">
        <v>49723</v>
      </c>
      <c r="F201">
        <v>44183</v>
      </c>
      <c r="G201" t="s">
        <v>508</v>
      </c>
      <c r="H201" s="256">
        <v>20724401.129999999</v>
      </c>
      <c r="I201" s="256">
        <v>0</v>
      </c>
      <c r="J201" s="256">
        <v>20724401.129999999</v>
      </c>
      <c r="K201" s="256">
        <v>0</v>
      </c>
      <c r="L201" s="256">
        <v>0</v>
      </c>
      <c r="M201" s="256">
        <v>20724401.129999999</v>
      </c>
      <c r="N201" s="256">
        <v>0</v>
      </c>
      <c r="O201" s="256">
        <v>0</v>
      </c>
      <c r="P201" s="256">
        <v>0</v>
      </c>
      <c r="Q201" s="256">
        <v>0</v>
      </c>
      <c r="R201" s="256">
        <v>0</v>
      </c>
    </row>
    <row r="202" spans="1:18" ht="12.75">
      <c r="A202" s="200">
        <v>190</v>
      </c>
      <c r="B202" t="s">
        <v>499</v>
      </c>
      <c r="C202" t="s">
        <v>626</v>
      </c>
      <c r="D202" t="s">
        <v>627</v>
      </c>
      <c r="E202">
        <v>50217</v>
      </c>
      <c r="F202">
        <v>44174</v>
      </c>
      <c r="G202" t="s">
        <v>508</v>
      </c>
      <c r="H202" s="256">
        <v>1120392.79</v>
      </c>
      <c r="I202" s="256">
        <v>0</v>
      </c>
      <c r="J202" s="256">
        <v>1120392.79</v>
      </c>
      <c r="K202" s="256">
        <v>0</v>
      </c>
      <c r="L202" s="256">
        <v>0</v>
      </c>
      <c r="M202" s="256">
        <v>1120392.79</v>
      </c>
      <c r="N202" s="256">
        <v>0</v>
      </c>
      <c r="O202" s="256">
        <v>0</v>
      </c>
      <c r="P202" s="256">
        <v>0</v>
      </c>
      <c r="Q202" s="256">
        <v>0</v>
      </c>
      <c r="R202" s="256">
        <v>0</v>
      </c>
    </row>
    <row r="203" spans="1:18" ht="12.75">
      <c r="A203" s="200">
        <v>191</v>
      </c>
      <c r="B203" t="s">
        <v>499</v>
      </c>
      <c r="C203" t="s">
        <v>587</v>
      </c>
      <c r="D203" t="s">
        <v>588</v>
      </c>
      <c r="E203">
        <v>50560</v>
      </c>
      <c r="F203">
        <v>44287</v>
      </c>
      <c r="G203" t="s">
        <v>508</v>
      </c>
      <c r="H203" s="256">
        <v>1432844.29</v>
      </c>
      <c r="I203" s="256">
        <v>0</v>
      </c>
      <c r="J203" s="256">
        <v>1432844.29</v>
      </c>
      <c r="K203" s="256">
        <v>0</v>
      </c>
      <c r="L203" s="256">
        <v>0</v>
      </c>
      <c r="M203" s="256">
        <v>1432844.29</v>
      </c>
      <c r="N203" s="256">
        <v>0</v>
      </c>
      <c r="O203" s="256">
        <v>0</v>
      </c>
      <c r="P203" s="256">
        <v>0</v>
      </c>
      <c r="Q203" s="256">
        <v>0</v>
      </c>
      <c r="R203" s="256">
        <v>0</v>
      </c>
    </row>
    <row r="204" spans="1:18" ht="12.75">
      <c r="A204" s="200">
        <v>192</v>
      </c>
      <c r="B204" t="s">
        <v>640</v>
      </c>
      <c r="C204" t="s">
        <v>683</v>
      </c>
      <c r="D204" t="s">
        <v>684</v>
      </c>
      <c r="E204">
        <v>40645</v>
      </c>
      <c r="F204">
        <v>41394</v>
      </c>
      <c r="G204" t="s">
        <v>515</v>
      </c>
      <c r="H204" s="256">
        <v>1528205.8600000001</v>
      </c>
      <c r="I204" s="256">
        <v>0</v>
      </c>
      <c r="J204" s="256">
        <v>0</v>
      </c>
      <c r="K204" s="256">
        <v>453240.50746006391</v>
      </c>
      <c r="L204" s="256">
        <v>0</v>
      </c>
      <c r="M204" s="256">
        <v>453240.50746006391</v>
      </c>
      <c r="N204" s="256">
        <v>0</v>
      </c>
      <c r="O204" s="256">
        <v>1074965.3525399361</v>
      </c>
      <c r="P204" s="256">
        <v>1074965.3525399361</v>
      </c>
      <c r="Q204" s="256">
        <v>0</v>
      </c>
      <c r="R204" s="256">
        <v>0</v>
      </c>
    </row>
    <row r="205" spans="1:18" ht="12.75">
      <c r="A205" s="200">
        <v>193</v>
      </c>
      <c r="B205" t="s">
        <v>499</v>
      </c>
      <c r="C205" t="s">
        <v>521</v>
      </c>
      <c r="D205" t="s">
        <v>522</v>
      </c>
      <c r="E205">
        <v>48544</v>
      </c>
      <c r="F205">
        <v>43872</v>
      </c>
      <c r="G205" t="s">
        <v>515</v>
      </c>
      <c r="H205" s="256">
        <v>92372.080000000002</v>
      </c>
      <c r="I205" s="256">
        <v>0</v>
      </c>
      <c r="J205" s="256">
        <v>22746.735000000001</v>
      </c>
      <c r="K205" s="256">
        <v>0</v>
      </c>
      <c r="L205" s="256">
        <v>0</v>
      </c>
      <c r="M205" s="256">
        <v>22746.735000000001</v>
      </c>
      <c r="N205" s="256">
        <v>69625.345000000001</v>
      </c>
      <c r="O205" s="256">
        <v>0</v>
      </c>
      <c r="P205" s="256">
        <v>69625.345000000001</v>
      </c>
      <c r="Q205" s="256">
        <v>0</v>
      </c>
      <c r="R205" s="256">
        <v>0</v>
      </c>
    </row>
    <row r="206" spans="1:18" ht="12.75">
      <c r="A206" s="200">
        <v>194</v>
      </c>
      <c r="B206" t="s">
        <v>499</v>
      </c>
      <c r="C206" t="s">
        <v>521</v>
      </c>
      <c r="D206" t="s">
        <v>522</v>
      </c>
      <c r="E206">
        <v>48582</v>
      </c>
      <c r="F206">
        <v>43872</v>
      </c>
      <c r="G206" t="s">
        <v>515</v>
      </c>
      <c r="H206" s="256">
        <v>92372.080000000002</v>
      </c>
      <c r="I206" s="256">
        <v>0</v>
      </c>
      <c r="J206" s="256">
        <v>22746.735000000001</v>
      </c>
      <c r="K206" s="256">
        <v>0</v>
      </c>
      <c r="L206" s="256">
        <v>0</v>
      </c>
      <c r="M206" s="256">
        <v>22746.735000000001</v>
      </c>
      <c r="N206" s="256">
        <v>69625.345000000001</v>
      </c>
      <c r="O206" s="256">
        <v>0</v>
      </c>
      <c r="P206" s="256">
        <v>69625.345000000001</v>
      </c>
      <c r="Q206" s="256">
        <v>0</v>
      </c>
      <c r="R206" s="256">
        <v>0</v>
      </c>
    </row>
    <row r="207" spans="1:18" ht="12.75">
      <c r="A207" s="200">
        <v>195</v>
      </c>
      <c r="B207" t="s">
        <v>499</v>
      </c>
      <c r="C207" t="s">
        <v>523</v>
      </c>
      <c r="D207" t="s">
        <v>524</v>
      </c>
      <c r="E207">
        <v>49304</v>
      </c>
      <c r="F207">
        <v>44175</v>
      </c>
      <c r="G207" t="s">
        <v>515</v>
      </c>
      <c r="H207" s="256">
        <v>126658.855</v>
      </c>
      <c r="I207" s="256">
        <v>0</v>
      </c>
      <c r="J207" s="256">
        <v>18829.985000000001</v>
      </c>
      <c r="K207" s="256">
        <v>0</v>
      </c>
      <c r="L207" s="256">
        <v>0</v>
      </c>
      <c r="M207" s="256">
        <v>18829.985000000001</v>
      </c>
      <c r="N207" s="256">
        <v>107828.87</v>
      </c>
      <c r="O207" s="256">
        <v>0</v>
      </c>
      <c r="P207" s="256">
        <v>107828.87</v>
      </c>
      <c r="Q207" s="256">
        <v>0</v>
      </c>
      <c r="R207" s="256">
        <v>0</v>
      </c>
    </row>
    <row r="208" spans="1:18" ht="12.75">
      <c r="A208" s="200">
        <v>196</v>
      </c>
      <c r="B208" t="s">
        <v>499</v>
      </c>
      <c r="C208" t="s">
        <v>513</v>
      </c>
      <c r="D208" t="s">
        <v>514</v>
      </c>
      <c r="E208">
        <v>50217</v>
      </c>
      <c r="F208">
        <v>44176</v>
      </c>
      <c r="G208" t="s">
        <v>515</v>
      </c>
      <c r="H208" s="256">
        <v>26241.220000000001</v>
      </c>
      <c r="I208" s="256">
        <v>0</v>
      </c>
      <c r="J208" s="256">
        <v>4475.4099999999999</v>
      </c>
      <c r="K208" s="256">
        <v>0</v>
      </c>
      <c r="L208" s="256">
        <v>0</v>
      </c>
      <c r="M208" s="256">
        <v>4475.4099999999999</v>
      </c>
      <c r="N208" s="256">
        <v>21765.810000000001</v>
      </c>
      <c r="O208" s="256">
        <v>0</v>
      </c>
      <c r="P208" s="256">
        <v>21765.810000000001</v>
      </c>
      <c r="Q208" s="256">
        <v>0</v>
      </c>
      <c r="R208" s="256">
        <v>0</v>
      </c>
    </row>
    <row r="209" spans="1:18" ht="12.75">
      <c r="A209" s="200">
        <v>197</v>
      </c>
      <c r="B209" t="s">
        <v>499</v>
      </c>
      <c r="C209" t="s">
        <v>592</v>
      </c>
      <c r="D209" t="s">
        <v>593</v>
      </c>
      <c r="E209">
        <v>50560</v>
      </c>
      <c r="F209">
        <v>44376</v>
      </c>
      <c r="G209" t="s">
        <v>515</v>
      </c>
      <c r="H209" s="256">
        <v>4935.6499999999996</v>
      </c>
      <c r="I209" s="256">
        <v>0</v>
      </c>
      <c r="J209" s="256">
        <v>1735.8699999999999</v>
      </c>
      <c r="K209" s="256">
        <v>0</v>
      </c>
      <c r="L209" s="256">
        <v>0</v>
      </c>
      <c r="M209" s="256">
        <v>1735.8699999999999</v>
      </c>
      <c r="N209" s="256">
        <v>3199.7800000000002</v>
      </c>
      <c r="O209" s="256">
        <v>0</v>
      </c>
      <c r="P209" s="256">
        <v>3199.7800000000002</v>
      </c>
      <c r="Q209" s="256">
        <v>0</v>
      </c>
      <c r="R209" s="256">
        <v>0</v>
      </c>
    </row>
    <row r="210" spans="1:18" ht="12.75">
      <c r="A210" s="200">
        <v>198</v>
      </c>
      <c r="B210" t="s">
        <v>499</v>
      </c>
      <c r="C210" t="s">
        <v>600</v>
      </c>
      <c r="D210" t="s">
        <v>601</v>
      </c>
      <c r="E210">
        <v>50560</v>
      </c>
      <c r="F210">
        <v>44364</v>
      </c>
      <c r="G210" t="s">
        <v>515</v>
      </c>
      <c r="H210" s="256">
        <v>578.19000000000005</v>
      </c>
      <c r="I210" s="256">
        <v>0</v>
      </c>
      <c r="J210" s="256">
        <v>203.34999999999999</v>
      </c>
      <c r="K210" s="256">
        <v>0</v>
      </c>
      <c r="L210" s="256">
        <v>0</v>
      </c>
      <c r="M210" s="256">
        <v>203.34999999999999</v>
      </c>
      <c r="N210" s="256">
        <v>374.83999999999998</v>
      </c>
      <c r="O210" s="256">
        <v>0</v>
      </c>
      <c r="P210" s="256">
        <v>374.83999999999998</v>
      </c>
      <c r="Q210" s="256">
        <v>0</v>
      </c>
      <c r="R210" s="256">
        <v>0</v>
      </c>
    </row>
    <row r="211" spans="1:18" ht="12.75">
      <c r="A211" s="200">
        <v>199</v>
      </c>
      <c r="B211" t="s">
        <v>640</v>
      </c>
      <c r="C211" t="s">
        <v>683</v>
      </c>
      <c r="D211" t="s">
        <v>684</v>
      </c>
      <c r="E211">
        <v>40645</v>
      </c>
      <c r="F211">
        <v>41394</v>
      </c>
      <c r="G211" t="s">
        <v>516</v>
      </c>
      <c r="H211" s="256">
        <v>5065664.4500000002</v>
      </c>
      <c r="I211" s="256">
        <v>0</v>
      </c>
      <c r="J211" s="256">
        <v>0</v>
      </c>
      <c r="K211" s="256">
        <v>1525869.1746203629</v>
      </c>
      <c r="L211" s="256">
        <v>0</v>
      </c>
      <c r="M211" s="256">
        <v>1525869.1746203629</v>
      </c>
      <c r="N211" s="256">
        <v>0</v>
      </c>
      <c r="O211" s="256">
        <v>3539795.2753796373</v>
      </c>
      <c r="P211" s="256">
        <v>3539795.2753796373</v>
      </c>
      <c r="Q211" s="256">
        <v>0</v>
      </c>
      <c r="R211" s="256">
        <v>0</v>
      </c>
    </row>
    <row r="212" spans="1:18" ht="12.75">
      <c r="A212" s="200">
        <v>200</v>
      </c>
      <c r="B212" t="s">
        <v>640</v>
      </c>
      <c r="C212" t="s">
        <v>687</v>
      </c>
      <c r="D212" t="s">
        <v>688</v>
      </c>
      <c r="E212">
        <v>45308</v>
      </c>
      <c r="F212">
        <v>43600</v>
      </c>
      <c r="G212" t="s">
        <v>516</v>
      </c>
      <c r="H212" s="256">
        <v>242360.10000000001</v>
      </c>
      <c r="I212" s="256">
        <v>0</v>
      </c>
      <c r="J212" s="256">
        <v>0</v>
      </c>
      <c r="K212" s="256">
        <v>113804.64271109091</v>
      </c>
      <c r="L212" s="256">
        <v>0</v>
      </c>
      <c r="M212" s="256">
        <v>113804.64271109091</v>
      </c>
      <c r="N212" s="256">
        <v>0</v>
      </c>
      <c r="O212" s="256">
        <v>128555.45728890909</v>
      </c>
      <c r="P212" s="256">
        <v>128555.45728890909</v>
      </c>
      <c r="Q212" s="256">
        <v>0</v>
      </c>
      <c r="R212" s="256">
        <v>0</v>
      </c>
    </row>
    <row r="213" spans="1:18" ht="12.75">
      <c r="A213" s="200">
        <v>201</v>
      </c>
      <c r="B213" t="s">
        <v>499</v>
      </c>
      <c r="C213" t="s">
        <v>521</v>
      </c>
      <c r="D213" t="s">
        <v>522</v>
      </c>
      <c r="E213">
        <v>48544</v>
      </c>
      <c r="F213">
        <v>43872</v>
      </c>
      <c r="G213" t="s">
        <v>516</v>
      </c>
      <c r="H213" s="256">
        <v>3007363.105</v>
      </c>
      <c r="I213" s="256">
        <v>0</v>
      </c>
      <c r="J213" s="256">
        <v>729641.91500000004</v>
      </c>
      <c r="K213" s="256">
        <v>0</v>
      </c>
      <c r="L213" s="256">
        <v>0</v>
      </c>
      <c r="M213" s="256">
        <v>729641.91500000004</v>
      </c>
      <c r="N213" s="256">
        <v>2277721.1899999999</v>
      </c>
      <c r="O213" s="256">
        <v>0</v>
      </c>
      <c r="P213" s="256">
        <v>2277721.1899999999</v>
      </c>
      <c r="Q213" s="256">
        <v>0</v>
      </c>
      <c r="R213" s="256">
        <v>0</v>
      </c>
    </row>
    <row r="214" spans="1:18" ht="12.75">
      <c r="A214" s="200">
        <v>202</v>
      </c>
      <c r="B214" t="s">
        <v>499</v>
      </c>
      <c r="C214" t="s">
        <v>521</v>
      </c>
      <c r="D214" t="s">
        <v>522</v>
      </c>
      <c r="E214">
        <v>48582</v>
      </c>
      <c r="F214">
        <v>43872</v>
      </c>
      <c r="G214" t="s">
        <v>516</v>
      </c>
      <c r="H214" s="256">
        <v>3007363.105</v>
      </c>
      <c r="I214" s="256">
        <v>0</v>
      </c>
      <c r="J214" s="256">
        <v>729641.91500000004</v>
      </c>
      <c r="K214" s="256">
        <v>0</v>
      </c>
      <c r="L214" s="256">
        <v>0</v>
      </c>
      <c r="M214" s="256">
        <v>729641.91500000004</v>
      </c>
      <c r="N214" s="256">
        <v>2277721.1899999999</v>
      </c>
      <c r="O214" s="256">
        <v>0</v>
      </c>
      <c r="P214" s="256">
        <v>2277721.1899999999</v>
      </c>
      <c r="Q214" s="256">
        <v>0</v>
      </c>
      <c r="R214" s="256">
        <v>0</v>
      </c>
    </row>
    <row r="215" spans="1:18" ht="12.75">
      <c r="A215" s="200">
        <v>203</v>
      </c>
      <c r="B215" t="s">
        <v>499</v>
      </c>
      <c r="C215" t="s">
        <v>523</v>
      </c>
      <c r="D215" t="s">
        <v>524</v>
      </c>
      <c r="E215">
        <v>49304</v>
      </c>
      <c r="F215">
        <v>44175</v>
      </c>
      <c r="G215" t="s">
        <v>516</v>
      </c>
      <c r="H215" s="256">
        <v>2874738.1600000001</v>
      </c>
      <c r="I215" s="256">
        <v>0</v>
      </c>
      <c r="J215" s="256">
        <v>427740.31</v>
      </c>
      <c r="K215" s="256">
        <v>0</v>
      </c>
      <c r="L215" s="256">
        <v>0</v>
      </c>
      <c r="M215" s="256">
        <v>427740.31</v>
      </c>
      <c r="N215" s="256">
        <v>2446997.8500000001</v>
      </c>
      <c r="O215" s="256">
        <v>0</v>
      </c>
      <c r="P215" s="256">
        <v>2446997.8500000001</v>
      </c>
      <c r="Q215" s="256">
        <v>0</v>
      </c>
      <c r="R215" s="256">
        <v>0</v>
      </c>
    </row>
    <row r="216" spans="1:18" ht="12.75">
      <c r="A216" s="200">
        <v>204</v>
      </c>
      <c r="B216" t="s">
        <v>499</v>
      </c>
      <c r="C216" t="s">
        <v>513</v>
      </c>
      <c r="D216" t="s">
        <v>514</v>
      </c>
      <c r="E216">
        <v>50217</v>
      </c>
      <c r="F216">
        <v>44176</v>
      </c>
      <c r="G216" t="s">
        <v>516</v>
      </c>
      <c r="H216" s="256">
        <v>192436.03</v>
      </c>
      <c r="I216" s="256">
        <v>0</v>
      </c>
      <c r="J216" s="256">
        <v>170670.19</v>
      </c>
      <c r="K216" s="256">
        <v>0</v>
      </c>
      <c r="L216" s="256">
        <v>0</v>
      </c>
      <c r="M216" s="256">
        <v>170670.19</v>
      </c>
      <c r="N216" s="256">
        <v>21765.84</v>
      </c>
      <c r="O216" s="256">
        <v>0</v>
      </c>
      <c r="P216" s="256">
        <v>21765.84</v>
      </c>
      <c r="Q216" s="256">
        <v>0</v>
      </c>
      <c r="R216" s="256">
        <v>0</v>
      </c>
    </row>
    <row r="217" spans="1:18" ht="12.75">
      <c r="A217" s="200">
        <v>205</v>
      </c>
      <c r="B217" t="s">
        <v>499</v>
      </c>
      <c r="C217" t="s">
        <v>542</v>
      </c>
      <c r="D217" t="s">
        <v>543</v>
      </c>
      <c r="E217">
        <v>50217</v>
      </c>
      <c r="F217">
        <v>44173</v>
      </c>
      <c r="G217" t="s">
        <v>516</v>
      </c>
      <c r="H217" s="256">
        <v>81963.160000000003</v>
      </c>
      <c r="I217" s="256">
        <v>0</v>
      </c>
      <c r="J217" s="256">
        <v>81963.160000000003</v>
      </c>
      <c r="K217" s="256">
        <v>0</v>
      </c>
      <c r="L217" s="256">
        <v>0</v>
      </c>
      <c r="M217" s="256">
        <v>81963.160000000003</v>
      </c>
      <c r="N217" s="256">
        <v>0</v>
      </c>
      <c r="O217" s="256">
        <v>0</v>
      </c>
      <c r="P217" s="256">
        <v>0</v>
      </c>
      <c r="Q217" s="256">
        <v>0</v>
      </c>
      <c r="R217" s="256">
        <v>0</v>
      </c>
    </row>
    <row r="218" spans="1:18" ht="12.75">
      <c r="A218" s="200">
        <v>206</v>
      </c>
      <c r="B218" t="s">
        <v>499</v>
      </c>
      <c r="C218" t="s">
        <v>592</v>
      </c>
      <c r="D218" t="s">
        <v>593</v>
      </c>
      <c r="E218">
        <v>50560</v>
      </c>
      <c r="F218">
        <v>44376</v>
      </c>
      <c r="G218" t="s">
        <v>516</v>
      </c>
      <c r="H218" s="256">
        <v>1045212.9300000001</v>
      </c>
      <c r="I218" s="256">
        <v>0</v>
      </c>
      <c r="J218" s="256">
        <v>1045039.86</v>
      </c>
      <c r="K218" s="256">
        <v>0</v>
      </c>
      <c r="L218" s="256">
        <v>0</v>
      </c>
      <c r="M218" s="256">
        <v>1045039.86</v>
      </c>
      <c r="N218" s="256">
        <v>173.06999999999999</v>
      </c>
      <c r="O218" s="256">
        <v>0</v>
      </c>
      <c r="P218" s="256">
        <v>173.06999999999999</v>
      </c>
      <c r="Q218" s="256">
        <v>0</v>
      </c>
      <c r="R218" s="256">
        <v>0</v>
      </c>
    </row>
    <row r="219" spans="1:18" ht="12.75">
      <c r="A219" s="200">
        <v>207</v>
      </c>
      <c r="B219" t="s">
        <v>499</v>
      </c>
      <c r="C219" t="s">
        <v>600</v>
      </c>
      <c r="D219" t="s">
        <v>601</v>
      </c>
      <c r="E219">
        <v>50560</v>
      </c>
      <c r="F219">
        <v>44364</v>
      </c>
      <c r="G219" t="s">
        <v>516</v>
      </c>
      <c r="H219" s="256">
        <v>1927021.54</v>
      </c>
      <c r="I219" s="256">
        <v>0</v>
      </c>
      <c r="J219" s="256">
        <v>838.70000000000005</v>
      </c>
      <c r="K219" s="256">
        <v>0</v>
      </c>
      <c r="L219" s="256">
        <v>0</v>
      </c>
      <c r="M219" s="256">
        <v>838.70000000000005</v>
      </c>
      <c r="N219" s="256">
        <v>1926182.8400000001</v>
      </c>
      <c r="O219" s="256">
        <v>0</v>
      </c>
      <c r="P219" s="256">
        <v>1926182.8400000001</v>
      </c>
      <c r="Q219" s="256">
        <v>0</v>
      </c>
      <c r="R219" s="256">
        <v>0</v>
      </c>
    </row>
    <row r="220" spans="1:18" ht="12.75">
      <c r="A220" s="200">
        <v>208</v>
      </c>
      <c r="B220" t="s">
        <v>640</v>
      </c>
      <c r="C220" t="s">
        <v>683</v>
      </c>
      <c r="D220" t="s">
        <v>684</v>
      </c>
      <c r="E220">
        <v>40645</v>
      </c>
      <c r="F220">
        <v>41394</v>
      </c>
      <c r="G220" t="s">
        <v>689</v>
      </c>
      <c r="H220" s="256">
        <v>1552</v>
      </c>
      <c r="I220" s="256">
        <v>0</v>
      </c>
      <c r="J220" s="256">
        <v>0</v>
      </c>
      <c r="K220" s="256">
        <v>0</v>
      </c>
      <c r="L220" s="256">
        <v>0</v>
      </c>
      <c r="M220" s="256">
        <v>0</v>
      </c>
      <c r="N220" s="256">
        <v>0</v>
      </c>
      <c r="O220" s="256">
        <v>1552</v>
      </c>
      <c r="P220" s="256">
        <v>1552</v>
      </c>
      <c r="Q220" s="256">
        <v>0</v>
      </c>
      <c r="R220" s="256">
        <v>0</v>
      </c>
    </row>
    <row r="221" spans="1:18" ht="12.75">
      <c r="A221" s="200">
        <v>209</v>
      </c>
      <c r="B221" t="s">
        <v>499</v>
      </c>
      <c r="C221" t="s">
        <v>589</v>
      </c>
      <c r="D221" t="s">
        <v>590</v>
      </c>
      <c r="E221">
        <v>49304</v>
      </c>
      <c r="F221">
        <v>44061</v>
      </c>
      <c r="G221" t="s">
        <v>591</v>
      </c>
      <c r="H221" s="256">
        <v>169161.01500000001</v>
      </c>
      <c r="I221" s="256">
        <v>0</v>
      </c>
      <c r="J221" s="256">
        <v>25148.650000000001</v>
      </c>
      <c r="K221" s="256">
        <v>0</v>
      </c>
      <c r="L221" s="256">
        <v>0</v>
      </c>
      <c r="M221" s="256">
        <v>25148.650000000001</v>
      </c>
      <c r="N221" s="256">
        <v>144012.36499999999</v>
      </c>
      <c r="O221" s="256">
        <v>0</v>
      </c>
      <c r="P221" s="256">
        <v>144012.36499999999</v>
      </c>
      <c r="Q221" s="256">
        <v>0</v>
      </c>
      <c r="R221" s="256">
        <v>0</v>
      </c>
    </row>
    <row r="222" spans="1:1" ht="12.75">
      <c r="A222" s="200">
        <v>210</v>
      </c>
    </row>
    <row r="223" spans="1:18" ht="13.5" thickBot="1">
      <c r="A223" s="200">
        <v>211</v>
      </c>
      <c r="H223" s="258">
        <f>SUM(H13:H222)</f>
        <v>1536588897.7900002</v>
      </c>
      <c r="I223" s="258">
        <f t="shared" si="0" ref="I223:R223">SUM(I13:I222)</f>
        <v>0</v>
      </c>
      <c r="J223" s="258">
        <f t="shared" si="0"/>
        <v>823119094.0449996</v>
      </c>
      <c r="K223" s="258">
        <f t="shared" si="0"/>
        <v>689307368.92707598</v>
      </c>
      <c r="L223" s="258">
        <f t="shared" si="0"/>
        <v>0</v>
      </c>
      <c r="M223" s="258">
        <f t="shared" si="0"/>
        <v>1512426462.9720757</v>
      </c>
      <c r="N223" s="258">
        <f t="shared" si="0"/>
        <v>11136699.535</v>
      </c>
      <c r="O223" s="258">
        <f t="shared" si="0"/>
        <v>13025735.282923933</v>
      </c>
      <c r="P223" s="258">
        <f t="shared" si="0"/>
        <v>24162434.817923937</v>
      </c>
      <c r="Q223" s="258">
        <f t="shared" si="0"/>
        <v>0</v>
      </c>
      <c r="R223" s="258">
        <f t="shared" si="0"/>
        <v>0</v>
      </c>
    </row>
    <row r="224" ht="13.5" thickTop="1"/>
  </sheetData>
  <printOptions horizontalCentered="1"/>
  <pageMargins left="0.5" right="0.5" top="2.5" bottom="0.25" header="1.25" footer="0.3"/>
  <pageSetup fitToHeight="3" orientation="landscape" scale="44" r:id="rId1"/>
  <headerFooter>
    <oddHeader>&amp;C&amp;B
2022 RATE CASE
ONCOR ELECTRIC DELIVERY COMPANY LLC
II-B-1a TRANSMISSION PROJECTS WITH CCN DOCKET NO. SINCE LAST TCOS FILING
PERIOD COVERED JANUARY 1, 2021 TO DECEMBER 31, 2021
SPONSOR: W. ALAN LEDBETTER&amp;R&amp;"Arial,Bold"Schedule &amp;A
Page &amp;P of 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1">
    <tabColor rgb="FFFF0000"/>
  </sheetPr>
  <dimension ref="A1:Y115"/>
  <sheetViews>
    <sheetView zoomScale="85" zoomScaleNormal="85" workbookViewId="0" topLeftCell="A1">
      <pane xSplit="4" ySplit="13" topLeftCell="E14" activePane="bottomRight" state="frozen"/>
      <selection pane="topLeft" activeCell="E14" sqref="E14"/>
      <selection pane="bottomLeft" activeCell="E14" sqref="E14"/>
      <selection pane="topRight" activeCell="E14" sqref="E14"/>
      <selection pane="bottomRight" activeCell="E17" sqref="E17"/>
    </sheetView>
  </sheetViews>
  <sheetFormatPr defaultColWidth="9.14428571428571" defaultRowHeight="12.75"/>
  <cols>
    <col min="1" max="1" width="5.71428571428571" style="7" customWidth="1"/>
    <col min="2" max="2" width="8.71428571428571" style="7" customWidth="1"/>
    <col min="3" max="3" width="31.1428571428571" style="7" bestFit="1" customWidth="1"/>
    <col min="4" max="4" width="10.4285714285714" style="4" customWidth="1"/>
    <col min="5" max="5" width="13.7142857142857" style="7" bestFit="1" customWidth="1"/>
    <col min="6" max="6" width="17.2857142857143" style="7" bestFit="1" customWidth="1"/>
    <col min="7" max="7" width="13.7142857142857" style="7" bestFit="1" customWidth="1"/>
    <col min="8" max="8" width="13.2857142857143" style="7" bestFit="1" customWidth="1"/>
    <col min="9" max="9" width="13.7142857142857" style="7" bestFit="1" customWidth="1"/>
    <col min="10" max="10" width="10.2857142857143" style="7" bestFit="1" customWidth="1"/>
    <col min="11" max="11" width="13.7142857142857" style="7" bestFit="1" customWidth="1"/>
    <col min="12" max="12" width="3.28571428571429" style="51" bestFit="1" customWidth="1"/>
    <col min="13" max="13" width="6.85714285714286" style="4" bestFit="1" customWidth="1"/>
    <col min="14" max="14" width="13.7142857142857" style="7" bestFit="1" customWidth="1"/>
    <col min="15" max="17" width="13.7142857142857" style="7" customWidth="1"/>
    <col min="18" max="18" width="13.7142857142857" style="7" bestFit="1" customWidth="1"/>
    <col min="19" max="20" width="13.7142857142857" style="7" customWidth="1"/>
    <col min="21" max="23" width="13.7142857142857" style="7" bestFit="1" customWidth="1"/>
    <col min="24" max="24" width="9.14285714285714" style="7"/>
    <col min="25" max="25" width="15" style="7" bestFit="1" customWidth="1"/>
    <col min="26" max="16384" width="9.14285714285714" style="7"/>
  </cols>
  <sheetData>
    <row r="1" spans="1:1" ht="12.75">
      <c r="A1" s="5" t="str">
        <f>+'[4]Input Data'!$A$9</f>
        <v>2022 RATE CASE</v>
      </c>
    </row>
    <row r="2" spans="1:25" ht="12.75">
      <c r="A2" s="10" t="str">
        <f>+'[4]Input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  <c r="Y2" s="24"/>
    </row>
    <row r="3" spans="1:23" ht="12.75">
      <c r="A3" s="8" t="str">
        <f>CONCATENATE('[4]Schedule Sponsors'!$A$14,'[4]Schedule Sponsors'!$B$14)</f>
        <v>II-B-2 GENERAL PLANT FUNCTIONALIZATION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3" ht="12.75">
      <c r="A4" s="115" t="str">
        <f>+'[4]Input Data'!$A$4</f>
        <v>TEST YEAR ENDING DECEMBER 31, 2021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3" ht="12.75">
      <c r="A5" s="8" t="str">
        <f>CONCATENATE("SPONSOR: ",'[4]Schedule Sponsors'!$D$14)</f>
        <v>SPONSOR: W. ALAN LEDBETTER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 ht="12.75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 ht="12.75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ht="12.75">
      <c r="A8" s="70"/>
      <c r="B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ht="13.5" thickBot="1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3" s="1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1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1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1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1:23" s="6" customFormat="1" ht="12.75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3" s="5" customFormat="1" ht="15" customHeight="1">
      <c r="A15" s="23">
        <v>1</v>
      </c>
      <c r="B15" s="10" t="s">
        <v>84</v>
      </c>
      <c r="C15" s="10"/>
      <c r="D15" s="53" t="s">
        <v>153</v>
      </c>
      <c r="E15" s="10"/>
      <c r="F15" s="10"/>
      <c r="G15" s="10"/>
      <c r="H15" s="10"/>
      <c r="I15" s="10"/>
      <c r="J15" s="10"/>
      <c r="K15" s="10"/>
      <c r="L15" s="71"/>
      <c r="M15" s="53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5" ht="15" customHeight="1">
      <c r="A16" s="23">
        <v>2</v>
      </c>
      <c r="B16" s="6" t="s">
        <v>85</v>
      </c>
      <c r="C16" s="6" t="s">
        <v>44</v>
      </c>
      <c r="D16" s="23"/>
      <c r="E16" s="221">
        <v>33672086.140000001</v>
      </c>
      <c r="F16" s="185">
        <v>0</v>
      </c>
      <c r="G16" s="187">
        <f>+E16+F16</f>
        <v>33672086.140000001</v>
      </c>
      <c r="H16" s="228">
        <v>0</v>
      </c>
      <c r="I16" s="187">
        <f>+G16+H16</f>
        <v>33672086.140000001</v>
      </c>
      <c r="J16" s="175">
        <v>1</v>
      </c>
      <c r="K16" s="187">
        <f>+I16*J16</f>
        <v>33672086.140000001</v>
      </c>
      <c r="L16" s="187"/>
      <c r="M16" s="187"/>
      <c r="N16" s="228">
        <v>7424940.2999999998</v>
      </c>
      <c r="O16" s="228">
        <v>370948.76000000001</v>
      </c>
      <c r="P16" s="277">
        <v>0</v>
      </c>
      <c r="Q16" s="229">
        <f>SUM(N16:P16)</f>
        <v>7795889.0599999996</v>
      </c>
      <c r="R16" s="228">
        <v>19410065.620000001</v>
      </c>
      <c r="S16" s="277">
        <v>0</v>
      </c>
      <c r="T16" s="229">
        <f>SUM(R16:S16)</f>
        <v>19410065.620000001</v>
      </c>
      <c r="U16" s="228">
        <v>3908190.4500000002</v>
      </c>
      <c r="V16" s="228">
        <v>2557941.0099999998</v>
      </c>
      <c r="W16" s="187">
        <f>+Q16+T16+U16+V16</f>
        <v>33672086.140000001</v>
      </c>
      <c r="X16" s="7" t="b">
        <f t="shared" si="0" ref="X16:X24">ROUND(+W16,2)=ROUND(K16,2)</f>
        <v>1</v>
      </c>
      <c r="Y16" s="45">
        <f t="shared" si="1" ref="Y16:Y24">+K16-W16</f>
        <v>0</v>
      </c>
    </row>
    <row r="17" spans="1:25" ht="15" customHeight="1">
      <c r="A17" s="23">
        <v>3</v>
      </c>
      <c r="B17" s="6" t="s">
        <v>86</v>
      </c>
      <c r="C17" s="6" t="s">
        <v>50</v>
      </c>
      <c r="D17" s="23"/>
      <c r="E17" s="220">
        <v>142598.20000000001</v>
      </c>
      <c r="F17" s="118">
        <v>0</v>
      </c>
      <c r="G17" s="57">
        <f t="shared" si="2" ref="G17:G24">+E17+F17</f>
        <v>142598.20000000001</v>
      </c>
      <c r="H17" s="220">
        <v>0</v>
      </c>
      <c r="I17" s="57">
        <f t="shared" si="3" ref="I17:I24">+G17+H17</f>
        <v>142598.20000000001</v>
      </c>
      <c r="J17" s="175">
        <v>1</v>
      </c>
      <c r="K17" s="19">
        <f t="shared" si="4" ref="K17:K24">+I17*J17</f>
        <v>142598.20000000001</v>
      </c>
      <c r="L17" s="59"/>
      <c r="M17" s="23"/>
      <c r="N17" s="220">
        <v>60493.900000000001</v>
      </c>
      <c r="O17" s="220">
        <v>0</v>
      </c>
      <c r="P17" s="260">
        <v>0</v>
      </c>
      <c r="Q17" s="260">
        <f t="shared" si="5" ref="Q17:Q24">SUM(N17:P17)</f>
        <v>60493.900000000001</v>
      </c>
      <c r="R17" s="220">
        <v>78748.830000000002</v>
      </c>
      <c r="S17" s="260">
        <v>0</v>
      </c>
      <c r="T17" s="260">
        <f t="shared" si="6" ref="T17:T24">SUM(R17:S17)</f>
        <v>78748.830000000002</v>
      </c>
      <c r="U17" s="220">
        <v>3342.98</v>
      </c>
      <c r="V17" s="220">
        <v>12.49</v>
      </c>
      <c r="W17" s="19">
        <f t="shared" si="7" ref="W17:W24">+Q17+T17+U17+V17</f>
        <v>142598.20000000001</v>
      </c>
      <c r="X17" s="7" t="b">
        <f t="shared" si="0"/>
        <v>1</v>
      </c>
      <c r="Y17" s="45">
        <f t="shared" si="1"/>
        <v>0</v>
      </c>
    </row>
    <row r="18" spans="1:25" ht="15" customHeight="1">
      <c r="A18" s="23">
        <v>4</v>
      </c>
      <c r="B18" s="6" t="s">
        <v>87</v>
      </c>
      <c r="C18" s="6" t="s">
        <v>45</v>
      </c>
      <c r="D18" s="23"/>
      <c r="E18" s="220">
        <v>290405534.44999999</v>
      </c>
      <c r="F18" s="118">
        <v>0</v>
      </c>
      <c r="G18" s="57">
        <f t="shared" si="2"/>
        <v>290405534.44999999</v>
      </c>
      <c r="H18" s="220">
        <v>-29964903.41</v>
      </c>
      <c r="I18" s="57">
        <f t="shared" si="3"/>
        <v>260440631.03999999</v>
      </c>
      <c r="J18" s="175">
        <v>1</v>
      </c>
      <c r="K18" s="19">
        <f t="shared" si="4"/>
        <v>260440631.03999999</v>
      </c>
      <c r="L18" s="59"/>
      <c r="M18" s="23"/>
      <c r="N18" s="220">
        <v>79087518.310000002</v>
      </c>
      <c r="O18" s="220">
        <v>1443397.0500000001</v>
      </c>
      <c r="P18" s="260">
        <v>0</v>
      </c>
      <c r="Q18" s="260">
        <f t="shared" si="5"/>
        <v>80530915.359999999</v>
      </c>
      <c r="R18" s="220">
        <v>141498136</v>
      </c>
      <c r="S18" s="260">
        <v>0</v>
      </c>
      <c r="T18" s="260">
        <f t="shared" si="6"/>
        <v>141498136</v>
      </c>
      <c r="U18" s="220">
        <v>24868885.27</v>
      </c>
      <c r="V18" s="220">
        <v>13542694.41</v>
      </c>
      <c r="W18" s="19">
        <f t="shared" si="7"/>
        <v>260440631.04000002</v>
      </c>
      <c r="X18" s="7" t="b">
        <f t="shared" si="0"/>
        <v>1</v>
      </c>
      <c r="Y18" s="45">
        <f t="shared" si="1"/>
        <v>0</v>
      </c>
    </row>
    <row r="19" spans="1:25" ht="15" customHeight="1">
      <c r="A19" s="23">
        <v>5</v>
      </c>
      <c r="B19" s="6" t="s">
        <v>88</v>
      </c>
      <c r="C19" s="6" t="s">
        <v>9</v>
      </c>
      <c r="D19" s="23"/>
      <c r="E19" s="220">
        <v>324192957.91000003</v>
      </c>
      <c r="F19" s="118">
        <v>0</v>
      </c>
      <c r="G19" s="57">
        <f t="shared" si="2"/>
        <v>324192957.91000003</v>
      </c>
      <c r="H19" s="220">
        <v>0</v>
      </c>
      <c r="I19" s="57">
        <f t="shared" si="3"/>
        <v>324192957.91000003</v>
      </c>
      <c r="J19" s="175">
        <v>1</v>
      </c>
      <c r="K19" s="19">
        <f t="shared" si="4"/>
        <v>324192957.91000003</v>
      </c>
      <c r="L19" s="153"/>
      <c r="M19" s="23"/>
      <c r="N19" s="220">
        <v>75000689.75</v>
      </c>
      <c r="O19" s="220">
        <v>2148448.23</v>
      </c>
      <c r="P19" s="260">
        <v>0</v>
      </c>
      <c r="Q19" s="260">
        <f t="shared" si="5"/>
        <v>77149137.980000004</v>
      </c>
      <c r="R19" s="220">
        <v>96093234.140000001</v>
      </c>
      <c r="S19" s="260">
        <v>0</v>
      </c>
      <c r="T19" s="260">
        <f t="shared" si="6"/>
        <v>96093234.140000001</v>
      </c>
      <c r="U19" s="220">
        <v>66950477.740000002</v>
      </c>
      <c r="V19" s="220">
        <v>84000108.049999997</v>
      </c>
      <c r="W19" s="19">
        <f t="shared" si="7"/>
        <v>324192957.91000003</v>
      </c>
      <c r="X19" s="7" t="b">
        <f t="shared" si="0"/>
        <v>1</v>
      </c>
      <c r="Y19" s="45">
        <f t="shared" si="1"/>
        <v>0</v>
      </c>
    </row>
    <row r="20" spans="1:25" ht="15" customHeight="1">
      <c r="A20" s="23">
        <v>6</v>
      </c>
      <c r="B20" s="6" t="s">
        <v>89</v>
      </c>
      <c r="C20" s="6" t="s">
        <v>90</v>
      </c>
      <c r="D20" s="23"/>
      <c r="E20" s="220">
        <v>27140703.02</v>
      </c>
      <c r="F20" s="118">
        <v>0</v>
      </c>
      <c r="G20" s="57">
        <f t="shared" si="2"/>
        <v>27140703.02</v>
      </c>
      <c r="H20" s="220">
        <v>-4277641</v>
      </c>
      <c r="I20" s="57">
        <f t="shared" si="3"/>
        <v>22863062.02</v>
      </c>
      <c r="J20" s="175">
        <v>1</v>
      </c>
      <c r="K20" s="19">
        <f t="shared" si="4"/>
        <v>22863062.02</v>
      </c>
      <c r="L20" s="59"/>
      <c r="M20" s="23"/>
      <c r="N20" s="220">
        <v>8759080.5800000001</v>
      </c>
      <c r="O20" s="220">
        <v>1387552.03</v>
      </c>
      <c r="P20" s="260">
        <v>0</v>
      </c>
      <c r="Q20" s="260">
        <f t="shared" si="5"/>
        <v>10146632.609999999</v>
      </c>
      <c r="R20" s="220">
        <v>12716429.41</v>
      </c>
      <c r="S20" s="260">
        <v>0</v>
      </c>
      <c r="T20" s="260">
        <f t="shared" si="6"/>
        <v>12716429.41</v>
      </c>
      <c r="U20" s="220">
        <v>0</v>
      </c>
      <c r="V20" s="220">
        <v>0</v>
      </c>
      <c r="W20" s="19">
        <f t="shared" si="7"/>
        <v>22863062.02</v>
      </c>
      <c r="X20" s="7" t="b">
        <f t="shared" si="0"/>
        <v>1</v>
      </c>
      <c r="Y20" s="45">
        <f t="shared" si="1"/>
        <v>0</v>
      </c>
    </row>
    <row r="21" spans="1:25" ht="15" customHeight="1">
      <c r="A21" s="23">
        <v>7</v>
      </c>
      <c r="B21" s="6" t="s">
        <v>91</v>
      </c>
      <c r="C21" s="6" t="s">
        <v>10</v>
      </c>
      <c r="D21" s="23"/>
      <c r="E21" s="220">
        <v>4996536.5899999999</v>
      </c>
      <c r="F21" s="118">
        <v>0</v>
      </c>
      <c r="G21" s="57">
        <f t="shared" si="2"/>
        <v>4996536.5899999999</v>
      </c>
      <c r="H21" s="220">
        <v>0</v>
      </c>
      <c r="I21" s="57">
        <f t="shared" si="3"/>
        <v>4996536.5899999999</v>
      </c>
      <c r="J21" s="175">
        <v>1</v>
      </c>
      <c r="K21" s="19">
        <f t="shared" si="4"/>
        <v>4996536.5899999999</v>
      </c>
      <c r="L21" s="59"/>
      <c r="M21" s="23"/>
      <c r="N21" s="220">
        <v>1193181.8300000001</v>
      </c>
      <c r="O21" s="220">
        <v>0</v>
      </c>
      <c r="P21" s="260">
        <v>0</v>
      </c>
      <c r="Q21" s="260">
        <f t="shared" si="5"/>
        <v>1193181.8300000001</v>
      </c>
      <c r="R21" s="220">
        <v>3228206.2200000002</v>
      </c>
      <c r="S21" s="260">
        <v>0</v>
      </c>
      <c r="T21" s="260">
        <f t="shared" si="6"/>
        <v>3228206.2200000002</v>
      </c>
      <c r="U21" s="220">
        <v>575148.54000000004</v>
      </c>
      <c r="V21" s="220">
        <v>0</v>
      </c>
      <c r="W21" s="19">
        <f t="shared" si="7"/>
        <v>4996536.5900000008</v>
      </c>
      <c r="X21" s="7" t="b">
        <f t="shared" si="0"/>
        <v>1</v>
      </c>
      <c r="Y21" s="45">
        <f t="shared" si="1"/>
        <v>0</v>
      </c>
    </row>
    <row r="22" spans="1:25" ht="15" customHeight="1">
      <c r="A22" s="23">
        <v>8</v>
      </c>
      <c r="B22" s="6" t="s">
        <v>92</v>
      </c>
      <c r="C22" s="6" t="s">
        <v>11</v>
      </c>
      <c r="D22" s="23"/>
      <c r="E22" s="220">
        <v>43428584.539999999</v>
      </c>
      <c r="F22" s="118">
        <v>0</v>
      </c>
      <c r="G22" s="57">
        <f t="shared" si="2"/>
        <v>43428584.539999999</v>
      </c>
      <c r="H22" s="220">
        <v>0</v>
      </c>
      <c r="I22" s="57">
        <f t="shared" si="3"/>
        <v>43428584.539999999</v>
      </c>
      <c r="J22" s="175">
        <v>1</v>
      </c>
      <c r="K22" s="19">
        <f t="shared" si="4"/>
        <v>43428584.539999999</v>
      </c>
      <c r="L22" s="59"/>
      <c r="M22" s="23"/>
      <c r="N22" s="220">
        <v>14793725.09</v>
      </c>
      <c r="O22" s="220">
        <v>83350.940000000002</v>
      </c>
      <c r="P22" s="260">
        <v>0</v>
      </c>
      <c r="Q22" s="260">
        <f t="shared" si="5"/>
        <v>14877076.029999999</v>
      </c>
      <c r="R22" s="220">
        <v>25982536.489999998</v>
      </c>
      <c r="S22" s="260">
        <v>0</v>
      </c>
      <c r="T22" s="260">
        <f t="shared" si="6"/>
        <v>25982536.489999998</v>
      </c>
      <c r="U22" s="220">
        <v>2568972.02</v>
      </c>
      <c r="V22" s="220">
        <v>0</v>
      </c>
      <c r="W22" s="19">
        <f t="shared" si="7"/>
        <v>43428584.539999999</v>
      </c>
      <c r="X22" s="7" t="b">
        <f t="shared" si="0"/>
        <v>1</v>
      </c>
      <c r="Y22" s="45">
        <f t="shared" si="1"/>
        <v>0</v>
      </c>
    </row>
    <row r="23" spans="1:25" ht="15" customHeight="1">
      <c r="A23" s="23">
        <v>9</v>
      </c>
      <c r="B23" s="6" t="s">
        <v>93</v>
      </c>
      <c r="C23" s="6" t="s">
        <v>94</v>
      </c>
      <c r="D23" s="23"/>
      <c r="E23" s="220">
        <v>51910323.740000002</v>
      </c>
      <c r="F23" s="118">
        <v>0</v>
      </c>
      <c r="G23" s="57">
        <f>+E23+F23</f>
        <v>51910323.740000002</v>
      </c>
      <c r="H23" s="220">
        <v>0</v>
      </c>
      <c r="I23" s="57">
        <f t="shared" si="3"/>
        <v>51910323.740000002</v>
      </c>
      <c r="J23" s="175">
        <v>1</v>
      </c>
      <c r="K23" s="19">
        <f t="shared" si="4"/>
        <v>51910323.740000002</v>
      </c>
      <c r="L23" s="59"/>
      <c r="M23" s="23"/>
      <c r="N23" s="220">
        <v>30439015.969999999</v>
      </c>
      <c r="O23" s="220">
        <v>0</v>
      </c>
      <c r="P23" s="260">
        <v>0</v>
      </c>
      <c r="Q23" s="260">
        <f t="shared" si="5"/>
        <v>30439015.969999999</v>
      </c>
      <c r="R23" s="220">
        <v>17734119.199999999</v>
      </c>
      <c r="S23" s="260">
        <v>0</v>
      </c>
      <c r="T23" s="260">
        <f t="shared" si="6"/>
        <v>17734119.199999999</v>
      </c>
      <c r="U23" s="220">
        <v>3737188.5699999998</v>
      </c>
      <c r="V23" s="220">
        <v>0</v>
      </c>
      <c r="W23" s="19">
        <f t="shared" si="7"/>
        <v>51910323.740000002</v>
      </c>
      <c r="X23" s="7" t="b">
        <f t="shared" si="0"/>
        <v>1</v>
      </c>
      <c r="Y23" s="45">
        <f t="shared" si="1"/>
        <v>0</v>
      </c>
    </row>
    <row r="24" spans="1:25" ht="15" customHeight="1">
      <c r="A24" s="23">
        <v>10</v>
      </c>
      <c r="B24" s="6" t="s">
        <v>95</v>
      </c>
      <c r="C24" s="6" t="s">
        <v>96</v>
      </c>
      <c r="D24" s="23"/>
      <c r="E24" s="220">
        <v>12897886.42</v>
      </c>
      <c r="F24" s="118">
        <v>0</v>
      </c>
      <c r="G24" s="57">
        <f t="shared" si="2"/>
        <v>12897886.42</v>
      </c>
      <c r="H24" s="220">
        <v>0</v>
      </c>
      <c r="I24" s="57">
        <f t="shared" si="3"/>
        <v>12897886.42</v>
      </c>
      <c r="J24" s="175">
        <v>1</v>
      </c>
      <c r="K24" s="19">
        <f t="shared" si="4"/>
        <v>12897886.42</v>
      </c>
      <c r="L24" s="59"/>
      <c r="M24" s="23"/>
      <c r="N24" s="220">
        <v>3982231.1000000001</v>
      </c>
      <c r="O24" s="220">
        <v>358439.65000000002</v>
      </c>
      <c r="P24" s="260">
        <v>0</v>
      </c>
      <c r="Q24" s="260">
        <f t="shared" si="5"/>
        <v>4340670.75</v>
      </c>
      <c r="R24" s="220">
        <v>7626625.3200000003</v>
      </c>
      <c r="S24" s="260">
        <v>0</v>
      </c>
      <c r="T24" s="260">
        <f t="shared" si="6"/>
        <v>7626625.3200000003</v>
      </c>
      <c r="U24" s="220">
        <v>930590.34999999998</v>
      </c>
      <c r="V24" s="220">
        <v>0</v>
      </c>
      <c r="W24" s="19">
        <f t="shared" si="7"/>
        <v>12897886.42</v>
      </c>
      <c r="X24" s="7" t="b">
        <f t="shared" si="0"/>
        <v>1</v>
      </c>
      <c r="Y24" s="45">
        <f t="shared" si="1"/>
        <v>0</v>
      </c>
    </row>
    <row r="25" spans="1:23" ht="15" customHeight="1">
      <c r="A25" s="23">
        <v>11</v>
      </c>
      <c r="B25" s="6"/>
      <c r="C25" s="6"/>
      <c r="D25" s="23"/>
      <c r="E25" s="155"/>
      <c r="F25" s="155"/>
      <c r="G25" s="155"/>
      <c r="H25" s="155"/>
      <c r="I25" s="155"/>
      <c r="J25" s="177"/>
      <c r="K25" s="155"/>
      <c r="L25" s="59"/>
      <c r="M25" s="23"/>
      <c r="N25" s="155"/>
      <c r="O25" s="155"/>
      <c r="P25" s="155"/>
      <c r="Q25" s="155"/>
      <c r="R25" s="155"/>
      <c r="S25" s="155"/>
      <c r="T25" s="155"/>
      <c r="U25" s="155"/>
      <c r="V25" s="155"/>
      <c r="W25" s="155"/>
    </row>
    <row r="26" spans="1:25" s="6" customFormat="1" ht="15" customHeight="1">
      <c r="A26" s="23">
        <v>12</v>
      </c>
      <c r="C26" s="58" t="s">
        <v>198</v>
      </c>
      <c r="D26" s="53"/>
      <c r="E26" s="188">
        <f>SUM(E16:E24)</f>
        <v>788787211.00999999</v>
      </c>
      <c r="F26" s="188">
        <f>SUM(F16:F24)</f>
        <v>0</v>
      </c>
      <c r="G26" s="188">
        <f>SUM(G16:G24)</f>
        <v>788787211.00999999</v>
      </c>
      <c r="H26" s="188">
        <f>SUM(H16:H24)</f>
        <v>-34242544.409999996</v>
      </c>
      <c r="I26" s="188">
        <f>SUM(I16:I24)</f>
        <v>754544666.5999999</v>
      </c>
      <c r="J26" s="188"/>
      <c r="K26" s="188">
        <f>SUM(K16:K24)</f>
        <v>754544666.5999999</v>
      </c>
      <c r="L26" s="188"/>
      <c r="M26" s="188"/>
      <c r="N26" s="188">
        <f t="shared" si="8" ref="N26:P26">SUM(N16:N24)</f>
        <v>220740876.83000001</v>
      </c>
      <c r="O26" s="188">
        <f t="shared" si="8"/>
        <v>5792136.6600000011</v>
      </c>
      <c r="P26" s="188">
        <f t="shared" si="8"/>
        <v>0</v>
      </c>
      <c r="Q26" s="188">
        <f t="shared" si="9" ref="Q26:W26">SUM(Q16:Q24)</f>
        <v>226533013.49000004</v>
      </c>
      <c r="R26" s="188">
        <f t="shared" si="9"/>
        <v>324368101.23000002</v>
      </c>
      <c r="S26" s="188">
        <f t="shared" si="9"/>
        <v>0</v>
      </c>
      <c r="T26" s="188">
        <f t="shared" si="9"/>
        <v>324368101.23000002</v>
      </c>
      <c r="U26" s="188">
        <f t="shared" si="9"/>
        <v>103542795.91999999</v>
      </c>
      <c r="V26" s="188">
        <f t="shared" si="9"/>
        <v>100100755.95999999</v>
      </c>
      <c r="W26" s="188">
        <f t="shared" si="9"/>
        <v>754544666.5999999</v>
      </c>
      <c r="X26" s="7" t="b">
        <f>ROUND(+W26,2)=ROUND(K26,2)</f>
        <v>1</v>
      </c>
      <c r="Y26" s="45">
        <f>+K26-W26</f>
        <v>0</v>
      </c>
    </row>
    <row r="27" spans="1:23" s="10" customFormat="1" ht="12.75">
      <c r="A27" s="23">
        <v>13</v>
      </c>
      <c r="C27" s="58"/>
      <c r="D27" s="53"/>
      <c r="E27" s="55"/>
      <c r="F27" s="55"/>
      <c r="G27" s="55"/>
      <c r="H27" s="55"/>
      <c r="I27" s="55"/>
      <c r="J27" s="176"/>
      <c r="K27" s="55"/>
      <c r="L27" s="53"/>
      <c r="M27" s="53"/>
      <c r="N27" s="55"/>
      <c r="O27" s="55"/>
      <c r="P27" s="55"/>
      <c r="Q27" s="55"/>
      <c r="R27" s="55"/>
      <c r="S27" s="55"/>
      <c r="T27" s="55"/>
      <c r="U27" s="55"/>
      <c r="V27" s="55"/>
      <c r="W27" s="55"/>
    </row>
    <row r="28" spans="1:25" ht="15" customHeight="1">
      <c r="A28" s="23">
        <v>14</v>
      </c>
      <c r="B28" s="6" t="s">
        <v>99</v>
      </c>
      <c r="C28" s="6" t="s">
        <v>12</v>
      </c>
      <c r="D28" s="23"/>
      <c r="E28" s="222">
        <v>12767813.69</v>
      </c>
      <c r="F28" s="185">
        <v>0</v>
      </c>
      <c r="G28" s="187">
        <f>+E28+F28</f>
        <v>12767813.69</v>
      </c>
      <c r="H28" s="228">
        <v>0</v>
      </c>
      <c r="I28" s="187">
        <f>+G28+H28</f>
        <v>12767813.69</v>
      </c>
      <c r="J28" s="175">
        <v>1</v>
      </c>
      <c r="K28" s="187">
        <f>+I28*J28</f>
        <v>12767813.69</v>
      </c>
      <c r="L28" s="187"/>
      <c r="M28" s="187"/>
      <c r="N28" s="228">
        <v>5788727.4000000004</v>
      </c>
      <c r="O28" s="228">
        <v>31366.919999999998</v>
      </c>
      <c r="P28" s="229">
        <v>0</v>
      </c>
      <c r="Q28" s="229">
        <f t="shared" si="10" ref="Q28:Q29">SUM(N28:P28)</f>
        <v>5820094.3200000003</v>
      </c>
      <c r="R28" s="228">
        <v>5763893.6799999997</v>
      </c>
      <c r="S28" s="229">
        <v>0</v>
      </c>
      <c r="T28" s="229">
        <f>SUM(R28:S28)</f>
        <v>5763893.6799999997</v>
      </c>
      <c r="U28" s="228">
        <v>1183825.6899999999</v>
      </c>
      <c r="V28" s="228">
        <v>0</v>
      </c>
      <c r="W28" s="187">
        <f t="shared" si="11" ref="W28:W29">+Q28+T28+U28+V28</f>
        <v>12767813.69</v>
      </c>
      <c r="X28" s="7" t="b">
        <f>ROUND(+W28,2)=ROUND(K28,2)</f>
        <v>1</v>
      </c>
      <c r="Y28" s="45">
        <f>+K28-W28</f>
        <v>0</v>
      </c>
    </row>
    <row r="29" spans="1:25" s="6" customFormat="1" ht="15" customHeight="1">
      <c r="A29" s="23">
        <v>15</v>
      </c>
      <c r="B29" s="6" t="s">
        <v>200</v>
      </c>
      <c r="C29" s="6" t="s">
        <v>201</v>
      </c>
      <c r="D29" s="23"/>
      <c r="E29" s="118">
        <v>0</v>
      </c>
      <c r="F29" s="118">
        <v>0</v>
      </c>
      <c r="G29" s="57">
        <f>+E29+F29</f>
        <v>0</v>
      </c>
      <c r="H29" s="118">
        <v>0</v>
      </c>
      <c r="I29" s="57">
        <f>+G29+H29</f>
        <v>0</v>
      </c>
      <c r="J29" s="175">
        <v>1</v>
      </c>
      <c r="K29" s="19">
        <f>+I29*J29</f>
        <v>0</v>
      </c>
      <c r="L29" s="23"/>
      <c r="M29" s="23"/>
      <c r="N29" s="118">
        <v>0</v>
      </c>
      <c r="O29" s="118">
        <v>0</v>
      </c>
      <c r="P29" s="118">
        <v>0</v>
      </c>
      <c r="Q29" s="118">
        <f t="shared" si="10"/>
        <v>0</v>
      </c>
      <c r="R29" s="118">
        <v>0</v>
      </c>
      <c r="S29" s="118">
        <v>0</v>
      </c>
      <c r="T29" s="118">
        <f>SUM(R29:S29)</f>
        <v>0</v>
      </c>
      <c r="U29" s="118">
        <v>0</v>
      </c>
      <c r="V29" s="118">
        <v>0</v>
      </c>
      <c r="W29" s="19">
        <f t="shared" si="11"/>
        <v>0</v>
      </c>
      <c r="X29" s="7" t="b">
        <f>ROUND(+W29,2)=ROUND(K29,2)</f>
        <v>1</v>
      </c>
      <c r="Y29" s="45">
        <f>+K29-W29</f>
        <v>0</v>
      </c>
    </row>
    <row r="30" spans="1:23" s="6" customFormat="1" ht="15" customHeight="1">
      <c r="A30" s="23">
        <v>16</v>
      </c>
      <c r="D30" s="23"/>
      <c r="E30" s="156"/>
      <c r="F30" s="156"/>
      <c r="G30" s="156"/>
      <c r="H30" s="156"/>
      <c r="I30" s="156"/>
      <c r="J30" s="177"/>
      <c r="K30" s="156"/>
      <c r="L30" s="23"/>
      <c r="M30" s="23"/>
      <c r="N30" s="157"/>
      <c r="O30" s="157"/>
      <c r="P30" s="157"/>
      <c r="Q30" s="157"/>
      <c r="R30" s="157"/>
      <c r="S30" s="157"/>
      <c r="T30" s="157"/>
      <c r="U30" s="157"/>
      <c r="V30" s="157"/>
      <c r="W30" s="157"/>
    </row>
    <row r="31" spans="1:25" s="6" customFormat="1" ht="15" customHeight="1">
      <c r="A31" s="23">
        <v>17</v>
      </c>
      <c r="C31" s="58" t="s">
        <v>202</v>
      </c>
      <c r="D31" s="53"/>
      <c r="E31" s="188">
        <f>SUM(E28:E29)</f>
        <v>12767813.69</v>
      </c>
      <c r="F31" s="188">
        <f>SUM(F28:F29)</f>
        <v>0</v>
      </c>
      <c r="G31" s="188">
        <f>SUM(G28:G29)</f>
        <v>12767813.69</v>
      </c>
      <c r="H31" s="188">
        <f>SUM(H28:H29)</f>
        <v>0</v>
      </c>
      <c r="I31" s="188">
        <f>SUM(I28:I29)</f>
        <v>12767813.69</v>
      </c>
      <c r="J31" s="188"/>
      <c r="K31" s="188">
        <f>SUM(K28:K29)</f>
        <v>12767813.69</v>
      </c>
      <c r="L31" s="188"/>
      <c r="M31" s="188"/>
      <c r="N31" s="188">
        <f t="shared" si="12" ref="N31:W31">SUM(N28:N29)</f>
        <v>5788727.4000000004</v>
      </c>
      <c r="O31" s="188">
        <f t="shared" si="12"/>
        <v>31366.919999999998</v>
      </c>
      <c r="P31" s="188">
        <f t="shared" si="13" ref="P31">SUM(P28:P29)</f>
        <v>0</v>
      </c>
      <c r="Q31" s="188">
        <f t="shared" si="12"/>
        <v>5820094.3200000003</v>
      </c>
      <c r="R31" s="188">
        <f t="shared" si="12"/>
        <v>5763893.6799999997</v>
      </c>
      <c r="S31" s="188">
        <f t="shared" si="14" ref="S31:T31">SUM(S28:S29)</f>
        <v>0</v>
      </c>
      <c r="T31" s="188">
        <f t="shared" si="14"/>
        <v>5763893.6799999997</v>
      </c>
      <c r="U31" s="188">
        <f t="shared" si="12"/>
        <v>1183825.6899999999</v>
      </c>
      <c r="V31" s="188">
        <f t="shared" si="15" ref="V31">SUM(V28:V29)</f>
        <v>0</v>
      </c>
      <c r="W31" s="188">
        <f t="shared" si="12"/>
        <v>12767813.69</v>
      </c>
      <c r="X31" s="7" t="b">
        <f>ROUND(+W31,2)=ROUND(K31,2)</f>
        <v>1</v>
      </c>
      <c r="Y31" s="45">
        <f>+K31-W31</f>
        <v>0</v>
      </c>
    </row>
    <row r="32" spans="1:23" s="10" customFormat="1" ht="15" customHeight="1">
      <c r="A32" s="23">
        <v>18</v>
      </c>
      <c r="C32" s="58"/>
      <c r="D32" s="53"/>
      <c r="E32" s="55"/>
      <c r="F32" s="55"/>
      <c r="G32" s="55"/>
      <c r="H32" s="55"/>
      <c r="I32" s="55"/>
      <c r="J32" s="176"/>
      <c r="K32" s="55"/>
      <c r="L32" s="53"/>
      <c r="M32" s="53"/>
      <c r="N32" s="55"/>
      <c r="O32" s="55"/>
      <c r="P32" s="55"/>
      <c r="Q32" s="55"/>
      <c r="R32" s="55"/>
      <c r="S32" s="55"/>
      <c r="T32" s="55"/>
      <c r="U32" s="55"/>
      <c r="V32" s="55"/>
      <c r="W32" s="55"/>
    </row>
    <row r="33" spans="1:25" s="10" customFormat="1" ht="15" customHeight="1">
      <c r="A33" s="23">
        <v>19</v>
      </c>
      <c r="B33" s="10" t="s">
        <v>135</v>
      </c>
      <c r="D33" s="53" t="s">
        <v>153</v>
      </c>
      <c r="E33" s="188">
        <f>+E26+E31</f>
        <v>801555024.70000005</v>
      </c>
      <c r="F33" s="188">
        <f>+F26+F31</f>
        <v>0</v>
      </c>
      <c r="G33" s="188">
        <f>+G26+G31</f>
        <v>801555024.70000005</v>
      </c>
      <c r="H33" s="188">
        <f>+H26+H31</f>
        <v>-34242544.409999996</v>
      </c>
      <c r="I33" s="188">
        <f>+I26+I31</f>
        <v>767312480.28999996</v>
      </c>
      <c r="J33" s="188"/>
      <c r="K33" s="188">
        <f>+K26+K31</f>
        <v>767312480.28999996</v>
      </c>
      <c r="L33" s="188"/>
      <c r="M33" s="188"/>
      <c r="N33" s="188">
        <f t="shared" si="16" ref="N33:W33">+N26+N31</f>
        <v>226529604.23000002</v>
      </c>
      <c r="O33" s="188">
        <f t="shared" si="16"/>
        <v>5823503.580000001</v>
      </c>
      <c r="P33" s="188">
        <f t="shared" si="17" ref="P33">+P26+P31</f>
        <v>0</v>
      </c>
      <c r="Q33" s="188">
        <f t="shared" si="16"/>
        <v>232353107.81000003</v>
      </c>
      <c r="R33" s="188">
        <f t="shared" si="16"/>
        <v>330131994.91000003</v>
      </c>
      <c r="S33" s="188">
        <f t="shared" si="18" ref="S33:T33">+S26+S31</f>
        <v>0</v>
      </c>
      <c r="T33" s="188">
        <f t="shared" si="18"/>
        <v>330131994.91000003</v>
      </c>
      <c r="U33" s="188">
        <f t="shared" si="16"/>
        <v>104726621.60999998</v>
      </c>
      <c r="V33" s="188">
        <f t="shared" si="19" ref="V33">+V26+V31</f>
        <v>100100755.95999999</v>
      </c>
      <c r="W33" s="188">
        <f t="shared" si="16"/>
        <v>767312480.28999996</v>
      </c>
      <c r="X33" s="7" t="b">
        <f>ROUND(+W33,2)=ROUND(K33,2)</f>
        <v>1</v>
      </c>
      <c r="Y33" s="45">
        <f>+K33-W33</f>
        <v>0</v>
      </c>
    </row>
    <row r="34" spans="4:21" s="10" customFormat="1" ht="12.75">
      <c r="D34" s="53"/>
      <c r="E34" s="55"/>
      <c r="F34" s="55"/>
      <c r="G34" s="55"/>
      <c r="H34" s="55"/>
      <c r="I34" s="55"/>
      <c r="J34" s="55"/>
      <c r="K34" s="55"/>
      <c r="L34" s="53"/>
      <c r="M34" s="53"/>
      <c r="N34" s="55"/>
      <c r="O34" s="55"/>
      <c r="P34" s="55"/>
      <c r="Q34" s="55"/>
      <c r="R34" s="55"/>
      <c r="S34" s="55"/>
      <c r="T34" s="55"/>
      <c r="U34" s="55"/>
    </row>
    <row r="38" spans="2:23" s="10" customFormat="1" ht="12.75">
      <c r="B38" s="6"/>
      <c r="C38" s="6"/>
      <c r="D38" s="53"/>
      <c r="E38" s="19"/>
      <c r="F38" s="19"/>
      <c r="G38" s="55"/>
      <c r="H38" s="19"/>
      <c r="I38" s="19"/>
      <c r="J38" s="19"/>
      <c r="K38" s="56"/>
      <c r="L38" s="23"/>
      <c r="M38" s="23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2:23" s="10" customFormat="1" ht="12.75">
      <c r="B39" s="6"/>
      <c r="C39" s="6"/>
      <c r="D39" s="53"/>
      <c r="E39" s="19"/>
      <c r="F39" s="19"/>
      <c r="G39" s="55"/>
      <c r="H39" s="19"/>
      <c r="I39" s="19"/>
      <c r="J39" s="19"/>
      <c r="K39" s="56"/>
      <c r="L39" s="23"/>
      <c r="M39" s="23"/>
      <c r="N39" s="56"/>
      <c r="O39" s="56"/>
      <c r="P39" s="56"/>
      <c r="Q39" s="56"/>
      <c r="R39" s="56"/>
      <c r="S39" s="56"/>
      <c r="T39" s="56"/>
      <c r="U39" s="56"/>
      <c r="V39" s="56"/>
      <c r="W39" s="56"/>
    </row>
    <row r="40" spans="2:23" s="10" customFormat="1" ht="12.75">
      <c r="B40" s="6"/>
      <c r="C40" s="6"/>
      <c r="D40" s="53"/>
      <c r="E40" s="19"/>
      <c r="F40" s="19"/>
      <c r="G40" s="55"/>
      <c r="H40" s="19"/>
      <c r="I40" s="19"/>
      <c r="J40" s="19"/>
      <c r="K40" s="56"/>
      <c r="L40" s="23"/>
      <c r="M40" s="23"/>
      <c r="N40" s="56"/>
      <c r="O40" s="56"/>
      <c r="P40" s="56"/>
      <c r="Q40" s="56"/>
      <c r="R40" s="56"/>
      <c r="S40" s="56"/>
      <c r="T40" s="56"/>
      <c r="U40" s="56"/>
      <c r="V40" s="56"/>
      <c r="W40" s="56"/>
    </row>
    <row r="41" spans="2:23" s="10" customFormat="1" ht="12.75">
      <c r="B41" s="6"/>
      <c r="C41" s="6"/>
      <c r="D41" s="53"/>
      <c r="E41" s="19"/>
      <c r="F41" s="19"/>
      <c r="G41" s="55"/>
      <c r="H41" s="19"/>
      <c r="I41" s="19"/>
      <c r="J41" s="19"/>
      <c r="K41" s="56"/>
      <c r="L41" s="23"/>
      <c r="M41" s="23"/>
      <c r="N41" s="56"/>
      <c r="O41" s="56"/>
      <c r="P41" s="56"/>
      <c r="Q41" s="56"/>
      <c r="R41" s="56"/>
      <c r="S41" s="56"/>
      <c r="T41" s="56"/>
      <c r="U41" s="56"/>
      <c r="V41" s="56"/>
      <c r="W41" s="56"/>
    </row>
    <row r="42" spans="2:23" s="10" customFormat="1" ht="12.75">
      <c r="B42" s="6"/>
      <c r="C42" s="6"/>
      <c r="D42" s="53"/>
      <c r="E42" s="19"/>
      <c r="F42" s="19"/>
      <c r="G42" s="55"/>
      <c r="H42" s="19"/>
      <c r="I42" s="19"/>
      <c r="J42" s="19"/>
      <c r="K42" s="56"/>
      <c r="L42" s="23"/>
      <c r="M42" s="23"/>
      <c r="N42" s="56"/>
      <c r="O42" s="56"/>
      <c r="P42" s="56"/>
      <c r="Q42" s="56"/>
      <c r="R42" s="19"/>
      <c r="S42" s="19"/>
      <c r="T42" s="19"/>
      <c r="U42" s="19"/>
      <c r="V42" s="19"/>
      <c r="W42" s="56"/>
    </row>
    <row r="43" spans="2:23" s="10" customFormat="1" ht="12.75">
      <c r="B43" s="6"/>
      <c r="C43" s="6"/>
      <c r="D43" s="53"/>
      <c r="E43" s="19"/>
      <c r="F43" s="19"/>
      <c r="G43" s="55"/>
      <c r="H43" s="19"/>
      <c r="I43" s="19"/>
      <c r="J43" s="19"/>
      <c r="K43" s="56"/>
      <c r="L43" s="23"/>
      <c r="M43" s="23"/>
      <c r="N43" s="56"/>
      <c r="O43" s="56"/>
      <c r="P43" s="56"/>
      <c r="Q43" s="56"/>
      <c r="R43" s="56"/>
      <c r="S43" s="56"/>
      <c r="T43" s="56"/>
      <c r="U43" s="56"/>
      <c r="V43" s="56"/>
      <c r="W43" s="56"/>
    </row>
    <row r="44" spans="3:23" s="10" customFormat="1" ht="12.75">
      <c r="C44" s="58"/>
      <c r="D44" s="53"/>
      <c r="E44" s="63"/>
      <c r="F44" s="63"/>
      <c r="G44" s="63"/>
      <c r="H44" s="63"/>
      <c r="I44" s="63"/>
      <c r="J44" s="63"/>
      <c r="K44" s="63"/>
      <c r="L44" s="53"/>
      <c r="M44" s="53"/>
      <c r="N44" s="63"/>
      <c r="O44" s="63"/>
      <c r="P44" s="63"/>
      <c r="Q44" s="63"/>
      <c r="R44" s="63"/>
      <c r="S44" s="63"/>
      <c r="T44" s="63"/>
      <c r="U44" s="63"/>
      <c r="V44" s="63"/>
      <c r="W44" s="63"/>
    </row>
    <row r="45" spans="2:21" s="10" customFormat="1" ht="12.75">
      <c r="B45" s="6"/>
      <c r="C45" s="58"/>
      <c r="D45" s="53"/>
      <c r="E45" s="55"/>
      <c r="F45" s="55"/>
      <c r="G45" s="55"/>
      <c r="H45" s="55"/>
      <c r="I45" s="55"/>
      <c r="J45" s="55"/>
      <c r="K45" s="55"/>
      <c r="L45" s="23"/>
      <c r="M45" s="23"/>
      <c r="N45" s="55"/>
      <c r="O45" s="55"/>
      <c r="P45" s="55"/>
      <c r="Q45" s="55"/>
      <c r="R45" s="55"/>
      <c r="S45" s="55"/>
      <c r="T45" s="55"/>
      <c r="U45" s="55"/>
    </row>
    <row r="46" spans="2:23" s="10" customFormat="1" ht="12.75">
      <c r="B46" s="6"/>
      <c r="C46" s="6"/>
      <c r="D46" s="53"/>
      <c r="E46" s="19"/>
      <c r="F46" s="19"/>
      <c r="G46" s="55"/>
      <c r="H46" s="19"/>
      <c r="I46" s="19"/>
      <c r="J46" s="19"/>
      <c r="K46" s="56"/>
      <c r="L46" s="23"/>
      <c r="M46" s="23"/>
      <c r="N46" s="19"/>
      <c r="O46" s="19"/>
      <c r="P46" s="19"/>
      <c r="Q46" s="19"/>
      <c r="R46" s="19"/>
      <c r="S46" s="19"/>
      <c r="T46" s="19"/>
      <c r="U46" s="19"/>
      <c r="V46" s="19"/>
      <c r="W46" s="56"/>
    </row>
    <row r="47" spans="2:23" s="10" customFormat="1" ht="12.75">
      <c r="B47" s="6"/>
      <c r="C47" s="6"/>
      <c r="D47" s="53"/>
      <c r="E47" s="19"/>
      <c r="F47" s="19"/>
      <c r="G47" s="55"/>
      <c r="H47" s="19"/>
      <c r="I47" s="19"/>
      <c r="J47" s="19"/>
      <c r="K47" s="56"/>
      <c r="L47" s="23"/>
      <c r="M47" s="23"/>
      <c r="N47" s="56"/>
      <c r="O47" s="56"/>
      <c r="P47" s="56"/>
      <c r="Q47" s="56"/>
      <c r="R47" s="56"/>
      <c r="S47" s="56"/>
      <c r="T47" s="56"/>
      <c r="U47" s="56"/>
      <c r="V47" s="56"/>
      <c r="W47" s="56"/>
    </row>
    <row r="48" spans="2:23" s="10" customFormat="1" ht="12.75">
      <c r="B48" s="6"/>
      <c r="C48" s="6"/>
      <c r="D48" s="53"/>
      <c r="E48" s="19"/>
      <c r="F48" s="19"/>
      <c r="G48" s="55"/>
      <c r="H48" s="19"/>
      <c r="I48" s="19"/>
      <c r="J48" s="19"/>
      <c r="K48" s="56"/>
      <c r="L48" s="23"/>
      <c r="M48" s="23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2:23" s="10" customFormat="1" ht="12.75">
      <c r="B49" s="6"/>
      <c r="C49" s="6"/>
      <c r="D49" s="53"/>
      <c r="E49" s="19"/>
      <c r="F49" s="19"/>
      <c r="G49" s="55"/>
      <c r="H49" s="19"/>
      <c r="I49" s="19"/>
      <c r="J49" s="19"/>
      <c r="K49" s="56"/>
      <c r="L49" s="23"/>
      <c r="M49" s="23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3:23" s="10" customFormat="1" ht="12.75">
      <c r="C50" s="58"/>
      <c r="D50" s="53"/>
      <c r="E50" s="55"/>
      <c r="F50" s="55"/>
      <c r="G50" s="55"/>
      <c r="H50" s="55"/>
      <c r="I50" s="55"/>
      <c r="J50" s="55"/>
      <c r="K50" s="55"/>
      <c r="L50" s="53"/>
      <c r="M50" s="53"/>
      <c r="N50" s="55"/>
      <c r="O50" s="55"/>
      <c r="P50" s="55"/>
      <c r="Q50" s="55"/>
      <c r="R50" s="55"/>
      <c r="S50" s="55"/>
      <c r="T50" s="55"/>
      <c r="U50" s="55"/>
      <c r="V50" s="55"/>
      <c r="W50" s="55"/>
    </row>
    <row r="51" spans="4:21" s="10" customFormat="1" ht="12.75">
      <c r="D51" s="53"/>
      <c r="E51" s="55"/>
      <c r="F51" s="55"/>
      <c r="G51" s="55"/>
      <c r="H51" s="55"/>
      <c r="I51" s="55"/>
      <c r="J51" s="55"/>
      <c r="K51" s="55"/>
      <c r="L51" s="53"/>
      <c r="M51" s="53"/>
      <c r="N51" s="55"/>
      <c r="O51" s="55"/>
      <c r="P51" s="55"/>
      <c r="Q51" s="55"/>
      <c r="R51" s="55"/>
      <c r="S51" s="55"/>
      <c r="T51" s="55"/>
      <c r="U51" s="55"/>
    </row>
    <row r="52" spans="4:13" s="6" customFormat="1" ht="12.75">
      <c r="D52" s="23"/>
      <c r="L52" s="59"/>
      <c r="M52" s="23"/>
    </row>
    <row r="53" spans="4:13" s="6" customFormat="1" ht="12.75">
      <c r="D53" s="23"/>
      <c r="L53" s="59"/>
      <c r="M53" s="23"/>
    </row>
    <row r="54" spans="3:13" s="6" customFormat="1" ht="12.75">
      <c r="C54" s="64"/>
      <c r="D54" s="1"/>
      <c r="L54" s="65"/>
      <c r="M54" s="1"/>
    </row>
    <row r="55" spans="4:13" s="6" customFormat="1" ht="12.75">
      <c r="D55" s="23"/>
      <c r="L55" s="59"/>
      <c r="M55" s="23"/>
    </row>
    <row r="56" spans="3:13" s="6" customFormat="1" ht="12.75">
      <c r="C56" s="60"/>
      <c r="D56" s="61"/>
      <c r="L56" s="66"/>
      <c r="M56" s="61"/>
    </row>
    <row r="57" spans="4:13" s="6" customFormat="1" ht="12.75">
      <c r="D57" s="23"/>
      <c r="L57" s="59"/>
      <c r="M57" s="23"/>
    </row>
    <row r="58" spans="3:13" s="6" customFormat="1" ht="12.75">
      <c r="C58" s="60"/>
      <c r="D58" s="23"/>
      <c r="L58" s="66"/>
      <c r="M58" s="61"/>
    </row>
    <row r="59" spans="3:13" s="6" customFormat="1" ht="12.75">
      <c r="C59" s="61"/>
      <c r="D59" s="61"/>
      <c r="L59" s="66"/>
      <c r="M59" s="61"/>
    </row>
    <row r="60" spans="4:13" s="6" customFormat="1" ht="12.75">
      <c r="D60" s="23"/>
      <c r="L60" s="59"/>
      <c r="M60" s="23"/>
    </row>
    <row r="61" spans="2:13" s="6" customFormat="1" ht="12.75">
      <c r="B61" s="10"/>
      <c r="D61" s="23"/>
      <c r="L61" s="59"/>
      <c r="M61" s="23"/>
    </row>
    <row r="62" spans="4:13" s="6" customFormat="1" ht="12.75">
      <c r="D62" s="23"/>
      <c r="L62" s="59"/>
      <c r="M62" s="23"/>
    </row>
    <row r="63" spans="4:13" s="6" customFormat="1" ht="12.75">
      <c r="D63" s="23"/>
      <c r="L63" s="59"/>
      <c r="M63" s="23"/>
    </row>
    <row r="64" spans="4:13" s="6" customFormat="1" ht="12.75">
      <c r="D64" s="23"/>
      <c r="L64" s="59"/>
      <c r="M64" s="23"/>
    </row>
    <row r="65" spans="4:13" s="6" customFormat="1" ht="12.75">
      <c r="D65" s="23"/>
      <c r="L65" s="59"/>
      <c r="M65" s="23"/>
    </row>
    <row r="66" spans="4:13" s="6" customFormat="1" ht="12.75">
      <c r="D66" s="23"/>
      <c r="L66" s="59"/>
      <c r="M66" s="23"/>
    </row>
    <row r="67" spans="4:13" s="6" customFormat="1" ht="12.75">
      <c r="D67" s="23"/>
      <c r="L67" s="59"/>
      <c r="M67" s="23"/>
    </row>
    <row r="68" spans="4:13" s="6" customFormat="1" ht="12.75">
      <c r="D68" s="23"/>
      <c r="L68" s="59"/>
      <c r="M68" s="23"/>
    </row>
    <row r="69" spans="4:13" s="6" customFormat="1" ht="12.75">
      <c r="D69" s="23"/>
      <c r="L69" s="59"/>
      <c r="M69" s="23"/>
    </row>
    <row r="70" spans="4:13" s="6" customFormat="1" ht="12.75">
      <c r="D70" s="23"/>
      <c r="L70" s="59"/>
      <c r="M70" s="23"/>
    </row>
    <row r="71" spans="4:13" s="6" customFormat="1" ht="12.75">
      <c r="D71" s="23"/>
      <c r="L71" s="59"/>
      <c r="M71" s="23"/>
    </row>
    <row r="72" spans="4:13" s="6" customFormat="1" ht="12.75">
      <c r="D72" s="23"/>
      <c r="L72" s="59"/>
      <c r="M72" s="23"/>
    </row>
    <row r="73" spans="4:13" s="6" customFormat="1" ht="12.75">
      <c r="D73" s="23"/>
      <c r="L73" s="59"/>
      <c r="M73" s="23"/>
    </row>
    <row r="74" spans="4:13" s="6" customFormat="1" ht="12.75">
      <c r="D74" s="23"/>
      <c r="L74" s="59"/>
      <c r="M74" s="23"/>
    </row>
    <row r="75" spans="4:13" s="6" customFormat="1" ht="12.75">
      <c r="D75" s="23"/>
      <c r="L75" s="59"/>
      <c r="M75" s="23"/>
    </row>
    <row r="76" spans="3:13" s="6" customFormat="1" ht="12.75">
      <c r="C76" s="74"/>
      <c r="D76" s="23"/>
      <c r="L76" s="59"/>
      <c r="M76" s="23"/>
    </row>
    <row r="77" spans="4:13" s="6" customFormat="1" ht="12.75">
      <c r="D77" s="23"/>
      <c r="L77" s="59"/>
      <c r="M77" s="23"/>
    </row>
    <row r="78" spans="4:13" s="6" customFormat="1" ht="12.75">
      <c r="D78" s="23"/>
      <c r="L78" s="59"/>
      <c r="M78" s="23"/>
    </row>
    <row r="79" spans="4:13" s="6" customFormat="1" ht="12.75">
      <c r="D79" s="23"/>
      <c r="L79" s="59"/>
      <c r="M79" s="23"/>
    </row>
    <row r="80" spans="4:13" s="6" customFormat="1" ht="12.75">
      <c r="D80" s="23"/>
      <c r="L80" s="59"/>
      <c r="M80" s="23"/>
    </row>
    <row r="81" spans="4:13" s="6" customFormat="1" ht="12.75">
      <c r="D81" s="23"/>
      <c r="L81" s="59"/>
      <c r="M81" s="23"/>
    </row>
    <row r="82" spans="4:13" s="6" customFormat="1" ht="12.75">
      <c r="D82" s="23"/>
      <c r="L82" s="59"/>
      <c r="M82" s="23"/>
    </row>
    <row r="83" spans="4:13" s="6" customFormat="1" ht="12.75">
      <c r="D83" s="23"/>
      <c r="L83" s="59"/>
      <c r="M83" s="23"/>
    </row>
    <row r="84" spans="4:13" s="6" customFormat="1" ht="12.75">
      <c r="D84" s="23"/>
      <c r="L84" s="59"/>
      <c r="M84" s="23"/>
    </row>
    <row r="85" spans="4:13" s="6" customFormat="1" ht="12.75">
      <c r="D85" s="23"/>
      <c r="L85" s="59"/>
      <c r="M85" s="23"/>
    </row>
    <row r="86" spans="4:13" s="6" customFormat="1" ht="12.75">
      <c r="D86" s="23"/>
      <c r="L86" s="59"/>
      <c r="M86" s="23"/>
    </row>
    <row r="87" spans="4:13" s="6" customFormat="1" ht="12.75">
      <c r="D87" s="23"/>
      <c r="L87" s="59"/>
      <c r="M87" s="23"/>
    </row>
    <row r="88" spans="4:13" s="6" customFormat="1" ht="12.75">
      <c r="D88" s="23"/>
      <c r="L88" s="59"/>
      <c r="M88" s="23"/>
    </row>
    <row r="89" spans="4:13" s="6" customFormat="1" ht="12.75">
      <c r="D89" s="23"/>
      <c r="L89" s="59"/>
      <c r="M89" s="23"/>
    </row>
    <row r="90" spans="4:13" s="6" customFormat="1" ht="12.75">
      <c r="D90" s="23"/>
      <c r="L90" s="59"/>
      <c r="M90" s="23"/>
    </row>
    <row r="91" spans="4:13" s="6" customFormat="1" ht="12.75">
      <c r="D91" s="23"/>
      <c r="L91" s="59"/>
      <c r="M91" s="23"/>
    </row>
    <row r="92" spans="4:13" s="6" customFormat="1" ht="12.75">
      <c r="D92" s="23"/>
      <c r="L92" s="59"/>
      <c r="M92" s="23"/>
    </row>
    <row r="93" spans="4:13" s="6" customFormat="1" ht="12.75">
      <c r="D93" s="23"/>
      <c r="L93" s="59"/>
      <c r="M93" s="23"/>
    </row>
    <row r="94" spans="4:13" s="6" customFormat="1" ht="12.75">
      <c r="D94" s="23"/>
      <c r="L94" s="59"/>
      <c r="M94" s="23"/>
    </row>
    <row r="95" spans="4:13" s="6" customFormat="1" ht="12.75">
      <c r="D95" s="23"/>
      <c r="L95" s="59"/>
      <c r="M95" s="23"/>
    </row>
    <row r="96" spans="4:13" s="6" customFormat="1" ht="12.75">
      <c r="D96" s="23"/>
      <c r="L96" s="59"/>
      <c r="M96" s="23"/>
    </row>
    <row r="97" spans="4:13" s="6" customFormat="1" ht="12.75">
      <c r="D97" s="23"/>
      <c r="L97" s="59"/>
      <c r="M97" s="23"/>
    </row>
    <row r="98" spans="4:13" s="6" customFormat="1" ht="12.75">
      <c r="D98" s="23"/>
      <c r="L98" s="59"/>
      <c r="M98" s="23"/>
    </row>
    <row r="99" spans="4:13" s="6" customFormat="1" ht="12.75">
      <c r="D99" s="23"/>
      <c r="L99" s="59"/>
      <c r="M99" s="23"/>
    </row>
    <row r="100" spans="4:13" s="6" customFormat="1" ht="12.75">
      <c r="D100" s="23"/>
      <c r="L100" s="59"/>
      <c r="M100" s="23"/>
    </row>
    <row r="101" spans="4:13" s="6" customFormat="1" ht="12.75">
      <c r="D101" s="23"/>
      <c r="L101" s="59"/>
      <c r="M101" s="23"/>
    </row>
    <row r="102" spans="4:13" s="6" customFormat="1" ht="12.75">
      <c r="D102" s="23"/>
      <c r="L102" s="59"/>
      <c r="M102" s="23"/>
    </row>
    <row r="103" spans="4:13" s="6" customFormat="1" ht="12.75">
      <c r="D103" s="23"/>
      <c r="L103" s="59"/>
      <c r="M103" s="23"/>
    </row>
    <row r="104" spans="4:13" s="6" customFormat="1" ht="12.75">
      <c r="D104" s="23"/>
      <c r="L104" s="59"/>
      <c r="M104" s="23"/>
    </row>
    <row r="105" spans="4:13" s="6" customFormat="1" ht="12.75">
      <c r="D105" s="23"/>
      <c r="L105" s="59"/>
      <c r="M105" s="23"/>
    </row>
    <row r="106" spans="4:13" s="6" customFormat="1" ht="12.75">
      <c r="D106" s="23"/>
      <c r="L106" s="59"/>
      <c r="M106" s="23"/>
    </row>
    <row r="107" spans="4:13" s="6" customFormat="1" ht="12.75">
      <c r="D107" s="23"/>
      <c r="L107" s="59"/>
      <c r="M107" s="23"/>
    </row>
    <row r="108" spans="4:13" s="6" customFormat="1" ht="12.75">
      <c r="D108" s="23"/>
      <c r="L108" s="59"/>
      <c r="M108" s="23"/>
    </row>
    <row r="109" spans="4:13" s="6" customFormat="1" ht="12.75">
      <c r="D109" s="23"/>
      <c r="L109" s="59"/>
      <c r="M109" s="23"/>
    </row>
    <row r="110" spans="4:13" s="6" customFormat="1" ht="12.75">
      <c r="D110" s="23"/>
      <c r="L110" s="59"/>
      <c r="M110" s="23"/>
    </row>
    <row r="111" spans="4:13" s="6" customFormat="1" ht="12.75">
      <c r="D111" s="23"/>
      <c r="L111" s="59"/>
      <c r="M111" s="23"/>
    </row>
    <row r="112" spans="4:13" s="6" customFormat="1" ht="12.75">
      <c r="D112" s="23"/>
      <c r="L112" s="59"/>
      <c r="M112" s="23"/>
    </row>
    <row r="113" spans="4:13" s="6" customFormat="1" ht="12.75">
      <c r="D113" s="23"/>
      <c r="L113" s="59"/>
      <c r="M113" s="23"/>
    </row>
    <row r="114" spans="4:13" s="6" customFormat="1" ht="12.75">
      <c r="D114" s="23"/>
      <c r="L114" s="59"/>
      <c r="M114" s="23"/>
    </row>
    <row r="115" spans="4:13" s="6" customFormat="1" ht="12.75">
      <c r="D115" s="23"/>
      <c r="L115" s="59"/>
      <c r="M115" s="23"/>
    </row>
  </sheetData>
  <printOptions horizontalCentered="1"/>
  <pageMargins left="0.5" right="0.5" top="3" bottom="0.5" header="1.5" footer="0.25"/>
  <pageSetup fitToHeight="0" orientation="landscape" pageOrder="overThenDown" scale="50" r:id="rId1"/>
  <headerFooter alignWithMargins="0">
    <oddHeader>&amp;C&amp;B
2022 RATE CASE
ONCOR ELECTRIC DELIVERY COMPANY LLC
II-B-2 GENERAL PLANT FUNCTIONALIZATION
TEST YEAR ENDING DECEMBER 31, 2021
SPONSOR: W. ALAN LEDBETTER&amp;R&amp;"Arial,Bold"Schedule &amp;A
Page &amp;P of &amp;N</oddHeader>
  </headerFooter>
  <colBreaks count="1" manualBreakCount="1">
    <brk id="10" min="14" max="32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2">
    <tabColor rgb="FFFF0000"/>
  </sheetPr>
  <dimension ref="A1:X121"/>
  <sheetViews>
    <sheetView zoomScale="85" zoomScaleNormal="85" workbookViewId="0" topLeftCell="A1">
      <pane xSplit="4" ySplit="13" topLeftCell="E14" activePane="bottomRight" state="frozen"/>
      <selection pane="topLeft" activeCell="E14" sqref="E14"/>
      <selection pane="bottomLeft" activeCell="E14" sqref="E14"/>
      <selection pane="topRight" activeCell="E14" sqref="E14"/>
      <selection pane="bottomRight" activeCell="G31" sqref="G31"/>
    </sheetView>
  </sheetViews>
  <sheetFormatPr defaultColWidth="9.14428571428571" defaultRowHeight="12.75"/>
  <cols>
    <col min="1" max="1" width="5.71428571428571" style="7" customWidth="1"/>
    <col min="2" max="2" width="8.42857142857143" style="7" customWidth="1"/>
    <col min="3" max="3" width="46.5714285714286" style="7" customWidth="1"/>
    <col min="4" max="4" width="10.5714285714286" style="4" customWidth="1"/>
    <col min="5" max="5" width="21.2857142857143" style="7" bestFit="1" customWidth="1"/>
    <col min="6" max="6" width="17.5714285714286" style="7" bestFit="1" customWidth="1"/>
    <col min="7" max="7" width="21.2857142857143" style="7" bestFit="1" customWidth="1"/>
    <col min="8" max="8" width="16" style="7" bestFit="1" customWidth="1"/>
    <col min="9" max="9" width="21.2857142857143" style="7" bestFit="1" customWidth="1"/>
    <col min="10" max="10" width="10.2857142857143" style="7" bestFit="1" customWidth="1"/>
    <col min="11" max="11" width="16.2857142857143" style="7" bestFit="1" customWidth="1"/>
    <col min="12" max="12" width="3.28571428571429" style="51" bestFit="1" customWidth="1"/>
    <col min="13" max="13" width="6.85714285714286" style="4" bestFit="1" customWidth="1"/>
    <col min="14" max="14" width="16.2857142857143" style="7" bestFit="1" customWidth="1"/>
    <col min="15" max="16" width="15.2857142857143" style="7" customWidth="1"/>
    <col min="17" max="17" width="16.2857142857143" style="7" bestFit="1" customWidth="1"/>
    <col min="18" max="20" width="15.7142857142857" style="7" customWidth="1"/>
    <col min="21" max="22" width="13.7142857142857" style="7" bestFit="1" customWidth="1"/>
    <col min="23" max="23" width="16.2857142857143" style="7" bestFit="1" customWidth="1"/>
    <col min="24" max="16384" width="9.14285714285714" style="7"/>
  </cols>
  <sheetData>
    <row r="1" spans="1:1" ht="12.75">
      <c r="A1" s="5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ht="12.75">
      <c r="A3" s="8" t="str">
        <f>CONCATENATE('[4]Schedule Sponsors'!$A$15,'[4]Schedule Sponsors'!$B$15)</f>
        <v>II-B-3  COMMUNICATION EQUIPMENT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3" ht="12.75">
      <c r="A4" s="115" t="str">
        <f>+'[4]Input Data'!$A$4</f>
        <v>TEST YEAR ENDING DECEMBER 31, 2021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3" ht="12.75">
      <c r="A5" s="8" t="str">
        <f>CONCATENATE("SPONSOR: ",'[4]Schedule Sponsors'!$D$15)</f>
        <v>SPONSOR: W. ALAN LEDBETTER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 ht="12.75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 ht="12.75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ht="12.75">
      <c r="A8" s="6"/>
      <c r="B8" s="70"/>
      <c r="C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ht="13.5" thickBot="1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3" s="1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1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1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1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1:23" s="6" customFormat="1" ht="12.75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1" s="6" customFormat="1" ht="15" customHeight="1">
      <c r="A15" s="23">
        <v>1</v>
      </c>
      <c r="B15" s="10" t="s">
        <v>98</v>
      </c>
      <c r="D15" s="53" t="s">
        <v>154</v>
      </c>
      <c r="E15" s="56"/>
      <c r="F15" s="56"/>
      <c r="G15" s="56"/>
      <c r="H15" s="56"/>
      <c r="I15" s="56"/>
      <c r="J15" s="56"/>
      <c r="K15" s="56"/>
      <c r="L15" s="23"/>
      <c r="M15" s="23"/>
      <c r="N15" s="56"/>
      <c r="O15" s="56"/>
      <c r="P15" s="56"/>
      <c r="Q15" s="56"/>
      <c r="R15" s="19"/>
      <c r="S15" s="19"/>
      <c r="T15" s="19"/>
      <c r="U15" s="19"/>
    </row>
    <row r="16" spans="1:24" s="6" customFormat="1" ht="15" customHeight="1">
      <c r="A16" s="23">
        <v>2</v>
      </c>
      <c r="B16" s="6" t="s">
        <v>97</v>
      </c>
      <c r="C16" s="6" t="s">
        <v>98</v>
      </c>
      <c r="E16" s="223">
        <v>190342401.91999999</v>
      </c>
      <c r="F16" s="187">
        <v>0</v>
      </c>
      <c r="G16" s="187">
        <f>+E16+F16</f>
        <v>190342401.91999999</v>
      </c>
      <c r="H16" s="187">
        <v>0</v>
      </c>
      <c r="I16" s="187">
        <f>+G16+H16</f>
        <v>190342401.91999999</v>
      </c>
      <c r="J16" s="175">
        <v>1</v>
      </c>
      <c r="K16" s="187">
        <f>+I16*J16</f>
        <v>190342401.91999999</v>
      </c>
      <c r="L16" s="187"/>
      <c r="M16" s="187"/>
      <c r="N16" s="224">
        <v>81744122.480000004</v>
      </c>
      <c r="O16" s="229">
        <v>16570.82</v>
      </c>
      <c r="P16" s="229">
        <v>0</v>
      </c>
      <c r="Q16" s="229">
        <f>SUM(N16:P16)</f>
        <v>81760693.299999997</v>
      </c>
      <c r="R16" s="229">
        <v>61337953.159999996</v>
      </c>
      <c r="S16" s="229">
        <v>0</v>
      </c>
      <c r="T16" s="229">
        <f>SUM(R16:S16)</f>
        <v>61337953.159999996</v>
      </c>
      <c r="U16" s="229">
        <v>45688861.039999999</v>
      </c>
      <c r="V16" s="229">
        <v>1554894.4199999999</v>
      </c>
      <c r="W16" s="187">
        <f>+Q16+T16+U16+V16</f>
        <v>190342401.91999996</v>
      </c>
      <c r="X16" s="6" t="b">
        <f>ROUND(+W16,2)=ROUND(K16,2)</f>
        <v>1</v>
      </c>
    </row>
    <row r="17" spans="1:23" s="6" customFormat="1" ht="15" customHeight="1">
      <c r="A17" s="23">
        <v>3</v>
      </c>
      <c r="D17" s="53"/>
      <c r="E17" s="156"/>
      <c r="F17" s="156"/>
      <c r="G17" s="156"/>
      <c r="H17" s="156"/>
      <c r="I17" s="156"/>
      <c r="J17" s="19"/>
      <c r="K17" s="157"/>
      <c r="L17" s="23"/>
      <c r="M17" s="23"/>
      <c r="N17" s="156"/>
      <c r="O17" s="156"/>
      <c r="P17" s="156"/>
      <c r="Q17" s="156"/>
      <c r="R17" s="156"/>
      <c r="S17" s="156"/>
      <c r="T17" s="156"/>
      <c r="U17" s="156"/>
      <c r="V17" s="156"/>
      <c r="W17" s="157"/>
    </row>
    <row r="18" spans="1:24" s="10" customFormat="1" ht="15" customHeight="1">
      <c r="A18" s="23">
        <v>4</v>
      </c>
      <c r="C18" s="58" t="s">
        <v>40</v>
      </c>
      <c r="D18" s="53"/>
      <c r="E18" s="188">
        <f>+E16</f>
        <v>190342401.91999999</v>
      </c>
      <c r="F18" s="188">
        <f>+F16</f>
        <v>0</v>
      </c>
      <c r="G18" s="188">
        <f>+G16</f>
        <v>190342401.91999999</v>
      </c>
      <c r="H18" s="188">
        <f>+H16</f>
        <v>0</v>
      </c>
      <c r="I18" s="188">
        <f>+I16</f>
        <v>190342401.91999999</v>
      </c>
      <c r="J18" s="188"/>
      <c r="K18" s="188">
        <f>+K16</f>
        <v>190342401.91999999</v>
      </c>
      <c r="L18" s="188"/>
      <c r="M18" s="188"/>
      <c r="N18" s="188">
        <f t="shared" si="0" ref="N18:U18">+N16</f>
        <v>81744122.480000004</v>
      </c>
      <c r="O18" s="188">
        <f t="shared" si="0"/>
        <v>16570.82</v>
      </c>
      <c r="P18" s="188">
        <f t="shared" si="1" ref="P18">+P16</f>
        <v>0</v>
      </c>
      <c r="Q18" s="188">
        <f t="shared" si="0"/>
        <v>81760693.299999997</v>
      </c>
      <c r="R18" s="188">
        <f t="shared" si="0"/>
        <v>61337953.159999996</v>
      </c>
      <c r="S18" s="188">
        <f t="shared" si="2" ref="S18:T18">+S16</f>
        <v>0</v>
      </c>
      <c r="T18" s="188">
        <f t="shared" si="2"/>
        <v>61337953.159999996</v>
      </c>
      <c r="U18" s="188">
        <f t="shared" si="0"/>
        <v>45688861.039999999</v>
      </c>
      <c r="V18" s="188">
        <f t="shared" si="3" ref="V18">+V16</f>
        <v>1554894.4199999999</v>
      </c>
      <c r="W18" s="188">
        <f>+Q18+T18+U18+V18</f>
        <v>190342401.91999996</v>
      </c>
      <c r="X18" s="6" t="b">
        <f>ROUND(+W18,2)=ROUND(K18,2)</f>
        <v>1</v>
      </c>
    </row>
    <row r="19" spans="1:23" s="6" customFormat="1" ht="15" customHeight="1">
      <c r="A19" s="23">
        <v>5</v>
      </c>
      <c r="C19" s="58"/>
      <c r="D19" s="23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</row>
    <row r="20" spans="1:24" ht="15" customHeight="1">
      <c r="A20" s="23">
        <v>6</v>
      </c>
      <c r="B20" s="10" t="s">
        <v>136</v>
      </c>
      <c r="C20" s="6"/>
      <c r="D20" s="23"/>
      <c r="E20" s="188">
        <f>+E18</f>
        <v>190342401.91999999</v>
      </c>
      <c r="F20" s="188">
        <f>+F18</f>
        <v>0</v>
      </c>
      <c r="G20" s="188">
        <f>+G18</f>
        <v>190342401.91999999</v>
      </c>
      <c r="H20" s="188">
        <f>+H18</f>
        <v>0</v>
      </c>
      <c r="I20" s="188">
        <f>+I18</f>
        <v>190342401.91999999</v>
      </c>
      <c r="J20" s="188"/>
      <c r="K20" s="188">
        <f>+K18</f>
        <v>190342401.91999999</v>
      </c>
      <c r="L20" s="188"/>
      <c r="M20" s="188"/>
      <c r="N20" s="188">
        <f t="shared" si="4" ref="N20:W20">+N18</f>
        <v>81744122.480000004</v>
      </c>
      <c r="O20" s="188">
        <f t="shared" si="4"/>
        <v>16570.82</v>
      </c>
      <c r="P20" s="188">
        <f t="shared" si="5" ref="P20">+P18</f>
        <v>0</v>
      </c>
      <c r="Q20" s="188">
        <f t="shared" si="4"/>
        <v>81760693.299999997</v>
      </c>
      <c r="R20" s="188">
        <f t="shared" si="4"/>
        <v>61337953.159999996</v>
      </c>
      <c r="S20" s="188">
        <f t="shared" si="6" ref="S20:T20">+S18</f>
        <v>0</v>
      </c>
      <c r="T20" s="188">
        <f t="shared" si="6"/>
        <v>61337953.159999996</v>
      </c>
      <c r="U20" s="188">
        <f t="shared" si="4"/>
        <v>45688861.039999999</v>
      </c>
      <c r="V20" s="188">
        <f t="shared" si="7" ref="V20">+V18</f>
        <v>1554894.4199999999</v>
      </c>
      <c r="W20" s="188">
        <f t="shared" si="4"/>
        <v>190342401.91999996</v>
      </c>
      <c r="X20" s="6" t="b">
        <f>ROUND(+W20,2)=ROUND(K20,2)</f>
        <v>1</v>
      </c>
    </row>
    <row r="21" spans="1:23" ht="15" customHeight="1">
      <c r="A21" s="23">
        <v>7</v>
      </c>
      <c r="B21" s="6"/>
      <c r="C21" s="6"/>
      <c r="D21" s="23"/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</row>
    <row r="22" spans="1:24" ht="15" customHeight="1">
      <c r="A22" s="23">
        <v>8</v>
      </c>
      <c r="B22" s="10" t="s">
        <v>137</v>
      </c>
      <c r="C22" s="6"/>
      <c r="D22" s="53" t="s">
        <v>155</v>
      </c>
      <c r="E22" s="188">
        <f>+E20+'II-B-2'!E33</f>
        <v>991897426.62</v>
      </c>
      <c r="F22" s="188">
        <f>+F20+'II-B-2'!F33</f>
        <v>0</v>
      </c>
      <c r="G22" s="188">
        <f>+G20+'II-B-2'!G33</f>
        <v>991897426.62</v>
      </c>
      <c r="H22" s="188">
        <f>+H20+'II-B-2'!H33</f>
        <v>-34242544.409999996</v>
      </c>
      <c r="I22" s="188">
        <f>+I20+'II-B-2'!I33</f>
        <v>957654882.20999992</v>
      </c>
      <c r="J22" s="188"/>
      <c r="K22" s="188">
        <f>+K20+'II-B-2'!K33</f>
        <v>957654882.20999992</v>
      </c>
      <c r="L22" s="188"/>
      <c r="M22" s="188"/>
      <c r="N22" s="188">
        <f>+N20+'II-B-2'!N33</f>
        <v>308273726.71000004</v>
      </c>
      <c r="O22" s="188">
        <f>+O20+'II-B-2'!O33</f>
        <v>5840074.4000000013</v>
      </c>
      <c r="P22" s="188">
        <f>+P20+'II-B-2'!P33</f>
        <v>0</v>
      </c>
      <c r="Q22" s="188">
        <f>+Q20+'II-B-2'!Q33</f>
        <v>314113801.11000001</v>
      </c>
      <c r="R22" s="188">
        <f>+R20+'II-B-2'!R33</f>
        <v>391469948.07000005</v>
      </c>
      <c r="S22" s="188">
        <f>+S20+'II-B-2'!S33</f>
        <v>0</v>
      </c>
      <c r="T22" s="188">
        <f>+T20+'II-B-2'!T33</f>
        <v>391469948.07000005</v>
      </c>
      <c r="U22" s="188">
        <f>+U20+'II-B-2'!U33</f>
        <v>150415482.64999998</v>
      </c>
      <c r="V22" s="188">
        <f>+V20+'II-B-2'!V33</f>
        <v>101655650.38</v>
      </c>
      <c r="W22" s="188">
        <f>+W20+'II-B-2'!W33</f>
        <v>957654882.20999992</v>
      </c>
      <c r="X22" s="6" t="b">
        <f>ROUND(+W22,2)=ROUND(K22,2)</f>
        <v>1</v>
      </c>
    </row>
    <row r="23" spans="1:23" ht="15" customHeight="1">
      <c r="A23" s="23">
        <v>9</v>
      </c>
      <c r="B23" s="6"/>
      <c r="C23" s="6"/>
      <c r="D23" s="23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8"/>
      <c r="U23" s="188"/>
      <c r="V23" s="188"/>
      <c r="W23" s="188"/>
    </row>
    <row r="24" spans="1:24" s="10" customFormat="1" ht="15" customHeight="1">
      <c r="A24" s="23">
        <v>10</v>
      </c>
      <c r="B24" s="10" t="s">
        <v>131</v>
      </c>
      <c r="D24" s="53" t="s">
        <v>156</v>
      </c>
      <c r="E24" s="188">
        <f>+E22+'II-B-1'!E55</f>
        <v>31120209583.650005</v>
      </c>
      <c r="F24" s="188">
        <f>+F22+'II-B-1'!F55</f>
        <v>3146147.4399999999</v>
      </c>
      <c r="G24" s="188">
        <f>+G22+'II-B-1'!G55</f>
        <v>31123355731.09</v>
      </c>
      <c r="H24" s="188">
        <f>+H22+'II-B-1'!H55</f>
        <v>-38975730.539999999</v>
      </c>
      <c r="I24" s="188">
        <f>+I22+'II-B-1'!I55</f>
        <v>31084380000.550003</v>
      </c>
      <c r="J24" s="188"/>
      <c r="K24" s="188">
        <f>+K22+'II-B-1'!K55</f>
        <v>31084380000.550003</v>
      </c>
      <c r="L24" s="188"/>
      <c r="M24" s="188"/>
      <c r="N24" s="188">
        <f>+N22+'II-B-1'!N55</f>
        <v>12134645849.509998</v>
      </c>
      <c r="O24" s="188">
        <f>+O22+'II-B-1'!O55</f>
        <v>1736144322.8700001</v>
      </c>
      <c r="P24" s="188">
        <f>+P22+'II-B-1'!P55</f>
        <v>32539117.650000002</v>
      </c>
      <c r="Q24" s="188">
        <f>+Q22+'II-B-1'!Q55</f>
        <v>13903329290.029999</v>
      </c>
      <c r="R24" s="188">
        <f>+R22+'II-B-1'!R55</f>
        <v>15715483704.599999</v>
      </c>
      <c r="S24" s="188">
        <f>+S22+'II-B-1'!S55</f>
        <v>143637502.12000001</v>
      </c>
      <c r="T24" s="188">
        <f>+T22+'II-B-1'!T55</f>
        <v>15859121206.720001</v>
      </c>
      <c r="U24" s="188">
        <f>+U22+'II-B-1'!U55</f>
        <v>909864678.68000007</v>
      </c>
      <c r="V24" s="188">
        <f>+V22+'II-B-1'!V55</f>
        <v>412064825.12</v>
      </c>
      <c r="W24" s="188">
        <f>+W22+'II-B-1'!W55</f>
        <v>31084380000.550003</v>
      </c>
      <c r="X24" s="6" t="b">
        <f>ROUND(+W24,2)=ROUND(K24,2)</f>
        <v>1</v>
      </c>
    </row>
    <row r="25" spans="1:23" s="6" customFormat="1" ht="15" customHeight="1">
      <c r="A25" s="23">
        <v>11</v>
      </c>
      <c r="B25" s="10"/>
      <c r="D25" s="23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8"/>
      <c r="U25" s="188"/>
      <c r="V25" s="188"/>
      <c r="W25" s="188"/>
    </row>
    <row r="26" spans="1:24" s="10" customFormat="1" ht="15" customHeight="1">
      <c r="A26" s="23">
        <v>12</v>
      </c>
      <c r="B26" s="10" t="s">
        <v>130</v>
      </c>
      <c r="D26" s="53" t="s">
        <v>156</v>
      </c>
      <c r="E26" s="188">
        <f>+E22+'II-B-1'!E56</f>
        <v>30053859302.580006</v>
      </c>
      <c r="F26" s="188">
        <f>+F22+'II-B-1'!F56</f>
        <v>3146147.4399999999</v>
      </c>
      <c r="G26" s="188">
        <f>+G22+'II-B-1'!G56</f>
        <v>30057005450.02</v>
      </c>
      <c r="H26" s="188">
        <f>+H22+'II-B-1'!H56</f>
        <v>-38975730.539999999</v>
      </c>
      <c r="I26" s="188">
        <f>+I22+'II-B-1'!I56</f>
        <v>30018029719.480003</v>
      </c>
      <c r="J26" s="188"/>
      <c r="K26" s="188">
        <f>+K22+'II-B-1'!K56</f>
        <v>30018029719.480003</v>
      </c>
      <c r="L26" s="188"/>
      <c r="M26" s="188"/>
      <c r="N26" s="188">
        <f>+N22+'II-B-1'!N56</f>
        <v>11887339828.959999</v>
      </c>
      <c r="O26" s="188">
        <f>+O22+'II-B-1'!O56</f>
        <v>1736144322.8700001</v>
      </c>
      <c r="P26" s="188">
        <f>+P22+'II-B-1'!P56</f>
        <v>32539117.650000002</v>
      </c>
      <c r="Q26" s="188">
        <f>+Q22+'II-B-1'!Q56</f>
        <v>13656023269.48</v>
      </c>
      <c r="R26" s="188">
        <f>+R22+'II-B-1'!R56</f>
        <v>15392150331.779999</v>
      </c>
      <c r="S26" s="188">
        <f>+S22+'II-B-1'!S56</f>
        <v>143637502.12000001</v>
      </c>
      <c r="T26" s="188">
        <f>+T22+'II-B-1'!T56</f>
        <v>15535787833.900002</v>
      </c>
      <c r="U26" s="188">
        <f>+U22+'II-B-1'!U56</f>
        <v>724562965.72000003</v>
      </c>
      <c r="V26" s="188">
        <f>+V22+'II-B-1'!V56</f>
        <v>101655650.38</v>
      </c>
      <c r="W26" s="188">
        <f>+W22+'II-B-1'!W56</f>
        <v>30018029719.480003</v>
      </c>
      <c r="X26" s="6" t="b">
        <f>ROUND(+W26,2)=ROUND(K26,2)</f>
        <v>1</v>
      </c>
    </row>
    <row r="27" spans="1:23" s="6" customFormat="1" ht="12" customHeight="1">
      <c r="A27" s="23"/>
      <c r="D27" s="53"/>
      <c r="E27" s="188"/>
      <c r="F27" s="188"/>
      <c r="G27" s="188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8"/>
      <c r="U27" s="188"/>
      <c r="V27" s="188"/>
      <c r="W27" s="188"/>
    </row>
    <row r="28" spans="3:23" s="10" customFormat="1" ht="12.75">
      <c r="C28" s="58"/>
      <c r="D28" s="53"/>
      <c r="E28" s="188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8"/>
      <c r="U28" s="188"/>
      <c r="V28" s="188"/>
      <c r="W28" s="188"/>
    </row>
    <row r="29" spans="3:21" s="6" customFormat="1" ht="12.75">
      <c r="C29" s="58"/>
      <c r="D29" s="23"/>
      <c r="E29" s="19"/>
      <c r="F29" s="19"/>
      <c r="G29" s="19"/>
      <c r="H29" s="19"/>
      <c r="I29" s="19"/>
      <c r="J29" s="19"/>
      <c r="K29" s="19"/>
      <c r="L29" s="23"/>
      <c r="M29" s="23"/>
      <c r="N29" s="19"/>
      <c r="O29" s="19"/>
      <c r="P29" s="19"/>
      <c r="Q29" s="19"/>
      <c r="R29" s="19"/>
      <c r="S29" s="19"/>
      <c r="T29" s="19"/>
      <c r="U29" s="19"/>
    </row>
    <row r="34" spans="4:21" s="10" customFormat="1" ht="12.75">
      <c r="D34" s="53"/>
      <c r="E34" s="55"/>
      <c r="F34" s="55"/>
      <c r="G34" s="55"/>
      <c r="H34" s="55"/>
      <c r="I34" s="55"/>
      <c r="J34" s="55"/>
      <c r="K34" s="55"/>
      <c r="L34" s="53"/>
      <c r="M34" s="53"/>
      <c r="N34" s="55"/>
      <c r="O34" s="55"/>
      <c r="P34" s="55"/>
      <c r="Q34" s="55"/>
      <c r="R34" s="55"/>
      <c r="S34" s="55"/>
      <c r="T34" s="55"/>
      <c r="U34" s="55"/>
    </row>
    <row r="35" spans="4:21" s="10" customFormat="1" ht="12.75">
      <c r="D35" s="53"/>
      <c r="E35" s="55"/>
      <c r="F35" s="55"/>
      <c r="G35" s="55"/>
      <c r="H35" s="55"/>
      <c r="I35" s="55"/>
      <c r="J35" s="55"/>
      <c r="K35" s="55"/>
      <c r="L35" s="53"/>
      <c r="M35" s="53"/>
      <c r="N35" s="55"/>
      <c r="O35" s="55"/>
      <c r="P35" s="55"/>
      <c r="Q35" s="55"/>
      <c r="R35" s="55"/>
      <c r="S35" s="55"/>
      <c r="T35" s="55"/>
      <c r="U35" s="55"/>
    </row>
    <row r="36" spans="2:21" s="10" customFormat="1" ht="12.75">
      <c r="B36" s="6"/>
      <c r="C36" s="6"/>
      <c r="D36" s="53"/>
      <c r="E36" s="55"/>
      <c r="F36" s="55"/>
      <c r="G36" s="55"/>
      <c r="H36" s="55"/>
      <c r="I36" s="55"/>
      <c r="J36" s="55"/>
      <c r="K36" s="55"/>
      <c r="L36" s="53"/>
      <c r="M36" s="53"/>
      <c r="N36" s="55"/>
      <c r="O36" s="55"/>
      <c r="P36" s="55"/>
      <c r="Q36" s="55"/>
      <c r="R36" s="55"/>
      <c r="S36" s="55"/>
      <c r="T36" s="55"/>
      <c r="U36" s="55"/>
    </row>
    <row r="37" spans="2:23" s="10" customFormat="1" ht="12.75">
      <c r="B37" s="6"/>
      <c r="C37" s="6"/>
      <c r="D37" s="53"/>
      <c r="E37" s="19"/>
      <c r="F37" s="19"/>
      <c r="G37" s="55"/>
      <c r="H37" s="19"/>
      <c r="I37" s="19"/>
      <c r="J37" s="19"/>
      <c r="K37" s="56"/>
      <c r="L37" s="23"/>
      <c r="M37" s="23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2:23" s="10" customFormat="1" ht="12.75">
      <c r="B38" s="6"/>
      <c r="C38" s="6"/>
      <c r="D38" s="53"/>
      <c r="E38" s="19"/>
      <c r="F38" s="19"/>
      <c r="G38" s="55"/>
      <c r="H38" s="19"/>
      <c r="I38" s="19"/>
      <c r="J38" s="19"/>
      <c r="K38" s="56"/>
      <c r="L38" s="23"/>
      <c r="M38" s="23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2:23" s="10" customFormat="1" ht="12.75">
      <c r="B39" s="6"/>
      <c r="C39" s="6"/>
      <c r="D39" s="53"/>
      <c r="E39" s="19"/>
      <c r="F39" s="19"/>
      <c r="G39" s="55"/>
      <c r="H39" s="19"/>
      <c r="I39" s="19"/>
      <c r="J39" s="19"/>
      <c r="K39" s="56"/>
      <c r="L39" s="23"/>
      <c r="M39" s="23"/>
      <c r="N39" s="56"/>
      <c r="O39" s="56"/>
      <c r="P39" s="56"/>
      <c r="Q39" s="56"/>
      <c r="R39" s="56"/>
      <c r="S39" s="56"/>
      <c r="T39" s="56"/>
      <c r="U39" s="56"/>
      <c r="V39" s="56"/>
      <c r="W39" s="56"/>
    </row>
    <row r="40" spans="2:23" s="10" customFormat="1" ht="12.75">
      <c r="B40" s="6"/>
      <c r="C40" s="6"/>
      <c r="D40" s="53"/>
      <c r="E40" s="19"/>
      <c r="F40" s="19"/>
      <c r="G40" s="55"/>
      <c r="H40" s="19"/>
      <c r="I40" s="19"/>
      <c r="J40" s="19"/>
      <c r="K40" s="56"/>
      <c r="L40" s="23"/>
      <c r="M40" s="23"/>
      <c r="N40" s="56"/>
      <c r="O40" s="56"/>
      <c r="P40" s="56"/>
      <c r="Q40" s="56"/>
      <c r="R40" s="56"/>
      <c r="S40" s="56"/>
      <c r="T40" s="56"/>
      <c r="U40" s="56"/>
      <c r="V40" s="56"/>
      <c r="W40" s="56"/>
    </row>
    <row r="41" spans="2:23" s="10" customFormat="1" ht="12.75">
      <c r="B41" s="6"/>
      <c r="C41" s="6"/>
      <c r="D41" s="53"/>
      <c r="E41" s="19"/>
      <c r="F41" s="19"/>
      <c r="G41" s="55"/>
      <c r="H41" s="19"/>
      <c r="I41" s="19"/>
      <c r="J41" s="19"/>
      <c r="K41" s="56"/>
      <c r="L41" s="23"/>
      <c r="M41" s="23"/>
      <c r="N41" s="56"/>
      <c r="O41" s="56"/>
      <c r="P41" s="56"/>
      <c r="Q41" s="56"/>
      <c r="R41" s="56"/>
      <c r="S41" s="56"/>
      <c r="T41" s="56"/>
      <c r="U41" s="56"/>
      <c r="V41" s="56"/>
      <c r="W41" s="56"/>
    </row>
    <row r="42" spans="2:23" s="10" customFormat="1" ht="12.75">
      <c r="B42" s="6"/>
      <c r="C42" s="6"/>
      <c r="D42" s="53"/>
      <c r="E42" s="19"/>
      <c r="F42" s="19"/>
      <c r="G42" s="55"/>
      <c r="H42" s="19"/>
      <c r="I42" s="19"/>
      <c r="J42" s="19"/>
      <c r="K42" s="56"/>
      <c r="L42" s="23"/>
      <c r="M42" s="23"/>
      <c r="N42" s="56"/>
      <c r="O42" s="56"/>
      <c r="P42" s="56"/>
      <c r="Q42" s="56"/>
      <c r="R42" s="56"/>
      <c r="S42" s="56"/>
      <c r="T42" s="56"/>
      <c r="U42" s="56"/>
      <c r="V42" s="56"/>
      <c r="W42" s="56"/>
    </row>
    <row r="43" spans="2:23" s="10" customFormat="1" ht="12.75">
      <c r="B43" s="6"/>
      <c r="C43" s="6"/>
      <c r="D43" s="53"/>
      <c r="E43" s="19"/>
      <c r="F43" s="19"/>
      <c r="G43" s="55"/>
      <c r="H43" s="19"/>
      <c r="I43" s="19"/>
      <c r="J43" s="19"/>
      <c r="K43" s="56"/>
      <c r="L43" s="23"/>
      <c r="M43" s="23"/>
      <c r="N43" s="56"/>
      <c r="O43" s="56"/>
      <c r="P43" s="56"/>
      <c r="Q43" s="56"/>
      <c r="R43" s="19"/>
      <c r="S43" s="19"/>
      <c r="T43" s="19"/>
      <c r="U43" s="19"/>
      <c r="V43" s="19"/>
      <c r="W43" s="56"/>
    </row>
    <row r="44" spans="2:23" s="10" customFormat="1" ht="12.75">
      <c r="B44" s="6"/>
      <c r="C44" s="6"/>
      <c r="D44" s="53"/>
      <c r="E44" s="19"/>
      <c r="F44" s="19"/>
      <c r="G44" s="55"/>
      <c r="H44" s="19"/>
      <c r="I44" s="19"/>
      <c r="J44" s="19"/>
      <c r="K44" s="56"/>
      <c r="L44" s="23"/>
      <c r="M44" s="23"/>
      <c r="N44" s="56"/>
      <c r="O44" s="56"/>
      <c r="P44" s="56"/>
      <c r="Q44" s="56"/>
      <c r="R44" s="56"/>
      <c r="S44" s="56"/>
      <c r="T44" s="56"/>
      <c r="U44" s="56"/>
      <c r="V44" s="56"/>
      <c r="W44" s="56"/>
    </row>
    <row r="45" spans="3:23" s="10" customFormat="1" ht="12.75">
      <c r="C45" s="58"/>
      <c r="D45" s="53"/>
      <c r="E45" s="63"/>
      <c r="F45" s="63"/>
      <c r="G45" s="63"/>
      <c r="H45" s="63"/>
      <c r="I45" s="63"/>
      <c r="J45" s="63"/>
      <c r="K45" s="63"/>
      <c r="L45" s="53"/>
      <c r="M45" s="53"/>
      <c r="N45" s="63"/>
      <c r="O45" s="63"/>
      <c r="P45" s="63"/>
      <c r="Q45" s="63"/>
      <c r="R45" s="63"/>
      <c r="S45" s="63"/>
      <c r="T45" s="63"/>
      <c r="U45" s="63"/>
      <c r="V45" s="63"/>
      <c r="W45" s="63"/>
    </row>
    <row r="46" spans="2:21" s="10" customFormat="1" ht="12.75">
      <c r="B46" s="6"/>
      <c r="C46" s="58"/>
      <c r="D46" s="53"/>
      <c r="E46" s="55"/>
      <c r="F46" s="55"/>
      <c r="G46" s="55"/>
      <c r="H46" s="55"/>
      <c r="I46" s="55"/>
      <c r="J46" s="55"/>
      <c r="K46" s="55"/>
      <c r="L46" s="23"/>
      <c r="M46" s="23"/>
      <c r="N46" s="55"/>
      <c r="O46" s="55"/>
      <c r="P46" s="55"/>
      <c r="Q46" s="55"/>
      <c r="R46" s="55"/>
      <c r="S46" s="55"/>
      <c r="T46" s="55"/>
      <c r="U46" s="55"/>
    </row>
    <row r="47" spans="2:23" s="10" customFormat="1" ht="12.75">
      <c r="B47" s="6"/>
      <c r="C47" s="6"/>
      <c r="D47" s="53"/>
      <c r="E47" s="19"/>
      <c r="F47" s="19"/>
      <c r="G47" s="55"/>
      <c r="H47" s="19"/>
      <c r="I47" s="19"/>
      <c r="J47" s="19"/>
      <c r="K47" s="56"/>
      <c r="L47" s="23"/>
      <c r="M47" s="23"/>
      <c r="N47" s="19"/>
      <c r="O47" s="19"/>
      <c r="P47" s="19"/>
      <c r="Q47" s="19"/>
      <c r="R47" s="19"/>
      <c r="S47" s="19"/>
      <c r="T47" s="19"/>
      <c r="U47" s="19"/>
      <c r="V47" s="19"/>
      <c r="W47" s="56"/>
    </row>
    <row r="48" spans="2:23" s="10" customFormat="1" ht="12.75">
      <c r="B48" s="6"/>
      <c r="C48" s="6"/>
      <c r="D48" s="53"/>
      <c r="E48" s="19"/>
      <c r="F48" s="19"/>
      <c r="G48" s="55"/>
      <c r="H48" s="19"/>
      <c r="I48" s="19"/>
      <c r="J48" s="19"/>
      <c r="K48" s="56"/>
      <c r="L48" s="23"/>
      <c r="M48" s="23"/>
      <c r="N48" s="56"/>
      <c r="O48" s="56"/>
      <c r="P48" s="56"/>
      <c r="Q48" s="56"/>
      <c r="R48" s="56"/>
      <c r="S48" s="56"/>
      <c r="T48" s="56"/>
      <c r="U48" s="56"/>
      <c r="V48" s="56"/>
      <c r="W48" s="56"/>
    </row>
    <row r="49" spans="2:23" s="10" customFormat="1" ht="12.75">
      <c r="B49" s="6"/>
      <c r="C49" s="6"/>
      <c r="D49" s="53"/>
      <c r="E49" s="19"/>
      <c r="F49" s="19"/>
      <c r="G49" s="55"/>
      <c r="H49" s="19"/>
      <c r="I49" s="19"/>
      <c r="J49" s="19"/>
      <c r="K49" s="56"/>
      <c r="L49" s="23"/>
      <c r="M49" s="23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2:23" s="10" customFormat="1" ht="12.75">
      <c r="B50" s="6"/>
      <c r="C50" s="6"/>
      <c r="D50" s="53"/>
      <c r="E50" s="19"/>
      <c r="F50" s="19"/>
      <c r="G50" s="55"/>
      <c r="H50" s="19"/>
      <c r="I50" s="19"/>
      <c r="J50" s="19"/>
      <c r="K50" s="56"/>
      <c r="L50" s="23"/>
      <c r="M50" s="23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3:23" s="10" customFormat="1" ht="12.75">
      <c r="C51" s="58"/>
      <c r="D51" s="53"/>
      <c r="E51" s="55"/>
      <c r="F51" s="55"/>
      <c r="G51" s="55"/>
      <c r="H51" s="55"/>
      <c r="I51" s="55"/>
      <c r="J51" s="55"/>
      <c r="K51" s="55"/>
      <c r="L51" s="53"/>
      <c r="M51" s="53"/>
      <c r="N51" s="55"/>
      <c r="O51" s="55"/>
      <c r="P51" s="55"/>
      <c r="Q51" s="55"/>
      <c r="R51" s="55"/>
      <c r="S51" s="55"/>
      <c r="T51" s="55"/>
      <c r="U51" s="55"/>
      <c r="V51" s="55"/>
      <c r="W51" s="55"/>
    </row>
    <row r="52" spans="4:21" s="10" customFormat="1" ht="12.75">
      <c r="D52" s="53"/>
      <c r="E52" s="55"/>
      <c r="F52" s="55"/>
      <c r="G52" s="55"/>
      <c r="H52" s="55"/>
      <c r="I52" s="55"/>
      <c r="J52" s="55"/>
      <c r="K52" s="55"/>
      <c r="L52" s="53"/>
      <c r="M52" s="53"/>
      <c r="N52" s="55"/>
      <c r="O52" s="55"/>
      <c r="P52" s="55"/>
      <c r="Q52" s="55"/>
      <c r="R52" s="55"/>
      <c r="S52" s="55"/>
      <c r="T52" s="55"/>
      <c r="U52" s="55"/>
    </row>
    <row r="53" spans="4:23" s="10" customFormat="1" ht="12.75"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</row>
    <row r="54" spans="4:13" s="6" customFormat="1" ht="12.75">
      <c r="D54" s="72"/>
      <c r="E54" s="57"/>
      <c r="L54" s="59"/>
      <c r="M54" s="23"/>
    </row>
    <row r="55" spans="2:13" s="6" customFormat="1" ht="12.75">
      <c r="B55" s="10"/>
      <c r="D55" s="23"/>
      <c r="L55" s="59"/>
      <c r="M55" s="23"/>
    </row>
    <row r="56" spans="4:13" s="6" customFormat="1" ht="12.75">
      <c r="D56" s="23"/>
      <c r="L56" s="59"/>
      <c r="M56" s="23"/>
    </row>
    <row r="57" spans="4:13" s="6" customFormat="1" ht="12.75">
      <c r="D57" s="23"/>
      <c r="L57" s="59"/>
      <c r="M57" s="23"/>
    </row>
    <row r="58" spans="4:13" s="6" customFormat="1" ht="12.75">
      <c r="D58" s="23"/>
      <c r="L58" s="59"/>
      <c r="M58" s="23"/>
    </row>
    <row r="59" spans="4:13" s="6" customFormat="1" ht="12.75">
      <c r="D59" s="23"/>
      <c r="L59" s="59"/>
      <c r="M59" s="23"/>
    </row>
    <row r="60" spans="3:13" s="6" customFormat="1" ht="12.75">
      <c r="C60" s="64"/>
      <c r="D60" s="1"/>
      <c r="L60" s="65"/>
      <c r="M60" s="1"/>
    </row>
    <row r="61" spans="4:13" s="6" customFormat="1" ht="12.75">
      <c r="D61" s="23"/>
      <c r="L61" s="59"/>
      <c r="M61" s="23"/>
    </row>
    <row r="62" spans="3:13" s="6" customFormat="1" ht="12.75">
      <c r="C62" s="60"/>
      <c r="D62" s="61"/>
      <c r="L62" s="66"/>
      <c r="M62" s="61"/>
    </row>
    <row r="63" spans="4:13" s="6" customFormat="1" ht="12.75">
      <c r="D63" s="23"/>
      <c r="L63" s="59"/>
      <c r="M63" s="23"/>
    </row>
    <row r="64" spans="3:13" s="6" customFormat="1" ht="12.75">
      <c r="C64" s="60"/>
      <c r="D64" s="23"/>
      <c r="L64" s="66"/>
      <c r="M64" s="61"/>
    </row>
    <row r="65" spans="3:13" s="6" customFormat="1" ht="12.75">
      <c r="C65" s="61"/>
      <c r="D65" s="61"/>
      <c r="L65" s="66"/>
      <c r="M65" s="61"/>
    </row>
    <row r="66" spans="4:13" s="6" customFormat="1" ht="12.75">
      <c r="D66" s="23"/>
      <c r="L66" s="59"/>
      <c r="M66" s="23"/>
    </row>
    <row r="67" spans="2:13" s="6" customFormat="1" ht="12.75">
      <c r="B67" s="10"/>
      <c r="D67" s="23"/>
      <c r="L67" s="59"/>
      <c r="M67" s="23"/>
    </row>
    <row r="68" spans="4:13" s="6" customFormat="1" ht="12.75">
      <c r="D68" s="23"/>
      <c r="L68" s="59"/>
      <c r="M68" s="23"/>
    </row>
    <row r="69" spans="4:13" s="6" customFormat="1" ht="12.75">
      <c r="D69" s="23"/>
      <c r="L69" s="59"/>
      <c r="M69" s="23"/>
    </row>
    <row r="70" spans="4:13" s="6" customFormat="1" ht="12.75">
      <c r="D70" s="23"/>
      <c r="L70" s="59"/>
      <c r="M70" s="23"/>
    </row>
    <row r="71" spans="4:13" s="6" customFormat="1" ht="12.75">
      <c r="D71" s="23"/>
      <c r="L71" s="59"/>
      <c r="M71" s="23"/>
    </row>
    <row r="72" spans="4:13" s="6" customFormat="1" ht="12.75">
      <c r="D72" s="23"/>
      <c r="L72" s="59"/>
      <c r="M72" s="23"/>
    </row>
    <row r="73" spans="4:13" s="6" customFormat="1" ht="12.75">
      <c r="D73" s="23"/>
      <c r="L73" s="59"/>
      <c r="M73" s="23"/>
    </row>
    <row r="74" spans="4:13" s="6" customFormat="1" ht="12.75">
      <c r="D74" s="23"/>
      <c r="L74" s="59"/>
      <c r="M74" s="23"/>
    </row>
    <row r="75" spans="4:13" s="6" customFormat="1" ht="12.75">
      <c r="D75" s="23"/>
      <c r="L75" s="59"/>
      <c r="M75" s="23"/>
    </row>
    <row r="76" spans="2:18" s="6" customFormat="1" ht="12.75">
      <c r="B76" s="6" t="s">
        <v>97</v>
      </c>
      <c r="C76" s="74" t="s">
        <v>98</v>
      </c>
      <c r="D76" s="23"/>
      <c r="E76" s="6">
        <v>54383471.983023353</v>
      </c>
      <c r="L76" s="59"/>
      <c r="M76" s="23"/>
      <c r="N76" s="6">
        <v>40651701.099222168</v>
      </c>
      <c r="R76" s="6">
        <v>13731770.883801188</v>
      </c>
    </row>
    <row r="77" spans="4:13" s="6" customFormat="1" ht="12.75">
      <c r="D77" s="23"/>
      <c r="L77" s="59"/>
      <c r="M77" s="23"/>
    </row>
    <row r="78" spans="4:13" s="6" customFormat="1" ht="12.75">
      <c r="D78" s="23"/>
      <c r="L78" s="59"/>
      <c r="M78" s="23"/>
    </row>
    <row r="79" spans="4:23" s="6" customFormat="1" ht="12.75">
      <c r="D79" s="23"/>
      <c r="E79" s="6">
        <f>SUM(E76:E78)</f>
        <v>54383471.983023353</v>
      </c>
      <c r="L79" s="59"/>
      <c r="M79" s="23"/>
      <c r="N79" s="6">
        <f>SUM(N76:N78)</f>
        <v>40651701.099222168</v>
      </c>
      <c r="R79" s="6">
        <f>SUM(R76:R78)</f>
        <v>13731770.883801188</v>
      </c>
      <c r="U79" s="6">
        <f>SUM(U76:U78)</f>
        <v>0</v>
      </c>
      <c r="W79" s="6">
        <f>SUM(W76:W78)</f>
        <v>0</v>
      </c>
    </row>
    <row r="80" spans="4:13" s="6" customFormat="1" ht="12.75">
      <c r="D80" s="23"/>
      <c r="L80" s="59"/>
      <c r="M80" s="23"/>
    </row>
    <row r="81" spans="4:13" s="6" customFormat="1" ht="12.75">
      <c r="D81" s="23"/>
      <c r="L81" s="59"/>
      <c r="M81" s="23"/>
    </row>
    <row r="82" spans="4:13" s="6" customFormat="1" ht="12.75">
      <c r="D82" s="23"/>
      <c r="L82" s="59"/>
      <c r="M82" s="23"/>
    </row>
    <row r="83" spans="4:13" s="6" customFormat="1" ht="12.75">
      <c r="D83" s="23"/>
      <c r="L83" s="59"/>
      <c r="M83" s="23"/>
    </row>
    <row r="84" spans="4:13" s="6" customFormat="1" ht="12.75">
      <c r="D84" s="23"/>
      <c r="L84" s="59"/>
      <c r="M84" s="23"/>
    </row>
    <row r="85" spans="4:13" s="6" customFormat="1" ht="12.75">
      <c r="D85" s="23"/>
      <c r="L85" s="59"/>
      <c r="M85" s="23"/>
    </row>
    <row r="86" spans="4:13" s="6" customFormat="1" ht="12.75">
      <c r="D86" s="23"/>
      <c r="L86" s="59"/>
      <c r="M86" s="23"/>
    </row>
    <row r="87" spans="4:13" s="6" customFormat="1" ht="12.75">
      <c r="D87" s="23"/>
      <c r="L87" s="59"/>
      <c r="M87" s="23"/>
    </row>
    <row r="88" spans="4:13" s="6" customFormat="1" ht="12.75">
      <c r="D88" s="23"/>
      <c r="L88" s="59"/>
      <c r="M88" s="23"/>
    </row>
    <row r="89" spans="4:13" s="6" customFormat="1" ht="12.75">
      <c r="D89" s="23"/>
      <c r="L89" s="59"/>
      <c r="M89" s="23"/>
    </row>
    <row r="90" spans="4:13" s="6" customFormat="1" ht="12.75">
      <c r="D90" s="23"/>
      <c r="L90" s="59"/>
      <c r="M90" s="23"/>
    </row>
    <row r="91" spans="4:13" s="6" customFormat="1" ht="12.75">
      <c r="D91" s="23"/>
      <c r="L91" s="59"/>
      <c r="M91" s="23"/>
    </row>
    <row r="92" spans="4:13" s="6" customFormat="1" ht="12.75">
      <c r="D92" s="23"/>
      <c r="L92" s="59"/>
      <c r="M92" s="23"/>
    </row>
    <row r="93" spans="4:13" s="6" customFormat="1" ht="12.75">
      <c r="D93" s="23"/>
      <c r="L93" s="59"/>
      <c r="M93" s="23"/>
    </row>
    <row r="94" spans="4:13" s="6" customFormat="1" ht="12.75">
      <c r="D94" s="23"/>
      <c r="L94" s="59"/>
      <c r="M94" s="23"/>
    </row>
    <row r="95" spans="4:13" s="6" customFormat="1" ht="12.75">
      <c r="D95" s="23"/>
      <c r="L95" s="59"/>
      <c r="M95" s="23"/>
    </row>
    <row r="96" spans="4:13" s="6" customFormat="1" ht="12.75">
      <c r="D96" s="23"/>
      <c r="L96" s="59"/>
      <c r="M96" s="23"/>
    </row>
    <row r="97" spans="4:13" s="6" customFormat="1" ht="12.75">
      <c r="D97" s="23"/>
      <c r="L97" s="59"/>
      <c r="M97" s="23"/>
    </row>
    <row r="98" spans="4:13" s="6" customFormat="1" ht="12.75">
      <c r="D98" s="23"/>
      <c r="L98" s="59"/>
      <c r="M98" s="23"/>
    </row>
    <row r="99" spans="4:13" s="6" customFormat="1" ht="12.75">
      <c r="D99" s="23"/>
      <c r="L99" s="59"/>
      <c r="M99" s="23"/>
    </row>
    <row r="100" spans="4:13" s="6" customFormat="1" ht="12.75">
      <c r="D100" s="23"/>
      <c r="L100" s="59"/>
      <c r="M100" s="23"/>
    </row>
    <row r="101" spans="4:13" s="6" customFormat="1" ht="12.75">
      <c r="D101" s="23"/>
      <c r="L101" s="59"/>
      <c r="M101" s="23"/>
    </row>
    <row r="102" spans="4:13" s="6" customFormat="1" ht="12.75">
      <c r="D102" s="23"/>
      <c r="L102" s="59"/>
      <c r="M102" s="23"/>
    </row>
    <row r="103" spans="4:13" s="6" customFormat="1" ht="12.75">
      <c r="D103" s="23"/>
      <c r="L103" s="59"/>
      <c r="M103" s="23"/>
    </row>
    <row r="104" spans="4:13" s="6" customFormat="1" ht="12.75">
      <c r="D104" s="23"/>
      <c r="L104" s="59"/>
      <c r="M104" s="23"/>
    </row>
    <row r="105" spans="4:13" s="6" customFormat="1" ht="12.75">
      <c r="D105" s="23"/>
      <c r="L105" s="59"/>
      <c r="M105" s="23"/>
    </row>
    <row r="106" spans="4:13" s="6" customFormat="1" ht="12.75">
      <c r="D106" s="23"/>
      <c r="L106" s="59"/>
      <c r="M106" s="23"/>
    </row>
    <row r="107" spans="4:13" s="6" customFormat="1" ht="12.75">
      <c r="D107" s="23"/>
      <c r="L107" s="59"/>
      <c r="M107" s="23"/>
    </row>
    <row r="108" spans="4:13" s="6" customFormat="1" ht="12.75">
      <c r="D108" s="23"/>
      <c r="L108" s="59"/>
      <c r="M108" s="23"/>
    </row>
    <row r="109" spans="4:13" s="6" customFormat="1" ht="12.75">
      <c r="D109" s="23"/>
      <c r="L109" s="59"/>
      <c r="M109" s="23"/>
    </row>
    <row r="110" spans="4:13" s="6" customFormat="1" ht="12.75">
      <c r="D110" s="23"/>
      <c r="L110" s="59"/>
      <c r="M110" s="23"/>
    </row>
    <row r="111" spans="4:13" s="6" customFormat="1" ht="12.75">
      <c r="D111" s="23"/>
      <c r="L111" s="59"/>
      <c r="M111" s="23"/>
    </row>
    <row r="112" spans="4:13" s="6" customFormat="1" ht="12.75">
      <c r="D112" s="23"/>
      <c r="L112" s="59"/>
      <c r="M112" s="23"/>
    </row>
    <row r="113" spans="4:13" s="6" customFormat="1" ht="12.75">
      <c r="D113" s="23"/>
      <c r="L113" s="59"/>
      <c r="M113" s="23"/>
    </row>
    <row r="114" spans="4:13" s="6" customFormat="1" ht="12.75">
      <c r="D114" s="23"/>
      <c r="L114" s="59"/>
      <c r="M114" s="23"/>
    </row>
    <row r="115" spans="4:13" s="6" customFormat="1" ht="12.75">
      <c r="D115" s="23"/>
      <c r="L115" s="59"/>
      <c r="M115" s="23"/>
    </row>
    <row r="116" spans="4:13" s="6" customFormat="1" ht="12.75">
      <c r="D116" s="23"/>
      <c r="L116" s="59"/>
      <c r="M116" s="23"/>
    </row>
    <row r="117" spans="4:13" s="6" customFormat="1" ht="12.75">
      <c r="D117" s="23"/>
      <c r="L117" s="59"/>
      <c r="M117" s="23"/>
    </row>
    <row r="118" spans="4:13" s="6" customFormat="1" ht="12.75">
      <c r="D118" s="23"/>
      <c r="L118" s="59"/>
      <c r="M118" s="23"/>
    </row>
    <row r="119" spans="4:13" s="6" customFormat="1" ht="12.75">
      <c r="D119" s="23"/>
      <c r="L119" s="59"/>
      <c r="M119" s="23"/>
    </row>
    <row r="120" spans="4:13" s="6" customFormat="1" ht="12.75">
      <c r="D120" s="23"/>
      <c r="L120" s="59"/>
      <c r="M120" s="23"/>
    </row>
    <row r="121" spans="4:13" s="6" customFormat="1" ht="12.75">
      <c r="D121" s="23"/>
      <c r="L121" s="59"/>
      <c r="M121" s="23"/>
    </row>
  </sheetData>
  <printOptions horizontalCentered="1"/>
  <pageMargins left="0.5" right="0.5" top="2.5" bottom="0.5" header="1.5" footer="0.5"/>
  <pageSetup fitToHeight="0" fitToWidth="2" orientation="landscape" pageOrder="overThenDown" scale="53" r:id="rId1"/>
  <headerFooter alignWithMargins="0">
    <oddHeader>&amp;C&amp;B
2022 RATE CASE
ONCOR ELECTRIC DELIVERY COMPANY LLC
II-B-3  COMMUNICATION EQUIPMENT
TEST YEAR ENDING DECEMBER 31, 2021
SPONSOR: W. ALAN LEDBETTER&amp;R&amp;"Arial,Bold"Schedule II-B-3
Page &amp;P of &amp;N</oddHeader>
  </headerFooter>
  <colBreaks count="1" manualBreakCount="1">
    <brk id="10" min="14" max="2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3">
    <tabColor rgb="FFFF0000"/>
  </sheetPr>
  <dimension ref="A1:X100"/>
  <sheetViews>
    <sheetView workbookViewId="0" topLeftCell="A1">
      <pane xSplit="4" ySplit="13" topLeftCell="E14" activePane="bottomRight" state="frozen"/>
      <selection pane="topLeft" activeCell="E14" sqref="E14"/>
      <selection pane="bottomLeft" activeCell="E14" sqref="E14"/>
      <selection pane="topRight" activeCell="E14" sqref="E14"/>
      <selection pane="bottomRight" activeCell="E16" sqref="E16"/>
    </sheetView>
  </sheetViews>
  <sheetFormatPr defaultColWidth="9.14428571428571" defaultRowHeight="12.75"/>
  <cols>
    <col min="1" max="1" width="5.71428571428571" style="7" customWidth="1"/>
    <col min="2" max="2" width="8.71428571428571" style="7" customWidth="1"/>
    <col min="3" max="3" width="27" style="7" bestFit="1" customWidth="1"/>
    <col min="4" max="4" width="10.5714285714286" style="4" customWidth="1"/>
    <col min="5" max="5" width="17.7142857142857" style="7" bestFit="1" customWidth="1"/>
    <col min="6" max="6" width="17.2857142857143" style="7" bestFit="1" customWidth="1"/>
    <col min="7" max="7" width="17.7142857142857" style="7" bestFit="1" customWidth="1"/>
    <col min="8" max="8" width="18.4285714285714" style="7" bestFit="1" customWidth="1"/>
    <col min="9" max="9" width="12.7142857142857" style="7" customWidth="1"/>
    <col min="10" max="11" width="10.2857142857143" style="7" bestFit="1" customWidth="1"/>
    <col min="12" max="12" width="3.28571428571429" style="51" bestFit="1" customWidth="1"/>
    <col min="13" max="13" width="6.71428571428571" style="4" bestFit="1" customWidth="1"/>
    <col min="14" max="23" width="12.7142857142857" style="7" customWidth="1"/>
    <col min="24" max="16384" width="9.14285714285714" style="7"/>
  </cols>
  <sheetData>
    <row r="1" spans="1:1" ht="12.75">
      <c r="A1" s="5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ht="12.75">
      <c r="A3" s="8" t="str">
        <f>CONCATENATE('[4]Schedule Sponsors'!$A$16,'[4]Schedule Sponsors'!$B$16)</f>
        <v>II-B-4  CONSTRUCTION WORK IN PROGRESS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3" ht="12.75">
      <c r="A4" s="115" t="str">
        <f>+'[4]Input Data'!$A$4</f>
        <v>TEST YEAR ENDING DECEMBER 31, 2021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3" ht="12.75">
      <c r="A5" s="8" t="str">
        <f>CONCATENATE("SPONSOR: ",'[4]Schedule Sponsors'!$D$16)</f>
        <v>SPONSOR: W. ALAN LEDBETTER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 ht="12.75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 ht="12.75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ht="12.75">
      <c r="A8" s="6"/>
      <c r="B8" s="70"/>
      <c r="C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ht="13.5" thickBot="1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3" s="1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1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1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1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1:23" s="6" customFormat="1" ht="12.75">
      <c r="A14" s="20"/>
      <c r="B14" s="20"/>
      <c r="C14" s="20"/>
      <c r="D14" s="21"/>
      <c r="E14" s="52"/>
      <c r="F14" s="52"/>
      <c r="G14" s="52"/>
      <c r="H14" s="52"/>
      <c r="I14" s="52"/>
      <c r="J14" s="52"/>
      <c r="K14" s="52"/>
      <c r="L14" s="21"/>
      <c r="M14" s="21"/>
      <c r="N14" s="52"/>
      <c r="O14" s="52"/>
      <c r="P14" s="52"/>
      <c r="Q14" s="52"/>
      <c r="R14" s="22"/>
      <c r="S14" s="22"/>
      <c r="T14" s="22"/>
      <c r="U14" s="22"/>
      <c r="V14" s="20"/>
      <c r="W14" s="20"/>
    </row>
    <row r="15" spans="1:21" s="10" customFormat="1" ht="15" customHeight="1">
      <c r="A15" s="23">
        <v>1</v>
      </c>
      <c r="B15" s="10" t="s">
        <v>138</v>
      </c>
      <c r="D15" s="53" t="s">
        <v>157</v>
      </c>
      <c r="E15" s="55"/>
      <c r="F15" s="55"/>
      <c r="G15" s="55"/>
      <c r="H15" s="55"/>
      <c r="I15" s="55"/>
      <c r="J15" s="55"/>
      <c r="K15" s="55"/>
      <c r="L15" s="53"/>
      <c r="M15" s="53"/>
      <c r="N15" s="55"/>
      <c r="O15" s="55"/>
      <c r="P15" s="55"/>
      <c r="Q15" s="55"/>
      <c r="R15" s="55"/>
      <c r="S15" s="55"/>
      <c r="T15" s="55"/>
      <c r="U15" s="55"/>
    </row>
    <row r="16" spans="1:24" s="10" customFormat="1" ht="15" customHeight="1">
      <c r="A16" s="23">
        <v>2</v>
      </c>
      <c r="B16" s="6" t="s">
        <v>104</v>
      </c>
      <c r="C16" s="6" t="s">
        <v>138</v>
      </c>
      <c r="D16" s="53"/>
      <c r="E16" s="225">
        <v>558881688.25</v>
      </c>
      <c r="F16" s="187">
        <v>0</v>
      </c>
      <c r="G16" s="187">
        <f>+E16+F16</f>
        <v>558881688.25</v>
      </c>
      <c r="H16" s="187">
        <f>-G16</f>
        <v>-558881688.25</v>
      </c>
      <c r="I16" s="187">
        <f>+G16+H16</f>
        <v>0</v>
      </c>
      <c r="J16" s="175">
        <v>1</v>
      </c>
      <c r="K16" s="187">
        <f>+I16*J16</f>
        <v>0</v>
      </c>
      <c r="L16" s="187"/>
      <c r="M16" s="187"/>
      <c r="N16" s="187">
        <v>0</v>
      </c>
      <c r="O16" s="187">
        <v>0</v>
      </c>
      <c r="P16" s="187">
        <v>0</v>
      </c>
      <c r="Q16" s="187">
        <f>SUM(N16:P16)</f>
        <v>0</v>
      </c>
      <c r="R16" s="187">
        <v>0</v>
      </c>
      <c r="S16" s="187">
        <v>0</v>
      </c>
      <c r="T16" s="187">
        <f>SUM(R16:S16)</f>
        <v>0</v>
      </c>
      <c r="U16" s="187">
        <v>0</v>
      </c>
      <c r="V16" s="187">
        <v>0</v>
      </c>
      <c r="W16" s="187">
        <f>+Q16+T16+U16+V16</f>
        <v>0</v>
      </c>
      <c r="X16" s="10" t="b">
        <f>+W16=K16</f>
        <v>1</v>
      </c>
    </row>
    <row r="17" spans="1:23" s="10" customFormat="1" ht="15" customHeight="1">
      <c r="A17" s="23">
        <v>3</v>
      </c>
      <c r="B17" s="6"/>
      <c r="C17" s="6"/>
      <c r="D17" s="53"/>
      <c r="E17" s="161"/>
      <c r="F17" s="161"/>
      <c r="G17" s="161"/>
      <c r="H17" s="161"/>
      <c r="I17" s="161"/>
      <c r="J17" s="55"/>
      <c r="K17" s="161"/>
      <c r="L17" s="53"/>
      <c r="M17" s="53"/>
      <c r="N17" s="161"/>
      <c r="O17" s="161"/>
      <c r="P17" s="161"/>
      <c r="Q17" s="161"/>
      <c r="R17" s="161"/>
      <c r="S17" s="161"/>
      <c r="T17" s="161"/>
      <c r="U17" s="161"/>
      <c r="V17" s="161"/>
      <c r="W17" s="161"/>
    </row>
    <row r="18" spans="1:24" s="10" customFormat="1" ht="15" customHeight="1">
      <c r="A18" s="23">
        <v>4</v>
      </c>
      <c r="B18" s="6"/>
      <c r="C18" s="58" t="s">
        <v>40</v>
      </c>
      <c r="D18" s="53"/>
      <c r="E18" s="188">
        <f>SUM(E16)</f>
        <v>558881688.25</v>
      </c>
      <c r="F18" s="188">
        <f>SUM(F16)</f>
        <v>0</v>
      </c>
      <c r="G18" s="188">
        <f>SUM(G16)</f>
        <v>558881688.25</v>
      </c>
      <c r="H18" s="188">
        <f>SUM(H16)</f>
        <v>-558881688.25</v>
      </c>
      <c r="I18" s="188">
        <f>SUM(I16)</f>
        <v>0</v>
      </c>
      <c r="J18" s="188"/>
      <c r="K18" s="188">
        <f>SUM(K16)</f>
        <v>0</v>
      </c>
      <c r="L18" s="188"/>
      <c r="M18" s="188"/>
      <c r="N18" s="188">
        <f t="shared" si="0" ref="N18:U18">SUM(N16)</f>
        <v>0</v>
      </c>
      <c r="O18" s="188">
        <f t="shared" si="0"/>
        <v>0</v>
      </c>
      <c r="P18" s="188">
        <f t="shared" si="1" ref="P18">SUM(P16)</f>
        <v>0</v>
      </c>
      <c r="Q18" s="188">
        <f>SUM(Q16)</f>
        <v>0</v>
      </c>
      <c r="R18" s="188">
        <f t="shared" si="0"/>
        <v>0</v>
      </c>
      <c r="S18" s="188">
        <f t="shared" si="2" ref="S18:T18">SUM(S16)</f>
        <v>0</v>
      </c>
      <c r="T18" s="188">
        <f t="shared" si="2"/>
        <v>0</v>
      </c>
      <c r="U18" s="188">
        <f t="shared" si="0"/>
        <v>0</v>
      </c>
      <c r="V18" s="188">
        <f t="shared" si="3" ref="V18">SUM(V16)</f>
        <v>0</v>
      </c>
      <c r="W18" s="188">
        <f>SUM(W16)</f>
        <v>0</v>
      </c>
      <c r="X18" s="10" t="b">
        <f>+W18=K18</f>
        <v>1</v>
      </c>
    </row>
    <row r="19" spans="1:23" s="10" customFormat="1" ht="15" customHeight="1">
      <c r="A19" s="23">
        <v>5</v>
      </c>
      <c r="B19" s="6"/>
      <c r="C19" s="6"/>
      <c r="D19" s="53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8"/>
      <c r="U19" s="188"/>
      <c r="V19" s="188"/>
      <c r="W19" s="188"/>
    </row>
    <row r="20" spans="1:24" s="10" customFormat="1" ht="15" customHeight="1">
      <c r="A20" s="23">
        <v>6</v>
      </c>
      <c r="B20" s="10" t="s">
        <v>15</v>
      </c>
      <c r="C20" s="6"/>
      <c r="E20" s="188">
        <f>SUM(E18)</f>
        <v>558881688.25</v>
      </c>
      <c r="F20" s="188">
        <f>SUM(F18)</f>
        <v>0</v>
      </c>
      <c r="G20" s="188">
        <f>SUM(G18)</f>
        <v>558881688.25</v>
      </c>
      <c r="H20" s="188">
        <f>SUM(H18)</f>
        <v>-558881688.25</v>
      </c>
      <c r="I20" s="188">
        <f>SUM(I18)</f>
        <v>0</v>
      </c>
      <c r="J20" s="188"/>
      <c r="K20" s="188">
        <f>SUM(K18)</f>
        <v>0</v>
      </c>
      <c r="L20" s="188"/>
      <c r="M20" s="188"/>
      <c r="N20" s="188">
        <f t="shared" si="4" ref="N20:U20">SUM(N18)</f>
        <v>0</v>
      </c>
      <c r="O20" s="188">
        <f t="shared" si="4"/>
        <v>0</v>
      </c>
      <c r="P20" s="188">
        <f t="shared" si="5" ref="P20">SUM(P18)</f>
        <v>0</v>
      </c>
      <c r="Q20" s="188">
        <f>SUM(Q18)</f>
        <v>0</v>
      </c>
      <c r="R20" s="188">
        <f t="shared" si="4"/>
        <v>0</v>
      </c>
      <c r="S20" s="188">
        <f t="shared" si="6" ref="S20:T20">SUM(S18)</f>
        <v>0</v>
      </c>
      <c r="T20" s="188">
        <f t="shared" si="6"/>
        <v>0</v>
      </c>
      <c r="U20" s="188">
        <f t="shared" si="4"/>
        <v>0</v>
      </c>
      <c r="V20" s="188">
        <f t="shared" si="7" ref="V20">SUM(V18)</f>
        <v>0</v>
      </c>
      <c r="W20" s="188">
        <f>SUM(W18)</f>
        <v>0</v>
      </c>
      <c r="X20" s="10" t="b">
        <f>+W20=K20</f>
        <v>1</v>
      </c>
    </row>
    <row r="21" spans="2:23" s="10" customFormat="1" ht="12.75">
      <c r="B21" s="6"/>
      <c r="C21" s="6"/>
      <c r="D21" s="53"/>
      <c r="E21" s="19"/>
      <c r="F21" s="19"/>
      <c r="G21" s="55"/>
      <c r="H21" s="19"/>
      <c r="I21" s="19"/>
      <c r="J21" s="19"/>
      <c r="K21" s="56"/>
      <c r="L21" s="23"/>
      <c r="M21" s="23"/>
      <c r="N21" s="56"/>
      <c r="O21" s="56"/>
      <c r="P21" s="56"/>
      <c r="Q21" s="56"/>
      <c r="R21" s="56"/>
      <c r="S21" s="56"/>
      <c r="T21" s="56"/>
      <c r="U21" s="56"/>
      <c r="V21" s="56"/>
      <c r="W21" s="56"/>
    </row>
    <row r="22" spans="2:23" s="10" customFormat="1" ht="12.75">
      <c r="B22" s="6"/>
      <c r="C22" s="6"/>
      <c r="D22" s="53"/>
      <c r="E22" s="19"/>
      <c r="F22" s="19"/>
      <c r="G22" s="55"/>
      <c r="H22" s="19"/>
      <c r="I22" s="19"/>
      <c r="J22" s="19"/>
      <c r="K22" s="56"/>
      <c r="L22" s="23"/>
      <c r="M22" s="23"/>
      <c r="N22" s="56"/>
      <c r="O22" s="56"/>
      <c r="P22" s="56"/>
      <c r="Q22" s="56"/>
      <c r="R22" s="56"/>
      <c r="S22" s="56"/>
      <c r="T22" s="56"/>
      <c r="U22" s="56"/>
      <c r="V22" s="56"/>
      <c r="W22" s="56"/>
    </row>
    <row r="23" spans="2:23" s="10" customFormat="1" ht="12.75">
      <c r="B23" s="6"/>
      <c r="C23" s="6"/>
      <c r="D23" s="53"/>
      <c r="E23" s="19"/>
      <c r="F23" s="19"/>
      <c r="G23" s="55"/>
      <c r="H23" s="19"/>
      <c r="I23" s="19"/>
      <c r="J23" s="19"/>
      <c r="K23" s="56"/>
      <c r="L23" s="23"/>
      <c r="M23" s="23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2:23" s="10" customFormat="1" ht="12.75">
      <c r="B24" s="6"/>
      <c r="C24" s="6"/>
      <c r="D24" s="53"/>
      <c r="E24" s="19"/>
      <c r="F24" s="199"/>
      <c r="G24" s="55"/>
      <c r="H24" s="19"/>
      <c r="I24" s="19"/>
      <c r="J24" s="19"/>
      <c r="K24" s="56"/>
      <c r="L24" s="23"/>
      <c r="M24" s="23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2:23" s="10" customFormat="1" ht="12.75">
      <c r="B25" s="6"/>
      <c r="C25" s="6"/>
      <c r="D25" s="53"/>
      <c r="E25" s="19"/>
      <c r="F25" s="19"/>
      <c r="G25" s="55"/>
      <c r="H25" s="19"/>
      <c r="I25" s="19"/>
      <c r="J25" s="19"/>
      <c r="K25" s="56"/>
      <c r="L25" s="23"/>
      <c r="M25" s="23"/>
      <c r="N25" s="56"/>
      <c r="O25" s="56"/>
      <c r="P25" s="56"/>
      <c r="Q25" s="56"/>
      <c r="R25" s="19"/>
      <c r="S25" s="19"/>
      <c r="T25" s="19"/>
      <c r="U25" s="19"/>
      <c r="V25" s="19"/>
      <c r="W25" s="56"/>
    </row>
    <row r="26" spans="2:23" s="10" customFormat="1" ht="12.75">
      <c r="B26" s="6"/>
      <c r="C26" s="6"/>
      <c r="D26" s="53"/>
      <c r="E26" s="19"/>
      <c r="F26" s="19"/>
      <c r="G26" s="55"/>
      <c r="H26" s="19"/>
      <c r="I26" s="19"/>
      <c r="J26" s="19"/>
      <c r="K26" s="56"/>
      <c r="L26" s="23"/>
      <c r="M26" s="23"/>
      <c r="N26" s="56"/>
      <c r="O26" s="56"/>
      <c r="P26" s="56"/>
      <c r="Q26" s="56"/>
      <c r="R26" s="56"/>
      <c r="S26" s="56"/>
      <c r="T26" s="56"/>
      <c r="U26" s="56"/>
      <c r="V26" s="56"/>
      <c r="W26" s="56"/>
    </row>
    <row r="27" spans="3:23" s="10" customFormat="1" ht="12.75">
      <c r="C27" s="58"/>
      <c r="D27" s="53"/>
      <c r="E27" s="63"/>
      <c r="F27" s="63"/>
      <c r="G27" s="63"/>
      <c r="H27" s="63"/>
      <c r="I27" s="63"/>
      <c r="J27" s="63"/>
      <c r="K27" s="63"/>
      <c r="L27" s="53"/>
      <c r="M27" s="5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2:21" s="10" customFormat="1" ht="12.75">
      <c r="B28" s="6"/>
      <c r="C28" s="58"/>
      <c r="D28" s="53"/>
      <c r="E28" s="55"/>
      <c r="F28" s="55"/>
      <c r="G28" s="55"/>
      <c r="H28" s="55"/>
      <c r="I28" s="55"/>
      <c r="J28" s="55"/>
      <c r="K28" s="55"/>
      <c r="L28" s="23"/>
      <c r="M28" s="23"/>
      <c r="N28" s="55"/>
      <c r="O28" s="55"/>
      <c r="P28" s="55"/>
      <c r="Q28" s="55"/>
      <c r="R28" s="55"/>
      <c r="S28" s="55"/>
      <c r="T28" s="55"/>
      <c r="U28" s="55"/>
    </row>
    <row r="29" spans="2:23" s="10" customFormat="1" ht="12.75">
      <c r="B29" s="6"/>
      <c r="C29" s="6"/>
      <c r="D29" s="53"/>
      <c r="E29" s="19"/>
      <c r="F29" s="19"/>
      <c r="G29" s="55"/>
      <c r="H29" s="19"/>
      <c r="I29" s="19"/>
      <c r="J29" s="19"/>
      <c r="K29" s="56"/>
      <c r="L29" s="23"/>
      <c r="M29" s="23"/>
      <c r="N29" s="19"/>
      <c r="O29" s="19"/>
      <c r="P29" s="19"/>
      <c r="Q29" s="19"/>
      <c r="R29" s="19"/>
      <c r="S29" s="19"/>
      <c r="T29" s="19"/>
      <c r="U29" s="19"/>
      <c r="V29" s="19"/>
      <c r="W29" s="56"/>
    </row>
    <row r="30" spans="2:23" s="10" customFormat="1" ht="12.75">
      <c r="B30" s="6"/>
      <c r="C30" s="6"/>
      <c r="D30" s="53"/>
      <c r="E30" s="19"/>
      <c r="F30" s="19"/>
      <c r="G30" s="55"/>
      <c r="H30" s="19"/>
      <c r="I30" s="19"/>
      <c r="J30" s="19"/>
      <c r="K30" s="56"/>
      <c r="L30" s="23"/>
      <c r="M30" s="23"/>
      <c r="N30" s="56"/>
      <c r="O30" s="56"/>
      <c r="P30" s="56"/>
      <c r="Q30" s="56"/>
      <c r="R30" s="56"/>
      <c r="S30" s="56"/>
      <c r="T30" s="56"/>
      <c r="U30" s="56"/>
      <c r="V30" s="56"/>
      <c r="W30" s="56"/>
    </row>
    <row r="31" spans="2:23" s="10" customFormat="1" ht="12.75">
      <c r="B31" s="6"/>
      <c r="C31" s="6"/>
      <c r="D31" s="53"/>
      <c r="E31" s="19"/>
      <c r="F31" s="19"/>
      <c r="G31" s="55"/>
      <c r="H31" s="19"/>
      <c r="I31" s="19"/>
      <c r="J31" s="19"/>
      <c r="K31" s="56"/>
      <c r="L31" s="23"/>
      <c r="M31" s="23"/>
      <c r="N31" s="56"/>
      <c r="O31" s="56"/>
      <c r="P31" s="56"/>
      <c r="Q31" s="56"/>
      <c r="R31" s="56"/>
      <c r="S31" s="56"/>
      <c r="T31" s="56"/>
      <c r="U31" s="56"/>
      <c r="V31" s="56"/>
      <c r="W31" s="56"/>
    </row>
    <row r="32" spans="2:23" s="10" customFormat="1" ht="12.75">
      <c r="B32" s="6"/>
      <c r="C32" s="6"/>
      <c r="D32" s="53"/>
      <c r="E32" s="19"/>
      <c r="F32" s="19"/>
      <c r="G32" s="55"/>
      <c r="H32" s="19"/>
      <c r="I32" s="19"/>
      <c r="J32" s="19"/>
      <c r="K32" s="56"/>
      <c r="L32" s="23"/>
      <c r="M32" s="23"/>
      <c r="N32" s="56"/>
      <c r="O32" s="56"/>
      <c r="P32" s="56"/>
      <c r="Q32" s="56"/>
      <c r="R32" s="56"/>
      <c r="S32" s="56"/>
      <c r="T32" s="56"/>
      <c r="U32" s="56"/>
      <c r="V32" s="56"/>
      <c r="W32" s="56"/>
    </row>
    <row r="33" spans="3:23" s="10" customFormat="1" ht="12.75">
      <c r="C33" s="58"/>
      <c r="D33" s="53"/>
      <c r="E33" s="55"/>
      <c r="F33" s="55"/>
      <c r="G33" s="55"/>
      <c r="H33" s="55"/>
      <c r="I33" s="55"/>
      <c r="J33" s="55"/>
      <c r="K33" s="55"/>
      <c r="L33" s="53"/>
      <c r="M33" s="53"/>
      <c r="N33" s="55"/>
      <c r="O33" s="55"/>
      <c r="P33" s="55"/>
      <c r="Q33" s="55"/>
      <c r="R33" s="55"/>
      <c r="S33" s="55"/>
      <c r="T33" s="55"/>
      <c r="U33" s="55"/>
      <c r="V33" s="55"/>
      <c r="W33" s="55"/>
    </row>
    <row r="34" spans="2:13" s="6" customFormat="1" ht="12.75">
      <c r="B34" s="10"/>
      <c r="D34" s="23"/>
      <c r="L34" s="59"/>
      <c r="M34" s="23"/>
    </row>
    <row r="35" spans="4:13" s="6" customFormat="1" ht="12.75">
      <c r="D35" s="23"/>
      <c r="L35" s="59"/>
      <c r="M35" s="23"/>
    </row>
    <row r="36" spans="4:13" s="6" customFormat="1" ht="12.75">
      <c r="D36" s="23"/>
      <c r="L36" s="59"/>
      <c r="M36" s="23"/>
    </row>
    <row r="37" spans="4:13" s="6" customFormat="1" ht="12.75">
      <c r="D37" s="23"/>
      <c r="L37" s="59"/>
      <c r="M37" s="23"/>
    </row>
    <row r="38" spans="4:13" s="6" customFormat="1" ht="12.75">
      <c r="D38" s="23"/>
      <c r="L38" s="59"/>
      <c r="M38" s="23"/>
    </row>
    <row r="39" spans="3:13" s="6" customFormat="1" ht="12.75">
      <c r="C39" s="64"/>
      <c r="D39" s="1"/>
      <c r="L39" s="65"/>
      <c r="M39" s="1"/>
    </row>
    <row r="40" spans="4:13" s="6" customFormat="1" ht="12.75">
      <c r="D40" s="23"/>
      <c r="L40" s="59"/>
      <c r="M40" s="23"/>
    </row>
    <row r="41" spans="3:13" s="6" customFormat="1" ht="12.75">
      <c r="C41" s="60"/>
      <c r="D41" s="61"/>
      <c r="L41" s="66"/>
      <c r="M41" s="61"/>
    </row>
    <row r="42" spans="4:13" s="6" customFormat="1" ht="12.75">
      <c r="D42" s="23"/>
      <c r="L42" s="59"/>
      <c r="M42" s="23"/>
    </row>
    <row r="43" spans="3:13" s="6" customFormat="1" ht="12.75">
      <c r="C43" s="60"/>
      <c r="D43" s="23"/>
      <c r="L43" s="66"/>
      <c r="M43" s="61"/>
    </row>
    <row r="44" spans="3:13" s="6" customFormat="1" ht="12.75">
      <c r="C44" s="61"/>
      <c r="D44" s="61"/>
      <c r="L44" s="66"/>
      <c r="M44" s="61"/>
    </row>
    <row r="45" spans="4:13" s="6" customFormat="1" ht="12.75">
      <c r="D45" s="23"/>
      <c r="L45" s="59"/>
      <c r="M45" s="23"/>
    </row>
    <row r="46" spans="2:13" s="6" customFormat="1" ht="12.75">
      <c r="B46" s="10"/>
      <c r="D46" s="23"/>
      <c r="L46" s="59"/>
      <c r="M46" s="23"/>
    </row>
    <row r="47" spans="4:13" s="6" customFormat="1" ht="12.75">
      <c r="D47" s="23"/>
      <c r="L47" s="59"/>
      <c r="M47" s="23"/>
    </row>
    <row r="48" spans="4:13" s="6" customFormat="1" ht="12.75">
      <c r="D48" s="23"/>
      <c r="L48" s="59"/>
      <c r="M48" s="23"/>
    </row>
    <row r="49" spans="4:13" s="6" customFormat="1" ht="12.75">
      <c r="D49" s="23"/>
      <c r="L49" s="59"/>
      <c r="M49" s="23"/>
    </row>
    <row r="50" spans="4:13" s="6" customFormat="1" ht="12.75">
      <c r="D50" s="23"/>
      <c r="L50" s="59"/>
      <c r="M50" s="23"/>
    </row>
    <row r="51" spans="4:13" s="6" customFormat="1" ht="12.75">
      <c r="D51" s="23"/>
      <c r="L51" s="59"/>
      <c r="M51" s="23"/>
    </row>
    <row r="52" spans="4:13" s="6" customFormat="1" ht="12.75">
      <c r="D52" s="23"/>
      <c r="L52" s="59"/>
      <c r="M52" s="23"/>
    </row>
    <row r="53" spans="4:13" s="6" customFormat="1" ht="12.75">
      <c r="D53" s="23"/>
      <c r="L53" s="59"/>
      <c r="M53" s="23"/>
    </row>
    <row r="54" spans="4:13" s="6" customFormat="1" ht="12.75">
      <c r="D54" s="23"/>
      <c r="L54" s="59"/>
      <c r="M54" s="23"/>
    </row>
    <row r="55" spans="4:13" s="6" customFormat="1" ht="12.75">
      <c r="D55" s="23"/>
      <c r="L55" s="59"/>
      <c r="M55" s="23"/>
    </row>
    <row r="56" spans="4:13" s="6" customFormat="1" ht="12.75">
      <c r="D56" s="23"/>
      <c r="L56" s="59"/>
      <c r="M56" s="23"/>
    </row>
    <row r="57" spans="4:13" s="6" customFormat="1" ht="12.75">
      <c r="D57" s="23"/>
      <c r="L57" s="59"/>
      <c r="M57" s="23"/>
    </row>
    <row r="58" spans="4:13" s="6" customFormat="1" ht="12.75">
      <c r="D58" s="23"/>
      <c r="L58" s="59"/>
      <c r="M58" s="23"/>
    </row>
    <row r="59" spans="4:13" s="6" customFormat="1" ht="12.75">
      <c r="D59" s="23"/>
      <c r="L59" s="59"/>
      <c r="M59" s="23"/>
    </row>
    <row r="60" spans="4:13" s="6" customFormat="1" ht="12.75">
      <c r="D60" s="23"/>
      <c r="L60" s="59"/>
      <c r="M60" s="23"/>
    </row>
    <row r="61" spans="4:13" s="6" customFormat="1" ht="12.75">
      <c r="D61" s="23"/>
      <c r="L61" s="59"/>
      <c r="M61" s="23"/>
    </row>
    <row r="62" spans="4:13" s="6" customFormat="1" ht="12.75">
      <c r="D62" s="23"/>
      <c r="L62" s="59"/>
      <c r="M62" s="23"/>
    </row>
    <row r="63" spans="4:13" s="6" customFormat="1" ht="12.75">
      <c r="D63" s="23"/>
      <c r="L63" s="59"/>
      <c r="M63" s="23"/>
    </row>
    <row r="64" spans="4:13" s="6" customFormat="1" ht="12.75">
      <c r="D64" s="23"/>
      <c r="L64" s="59"/>
      <c r="M64" s="23"/>
    </row>
    <row r="65" spans="4:13" s="6" customFormat="1" ht="12.75">
      <c r="D65" s="23"/>
      <c r="L65" s="59"/>
      <c r="M65" s="23"/>
    </row>
    <row r="66" spans="4:13" s="6" customFormat="1" ht="12.75">
      <c r="D66" s="23"/>
      <c r="L66" s="59"/>
      <c r="M66" s="23"/>
    </row>
    <row r="67" spans="4:13" s="6" customFormat="1" ht="12.75">
      <c r="D67" s="23"/>
      <c r="L67" s="59"/>
      <c r="M67" s="23"/>
    </row>
    <row r="68" spans="4:13" s="6" customFormat="1" ht="12.75">
      <c r="D68" s="23"/>
      <c r="L68" s="59"/>
      <c r="M68" s="23"/>
    </row>
    <row r="69" spans="4:13" s="6" customFormat="1" ht="12.75">
      <c r="D69" s="23"/>
      <c r="L69" s="59"/>
      <c r="M69" s="23"/>
    </row>
    <row r="70" spans="4:13" s="6" customFormat="1" ht="12.75">
      <c r="D70" s="23"/>
      <c r="L70" s="59"/>
      <c r="M70" s="23"/>
    </row>
    <row r="71" spans="4:13" s="6" customFormat="1" ht="12.75">
      <c r="D71" s="23"/>
      <c r="L71" s="59"/>
      <c r="M71" s="23"/>
    </row>
    <row r="72" spans="4:13" s="6" customFormat="1" ht="12.75">
      <c r="D72" s="23"/>
      <c r="L72" s="59"/>
      <c r="M72" s="23"/>
    </row>
    <row r="73" spans="4:13" s="6" customFormat="1" ht="12.75">
      <c r="D73" s="23"/>
      <c r="L73" s="59"/>
      <c r="M73" s="23"/>
    </row>
    <row r="74" spans="4:13" s="6" customFormat="1" ht="12.75">
      <c r="D74" s="23"/>
      <c r="L74" s="59"/>
      <c r="M74" s="23"/>
    </row>
    <row r="75" spans="4:13" s="6" customFormat="1" ht="12.75">
      <c r="D75" s="23"/>
      <c r="L75" s="59"/>
      <c r="M75" s="23"/>
    </row>
    <row r="76" spans="3:13" s="6" customFormat="1" ht="12.75">
      <c r="C76" s="74"/>
      <c r="D76" s="23"/>
      <c r="L76" s="59"/>
      <c r="M76" s="23"/>
    </row>
    <row r="77" spans="4:13" s="6" customFormat="1" ht="12.75">
      <c r="D77" s="23"/>
      <c r="L77" s="59"/>
      <c r="M77" s="23"/>
    </row>
    <row r="78" spans="4:13" s="6" customFormat="1" ht="12.75">
      <c r="D78" s="23"/>
      <c r="L78" s="59"/>
      <c r="M78" s="23"/>
    </row>
    <row r="79" spans="4:13" s="6" customFormat="1" ht="12.75">
      <c r="D79" s="23"/>
      <c r="L79" s="59"/>
      <c r="M79" s="23"/>
    </row>
    <row r="80" spans="4:13" s="6" customFormat="1" ht="12.75">
      <c r="D80" s="23"/>
      <c r="L80" s="59"/>
      <c r="M80" s="23"/>
    </row>
    <row r="81" spans="4:13" s="6" customFormat="1" ht="12.75">
      <c r="D81" s="23"/>
      <c r="L81" s="59"/>
      <c r="M81" s="23"/>
    </row>
    <row r="82" spans="4:13" s="6" customFormat="1" ht="12.75">
      <c r="D82" s="23"/>
      <c r="L82" s="59"/>
      <c r="M82" s="23"/>
    </row>
    <row r="83" spans="4:13" s="6" customFormat="1" ht="12.75">
      <c r="D83" s="23"/>
      <c r="L83" s="59"/>
      <c r="M83" s="23"/>
    </row>
    <row r="84" spans="4:13" s="6" customFormat="1" ht="12.75">
      <c r="D84" s="23"/>
      <c r="L84" s="59"/>
      <c r="M84" s="23"/>
    </row>
    <row r="85" spans="4:13" s="6" customFormat="1" ht="12.75">
      <c r="D85" s="23"/>
      <c r="L85" s="59"/>
      <c r="M85" s="23"/>
    </row>
    <row r="86" spans="4:13" s="6" customFormat="1" ht="12.75">
      <c r="D86" s="23"/>
      <c r="L86" s="59"/>
      <c r="M86" s="23"/>
    </row>
    <row r="87" spans="4:13" s="6" customFormat="1" ht="12.75">
      <c r="D87" s="23"/>
      <c r="L87" s="59"/>
      <c r="M87" s="23"/>
    </row>
    <row r="88" spans="4:13" s="6" customFormat="1" ht="12.75">
      <c r="D88" s="23"/>
      <c r="L88" s="59"/>
      <c r="M88" s="23"/>
    </row>
    <row r="89" spans="4:13" s="6" customFormat="1" ht="12.75">
      <c r="D89" s="23"/>
      <c r="L89" s="59"/>
      <c r="M89" s="23"/>
    </row>
    <row r="90" spans="4:13" s="6" customFormat="1" ht="12.75">
      <c r="D90" s="23"/>
      <c r="L90" s="59"/>
      <c r="M90" s="23"/>
    </row>
    <row r="91" spans="4:13" s="6" customFormat="1" ht="12.75">
      <c r="D91" s="23"/>
      <c r="L91" s="59"/>
      <c r="M91" s="23"/>
    </row>
    <row r="92" spans="4:13" s="6" customFormat="1" ht="12.75">
      <c r="D92" s="23"/>
      <c r="L92" s="59"/>
      <c r="M92" s="23"/>
    </row>
    <row r="93" spans="4:13" s="6" customFormat="1" ht="12.75">
      <c r="D93" s="23"/>
      <c r="L93" s="59"/>
      <c r="M93" s="23"/>
    </row>
    <row r="94" spans="4:13" s="6" customFormat="1" ht="12.75">
      <c r="D94" s="23"/>
      <c r="L94" s="59"/>
      <c r="M94" s="23"/>
    </row>
    <row r="95" spans="4:13" s="6" customFormat="1" ht="12.75">
      <c r="D95" s="23"/>
      <c r="L95" s="59"/>
      <c r="M95" s="23"/>
    </row>
    <row r="96" spans="4:13" s="6" customFormat="1" ht="12.75">
      <c r="D96" s="23"/>
      <c r="L96" s="59"/>
      <c r="M96" s="23"/>
    </row>
    <row r="97" spans="4:13" s="6" customFormat="1" ht="12.75">
      <c r="D97" s="23"/>
      <c r="L97" s="59"/>
      <c r="M97" s="23"/>
    </row>
    <row r="98" spans="4:13" s="6" customFormat="1" ht="12.75">
      <c r="D98" s="23"/>
      <c r="L98" s="59"/>
      <c r="M98" s="23"/>
    </row>
    <row r="99" spans="4:13" s="6" customFormat="1" ht="12.75">
      <c r="D99" s="23"/>
      <c r="L99" s="59"/>
      <c r="M99" s="23"/>
    </row>
    <row r="100" spans="4:13" s="6" customFormat="1" ht="12.75">
      <c r="D100" s="23"/>
      <c r="L100" s="59"/>
      <c r="M100" s="23"/>
    </row>
  </sheetData>
  <printOptions horizontalCentered="1"/>
  <pageMargins left="0.5" right="0.5" top="2.5" bottom="0.5" header="1.5" footer="0.25"/>
  <pageSetup fitToHeight="0" fitToWidth="2" orientation="landscape" pageOrder="overThenDown" scale="68" r:id="rId1"/>
  <headerFooter alignWithMargins="0">
    <oddHeader>&amp;C&amp;B
2022 RATE CASE
ONCOR ELECTRIC DELIVERY COMPANY LLC
II-B-4  CONSTRUCTION WORK IN PROGRESS
TEST YEAR ENDING DECEMBER 31, 2021
SPONSOR: W. ALAN LEDBETTER&amp;R&amp;"Arial,Bold"Schedule II-B-4
Page &amp;P of &amp;N</oddHeader>
  </headerFooter>
  <colBreaks count="1" manualBreakCount="1">
    <brk id="10" min="14" max="19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4">
    <tabColor rgb="FFFF0000"/>
  </sheetPr>
  <dimension ref="A1:Y91"/>
  <sheetViews>
    <sheetView zoomScale="85" zoomScaleNormal="85" workbookViewId="0" topLeftCell="A1">
      <pane xSplit="4" ySplit="13" topLeftCell="E14" activePane="bottomRight" state="frozen"/>
      <selection pane="topLeft" activeCell="E14" sqref="E14"/>
      <selection pane="bottomLeft" activeCell="E14" sqref="E14"/>
      <selection pane="topRight" activeCell="E14" sqref="E14"/>
      <selection pane="bottomRight" activeCell="E77" sqref="E77"/>
    </sheetView>
  </sheetViews>
  <sheetFormatPr defaultColWidth="9.14428571428571" defaultRowHeight="12.75"/>
  <cols>
    <col min="1" max="1" width="5.71428571428571" style="7" customWidth="1"/>
    <col min="2" max="2" width="8.71428571428571" style="7" customWidth="1"/>
    <col min="3" max="3" width="46.5714285714286" style="7" customWidth="1"/>
    <col min="4" max="4" width="13.7142857142857" style="4" bestFit="1" customWidth="1"/>
    <col min="5" max="5" width="16.2857142857143" style="7" bestFit="1" customWidth="1"/>
    <col min="6" max="6" width="17.4285714285714" style="7" bestFit="1" customWidth="1"/>
    <col min="7" max="7" width="16.2857142857143" style="7" bestFit="1" customWidth="1"/>
    <col min="8" max="8" width="15.1428571428571" style="7" bestFit="1" customWidth="1"/>
    <col min="9" max="9" width="16.2857142857143" style="7" bestFit="1" customWidth="1"/>
    <col min="10" max="10" width="10.5714285714286" style="7" bestFit="1" customWidth="1"/>
    <col min="11" max="11" width="16.2857142857143" style="7" bestFit="1" customWidth="1"/>
    <col min="12" max="12" width="3.28571428571429" style="51" customWidth="1"/>
    <col min="13" max="13" width="6.85714285714286" style="4" bestFit="1" customWidth="1"/>
    <col min="14" max="14" width="16.2857142857143" style="7" bestFit="1" customWidth="1"/>
    <col min="15" max="16" width="15.4285714285714" style="7" customWidth="1"/>
    <col min="17" max="18" width="16.2857142857143" style="7" bestFit="1" customWidth="1"/>
    <col min="19" max="20" width="16.2857142857143" style="7" customWidth="1"/>
    <col min="21" max="21" width="13.8571428571429" style="7" bestFit="1" customWidth="1"/>
    <col min="22" max="22" width="13.7142857142857" style="7" bestFit="1" customWidth="1"/>
    <col min="23" max="23" width="16.2857142857143" style="7" bestFit="1" customWidth="1"/>
    <col min="24" max="24" width="7.14285714285714" style="7" bestFit="1" customWidth="1"/>
    <col min="25" max="25" width="9.14285714285714" style="18" bestFit="1" customWidth="1"/>
    <col min="26" max="16384" width="9.14285714285714" style="7"/>
  </cols>
  <sheetData>
    <row r="1" spans="1:1" ht="12.75">
      <c r="A1" s="5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6"/>
      <c r="C2" s="6"/>
      <c r="D2" s="23"/>
      <c r="E2" s="6"/>
      <c r="F2" s="6"/>
      <c r="G2" s="6"/>
      <c r="H2" s="6"/>
      <c r="I2" s="6"/>
      <c r="J2" s="6"/>
      <c r="K2" s="6"/>
      <c r="L2" s="59"/>
      <c r="M2" s="23"/>
      <c r="N2" s="6"/>
      <c r="O2" s="6"/>
      <c r="P2" s="6"/>
      <c r="Q2" s="6"/>
      <c r="R2" s="6"/>
      <c r="S2" s="6"/>
      <c r="T2" s="6"/>
      <c r="U2" s="6"/>
      <c r="V2" s="6"/>
      <c r="W2" s="6"/>
    </row>
    <row r="3" spans="1:23" ht="12.75">
      <c r="A3" s="8" t="str">
        <f>CONCATENATE('[4]Schedule Sponsors'!$A$17,'[4]Schedule Sponsors'!$B$17)</f>
        <v>II-B-5  ACCUMULATED DEPRECIATION</v>
      </c>
      <c r="B3" s="6"/>
      <c r="D3" s="23"/>
      <c r="E3" s="6"/>
      <c r="F3" s="17"/>
      <c r="G3" s="6"/>
      <c r="H3" s="6"/>
      <c r="I3" s="6"/>
      <c r="J3" s="6"/>
      <c r="K3" s="69"/>
      <c r="L3" s="59"/>
      <c r="M3" s="23"/>
      <c r="N3" s="6"/>
      <c r="O3" s="6"/>
      <c r="P3" s="6"/>
      <c r="Q3" s="6"/>
      <c r="R3" s="6"/>
      <c r="S3" s="6"/>
      <c r="T3" s="6"/>
      <c r="U3" s="6"/>
      <c r="V3" s="6"/>
      <c r="W3" s="69"/>
    </row>
    <row r="4" spans="1:23" ht="12.75">
      <c r="A4" s="115" t="str">
        <f>+'[4]Input Data'!$A$4</f>
        <v>TEST YEAR ENDING DECEMBER 31, 2021</v>
      </c>
      <c r="B4" s="6"/>
      <c r="D4" s="23"/>
      <c r="E4" s="6"/>
      <c r="F4" s="17"/>
      <c r="G4" s="6"/>
      <c r="H4" s="6"/>
      <c r="I4" s="6"/>
      <c r="J4" s="6"/>
      <c r="K4" s="69"/>
      <c r="L4" s="59"/>
      <c r="M4" s="23"/>
      <c r="N4" s="6"/>
      <c r="O4" s="6"/>
      <c r="P4" s="6"/>
      <c r="Q4" s="6"/>
      <c r="R4" s="6"/>
      <c r="S4" s="6"/>
      <c r="T4" s="6"/>
      <c r="U4" s="6"/>
      <c r="V4" s="6"/>
      <c r="W4" s="69"/>
    </row>
    <row r="5" spans="1:23" ht="12.75">
      <c r="A5" s="8" t="str">
        <f>CONCATENATE("SPONSOR: ",'[4]Schedule Sponsors'!$D$17)</f>
        <v>SPONSOR: W. ALAN LEDBETTER &amp;&amp; D. WATSON</v>
      </c>
      <c r="B5" s="6"/>
      <c r="D5" s="23"/>
      <c r="E5" s="6"/>
      <c r="F5" s="6"/>
      <c r="G5" s="6"/>
      <c r="H5" s="6"/>
      <c r="I5" s="6"/>
      <c r="J5" s="6"/>
      <c r="K5" s="6"/>
      <c r="L5" s="59"/>
      <c r="M5" s="23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 ht="12.75">
      <c r="B6" s="6"/>
      <c r="D6" s="23"/>
      <c r="E6" s="6"/>
      <c r="F6" s="6"/>
      <c r="G6" s="6"/>
      <c r="H6" s="6"/>
      <c r="I6" s="6"/>
      <c r="J6" s="6"/>
      <c r="K6" s="6"/>
      <c r="L6" s="59"/>
      <c r="M6" s="23"/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 ht="12.75">
      <c r="B7" s="6"/>
      <c r="D7" s="23"/>
      <c r="E7" s="6"/>
      <c r="F7" s="6"/>
      <c r="G7" s="6"/>
      <c r="H7" s="6"/>
      <c r="I7" s="6"/>
      <c r="J7" s="6"/>
      <c r="K7" s="6"/>
      <c r="L7" s="59"/>
      <c r="M7" s="23"/>
      <c r="N7" s="6"/>
      <c r="O7" s="6"/>
      <c r="P7" s="6"/>
      <c r="Q7" s="6"/>
      <c r="R7" s="6"/>
      <c r="S7" s="6"/>
      <c r="T7" s="6"/>
      <c r="U7" s="6"/>
      <c r="V7" s="6"/>
      <c r="W7" s="6"/>
    </row>
    <row r="8" spans="1:23" ht="12.75">
      <c r="A8" s="6"/>
      <c r="B8" s="70"/>
      <c r="C8" s="6"/>
      <c r="D8" s="23"/>
      <c r="E8" s="6"/>
      <c r="F8" s="6"/>
      <c r="G8" s="6"/>
      <c r="H8" s="6"/>
      <c r="I8" s="6"/>
      <c r="J8" s="6"/>
      <c r="K8" s="6"/>
      <c r="L8" s="59"/>
      <c r="M8" s="23"/>
      <c r="N8" s="6"/>
      <c r="O8" s="6"/>
      <c r="P8" s="6"/>
      <c r="Q8" s="6"/>
      <c r="R8" s="6"/>
      <c r="S8" s="6"/>
      <c r="T8" s="6"/>
      <c r="U8" s="6"/>
      <c r="V8" s="6"/>
      <c r="W8" s="6"/>
    </row>
    <row r="9" spans="1:23" ht="13.5" thickBot="1">
      <c r="A9" s="6"/>
      <c r="B9" s="6" t="s">
        <v>24</v>
      </c>
      <c r="C9" s="6"/>
      <c r="D9" s="23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</row>
    <row r="10" spans="1:25" s="1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  <c r="Y10" s="55"/>
    </row>
    <row r="11" spans="1:25" s="1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  <c r="Y11" s="55"/>
    </row>
    <row r="12" spans="1:25" s="1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  <c r="Y12" s="55"/>
    </row>
    <row r="13" spans="1:25" s="1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  <c r="Y13" s="55"/>
    </row>
    <row r="14" spans="1:25" s="6" customFormat="1" ht="12.75">
      <c r="A14" s="20"/>
      <c r="B14" s="21"/>
      <c r="C14" s="21"/>
      <c r="D14" s="21"/>
      <c r="E14" s="11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0"/>
      <c r="Y14" s="19"/>
    </row>
    <row r="15" spans="1:25" s="6" customFormat="1" ht="12.75">
      <c r="A15" s="23">
        <v>1</v>
      </c>
      <c r="B15" s="10" t="s">
        <v>121</v>
      </c>
      <c r="D15" s="23"/>
      <c r="E15" s="56"/>
      <c r="F15" s="56"/>
      <c r="G15" s="56"/>
      <c r="H15" s="56"/>
      <c r="I15" s="56"/>
      <c r="J15" s="56"/>
      <c r="K15" s="56"/>
      <c r="L15" s="23"/>
      <c r="M15" s="23"/>
      <c r="N15" s="56"/>
      <c r="O15" s="56"/>
      <c r="P15" s="56"/>
      <c r="Q15" s="56"/>
      <c r="R15" s="19"/>
      <c r="S15" s="19"/>
      <c r="T15" s="19"/>
      <c r="U15" s="19"/>
      <c r="Y15" s="19"/>
    </row>
    <row r="16" spans="1:25" s="6" customFormat="1" ht="12.75">
      <c r="A16" s="23">
        <v>2</v>
      </c>
      <c r="B16" s="10" t="s">
        <v>46</v>
      </c>
      <c r="D16" s="53" t="s">
        <v>158</v>
      </c>
      <c r="E16" s="19"/>
      <c r="F16" s="19"/>
      <c r="G16" s="19"/>
      <c r="H16" s="19"/>
      <c r="I16" s="19"/>
      <c r="J16" s="19"/>
      <c r="K16" s="19"/>
      <c r="L16" s="23"/>
      <c r="M16" s="23"/>
      <c r="N16" s="19"/>
      <c r="O16" s="19"/>
      <c r="P16" s="19"/>
      <c r="Q16" s="19"/>
      <c r="R16" s="19"/>
      <c r="S16" s="19"/>
      <c r="T16" s="19"/>
      <c r="U16" s="19"/>
      <c r="Y16" s="19"/>
    </row>
    <row r="17" spans="1:25" s="6" customFormat="1" ht="12.75">
      <c r="A17" s="23">
        <v>3</v>
      </c>
      <c r="B17" s="6" t="s">
        <v>38</v>
      </c>
      <c r="C17" s="6" t="s">
        <v>39</v>
      </c>
      <c r="D17" s="53"/>
      <c r="E17" s="271">
        <v>0</v>
      </c>
      <c r="F17" s="271">
        <v>0</v>
      </c>
      <c r="G17" s="271">
        <f t="shared" si="0" ref="G17:G19">+E17+F17</f>
        <v>0</v>
      </c>
      <c r="H17" s="271">
        <v>0</v>
      </c>
      <c r="I17" s="271">
        <f t="shared" si="1" ref="I17:I19">+G17+H17</f>
        <v>0</v>
      </c>
      <c r="J17" s="175">
        <v>1</v>
      </c>
      <c r="K17" s="271">
        <f>ROUND(+I17*J17,2)</f>
        <v>0</v>
      </c>
      <c r="L17" s="187"/>
      <c r="M17" s="187"/>
      <c r="N17" s="271">
        <v>0</v>
      </c>
      <c r="O17" s="271">
        <v>0</v>
      </c>
      <c r="P17" s="271">
        <v>0</v>
      </c>
      <c r="Q17" s="271">
        <f>SUM(N17:P17)</f>
        <v>0</v>
      </c>
      <c r="R17" s="271">
        <v>0</v>
      </c>
      <c r="S17" s="271">
        <v>0</v>
      </c>
      <c r="T17" s="271">
        <f>SUM(R17:S17)</f>
        <v>0</v>
      </c>
      <c r="U17" s="271">
        <v>0</v>
      </c>
      <c r="V17" s="271">
        <v>0</v>
      </c>
      <c r="W17" s="271">
        <f>+Q17+T17+U17+V17</f>
        <v>0</v>
      </c>
      <c r="X17" s="6" t="b">
        <f>+K17=W17</f>
        <v>1</v>
      </c>
      <c r="Y17" s="172">
        <f>+K17-W17</f>
        <v>0</v>
      </c>
    </row>
    <row r="18" spans="1:25" s="10" customFormat="1" ht="12.75">
      <c r="A18" s="23">
        <v>4</v>
      </c>
      <c r="B18" s="6" t="s">
        <v>41</v>
      </c>
      <c r="C18" s="6" t="s">
        <v>125</v>
      </c>
      <c r="D18" s="53"/>
      <c r="E18" s="214">
        <v>0</v>
      </c>
      <c r="F18" s="214">
        <v>0</v>
      </c>
      <c r="G18" s="214">
        <f t="shared" si="0"/>
        <v>0</v>
      </c>
      <c r="H18" s="214">
        <v>0</v>
      </c>
      <c r="I18" s="214">
        <f t="shared" si="1"/>
        <v>0</v>
      </c>
      <c r="J18" s="175">
        <v>1</v>
      </c>
      <c r="K18" s="214">
        <f t="shared" si="2" ref="K18:K19">ROUND(+I18*J18,2)</f>
        <v>0</v>
      </c>
      <c r="L18" s="23"/>
      <c r="M18" s="23"/>
      <c r="N18" s="214">
        <v>0</v>
      </c>
      <c r="O18" s="214">
        <v>0</v>
      </c>
      <c r="P18" s="214">
        <v>0</v>
      </c>
      <c r="Q18" s="214">
        <f t="shared" si="3" ref="Q18:Q19">SUM(N18:P18)</f>
        <v>0</v>
      </c>
      <c r="R18" s="214">
        <v>0</v>
      </c>
      <c r="S18" s="214">
        <v>0</v>
      </c>
      <c r="T18" s="214">
        <f t="shared" si="4" ref="T18:T19">SUM(R18:S18)</f>
        <v>0</v>
      </c>
      <c r="U18" s="214">
        <v>0</v>
      </c>
      <c r="V18" s="214">
        <v>0</v>
      </c>
      <c r="W18" s="214">
        <f t="shared" si="5" ref="W18:W19">+Q18+T18+U18+V18</f>
        <v>0</v>
      </c>
      <c r="X18" s="6" t="b">
        <f>+K18=W18</f>
        <v>1</v>
      </c>
      <c r="Y18" s="172">
        <f>+K18-W18</f>
        <v>0</v>
      </c>
    </row>
    <row r="19" spans="1:25" s="6" customFormat="1" ht="12.75">
      <c r="A19" s="23">
        <v>5</v>
      </c>
      <c r="B19" s="6" t="s">
        <v>42</v>
      </c>
      <c r="C19" s="6" t="s">
        <v>43</v>
      </c>
      <c r="D19" s="23"/>
      <c r="E19" s="269">
        <v>452767876</v>
      </c>
      <c r="F19" s="214">
        <v>0</v>
      </c>
      <c r="G19" s="270">
        <f t="shared" si="0"/>
        <v>452767876</v>
      </c>
      <c r="H19" s="269">
        <v>0</v>
      </c>
      <c r="I19" s="270">
        <f t="shared" si="1"/>
        <v>452767876</v>
      </c>
      <c r="J19" s="175">
        <v>1</v>
      </c>
      <c r="K19" s="214">
        <f t="shared" si="2"/>
        <v>452767876</v>
      </c>
      <c r="L19" s="119"/>
      <c r="M19" s="119"/>
      <c r="N19" s="269">
        <v>99337445.870000005</v>
      </c>
      <c r="O19" s="269">
        <v>0</v>
      </c>
      <c r="P19" s="269">
        <v>0</v>
      </c>
      <c r="Q19" s="214">
        <f t="shared" si="3"/>
        <v>99337445.870000005</v>
      </c>
      <c r="R19" s="269">
        <v>114122847.83</v>
      </c>
      <c r="S19" s="269">
        <v>0</v>
      </c>
      <c r="T19" s="214">
        <f t="shared" si="4"/>
        <v>114122847.83</v>
      </c>
      <c r="U19" s="269">
        <v>155161422.72999999</v>
      </c>
      <c r="V19" s="269">
        <v>84146159.569999993</v>
      </c>
      <c r="W19" s="214">
        <f t="shared" si="5"/>
        <v>452767875.99999994</v>
      </c>
      <c r="X19" s="6" t="b">
        <f>+K19=W19</f>
        <v>1</v>
      </c>
      <c r="Y19" s="172">
        <f>+K19-W19</f>
        <v>0</v>
      </c>
    </row>
    <row r="20" spans="1:25" s="6" customFormat="1" ht="12.75">
      <c r="A20" s="23">
        <v>6</v>
      </c>
      <c r="D20" s="23"/>
      <c r="E20" s="156"/>
      <c r="F20" s="156"/>
      <c r="G20" s="156"/>
      <c r="H20" s="156"/>
      <c r="I20" s="156"/>
      <c r="J20" s="177"/>
      <c r="K20" s="155"/>
      <c r="L20" s="23"/>
      <c r="M20" s="23"/>
      <c r="N20" s="156"/>
      <c r="O20" s="156"/>
      <c r="P20" s="156"/>
      <c r="Q20" s="156"/>
      <c r="R20" s="156"/>
      <c r="S20" s="156"/>
      <c r="T20" s="156"/>
      <c r="U20" s="156"/>
      <c r="V20" s="156"/>
      <c r="W20" s="162"/>
      <c r="Y20" s="172"/>
    </row>
    <row r="21" spans="1:25" s="6" customFormat="1" ht="12.75">
      <c r="A21" s="23">
        <v>7</v>
      </c>
      <c r="C21" s="58" t="s">
        <v>40</v>
      </c>
      <c r="D21" s="23"/>
      <c r="E21" s="188">
        <f>SUM(E17:E19)</f>
        <v>452767876</v>
      </c>
      <c r="F21" s="188">
        <f>SUM(F17:F19)</f>
        <v>0</v>
      </c>
      <c r="G21" s="188">
        <f>SUM(G17:G19)</f>
        <v>452767876</v>
      </c>
      <c r="H21" s="188">
        <f>SUM(H17:H19)</f>
        <v>0</v>
      </c>
      <c r="I21" s="188">
        <f>SUM(I17:I19)</f>
        <v>452767876</v>
      </c>
      <c r="J21" s="188"/>
      <c r="K21" s="188">
        <f>SUM(K17:K19)</f>
        <v>452767876</v>
      </c>
      <c r="L21" s="188"/>
      <c r="M21" s="188"/>
      <c r="N21" s="272">
        <f>SUM(N17:N19)</f>
        <v>99337445.870000005</v>
      </c>
      <c r="O21" s="272">
        <f>SUM(O17:O19)</f>
        <v>0</v>
      </c>
      <c r="P21" s="272">
        <f>SUM(P17:P19)</f>
        <v>0</v>
      </c>
      <c r="Q21" s="272">
        <f t="shared" si="6" ref="Q21:T21">SUM(Q17:Q19)</f>
        <v>99337445.870000005</v>
      </c>
      <c r="R21" s="272">
        <f>SUM(R17:R19)</f>
        <v>114122847.83</v>
      </c>
      <c r="S21" s="272">
        <f>SUM(S17:S19)</f>
        <v>0</v>
      </c>
      <c r="T21" s="272">
        <f t="shared" si="6"/>
        <v>114122847.83</v>
      </c>
      <c r="U21" s="272">
        <f>SUM(U17:U19)</f>
        <v>155161422.72999999</v>
      </c>
      <c r="V21" s="272">
        <f>SUM(V17:V19)</f>
        <v>84146159.569999993</v>
      </c>
      <c r="W21" s="272">
        <f>SUM(W17:W19)</f>
        <v>452767875.99999994</v>
      </c>
      <c r="X21" s="6" t="b">
        <f>+K21=W21</f>
        <v>1</v>
      </c>
      <c r="Y21" s="172">
        <f>+K21-W21</f>
        <v>0</v>
      </c>
    </row>
    <row r="22" spans="1:25" s="6" customFormat="1" ht="12.75">
      <c r="A22" s="23">
        <v>8</v>
      </c>
      <c r="C22" s="58"/>
      <c r="D22" s="23"/>
      <c r="E22" s="19"/>
      <c r="F22" s="19"/>
      <c r="G22" s="19"/>
      <c r="H22" s="19"/>
      <c r="I22" s="19"/>
      <c r="J22" s="177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Y22" s="172"/>
    </row>
    <row r="23" spans="1:25" s="6" customFormat="1" ht="12.75">
      <c r="A23" s="23">
        <v>9</v>
      </c>
      <c r="B23" s="10" t="s">
        <v>111</v>
      </c>
      <c r="D23" s="23"/>
      <c r="E23" s="19"/>
      <c r="G23" s="19"/>
      <c r="I23" s="19"/>
      <c r="J23" s="177"/>
      <c r="K23" s="56"/>
      <c r="L23" s="23"/>
      <c r="M23" s="23"/>
      <c r="N23" s="56"/>
      <c r="O23" s="56"/>
      <c r="P23" s="56"/>
      <c r="Q23" s="56"/>
      <c r="S23" s="56"/>
      <c r="W23" s="56"/>
      <c r="Y23" s="172"/>
    </row>
    <row r="24" spans="1:25" s="10" customFormat="1" ht="12.75">
      <c r="A24" s="23">
        <v>10</v>
      </c>
      <c r="B24" s="10" t="s">
        <v>46</v>
      </c>
      <c r="D24" s="53" t="s">
        <v>158</v>
      </c>
      <c r="E24" s="55"/>
      <c r="F24" s="55"/>
      <c r="G24" s="55"/>
      <c r="H24" s="55"/>
      <c r="I24" s="19"/>
      <c r="J24" s="176"/>
      <c r="K24" s="55"/>
      <c r="L24" s="53"/>
      <c r="M24" s="53"/>
      <c r="N24" s="55"/>
      <c r="O24" s="55"/>
      <c r="P24" s="55"/>
      <c r="Q24" s="55"/>
      <c r="R24" s="55"/>
      <c r="S24" s="55"/>
      <c r="T24" s="55"/>
      <c r="U24" s="55"/>
      <c r="Y24" s="172"/>
    </row>
    <row r="25" spans="1:25" s="6" customFormat="1" ht="12.75">
      <c r="A25" s="23">
        <v>11</v>
      </c>
      <c r="B25" s="6" t="s">
        <v>48</v>
      </c>
      <c r="C25" s="6" t="s">
        <v>44</v>
      </c>
      <c r="D25" s="53"/>
      <c r="E25" s="271">
        <v>0</v>
      </c>
      <c r="F25" s="271">
        <v>0</v>
      </c>
      <c r="G25" s="271">
        <f t="shared" si="7" ref="G25:G34">+E25+F25</f>
        <v>0</v>
      </c>
      <c r="H25" s="271">
        <v>0</v>
      </c>
      <c r="I25" s="271">
        <f t="shared" si="8" ref="I25:I34">+G25+H25</f>
        <v>0</v>
      </c>
      <c r="J25" s="175">
        <v>1</v>
      </c>
      <c r="K25" s="271">
        <f t="shared" si="9" ref="K25:K34">ROUND(+I25*J25,2)</f>
        <v>0</v>
      </c>
      <c r="L25" s="187"/>
      <c r="M25" s="187"/>
      <c r="N25" s="271">
        <v>0</v>
      </c>
      <c r="O25" s="271">
        <v>0</v>
      </c>
      <c r="P25" s="271">
        <v>0</v>
      </c>
      <c r="Q25" s="271">
        <f t="shared" si="10" ref="Q25:Q34">SUM(N25:P25)</f>
        <v>0</v>
      </c>
      <c r="R25" s="271">
        <v>0</v>
      </c>
      <c r="S25" s="271">
        <v>0</v>
      </c>
      <c r="T25" s="271">
        <f t="shared" si="11" ref="T25:T34">SUM(R25:S25)</f>
        <v>0</v>
      </c>
      <c r="U25" s="271">
        <v>0</v>
      </c>
      <c r="V25" s="271">
        <v>0</v>
      </c>
      <c r="W25" s="271">
        <f t="shared" si="12" ref="W25:W34">+Q25+T25+U25+V25</f>
        <v>0</v>
      </c>
      <c r="X25" s="6" t="b">
        <f t="shared" si="13" ref="X25:X34">+K25=W25</f>
        <v>1</v>
      </c>
      <c r="Y25" s="172">
        <f t="shared" si="14" ref="Y25:Y34">+K25-W25</f>
        <v>0</v>
      </c>
    </row>
    <row r="26" spans="1:25" s="6" customFormat="1" ht="12.75">
      <c r="A26" s="23">
        <v>12</v>
      </c>
      <c r="B26" s="6" t="s">
        <v>49</v>
      </c>
      <c r="C26" s="6" t="s">
        <v>50</v>
      </c>
      <c r="D26" s="23"/>
      <c r="E26" s="214">
        <v>106789345.31</v>
      </c>
      <c r="F26" s="214">
        <v>0</v>
      </c>
      <c r="G26" s="214">
        <f t="shared" si="7"/>
        <v>106789345.31</v>
      </c>
      <c r="H26" s="214">
        <v>-3844.0100000000002</v>
      </c>
      <c r="I26" s="214">
        <f t="shared" si="8"/>
        <v>106785501.3</v>
      </c>
      <c r="J26" s="175">
        <v>1</v>
      </c>
      <c r="K26" s="214">
        <f t="shared" si="9"/>
        <v>106785501.3</v>
      </c>
      <c r="L26" s="23"/>
      <c r="M26" s="119"/>
      <c r="N26" s="214">
        <v>98375413.930000007</v>
      </c>
      <c r="O26" s="214">
        <v>8410087.3699999992</v>
      </c>
      <c r="P26" s="214">
        <v>0</v>
      </c>
      <c r="Q26" s="214">
        <f t="shared" si="10"/>
        <v>106785501.30000001</v>
      </c>
      <c r="R26" s="214">
        <v>0</v>
      </c>
      <c r="S26" s="214">
        <v>0</v>
      </c>
      <c r="T26" s="214">
        <f t="shared" si="11"/>
        <v>0</v>
      </c>
      <c r="U26" s="214">
        <v>0</v>
      </c>
      <c r="V26" s="214">
        <v>0</v>
      </c>
      <c r="W26" s="214">
        <f t="shared" si="12"/>
        <v>106785501.30000001</v>
      </c>
      <c r="X26" s="6" t="b">
        <f t="shared" si="13"/>
        <v>1</v>
      </c>
      <c r="Y26" s="172">
        <f t="shared" si="14"/>
        <v>0</v>
      </c>
    </row>
    <row r="27" spans="1:25" s="6" customFormat="1" ht="12.75">
      <c r="A27" s="23">
        <v>13</v>
      </c>
      <c r="B27" s="6" t="s">
        <v>51</v>
      </c>
      <c r="C27" s="6" t="s">
        <v>45</v>
      </c>
      <c r="D27" s="23"/>
      <c r="E27" s="214">
        <v>128057112.69</v>
      </c>
      <c r="F27" s="214">
        <v>0</v>
      </c>
      <c r="G27" s="214">
        <f t="shared" si="7"/>
        <v>128057112.69</v>
      </c>
      <c r="H27" s="214">
        <v>0</v>
      </c>
      <c r="I27" s="214">
        <f t="shared" si="8"/>
        <v>128057112.69</v>
      </c>
      <c r="J27" s="175">
        <v>1</v>
      </c>
      <c r="K27" s="214">
        <f t="shared" si="9"/>
        <v>128057112.69</v>
      </c>
      <c r="L27" s="23"/>
      <c r="M27" s="119"/>
      <c r="N27" s="214">
        <v>107219725.90000001</v>
      </c>
      <c r="O27" s="214">
        <v>19832907.059999999</v>
      </c>
      <c r="P27" s="214">
        <v>1004479.73</v>
      </c>
      <c r="Q27" s="214">
        <f t="shared" si="10"/>
        <v>128057112.69000001</v>
      </c>
      <c r="R27" s="214">
        <v>0</v>
      </c>
      <c r="S27" s="214">
        <v>0</v>
      </c>
      <c r="T27" s="214">
        <f t="shared" si="11"/>
        <v>0</v>
      </c>
      <c r="U27" s="214">
        <v>0</v>
      </c>
      <c r="V27" s="214">
        <v>0</v>
      </c>
      <c r="W27" s="214">
        <f t="shared" si="12"/>
        <v>128057112.69000001</v>
      </c>
      <c r="X27" s="6" t="b">
        <f t="shared" si="13"/>
        <v>1</v>
      </c>
      <c r="Y27" s="172">
        <f t="shared" si="14"/>
        <v>0</v>
      </c>
    </row>
    <row r="28" spans="1:25" s="6" customFormat="1" ht="12.75">
      <c r="A28" s="23">
        <v>14</v>
      </c>
      <c r="B28" s="6" t="s">
        <v>52</v>
      </c>
      <c r="C28" s="6" t="s">
        <v>53</v>
      </c>
      <c r="D28" s="23"/>
      <c r="E28" s="214">
        <v>799387049.98000002</v>
      </c>
      <c r="F28" s="214">
        <v>0</v>
      </c>
      <c r="G28" s="214">
        <f t="shared" si="7"/>
        <v>799387049.98000002</v>
      </c>
      <c r="H28" s="214">
        <v>0</v>
      </c>
      <c r="I28" s="214">
        <f t="shared" si="8"/>
        <v>799387049.98000002</v>
      </c>
      <c r="J28" s="175">
        <v>1</v>
      </c>
      <c r="K28" s="214">
        <f t="shared" si="9"/>
        <v>799387049.98000002</v>
      </c>
      <c r="L28" s="23"/>
      <c r="M28" s="119"/>
      <c r="N28" s="214">
        <v>633373937.80999994</v>
      </c>
      <c r="O28" s="214">
        <v>39720289.920000002</v>
      </c>
      <c r="P28" s="214">
        <v>19952247.640000001</v>
      </c>
      <c r="Q28" s="214">
        <f t="shared" si="10"/>
        <v>693046475.36999989</v>
      </c>
      <c r="R28" s="214">
        <v>97170477.010000005</v>
      </c>
      <c r="S28" s="214">
        <v>9170097.5999999996</v>
      </c>
      <c r="T28" s="214">
        <f t="shared" si="11"/>
        <v>106340574.61</v>
      </c>
      <c r="U28" s="214">
        <v>0</v>
      </c>
      <c r="V28" s="214">
        <v>0</v>
      </c>
      <c r="W28" s="214">
        <f t="shared" si="12"/>
        <v>799387049.9799999</v>
      </c>
      <c r="X28" s="6" t="b">
        <f t="shared" si="13"/>
        <v>1</v>
      </c>
      <c r="Y28" s="172">
        <f t="shared" si="14"/>
        <v>0</v>
      </c>
    </row>
    <row r="29" spans="1:25" s="6" customFormat="1" ht="12.75">
      <c r="A29" s="23">
        <v>15</v>
      </c>
      <c r="B29" s="6" t="s">
        <v>54</v>
      </c>
      <c r="C29" s="6" t="s">
        <v>55</v>
      </c>
      <c r="D29" s="75"/>
      <c r="E29" s="214">
        <v>467597968.56999999</v>
      </c>
      <c r="F29" s="214">
        <v>0</v>
      </c>
      <c r="G29" s="214">
        <f t="shared" si="7"/>
        <v>467597968.56999999</v>
      </c>
      <c r="H29" s="214">
        <v>-17921.419999999998</v>
      </c>
      <c r="I29" s="214">
        <f t="shared" si="8"/>
        <v>467580047.14999998</v>
      </c>
      <c r="J29" s="175">
        <v>1</v>
      </c>
      <c r="K29" s="214">
        <f t="shared" si="9"/>
        <v>467580047.14999998</v>
      </c>
      <c r="L29" s="23"/>
      <c r="M29" s="119"/>
      <c r="N29" s="214">
        <v>385888977.10000002</v>
      </c>
      <c r="O29" s="214">
        <v>81691070.049999997</v>
      </c>
      <c r="P29" s="214">
        <v>0</v>
      </c>
      <c r="Q29" s="214">
        <f t="shared" si="10"/>
        <v>467580047.15000004</v>
      </c>
      <c r="R29" s="214">
        <v>0</v>
      </c>
      <c r="S29" s="214">
        <v>0</v>
      </c>
      <c r="T29" s="214">
        <f t="shared" si="11"/>
        <v>0</v>
      </c>
      <c r="U29" s="214">
        <v>0</v>
      </c>
      <c r="V29" s="214">
        <v>0</v>
      </c>
      <c r="W29" s="214">
        <f t="shared" si="12"/>
        <v>467580047.15000004</v>
      </c>
      <c r="X29" s="6" t="b">
        <f t="shared" si="13"/>
        <v>1</v>
      </c>
      <c r="Y29" s="172">
        <f t="shared" si="14"/>
        <v>0</v>
      </c>
    </row>
    <row r="30" spans="1:25" s="6" customFormat="1" ht="12.75">
      <c r="A30" s="23">
        <v>16</v>
      </c>
      <c r="B30" s="6" t="s">
        <v>56</v>
      </c>
      <c r="C30" s="6" t="s">
        <v>57</v>
      </c>
      <c r="D30" s="75"/>
      <c r="E30" s="214">
        <v>664896271.96000004</v>
      </c>
      <c r="F30" s="214">
        <v>0</v>
      </c>
      <c r="G30" s="214">
        <f t="shared" si="7"/>
        <v>664896271.96000004</v>
      </c>
      <c r="H30" s="214">
        <v>-42568.470000000001</v>
      </c>
      <c r="I30" s="214">
        <f t="shared" si="8"/>
        <v>664853703.49000001</v>
      </c>
      <c r="J30" s="175">
        <v>1</v>
      </c>
      <c r="K30" s="214">
        <f t="shared" si="9"/>
        <v>664853703.49000001</v>
      </c>
      <c r="L30" s="23"/>
      <c r="M30" s="119"/>
      <c r="N30" s="214">
        <v>613514516.63</v>
      </c>
      <c r="O30" s="214">
        <v>51339186.859999999</v>
      </c>
      <c r="P30" s="214">
        <v>0</v>
      </c>
      <c r="Q30" s="214">
        <f t="shared" si="10"/>
        <v>664853703.49000001</v>
      </c>
      <c r="R30" s="214">
        <v>0</v>
      </c>
      <c r="S30" s="214">
        <v>0</v>
      </c>
      <c r="T30" s="214">
        <f t="shared" si="11"/>
        <v>0</v>
      </c>
      <c r="U30" s="214">
        <v>0</v>
      </c>
      <c r="V30" s="214">
        <v>0</v>
      </c>
      <c r="W30" s="214">
        <f t="shared" si="12"/>
        <v>664853703.49000001</v>
      </c>
      <c r="X30" s="6" t="b">
        <f t="shared" si="13"/>
        <v>1</v>
      </c>
      <c r="Y30" s="172">
        <f t="shared" si="14"/>
        <v>0</v>
      </c>
    </row>
    <row r="31" spans="1:25" s="6" customFormat="1" ht="12.75">
      <c r="A31" s="23">
        <v>17</v>
      </c>
      <c r="B31" s="6" t="s">
        <v>58</v>
      </c>
      <c r="C31" s="6" t="s">
        <v>3</v>
      </c>
      <c r="D31" s="75"/>
      <c r="E31" s="214">
        <v>979016329.61000001</v>
      </c>
      <c r="F31" s="214">
        <v>0</v>
      </c>
      <c r="G31" s="214">
        <f t="shared" si="7"/>
        <v>979016329.61000001</v>
      </c>
      <c r="H31" s="214">
        <v>-17278.200000000001</v>
      </c>
      <c r="I31" s="214">
        <f t="shared" si="8"/>
        <v>978999051.40999997</v>
      </c>
      <c r="J31" s="175">
        <v>1</v>
      </c>
      <c r="K31" s="214">
        <f t="shared" si="9"/>
        <v>978999051.40999997</v>
      </c>
      <c r="L31" s="23"/>
      <c r="M31" s="119"/>
      <c r="N31" s="214">
        <v>870706080.36000001</v>
      </c>
      <c r="O31" s="214">
        <v>108292971.05</v>
      </c>
      <c r="P31" s="214">
        <v>0</v>
      </c>
      <c r="Q31" s="214">
        <f t="shared" si="10"/>
        <v>978999051.40999997</v>
      </c>
      <c r="R31" s="214">
        <v>0</v>
      </c>
      <c r="S31" s="214">
        <v>0</v>
      </c>
      <c r="T31" s="214">
        <f t="shared" si="11"/>
        <v>0</v>
      </c>
      <c r="U31" s="214">
        <v>0</v>
      </c>
      <c r="V31" s="214">
        <v>0</v>
      </c>
      <c r="W31" s="214">
        <f t="shared" si="12"/>
        <v>978999051.40999997</v>
      </c>
      <c r="X31" s="6" t="b">
        <f t="shared" si="13"/>
        <v>1</v>
      </c>
      <c r="Y31" s="172">
        <f t="shared" si="14"/>
        <v>0</v>
      </c>
    </row>
    <row r="32" spans="1:25" s="6" customFormat="1" ht="12.75">
      <c r="A32" s="23">
        <v>18</v>
      </c>
      <c r="B32" s="6" t="s">
        <v>59</v>
      </c>
      <c r="C32" s="6" t="s">
        <v>228</v>
      </c>
      <c r="D32" s="23"/>
      <c r="E32" s="214">
        <v>19336447.609999999</v>
      </c>
      <c r="F32" s="214">
        <v>0</v>
      </c>
      <c r="G32" s="214">
        <f t="shared" si="7"/>
        <v>19336447.609999999</v>
      </c>
      <c r="H32" s="214">
        <v>0</v>
      </c>
      <c r="I32" s="214">
        <f t="shared" si="8"/>
        <v>19336447.609999999</v>
      </c>
      <c r="J32" s="175">
        <v>1</v>
      </c>
      <c r="K32" s="214">
        <f t="shared" si="9"/>
        <v>19336447.609999999</v>
      </c>
      <c r="L32" s="23"/>
      <c r="M32" s="119"/>
      <c r="N32" s="214">
        <v>19336447.609999999</v>
      </c>
      <c r="O32" s="214">
        <v>0</v>
      </c>
      <c r="P32" s="214">
        <v>0</v>
      </c>
      <c r="Q32" s="214">
        <f t="shared" si="10"/>
        <v>19336447.609999999</v>
      </c>
      <c r="R32" s="214">
        <v>0</v>
      </c>
      <c r="S32" s="214">
        <v>0</v>
      </c>
      <c r="T32" s="214">
        <f t="shared" si="11"/>
        <v>0</v>
      </c>
      <c r="U32" s="214">
        <v>0</v>
      </c>
      <c r="V32" s="214">
        <v>0</v>
      </c>
      <c r="W32" s="214">
        <f t="shared" si="12"/>
        <v>19336447.609999999</v>
      </c>
      <c r="X32" s="6" t="b">
        <f t="shared" si="13"/>
        <v>1</v>
      </c>
      <c r="Y32" s="172">
        <f t="shared" si="14"/>
        <v>0</v>
      </c>
    </row>
    <row r="33" spans="1:25" s="6" customFormat="1" ht="12.75">
      <c r="A33" s="23">
        <v>19</v>
      </c>
      <c r="B33" s="6" t="s">
        <v>61</v>
      </c>
      <c r="C33" s="6" t="s">
        <v>4</v>
      </c>
      <c r="D33" s="23"/>
      <c r="E33" s="214">
        <v>33548402.460000001</v>
      </c>
      <c r="F33" s="214">
        <v>0</v>
      </c>
      <c r="G33" s="214">
        <f t="shared" si="7"/>
        <v>33548402.460000001</v>
      </c>
      <c r="H33" s="214">
        <v>0</v>
      </c>
      <c r="I33" s="214">
        <f t="shared" si="8"/>
        <v>33548402.460000001</v>
      </c>
      <c r="J33" s="175">
        <v>1</v>
      </c>
      <c r="K33" s="214">
        <f t="shared" si="9"/>
        <v>33548402.460000001</v>
      </c>
      <c r="L33" s="23"/>
      <c r="M33" s="119"/>
      <c r="N33" s="214">
        <v>33548402.460000001</v>
      </c>
      <c r="O33" s="214">
        <v>0</v>
      </c>
      <c r="P33" s="214">
        <v>0</v>
      </c>
      <c r="Q33" s="214">
        <f t="shared" si="10"/>
        <v>33548402.460000001</v>
      </c>
      <c r="R33" s="214">
        <v>0</v>
      </c>
      <c r="S33" s="214">
        <v>0</v>
      </c>
      <c r="T33" s="214">
        <f t="shared" si="11"/>
        <v>0</v>
      </c>
      <c r="U33" s="214">
        <v>0</v>
      </c>
      <c r="V33" s="214">
        <v>0</v>
      </c>
      <c r="W33" s="214">
        <f t="shared" si="12"/>
        <v>33548402.460000001</v>
      </c>
      <c r="X33" s="6" t="b">
        <f t="shared" si="13"/>
        <v>1</v>
      </c>
      <c r="Y33" s="172">
        <f t="shared" si="14"/>
        <v>0</v>
      </c>
    </row>
    <row r="34" spans="1:25" s="6" customFormat="1" ht="12.75">
      <c r="A34" s="23">
        <v>20</v>
      </c>
      <c r="B34" s="6" t="s">
        <v>62</v>
      </c>
      <c r="C34" s="6" t="s">
        <v>63</v>
      </c>
      <c r="D34" s="23"/>
      <c r="E34" s="214">
        <v>0</v>
      </c>
      <c r="F34" s="214">
        <v>0</v>
      </c>
      <c r="G34" s="214">
        <f t="shared" si="7"/>
        <v>0</v>
      </c>
      <c r="H34" s="214">
        <v>0</v>
      </c>
      <c r="I34" s="214">
        <f t="shared" si="8"/>
        <v>0</v>
      </c>
      <c r="J34" s="175">
        <v>1</v>
      </c>
      <c r="K34" s="214">
        <f t="shared" si="9"/>
        <v>0</v>
      </c>
      <c r="L34" s="23"/>
      <c r="M34" s="23"/>
      <c r="N34" s="214">
        <v>0</v>
      </c>
      <c r="O34" s="214">
        <v>0</v>
      </c>
      <c r="P34" s="214">
        <v>0</v>
      </c>
      <c r="Q34" s="214">
        <f t="shared" si="10"/>
        <v>0</v>
      </c>
      <c r="R34" s="214">
        <v>0</v>
      </c>
      <c r="S34" s="214">
        <v>0</v>
      </c>
      <c r="T34" s="214">
        <f t="shared" si="11"/>
        <v>0</v>
      </c>
      <c r="U34" s="214">
        <v>0</v>
      </c>
      <c r="V34" s="214">
        <v>0</v>
      </c>
      <c r="W34" s="214">
        <f t="shared" si="12"/>
        <v>0</v>
      </c>
      <c r="X34" s="6" t="b">
        <f t="shared" si="13"/>
        <v>1</v>
      </c>
      <c r="Y34" s="172">
        <f t="shared" si="14"/>
        <v>0</v>
      </c>
    </row>
    <row r="35" spans="1:25" s="6" customFormat="1" ht="12.75">
      <c r="A35" s="23">
        <v>21</v>
      </c>
      <c r="D35" s="23"/>
      <c r="E35" s="156"/>
      <c r="F35" s="156"/>
      <c r="G35" s="156"/>
      <c r="H35" s="156"/>
      <c r="I35" s="156"/>
      <c r="J35" s="177"/>
      <c r="K35" s="156"/>
      <c r="L35" s="23"/>
      <c r="M35" s="23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Y35" s="172"/>
    </row>
    <row r="36" spans="1:25" s="6" customFormat="1" ht="12.75">
      <c r="A36" s="23">
        <v>22</v>
      </c>
      <c r="C36" s="58" t="s">
        <v>40</v>
      </c>
      <c r="D36" s="23"/>
      <c r="E36" s="188">
        <f>SUM(E25:E34)</f>
        <v>3198628928.1900005</v>
      </c>
      <c r="F36" s="188">
        <f>SUM(F25:F34)</f>
        <v>0</v>
      </c>
      <c r="G36" s="188">
        <f>SUM(G25:G34)</f>
        <v>3198628928.1900005</v>
      </c>
      <c r="H36" s="188">
        <f>SUM(H25:H34)</f>
        <v>-81612.100000000006</v>
      </c>
      <c r="I36" s="188">
        <f>SUM(I25:I34)</f>
        <v>3198547316.0899997</v>
      </c>
      <c r="J36" s="188"/>
      <c r="K36" s="188">
        <f>SUM(K25:K34)</f>
        <v>3198547316.0899997</v>
      </c>
      <c r="L36" s="188"/>
      <c r="M36" s="188"/>
      <c r="N36" s="188">
        <f>SUM(N25:N34)</f>
        <v>2761963501.8000002</v>
      </c>
      <c r="O36" s="188">
        <f>SUM(O25:O34)</f>
        <v>309286512.31</v>
      </c>
      <c r="P36" s="188">
        <f>SUM(P25:P34)</f>
        <v>20956727.370000001</v>
      </c>
      <c r="Q36" s="188">
        <f t="shared" si="15" ref="Q36:T36">SUM(Q25:Q34)</f>
        <v>3092206741.48</v>
      </c>
      <c r="R36" s="188">
        <f>SUM(R25:R34)</f>
        <v>97170477.010000005</v>
      </c>
      <c r="S36" s="188">
        <f>SUM(S25:S34)</f>
        <v>9170097.5999999996</v>
      </c>
      <c r="T36" s="188">
        <f t="shared" si="15"/>
        <v>106340574.61</v>
      </c>
      <c r="U36" s="188">
        <f>SUM(U25:U34)</f>
        <v>0</v>
      </c>
      <c r="V36" s="188">
        <f>SUM(V25:V34)</f>
        <v>0</v>
      </c>
      <c r="W36" s="188">
        <f>SUM(W25:W34)</f>
        <v>3198547316.0899997</v>
      </c>
      <c r="X36" s="6" t="b">
        <f>+K36=W36</f>
        <v>1</v>
      </c>
      <c r="Y36" s="172">
        <f>+K36-W36</f>
        <v>0</v>
      </c>
    </row>
    <row r="37" spans="1:25" s="6" customFormat="1" ht="12.75">
      <c r="A37" s="23">
        <v>23</v>
      </c>
      <c r="B37" s="60"/>
      <c r="D37" s="23"/>
      <c r="E37" s="19"/>
      <c r="F37" s="19"/>
      <c r="G37" s="19"/>
      <c r="H37" s="19"/>
      <c r="I37" s="19"/>
      <c r="J37" s="177"/>
      <c r="K37" s="56"/>
      <c r="L37" s="23"/>
      <c r="M37" s="23"/>
      <c r="N37" s="56"/>
      <c r="O37" s="56"/>
      <c r="P37" s="56"/>
      <c r="Q37" s="56"/>
      <c r="R37" s="56"/>
      <c r="S37" s="56"/>
      <c r="T37" s="56"/>
      <c r="U37" s="56"/>
      <c r="V37" s="56"/>
      <c r="W37" s="56"/>
      <c r="Y37" s="172"/>
    </row>
    <row r="38" spans="1:25" s="6" customFormat="1" ht="12.75">
      <c r="A38" s="23">
        <v>24</v>
      </c>
      <c r="B38" s="10" t="s">
        <v>134</v>
      </c>
      <c r="D38" s="23"/>
      <c r="E38" s="19"/>
      <c r="F38" s="19"/>
      <c r="G38" s="19"/>
      <c r="H38" s="19"/>
      <c r="I38" s="19"/>
      <c r="J38" s="177"/>
      <c r="K38" s="56"/>
      <c r="L38" s="23"/>
      <c r="M38" s="23"/>
      <c r="N38" s="56"/>
      <c r="O38" s="56"/>
      <c r="P38" s="56"/>
      <c r="Q38" s="56"/>
      <c r="R38" s="56"/>
      <c r="S38" s="56"/>
      <c r="T38" s="56"/>
      <c r="U38" s="56"/>
      <c r="V38" s="56"/>
      <c r="W38" s="56"/>
      <c r="Y38" s="172"/>
    </row>
    <row r="39" spans="1:25" s="10" customFormat="1" ht="12.75">
      <c r="A39" s="23">
        <v>25</v>
      </c>
      <c r="B39" s="10" t="s">
        <v>46</v>
      </c>
      <c r="D39" s="53" t="s">
        <v>158</v>
      </c>
      <c r="E39" s="55"/>
      <c r="F39" s="55"/>
      <c r="G39" s="55"/>
      <c r="H39" s="55"/>
      <c r="I39" s="55"/>
      <c r="J39" s="176"/>
      <c r="K39" s="55"/>
      <c r="L39" s="53"/>
      <c r="M39" s="53"/>
      <c r="N39" s="55"/>
      <c r="O39" s="55"/>
      <c r="P39" s="55"/>
      <c r="Q39" s="55"/>
      <c r="R39" s="55"/>
      <c r="S39" s="55"/>
      <c r="T39" s="55"/>
      <c r="U39" s="55"/>
      <c r="Y39" s="172"/>
    </row>
    <row r="40" spans="1:25" s="6" customFormat="1" ht="12.75">
      <c r="A40" s="23">
        <v>26</v>
      </c>
      <c r="B40" s="6" t="s">
        <v>65</v>
      </c>
      <c r="C40" s="6" t="s">
        <v>50</v>
      </c>
      <c r="D40" s="53"/>
      <c r="E40" s="271">
        <v>9934119.3100000005</v>
      </c>
      <c r="F40" s="271">
        <v>0</v>
      </c>
      <c r="G40" s="271">
        <f t="shared" si="16" ref="G40:G53">+E40+F40</f>
        <v>9934119.3100000005</v>
      </c>
      <c r="H40" s="271">
        <v>0</v>
      </c>
      <c r="I40" s="271">
        <f t="shared" si="17" ref="I40:I53">+G40+H40</f>
        <v>9934119.3100000005</v>
      </c>
      <c r="J40" s="175">
        <v>1</v>
      </c>
      <c r="K40" s="271">
        <f t="shared" si="18" ref="K40:K53">ROUND(+I40*J40,2)</f>
        <v>9934119.3100000005</v>
      </c>
      <c r="L40" s="187"/>
      <c r="M40" s="187"/>
      <c r="N40" s="271">
        <v>238774.92999999999</v>
      </c>
      <c r="O40" s="271">
        <v>0</v>
      </c>
      <c r="P40" s="271">
        <v>0</v>
      </c>
      <c r="Q40" s="271">
        <f t="shared" si="19" ref="Q40:Q53">SUM(N40:P40)</f>
        <v>238774.92999999999</v>
      </c>
      <c r="R40" s="271">
        <v>9695344.3800000008</v>
      </c>
      <c r="S40" s="271">
        <v>0</v>
      </c>
      <c r="T40" s="271">
        <f t="shared" si="20" ref="T40:T53">SUM(R40:S40)</f>
        <v>9695344.3800000008</v>
      </c>
      <c r="U40" s="271">
        <v>0</v>
      </c>
      <c r="V40" s="271">
        <v>0</v>
      </c>
      <c r="W40" s="271">
        <f t="shared" si="21" ref="W40:W53">+Q40+T40+U40+V40</f>
        <v>9934119.3100000005</v>
      </c>
      <c r="X40" s="6" t="b">
        <f t="shared" si="22" ref="X40:X53">+K40=W40</f>
        <v>1</v>
      </c>
      <c r="Y40" s="172">
        <f t="shared" si="23" ref="Y40:Y53">+K40-W40</f>
        <v>0</v>
      </c>
    </row>
    <row r="41" spans="1:25" s="6" customFormat="1" ht="12.75">
      <c r="A41" s="23">
        <v>27</v>
      </c>
      <c r="B41" s="6" t="s">
        <v>66</v>
      </c>
      <c r="C41" s="6" t="s">
        <v>45</v>
      </c>
      <c r="D41" s="75"/>
      <c r="E41" s="214">
        <v>64649267.189999998</v>
      </c>
      <c r="F41" s="214">
        <v>0</v>
      </c>
      <c r="G41" s="214">
        <f t="shared" si="16"/>
        <v>64649267.189999998</v>
      </c>
      <c r="H41" s="214">
        <v>0</v>
      </c>
      <c r="I41" s="214">
        <f t="shared" si="17"/>
        <v>64649267.189999998</v>
      </c>
      <c r="J41" s="175">
        <v>1</v>
      </c>
      <c r="K41" s="214">
        <f t="shared" si="18"/>
        <v>64649267.189999998</v>
      </c>
      <c r="L41" s="23"/>
      <c r="M41" s="119"/>
      <c r="N41" s="214">
        <v>14405240.49</v>
      </c>
      <c r="O41" s="214">
        <v>3646243.2599999998</v>
      </c>
      <c r="P41" s="214">
        <v>0</v>
      </c>
      <c r="Q41" s="214">
        <f t="shared" si="19"/>
        <v>18051483.75</v>
      </c>
      <c r="R41" s="214">
        <v>41745977.75</v>
      </c>
      <c r="S41" s="214">
        <v>4851805.6900000004</v>
      </c>
      <c r="T41" s="214">
        <f t="shared" si="20"/>
        <v>46597783.439999998</v>
      </c>
      <c r="U41" s="214">
        <v>0</v>
      </c>
      <c r="V41" s="214">
        <v>0</v>
      </c>
      <c r="W41" s="214">
        <f t="shared" si="21"/>
        <v>64649267.189999998</v>
      </c>
      <c r="X41" s="6" t="b">
        <f t="shared" si="22"/>
        <v>1</v>
      </c>
      <c r="Y41" s="172">
        <f t="shared" si="23"/>
        <v>0</v>
      </c>
    </row>
    <row r="42" spans="1:25" s="6" customFormat="1" ht="12.75">
      <c r="A42" s="23">
        <v>28</v>
      </c>
      <c r="B42" s="6" t="s">
        <v>67</v>
      </c>
      <c r="C42" s="6" t="s">
        <v>53</v>
      </c>
      <c r="D42" s="75"/>
      <c r="E42" s="214">
        <v>599558459</v>
      </c>
      <c r="F42" s="214">
        <v>0</v>
      </c>
      <c r="G42" s="214">
        <f t="shared" si="16"/>
        <v>599558459</v>
      </c>
      <c r="H42" s="214">
        <v>0</v>
      </c>
      <c r="I42" s="214">
        <f t="shared" si="17"/>
        <v>599558459</v>
      </c>
      <c r="J42" s="175">
        <v>1</v>
      </c>
      <c r="K42" s="214">
        <f t="shared" si="18"/>
        <v>599558459</v>
      </c>
      <c r="L42" s="23"/>
      <c r="M42" s="119"/>
      <c r="N42" s="214">
        <v>115031324.45999999</v>
      </c>
      <c r="O42" s="214">
        <v>7691543.0499999998</v>
      </c>
      <c r="P42" s="214">
        <v>0</v>
      </c>
      <c r="Q42" s="214">
        <f t="shared" si="19"/>
        <v>122722867.50999999</v>
      </c>
      <c r="R42" s="214">
        <v>463683928.67000002</v>
      </c>
      <c r="S42" s="214">
        <v>13151662.82</v>
      </c>
      <c r="T42" s="214">
        <f t="shared" si="20"/>
        <v>476835591.49000001</v>
      </c>
      <c r="U42" s="214">
        <v>0</v>
      </c>
      <c r="V42" s="214">
        <v>0</v>
      </c>
      <c r="W42" s="214">
        <f t="shared" si="21"/>
        <v>599558459</v>
      </c>
      <c r="X42" s="6" t="b">
        <f t="shared" si="22"/>
        <v>1</v>
      </c>
      <c r="Y42" s="172">
        <f t="shared" si="23"/>
        <v>0</v>
      </c>
    </row>
    <row r="43" spans="1:25" s="6" customFormat="1" ht="12.75">
      <c r="A43" s="23">
        <v>29</v>
      </c>
      <c r="B43" s="6" t="s">
        <v>68</v>
      </c>
      <c r="C43" s="6" t="s">
        <v>69</v>
      </c>
      <c r="D43" s="75"/>
      <c r="E43" s="214">
        <v>0</v>
      </c>
      <c r="F43" s="214">
        <v>0</v>
      </c>
      <c r="G43" s="214">
        <f t="shared" si="16"/>
        <v>0</v>
      </c>
      <c r="H43" s="214">
        <v>0</v>
      </c>
      <c r="I43" s="214">
        <f t="shared" si="17"/>
        <v>0</v>
      </c>
      <c r="J43" s="175">
        <v>1</v>
      </c>
      <c r="K43" s="214">
        <f t="shared" si="18"/>
        <v>0</v>
      </c>
      <c r="L43" s="23"/>
      <c r="M43" s="119"/>
      <c r="N43" s="214">
        <v>0</v>
      </c>
      <c r="O43" s="214">
        <v>0</v>
      </c>
      <c r="P43" s="214">
        <v>0</v>
      </c>
      <c r="Q43" s="214">
        <f t="shared" si="19"/>
        <v>0</v>
      </c>
      <c r="R43" s="214">
        <v>0</v>
      </c>
      <c r="S43" s="214">
        <v>0</v>
      </c>
      <c r="T43" s="214">
        <f t="shared" si="20"/>
        <v>0</v>
      </c>
      <c r="U43" s="214">
        <v>0</v>
      </c>
      <c r="V43" s="214">
        <v>0</v>
      </c>
      <c r="W43" s="214">
        <f t="shared" si="21"/>
        <v>0</v>
      </c>
      <c r="X43" s="6" t="b">
        <f t="shared" si="22"/>
        <v>1</v>
      </c>
      <c r="Y43" s="172">
        <f t="shared" si="23"/>
        <v>0</v>
      </c>
    </row>
    <row r="44" spans="1:25" s="6" customFormat="1" ht="12.75">
      <c r="A44" s="23">
        <v>30</v>
      </c>
      <c r="B44" s="6" t="s">
        <v>70</v>
      </c>
      <c r="C44" s="6" t="s">
        <v>229</v>
      </c>
      <c r="D44" s="75"/>
      <c r="E44" s="214">
        <v>1107841800.8499999</v>
      </c>
      <c r="F44" s="214">
        <v>0</v>
      </c>
      <c r="G44" s="214">
        <f t="shared" si="16"/>
        <v>1107841800.8499999</v>
      </c>
      <c r="H44" s="214">
        <v>0</v>
      </c>
      <c r="I44" s="214">
        <f t="shared" si="17"/>
        <v>1107841800.8499999</v>
      </c>
      <c r="J44" s="175">
        <v>1</v>
      </c>
      <c r="K44" s="214">
        <f t="shared" si="18"/>
        <v>1107841800.8499999</v>
      </c>
      <c r="L44" s="23"/>
      <c r="M44" s="119"/>
      <c r="N44" s="214">
        <v>0</v>
      </c>
      <c r="O44" s="214">
        <v>0</v>
      </c>
      <c r="P44" s="214">
        <v>0</v>
      </c>
      <c r="Q44" s="214">
        <f t="shared" si="19"/>
        <v>0</v>
      </c>
      <c r="R44" s="214">
        <v>1107719583.73</v>
      </c>
      <c r="S44" s="214">
        <v>122217.12</v>
      </c>
      <c r="T44" s="214">
        <f t="shared" si="20"/>
        <v>1107841800.8499999</v>
      </c>
      <c r="U44" s="214">
        <v>0</v>
      </c>
      <c r="V44" s="214">
        <v>0</v>
      </c>
      <c r="W44" s="214">
        <f t="shared" si="21"/>
        <v>1107841800.8499999</v>
      </c>
      <c r="X44" s="6" t="b">
        <f t="shared" si="22"/>
        <v>1</v>
      </c>
      <c r="Y44" s="172">
        <f t="shared" si="23"/>
        <v>0</v>
      </c>
    </row>
    <row r="45" spans="1:25" s="6" customFormat="1" ht="12.75">
      <c r="A45" s="23">
        <v>31</v>
      </c>
      <c r="B45" s="6" t="s">
        <v>71</v>
      </c>
      <c r="C45" s="6" t="s">
        <v>3</v>
      </c>
      <c r="D45" s="75"/>
      <c r="E45" s="214">
        <v>635519287.14999998</v>
      </c>
      <c r="F45" s="214">
        <v>0</v>
      </c>
      <c r="G45" s="214">
        <f t="shared" si="16"/>
        <v>635519287.14999998</v>
      </c>
      <c r="H45" s="214">
        <v>0</v>
      </c>
      <c r="I45" s="214">
        <f t="shared" si="17"/>
        <v>635519287.14999998</v>
      </c>
      <c r="J45" s="175">
        <v>1</v>
      </c>
      <c r="K45" s="214">
        <f t="shared" si="18"/>
        <v>635519287.14999998</v>
      </c>
      <c r="L45" s="23"/>
      <c r="M45" s="119"/>
      <c r="N45" s="214">
        <v>0</v>
      </c>
      <c r="O45" s="214">
        <v>0</v>
      </c>
      <c r="P45" s="214">
        <v>0</v>
      </c>
      <c r="Q45" s="214">
        <f t="shared" si="19"/>
        <v>0</v>
      </c>
      <c r="R45" s="214">
        <v>635328009.49000001</v>
      </c>
      <c r="S45" s="214">
        <v>191277.66</v>
      </c>
      <c r="T45" s="214">
        <f t="shared" si="20"/>
        <v>635519287.14999998</v>
      </c>
      <c r="U45" s="214">
        <v>0</v>
      </c>
      <c r="V45" s="214">
        <v>0</v>
      </c>
      <c r="W45" s="214">
        <f t="shared" si="21"/>
        <v>635519287.14999998</v>
      </c>
      <c r="X45" s="6" t="b">
        <f t="shared" si="22"/>
        <v>1</v>
      </c>
      <c r="Y45" s="172">
        <f t="shared" si="23"/>
        <v>0</v>
      </c>
    </row>
    <row r="46" spans="1:25" s="6" customFormat="1" ht="12.75">
      <c r="A46" s="23">
        <v>32</v>
      </c>
      <c r="B46" s="6" t="s">
        <v>72</v>
      </c>
      <c r="C46" s="6" t="s">
        <v>73</v>
      </c>
      <c r="D46" s="75"/>
      <c r="E46" s="214">
        <v>452267860.98000002</v>
      </c>
      <c r="F46" s="214">
        <v>0</v>
      </c>
      <c r="G46" s="214">
        <f t="shared" si="16"/>
        <v>452267860.98000002</v>
      </c>
      <c r="H46" s="214">
        <v>0</v>
      </c>
      <c r="I46" s="214">
        <f t="shared" si="17"/>
        <v>452267860.98000002</v>
      </c>
      <c r="J46" s="175">
        <v>1</v>
      </c>
      <c r="K46" s="214">
        <f t="shared" si="18"/>
        <v>452267860.98000002</v>
      </c>
      <c r="L46" s="23"/>
      <c r="M46" s="119"/>
      <c r="N46" s="214">
        <v>0</v>
      </c>
      <c r="O46" s="214">
        <v>0</v>
      </c>
      <c r="P46" s="214">
        <v>0</v>
      </c>
      <c r="Q46" s="214">
        <f t="shared" si="19"/>
        <v>0</v>
      </c>
      <c r="R46" s="214">
        <v>452193524.26999998</v>
      </c>
      <c r="S46" s="214">
        <v>74336.710000000006</v>
      </c>
      <c r="T46" s="214">
        <f t="shared" si="20"/>
        <v>452267860.97999996</v>
      </c>
      <c r="U46" s="214">
        <v>0</v>
      </c>
      <c r="V46" s="214">
        <v>0</v>
      </c>
      <c r="W46" s="214">
        <f t="shared" si="21"/>
        <v>452267860.97999996</v>
      </c>
      <c r="X46" s="6" t="b">
        <f t="shared" si="22"/>
        <v>1</v>
      </c>
      <c r="Y46" s="172">
        <f t="shared" si="23"/>
        <v>0</v>
      </c>
    </row>
    <row r="47" spans="1:25" s="6" customFormat="1" ht="12.75">
      <c r="A47" s="23">
        <v>33</v>
      </c>
      <c r="B47" s="6" t="s">
        <v>74</v>
      </c>
      <c r="C47" s="6" t="s">
        <v>4</v>
      </c>
      <c r="D47" s="75"/>
      <c r="E47" s="214">
        <v>578524153.25999999</v>
      </c>
      <c r="F47" s="214">
        <v>0</v>
      </c>
      <c r="G47" s="214">
        <f t="shared" si="16"/>
        <v>578524153.25999999</v>
      </c>
      <c r="H47" s="214">
        <v>0</v>
      </c>
      <c r="I47" s="214">
        <f t="shared" si="17"/>
        <v>578524153.25999999</v>
      </c>
      <c r="J47" s="175">
        <v>1</v>
      </c>
      <c r="K47" s="214">
        <f t="shared" si="18"/>
        <v>578524153.25999999</v>
      </c>
      <c r="L47" s="23"/>
      <c r="M47" s="119"/>
      <c r="N47" s="214">
        <v>0</v>
      </c>
      <c r="O47" s="214">
        <v>0</v>
      </c>
      <c r="P47" s="214">
        <v>0</v>
      </c>
      <c r="Q47" s="214">
        <f t="shared" si="19"/>
        <v>0</v>
      </c>
      <c r="R47" s="214">
        <v>578041305.75</v>
      </c>
      <c r="S47" s="214">
        <v>482847.51000000001</v>
      </c>
      <c r="T47" s="214">
        <f t="shared" si="20"/>
        <v>578524153.25999999</v>
      </c>
      <c r="U47" s="214">
        <v>0</v>
      </c>
      <c r="V47" s="214">
        <v>0</v>
      </c>
      <c r="W47" s="214">
        <f t="shared" si="21"/>
        <v>578524153.25999999</v>
      </c>
      <c r="X47" s="6" t="b">
        <f t="shared" si="22"/>
        <v>1</v>
      </c>
      <c r="Y47" s="172">
        <f t="shared" si="23"/>
        <v>0</v>
      </c>
    </row>
    <row r="48" spans="1:25" s="6" customFormat="1" ht="12.75">
      <c r="A48" s="23">
        <v>34</v>
      </c>
      <c r="B48" s="6" t="s">
        <v>75</v>
      </c>
      <c r="C48" s="6" t="s">
        <v>76</v>
      </c>
      <c r="D48" s="75"/>
      <c r="E48" s="214">
        <v>743687642.63</v>
      </c>
      <c r="F48" s="214">
        <v>0</v>
      </c>
      <c r="G48" s="214">
        <f t="shared" si="16"/>
        <v>743687642.63</v>
      </c>
      <c r="H48" s="214">
        <v>0</v>
      </c>
      <c r="I48" s="214">
        <f t="shared" si="17"/>
        <v>743687642.63</v>
      </c>
      <c r="J48" s="175">
        <v>1</v>
      </c>
      <c r="K48" s="214">
        <f t="shared" si="18"/>
        <v>743687642.63</v>
      </c>
      <c r="L48" s="23"/>
      <c r="M48" s="119"/>
      <c r="N48" s="214">
        <v>0</v>
      </c>
      <c r="O48" s="214">
        <v>0</v>
      </c>
      <c r="P48" s="214">
        <v>0</v>
      </c>
      <c r="Q48" s="214">
        <f t="shared" si="19"/>
        <v>0</v>
      </c>
      <c r="R48" s="214">
        <v>743686994.10000002</v>
      </c>
      <c r="S48" s="214">
        <v>648.52999999999997</v>
      </c>
      <c r="T48" s="214">
        <f t="shared" si="20"/>
        <v>743687642.63</v>
      </c>
      <c r="U48" s="214">
        <v>0</v>
      </c>
      <c r="V48" s="214">
        <v>0</v>
      </c>
      <c r="W48" s="214">
        <f t="shared" si="21"/>
        <v>743687642.63</v>
      </c>
      <c r="X48" s="6" t="b">
        <f t="shared" si="22"/>
        <v>1</v>
      </c>
      <c r="Y48" s="172">
        <f t="shared" si="23"/>
        <v>0</v>
      </c>
    </row>
    <row r="49" spans="1:25" s="6" customFormat="1" ht="12.75">
      <c r="A49" s="23">
        <v>35</v>
      </c>
      <c r="B49" s="6" t="s">
        <v>77</v>
      </c>
      <c r="C49" s="6" t="s">
        <v>78</v>
      </c>
      <c r="D49" s="75"/>
      <c r="E49" s="214">
        <v>1097314112.99</v>
      </c>
      <c r="F49" s="214">
        <v>0</v>
      </c>
      <c r="G49" s="214">
        <f t="shared" si="16"/>
        <v>1097314112.99</v>
      </c>
      <c r="H49" s="214">
        <v>0</v>
      </c>
      <c r="I49" s="214">
        <f t="shared" si="17"/>
        <v>1097314112.99</v>
      </c>
      <c r="J49" s="175">
        <v>1</v>
      </c>
      <c r="K49" s="214">
        <f t="shared" si="18"/>
        <v>1097314112.99</v>
      </c>
      <c r="L49" s="23"/>
      <c r="M49" s="119"/>
      <c r="N49" s="214">
        <v>0</v>
      </c>
      <c r="O49" s="214">
        <v>0</v>
      </c>
      <c r="P49" s="214">
        <v>0</v>
      </c>
      <c r="Q49" s="214">
        <f t="shared" si="19"/>
        <v>0</v>
      </c>
      <c r="R49" s="214">
        <v>1097314112.99</v>
      </c>
      <c r="S49" s="214">
        <v>0</v>
      </c>
      <c r="T49" s="214">
        <f t="shared" si="20"/>
        <v>1097314112.99</v>
      </c>
      <c r="U49" s="214">
        <v>0</v>
      </c>
      <c r="V49" s="214">
        <v>0</v>
      </c>
      <c r="W49" s="214">
        <f t="shared" si="21"/>
        <v>1097314112.99</v>
      </c>
      <c r="X49" s="6" t="b">
        <f t="shared" si="22"/>
        <v>1</v>
      </c>
      <c r="Y49" s="172">
        <f t="shared" si="23"/>
        <v>0</v>
      </c>
    </row>
    <row r="50" spans="1:25" s="6" customFormat="1" ht="12.75">
      <c r="A50" s="23">
        <v>36</v>
      </c>
      <c r="B50" s="6" t="s">
        <v>79</v>
      </c>
      <c r="C50" s="6" t="s">
        <v>80</v>
      </c>
      <c r="D50" s="75"/>
      <c r="E50" s="214">
        <v>336239857.38</v>
      </c>
      <c r="F50" s="214">
        <v>0</v>
      </c>
      <c r="G50" s="214">
        <f t="shared" si="16"/>
        <v>336239857.38</v>
      </c>
      <c r="H50" s="214">
        <v>0</v>
      </c>
      <c r="I50" s="214">
        <f t="shared" si="17"/>
        <v>336239857.38</v>
      </c>
      <c r="J50" s="175">
        <v>1</v>
      </c>
      <c r="K50" s="214">
        <f t="shared" si="18"/>
        <v>336239857.38</v>
      </c>
      <c r="L50" s="23"/>
      <c r="M50" s="119"/>
      <c r="N50" s="214">
        <v>0</v>
      </c>
      <c r="O50" s="214">
        <v>0</v>
      </c>
      <c r="P50" s="214">
        <v>0</v>
      </c>
      <c r="Q50" s="214">
        <f t="shared" si="19"/>
        <v>0</v>
      </c>
      <c r="R50" s="214">
        <v>0</v>
      </c>
      <c r="S50" s="214">
        <v>0</v>
      </c>
      <c r="T50" s="214">
        <f t="shared" si="20"/>
        <v>0</v>
      </c>
      <c r="U50" s="214">
        <v>336239857.38</v>
      </c>
      <c r="V50" s="214">
        <v>0</v>
      </c>
      <c r="W50" s="214">
        <f t="shared" si="21"/>
        <v>336239857.38</v>
      </c>
      <c r="X50" s="6" t="b">
        <f t="shared" si="22"/>
        <v>1</v>
      </c>
      <c r="Y50" s="172">
        <f t="shared" si="23"/>
        <v>0</v>
      </c>
    </row>
    <row r="51" spans="1:25" s="6" customFormat="1" ht="12.75">
      <c r="A51" s="23">
        <v>37</v>
      </c>
      <c r="B51" s="6" t="s">
        <v>81</v>
      </c>
      <c r="C51" s="6" t="s">
        <v>6</v>
      </c>
      <c r="D51" s="75"/>
      <c r="E51" s="214">
        <v>75069053.349999994</v>
      </c>
      <c r="F51" s="214">
        <v>0</v>
      </c>
      <c r="G51" s="214">
        <f t="shared" si="16"/>
        <v>75069053.349999994</v>
      </c>
      <c r="H51" s="214">
        <v>0</v>
      </c>
      <c r="I51" s="214">
        <f t="shared" si="17"/>
        <v>75069053.349999994</v>
      </c>
      <c r="J51" s="175">
        <v>1</v>
      </c>
      <c r="K51" s="214">
        <f t="shared" si="18"/>
        <v>75069053.349999994</v>
      </c>
      <c r="L51" s="23"/>
      <c r="M51" s="119"/>
      <c r="N51" s="214">
        <v>0</v>
      </c>
      <c r="O51" s="214">
        <v>0</v>
      </c>
      <c r="P51" s="214">
        <v>0</v>
      </c>
      <c r="Q51" s="214">
        <f t="shared" si="19"/>
        <v>0</v>
      </c>
      <c r="R51" s="214">
        <v>75069053.349999994</v>
      </c>
      <c r="S51" s="214">
        <v>0</v>
      </c>
      <c r="T51" s="214">
        <f t="shared" si="20"/>
        <v>75069053.349999994</v>
      </c>
      <c r="U51" s="214">
        <v>0</v>
      </c>
      <c r="V51" s="214">
        <v>0</v>
      </c>
      <c r="W51" s="214">
        <f t="shared" si="21"/>
        <v>75069053.349999994</v>
      </c>
      <c r="X51" s="6" t="b">
        <f t="shared" si="22"/>
        <v>1</v>
      </c>
      <c r="Y51" s="172">
        <f t="shared" si="23"/>
        <v>0</v>
      </c>
    </row>
    <row r="52" spans="1:25" s="6" customFormat="1" ht="12.75">
      <c r="A52" s="23">
        <v>38</v>
      </c>
      <c r="B52" s="6" t="s">
        <v>82</v>
      </c>
      <c r="C52" s="6" t="s">
        <v>7</v>
      </c>
      <c r="D52" s="75"/>
      <c r="E52" s="214">
        <v>0</v>
      </c>
      <c r="F52" s="214">
        <v>0</v>
      </c>
      <c r="G52" s="214">
        <f t="shared" si="16"/>
        <v>0</v>
      </c>
      <c r="H52" s="214">
        <v>0</v>
      </c>
      <c r="I52" s="214">
        <f t="shared" si="17"/>
        <v>0</v>
      </c>
      <c r="J52" s="175">
        <v>1</v>
      </c>
      <c r="K52" s="214">
        <f t="shared" si="18"/>
        <v>0</v>
      </c>
      <c r="L52" s="23"/>
      <c r="M52" s="119"/>
      <c r="N52" s="214">
        <v>0</v>
      </c>
      <c r="O52" s="214">
        <v>0</v>
      </c>
      <c r="P52" s="214">
        <v>0</v>
      </c>
      <c r="Q52" s="214">
        <f t="shared" si="19"/>
        <v>0</v>
      </c>
      <c r="R52" s="214">
        <v>0</v>
      </c>
      <c r="S52" s="214">
        <v>0</v>
      </c>
      <c r="T52" s="214">
        <f t="shared" si="20"/>
        <v>0</v>
      </c>
      <c r="U52" s="214">
        <v>0</v>
      </c>
      <c r="V52" s="214">
        <v>0</v>
      </c>
      <c r="W52" s="214">
        <f t="shared" si="21"/>
        <v>0</v>
      </c>
      <c r="X52" s="6" t="b">
        <f t="shared" si="22"/>
        <v>1</v>
      </c>
      <c r="Y52" s="172">
        <f t="shared" si="23"/>
        <v>0</v>
      </c>
    </row>
    <row r="53" spans="1:25" s="6" customFormat="1" ht="12.75">
      <c r="A53" s="23">
        <v>39</v>
      </c>
      <c r="B53" s="6" t="s">
        <v>112</v>
      </c>
      <c r="C53" s="6" t="s">
        <v>8</v>
      </c>
      <c r="D53" s="75"/>
      <c r="E53" s="214">
        <v>372034957.87</v>
      </c>
      <c r="F53" s="214">
        <v>0</v>
      </c>
      <c r="G53" s="214">
        <f t="shared" si="16"/>
        <v>372034957.87</v>
      </c>
      <c r="H53" s="214">
        <v>0</v>
      </c>
      <c r="I53" s="214">
        <f t="shared" si="17"/>
        <v>372034957.87</v>
      </c>
      <c r="J53" s="175">
        <v>1</v>
      </c>
      <c r="K53" s="214">
        <f t="shared" si="18"/>
        <v>372034957.87</v>
      </c>
      <c r="L53" s="23"/>
      <c r="M53" s="119"/>
      <c r="N53" s="214">
        <v>0</v>
      </c>
      <c r="O53" s="214">
        <v>0</v>
      </c>
      <c r="P53" s="214">
        <v>0</v>
      </c>
      <c r="Q53" s="214">
        <f t="shared" si="19"/>
        <v>0</v>
      </c>
      <c r="R53" s="214">
        <v>372032656.80000001</v>
      </c>
      <c r="S53" s="214">
        <v>2301.0700000000002</v>
      </c>
      <c r="T53" s="214">
        <f t="shared" si="20"/>
        <v>372034957.87</v>
      </c>
      <c r="U53" s="214">
        <v>0</v>
      </c>
      <c r="V53" s="214">
        <v>0</v>
      </c>
      <c r="W53" s="214">
        <f t="shared" si="21"/>
        <v>372034957.87</v>
      </c>
      <c r="X53" s="6" t="b">
        <f t="shared" si="22"/>
        <v>1</v>
      </c>
      <c r="Y53" s="172">
        <f t="shared" si="23"/>
        <v>0</v>
      </c>
    </row>
    <row r="54" spans="1:25" s="6" customFormat="1" ht="12.75">
      <c r="A54" s="23">
        <v>40</v>
      </c>
      <c r="D54" s="23"/>
      <c r="E54" s="156"/>
      <c r="F54" s="156"/>
      <c r="G54" s="156"/>
      <c r="H54" s="156"/>
      <c r="I54" s="156"/>
      <c r="J54" s="177"/>
      <c r="K54" s="156"/>
      <c r="L54" s="23"/>
      <c r="M54" s="23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Y54" s="172"/>
    </row>
    <row r="55" spans="1:25" s="6" customFormat="1" ht="12.75">
      <c r="A55" s="23">
        <v>41</v>
      </c>
      <c r="C55" s="58" t="s">
        <v>40</v>
      </c>
      <c r="D55" s="23"/>
      <c r="E55" s="272">
        <f>SUM(E40:E53)</f>
        <v>6072640571.96</v>
      </c>
      <c r="F55" s="272">
        <f>SUM(F40:F53)</f>
        <v>0</v>
      </c>
      <c r="G55" s="272">
        <f>SUM(G40:G53)</f>
        <v>6072640571.96</v>
      </c>
      <c r="H55" s="272">
        <f>SUM(H40:H53)</f>
        <v>0</v>
      </c>
      <c r="I55" s="272">
        <f>SUM(I40:I53)</f>
        <v>6072640571.96</v>
      </c>
      <c r="J55" s="188"/>
      <c r="K55" s="272">
        <f>SUM(K40:K53)</f>
        <v>6072640571.96</v>
      </c>
      <c r="L55" s="188"/>
      <c r="M55" s="188"/>
      <c r="N55" s="272">
        <f>SUM(N40:N53)</f>
        <v>129675339.88</v>
      </c>
      <c r="O55" s="272">
        <f>SUM(O40:O53)</f>
        <v>11337786.309999999</v>
      </c>
      <c r="P55" s="272">
        <f>SUM(P40:P53)</f>
        <v>0</v>
      </c>
      <c r="Q55" s="272">
        <f t="shared" si="24" ref="Q55:T55">SUM(Q40:Q53)</f>
        <v>141013126.19</v>
      </c>
      <c r="R55" s="272">
        <f>SUM(R40:R53)</f>
        <v>5576510491.2800007</v>
      </c>
      <c r="S55" s="272">
        <f>SUM(S40:S53)</f>
        <v>18877097.110000007</v>
      </c>
      <c r="T55" s="272">
        <f t="shared" si="24"/>
        <v>5595387588.3900003</v>
      </c>
      <c r="U55" s="272">
        <f>SUM(U40:U53)</f>
        <v>336239857.38</v>
      </c>
      <c r="V55" s="272">
        <f>SUM(V40:V53)</f>
        <v>0</v>
      </c>
      <c r="W55" s="272">
        <f>SUM(W40:W53)</f>
        <v>6072640571.96</v>
      </c>
      <c r="X55" s="6" t="b">
        <f>+K55=W55</f>
        <v>1</v>
      </c>
      <c r="Y55" s="172">
        <f>+K55-W55</f>
        <v>0</v>
      </c>
    </row>
    <row r="56" spans="1:25" s="6" customFormat="1" ht="12.75">
      <c r="A56" s="23">
        <v>42</v>
      </c>
      <c r="D56" s="23"/>
      <c r="E56" s="19"/>
      <c r="F56" s="19"/>
      <c r="G56" s="19"/>
      <c r="H56" s="19"/>
      <c r="I56" s="19"/>
      <c r="J56" s="177"/>
      <c r="K56" s="56"/>
      <c r="L56" s="23"/>
      <c r="M56" s="23"/>
      <c r="N56" s="56"/>
      <c r="O56" s="56"/>
      <c r="P56" s="56"/>
      <c r="Q56" s="56"/>
      <c r="R56" s="56"/>
      <c r="S56" s="56"/>
      <c r="T56" s="56"/>
      <c r="U56" s="56"/>
      <c r="V56" s="56"/>
      <c r="W56" s="56"/>
      <c r="Y56" s="172"/>
    </row>
    <row r="57" spans="1:25" s="6" customFormat="1" ht="12.75">
      <c r="A57" s="23">
        <v>43</v>
      </c>
      <c r="B57" s="62" t="s">
        <v>148</v>
      </c>
      <c r="D57" s="53" t="s">
        <v>158</v>
      </c>
      <c r="E57" s="272">
        <f>+E55+E36+E21</f>
        <v>9724037376.1500015</v>
      </c>
      <c r="F57" s="272">
        <f>+F55+F36+F21</f>
        <v>0</v>
      </c>
      <c r="G57" s="272">
        <f>+G55+G36+G21</f>
        <v>9724037376.1500015</v>
      </c>
      <c r="H57" s="272">
        <f>+H55+H36+H21</f>
        <v>-81612.100000000006</v>
      </c>
      <c r="I57" s="272">
        <f>+I55+I36+I21</f>
        <v>9723955764.0499992</v>
      </c>
      <c r="J57" s="188"/>
      <c r="K57" s="272">
        <f>+K55+K36+K21</f>
        <v>9723955764.0499992</v>
      </c>
      <c r="L57" s="188"/>
      <c r="M57" s="188"/>
      <c r="N57" s="272">
        <f>+N55+N36+N21</f>
        <v>2990976287.5500002</v>
      </c>
      <c r="O57" s="272">
        <f>+O55+O36+O21</f>
        <v>320624298.62</v>
      </c>
      <c r="P57" s="272">
        <f>+P55+P36+P21</f>
        <v>20956727.370000001</v>
      </c>
      <c r="Q57" s="272">
        <f t="shared" si="25" ref="Q57">+Q55+Q36+Q21</f>
        <v>3332557313.54</v>
      </c>
      <c r="R57" s="272">
        <f>+R55+R36+R21</f>
        <v>5787803816.1200008</v>
      </c>
      <c r="S57" s="272">
        <f>+S55+S36+S21</f>
        <v>28047194.710000008</v>
      </c>
      <c r="T57" s="272">
        <f t="shared" si="26" ref="T57">+T55+T36+T21</f>
        <v>5815851010.8299999</v>
      </c>
      <c r="U57" s="272">
        <f>+U55+U36+U21</f>
        <v>491401280.11000001</v>
      </c>
      <c r="V57" s="272">
        <f>+V55+V36+V21</f>
        <v>84146159.569999993</v>
      </c>
      <c r="W57" s="272">
        <f>+W55+W36+W21</f>
        <v>9723955764.0499992</v>
      </c>
      <c r="X57" s="6" t="b">
        <f>+K57=W57</f>
        <v>1</v>
      </c>
      <c r="Y57" s="172">
        <f>+K57-W57</f>
        <v>0</v>
      </c>
    </row>
    <row r="58" spans="1:25" s="6" customFormat="1" ht="12.75">
      <c r="A58" s="23">
        <v>44</v>
      </c>
      <c r="B58" s="62" t="s">
        <v>149</v>
      </c>
      <c r="D58" s="53" t="s">
        <v>158</v>
      </c>
      <c r="E58" s="272">
        <f>+E55+E36</f>
        <v>9271269500.1500015</v>
      </c>
      <c r="F58" s="272">
        <f>+F55+F36</f>
        <v>0</v>
      </c>
      <c r="G58" s="272">
        <f>+G55+G36</f>
        <v>9271269500.1500015</v>
      </c>
      <c r="H58" s="272">
        <f>+H55+H36</f>
        <v>-81612.100000000006</v>
      </c>
      <c r="I58" s="272">
        <f>+I55+I36</f>
        <v>9271187888.0499992</v>
      </c>
      <c r="J58" s="188"/>
      <c r="K58" s="272">
        <f>+K55+K36</f>
        <v>9271187888.0499992</v>
      </c>
      <c r="L58" s="188"/>
      <c r="M58" s="188"/>
      <c r="N58" s="272">
        <f>+N55+N36</f>
        <v>2891638841.6800003</v>
      </c>
      <c r="O58" s="272">
        <f>+O55+O36</f>
        <v>320624298.62</v>
      </c>
      <c r="P58" s="272">
        <f>+P55+P36</f>
        <v>20956727.370000001</v>
      </c>
      <c r="Q58" s="272">
        <f t="shared" si="27" ref="Q58">+Q55+Q36</f>
        <v>3233219867.6700001</v>
      </c>
      <c r="R58" s="272">
        <f>+R55+R36</f>
        <v>5673680968.2900009</v>
      </c>
      <c r="S58" s="272">
        <f>+S55+S36</f>
        <v>28047194.710000008</v>
      </c>
      <c r="T58" s="272">
        <f t="shared" si="28" ref="T58">+T55+T36</f>
        <v>5701728163</v>
      </c>
      <c r="U58" s="272">
        <f>+U55+U36</f>
        <v>336239857.38</v>
      </c>
      <c r="V58" s="272">
        <f>+V55+V36</f>
        <v>0</v>
      </c>
      <c r="W58" s="272">
        <f>+W55+W36</f>
        <v>9271187888.0499992</v>
      </c>
      <c r="X58" s="6" t="b">
        <f>+K58=W58</f>
        <v>1</v>
      </c>
      <c r="Y58" s="172">
        <f>+K58-W58</f>
        <v>0</v>
      </c>
    </row>
    <row r="59" spans="1:25" s="10" customFormat="1" ht="12.75">
      <c r="A59" s="23">
        <v>45</v>
      </c>
      <c r="D59" s="53"/>
      <c r="E59" s="188"/>
      <c r="F59" s="188"/>
      <c r="G59" s="188"/>
      <c r="H59" s="188"/>
      <c r="I59" s="188"/>
      <c r="J59" s="188"/>
      <c r="K59" s="188"/>
      <c r="L59" s="188"/>
      <c r="M59" s="188"/>
      <c r="N59" s="188"/>
      <c r="O59" s="188"/>
      <c r="P59" s="188"/>
      <c r="Q59" s="188"/>
      <c r="R59" s="188"/>
      <c r="S59" s="188"/>
      <c r="T59" s="188"/>
      <c r="U59" s="188"/>
      <c r="V59" s="188"/>
      <c r="W59" s="188"/>
      <c r="Y59" s="172"/>
    </row>
    <row r="60" spans="1:25" s="10" customFormat="1" ht="12.75">
      <c r="A60" s="23">
        <v>46</v>
      </c>
      <c r="B60" s="10" t="s">
        <v>150</v>
      </c>
      <c r="D60" s="53" t="s">
        <v>159</v>
      </c>
      <c r="E60" s="272">
        <f>+'II-B-1'!E55-'II-B-5'!E57</f>
        <v>20404274780.880005</v>
      </c>
      <c r="F60" s="272">
        <f>+'II-B-1'!F55-'II-B-5'!F57</f>
        <v>3146147.4399999999</v>
      </c>
      <c r="G60" s="272">
        <f>+'II-B-1'!G55-'II-B-5'!G57</f>
        <v>20407420928.32</v>
      </c>
      <c r="H60" s="272">
        <f>+'II-B-1'!H55-'II-B-5'!H57</f>
        <v>-4651574.0300000003</v>
      </c>
      <c r="I60" s="272">
        <f>+'II-B-1'!I55-'II-B-5'!I57</f>
        <v>20402769354.290005</v>
      </c>
      <c r="J60" s="188"/>
      <c r="K60" s="272">
        <f>+'II-B-1'!K55-'II-B-5'!K57</f>
        <v>20402769354.290005</v>
      </c>
      <c r="L60" s="188"/>
      <c r="M60" s="188"/>
      <c r="N60" s="272">
        <f>+'II-B-1'!N55-'II-B-5'!N57</f>
        <v>8835395835.25</v>
      </c>
      <c r="O60" s="272">
        <f>+'II-B-1'!O55-'II-B-5'!O57</f>
        <v>1409679949.8499999</v>
      </c>
      <c r="P60" s="272">
        <f>+'II-B-1'!P55-'II-B-5'!P57</f>
        <v>11582390.280000001</v>
      </c>
      <c r="Q60" s="272">
        <f>+'II-B-1'!Q55-'II-B-5'!Q57</f>
        <v>10256658175.379997</v>
      </c>
      <c r="R60" s="272">
        <f>+'II-B-1'!R55-'II-B-5'!R57</f>
        <v>9536209940.4099979</v>
      </c>
      <c r="S60" s="272">
        <f>+'II-B-1'!S55-'II-B-5'!S57</f>
        <v>115590307.41</v>
      </c>
      <c r="T60" s="272">
        <f>+'II-B-1'!T55-'II-B-5'!T57</f>
        <v>9651800247.8200016</v>
      </c>
      <c r="U60" s="272">
        <f>+'II-B-1'!U55-'II-B-5'!U57</f>
        <v>268047915.92000008</v>
      </c>
      <c r="V60" s="272">
        <f>+'II-B-1'!V55-'II-B-5'!V57</f>
        <v>226263015.17000002</v>
      </c>
      <c r="W60" s="272">
        <f>+'II-B-1'!W55-'II-B-5'!W57</f>
        <v>20402769354.290005</v>
      </c>
      <c r="X60" s="6" t="b">
        <f>+K60=W60</f>
        <v>1</v>
      </c>
      <c r="Y60" s="172">
        <f>+K60-W60</f>
        <v>0</v>
      </c>
    </row>
    <row r="61" spans="1:25" s="10" customFormat="1" ht="12.75">
      <c r="A61" s="23">
        <v>47</v>
      </c>
      <c r="B61" s="10" t="s">
        <v>151</v>
      </c>
      <c r="D61" s="53" t="s">
        <v>159</v>
      </c>
      <c r="E61" s="272">
        <f>+'II-B-1'!E56-'II-B-5'!E58</f>
        <v>19790692375.810005</v>
      </c>
      <c r="F61" s="272">
        <f>+'II-B-1'!F56-'II-B-5'!F58</f>
        <v>3146147.4399999999</v>
      </c>
      <c r="G61" s="272">
        <f>+'II-B-1'!G56-'II-B-5'!G58</f>
        <v>19793838523.25</v>
      </c>
      <c r="H61" s="272">
        <f>+'II-B-1'!H56-'II-B-5'!H58</f>
        <v>-4651574.0300000003</v>
      </c>
      <c r="I61" s="272">
        <f>+'II-B-1'!I56-'II-B-5'!I58</f>
        <v>19789186949.220005</v>
      </c>
      <c r="J61" s="188"/>
      <c r="K61" s="272">
        <f>+'II-B-1'!K56-'II-B-5'!K58</f>
        <v>19789186949.220005</v>
      </c>
      <c r="L61" s="188"/>
      <c r="M61" s="188"/>
      <c r="N61" s="272">
        <f>+'II-B-1'!N56-'II-B-5'!N58</f>
        <v>8687427260.5699997</v>
      </c>
      <c r="O61" s="272">
        <f>+'II-B-1'!O56-'II-B-5'!O58</f>
        <v>1409679949.8499999</v>
      </c>
      <c r="P61" s="272">
        <f>+'II-B-1'!P56-'II-B-5'!P58</f>
        <v>11582390.280000001</v>
      </c>
      <c r="Q61" s="272">
        <f>+'II-B-1'!Q56-'II-B-5'!Q58</f>
        <v>10108689600.699999</v>
      </c>
      <c r="R61" s="272">
        <f>+'II-B-1'!R56-'II-B-5'!R58</f>
        <v>9326999415.4199982</v>
      </c>
      <c r="S61" s="272">
        <f>+'II-B-1'!S56-'II-B-5'!S58</f>
        <v>115590307.41</v>
      </c>
      <c r="T61" s="272">
        <f>+'II-B-1'!T56-'II-B-5'!T58</f>
        <v>9442589722.8300018</v>
      </c>
      <c r="U61" s="272">
        <f>+'II-B-1'!U56-'II-B-5'!U58</f>
        <v>237907625.69000006</v>
      </c>
      <c r="V61" s="272">
        <f>+'II-B-1'!V56-'II-B-5'!V58</f>
        <v>0</v>
      </c>
      <c r="W61" s="272">
        <f>+'II-B-1'!W56-'II-B-5'!W58</f>
        <v>19789186949.220005</v>
      </c>
      <c r="X61" s="6" t="b">
        <f>+K61=W61</f>
        <v>1</v>
      </c>
      <c r="Y61" s="172">
        <f>+K61-W61</f>
        <v>0</v>
      </c>
    </row>
    <row r="62" spans="1:25" s="6" customFormat="1" ht="12.75">
      <c r="A62" s="23">
        <v>48</v>
      </c>
      <c r="D62" s="23"/>
      <c r="E62" s="19"/>
      <c r="F62" s="19"/>
      <c r="G62" s="19"/>
      <c r="H62" s="19"/>
      <c r="I62" s="19"/>
      <c r="J62" s="177"/>
      <c r="K62" s="56"/>
      <c r="L62" s="23"/>
      <c r="M62" s="23"/>
      <c r="N62" s="56"/>
      <c r="O62" s="56"/>
      <c r="P62" s="56"/>
      <c r="Q62" s="56"/>
      <c r="R62" s="56"/>
      <c r="S62" s="56"/>
      <c r="T62" s="56"/>
      <c r="U62" s="56"/>
      <c r="V62" s="56"/>
      <c r="W62" s="56"/>
      <c r="Y62" s="172"/>
    </row>
    <row r="63" spans="1:25" s="6" customFormat="1" ht="12.75">
      <c r="A63" s="23">
        <v>49</v>
      </c>
      <c r="B63" s="10" t="s">
        <v>113</v>
      </c>
      <c r="D63" s="53" t="s">
        <v>158</v>
      </c>
      <c r="E63" s="19"/>
      <c r="F63" s="19"/>
      <c r="G63" s="19"/>
      <c r="H63" s="19"/>
      <c r="I63" s="19"/>
      <c r="J63" s="177"/>
      <c r="K63" s="56"/>
      <c r="L63" s="23"/>
      <c r="M63" s="23"/>
      <c r="N63" s="56"/>
      <c r="O63" s="56"/>
      <c r="P63" s="56"/>
      <c r="Q63" s="56"/>
      <c r="R63" s="56"/>
      <c r="S63" s="56"/>
      <c r="T63" s="56"/>
      <c r="U63" s="56"/>
      <c r="V63" s="56"/>
      <c r="W63" s="56"/>
      <c r="Y63" s="172"/>
    </row>
    <row r="64" spans="1:25" s="10" customFormat="1" ht="12.75">
      <c r="A64" s="23">
        <v>50</v>
      </c>
      <c r="B64" s="10" t="s">
        <v>46</v>
      </c>
      <c r="D64" s="53"/>
      <c r="E64" s="55"/>
      <c r="F64" s="55"/>
      <c r="G64" s="55"/>
      <c r="H64" s="55"/>
      <c r="I64" s="55"/>
      <c r="J64" s="176"/>
      <c r="K64" s="55"/>
      <c r="L64" s="53"/>
      <c r="M64" s="53"/>
      <c r="N64" s="55"/>
      <c r="O64" s="55"/>
      <c r="P64" s="55"/>
      <c r="Q64" s="55"/>
      <c r="R64" s="55"/>
      <c r="S64" s="55"/>
      <c r="T64" s="55"/>
      <c r="U64" s="55"/>
      <c r="Y64" s="172"/>
    </row>
    <row r="65" spans="1:25" s="6" customFormat="1" ht="12.75">
      <c r="A65" s="23">
        <v>51</v>
      </c>
      <c r="B65" s="6" t="s">
        <v>85</v>
      </c>
      <c r="C65" s="6" t="s">
        <v>44</v>
      </c>
      <c r="D65" s="53"/>
      <c r="E65" s="271">
        <v>0</v>
      </c>
      <c r="F65" s="271">
        <v>0</v>
      </c>
      <c r="G65" s="271">
        <f t="shared" si="29" ref="G65:G73">+E65+F65</f>
        <v>0</v>
      </c>
      <c r="H65" s="271">
        <v>0</v>
      </c>
      <c r="I65" s="271">
        <f t="shared" si="30" ref="I65:I73">+G65+H65</f>
        <v>0</v>
      </c>
      <c r="J65" s="175">
        <v>1</v>
      </c>
      <c r="K65" s="271">
        <f t="shared" si="31" ref="K65:K73">ROUND(+I65*J65,2)</f>
        <v>0</v>
      </c>
      <c r="L65" s="187"/>
      <c r="M65" s="187"/>
      <c r="N65" s="271">
        <v>0</v>
      </c>
      <c r="O65" s="271">
        <v>0</v>
      </c>
      <c r="P65" s="271">
        <v>0</v>
      </c>
      <c r="Q65" s="271">
        <f t="shared" si="32" ref="Q65:Q73">SUM(N65:P65)</f>
        <v>0</v>
      </c>
      <c r="R65" s="271">
        <v>0</v>
      </c>
      <c r="S65" s="271">
        <v>0</v>
      </c>
      <c r="T65" s="271">
        <f t="shared" si="33" ref="T65:T73">SUM(R65:S65)</f>
        <v>0</v>
      </c>
      <c r="U65" s="271">
        <v>0</v>
      </c>
      <c r="V65" s="271">
        <v>0</v>
      </c>
      <c r="W65" s="271">
        <f t="shared" si="34" ref="W65:W73">+Q65+T65+U65+V65</f>
        <v>0</v>
      </c>
      <c r="X65" s="6" t="b">
        <f t="shared" si="35" ref="X65:X73">+K65=W65</f>
        <v>1</v>
      </c>
      <c r="Y65" s="172">
        <f t="shared" si="36" ref="Y65:Y73">+K65-W65</f>
        <v>0</v>
      </c>
    </row>
    <row r="66" spans="1:25" s="10" customFormat="1" ht="12.75">
      <c r="A66" s="23">
        <v>52</v>
      </c>
      <c r="B66" s="6" t="s">
        <v>86</v>
      </c>
      <c r="C66" s="6" t="s">
        <v>50</v>
      </c>
      <c r="D66" s="75"/>
      <c r="E66" s="273">
        <v>23826.650000000001</v>
      </c>
      <c r="F66" s="214">
        <v>0</v>
      </c>
      <c r="G66" s="270">
        <f t="shared" si="29"/>
        <v>23826.650000000001</v>
      </c>
      <c r="H66" s="273">
        <v>0</v>
      </c>
      <c r="I66" s="270">
        <f t="shared" si="30"/>
        <v>23826.650000000001</v>
      </c>
      <c r="J66" s="175">
        <v>1</v>
      </c>
      <c r="K66" s="270">
        <f t="shared" si="31"/>
        <v>23826.650000000001</v>
      </c>
      <c r="L66" s="23"/>
      <c r="M66" s="119"/>
      <c r="N66" s="273">
        <v>10107.889999999999</v>
      </c>
      <c r="O66" s="273">
        <v>0</v>
      </c>
      <c r="P66" s="273">
        <v>0</v>
      </c>
      <c r="Q66" s="270">
        <f t="shared" si="32"/>
        <v>10107.889999999999</v>
      </c>
      <c r="R66" s="273">
        <v>13158.09</v>
      </c>
      <c r="S66" s="273">
        <v>0</v>
      </c>
      <c r="T66" s="270">
        <f t="shared" si="33"/>
        <v>13158.09</v>
      </c>
      <c r="U66" s="273">
        <v>558.58000000000004</v>
      </c>
      <c r="V66" s="273">
        <v>2.0899999999999999</v>
      </c>
      <c r="W66" s="270">
        <f t="shared" si="34"/>
        <v>23826.650000000001</v>
      </c>
      <c r="X66" s="6" t="b">
        <f t="shared" si="35"/>
        <v>1</v>
      </c>
      <c r="Y66" s="172">
        <f t="shared" si="36"/>
        <v>0</v>
      </c>
    </row>
    <row r="67" spans="1:25" s="10" customFormat="1" ht="12.75">
      <c r="A67" s="23">
        <v>53</v>
      </c>
      <c r="B67" s="6" t="s">
        <v>87</v>
      </c>
      <c r="C67" s="6" t="s">
        <v>45</v>
      </c>
      <c r="D67" s="75"/>
      <c r="E67" s="273">
        <v>33849306.25</v>
      </c>
      <c r="F67" s="214">
        <v>0</v>
      </c>
      <c r="G67" s="270">
        <f t="shared" si="29"/>
        <v>33849306.25</v>
      </c>
      <c r="H67" s="273">
        <v>-12004100.060000001</v>
      </c>
      <c r="I67" s="270">
        <f t="shared" si="30"/>
        <v>21845206.189999998</v>
      </c>
      <c r="J67" s="175">
        <v>1</v>
      </c>
      <c r="K67" s="270">
        <f t="shared" si="31"/>
        <v>21845206.190000001</v>
      </c>
      <c r="L67" s="23"/>
      <c r="M67" s="119"/>
      <c r="N67" s="273">
        <v>6596478.0300000003</v>
      </c>
      <c r="O67" s="273">
        <v>105417.39</v>
      </c>
      <c r="P67" s="273">
        <v>0</v>
      </c>
      <c r="Q67" s="270">
        <f t="shared" si="32"/>
        <v>6701895.4199999999</v>
      </c>
      <c r="R67" s="273">
        <v>11904359.49</v>
      </c>
      <c r="S67" s="273">
        <v>0</v>
      </c>
      <c r="T67" s="270">
        <f t="shared" si="33"/>
        <v>11904359.49</v>
      </c>
      <c r="U67" s="273">
        <v>2097789.6299999999</v>
      </c>
      <c r="V67" s="273">
        <v>1141161.6499999999</v>
      </c>
      <c r="W67" s="270">
        <f t="shared" si="34"/>
        <v>21845206.189999998</v>
      </c>
      <c r="X67" s="6" t="b">
        <f t="shared" si="35"/>
        <v>1</v>
      </c>
      <c r="Y67" s="172">
        <f t="shared" si="36"/>
        <v>0</v>
      </c>
    </row>
    <row r="68" spans="1:25" s="10" customFormat="1" ht="12.75">
      <c r="A68" s="23">
        <v>54</v>
      </c>
      <c r="B68" s="6" t="s">
        <v>88</v>
      </c>
      <c r="C68" s="6" t="s">
        <v>9</v>
      </c>
      <c r="D68" s="75"/>
      <c r="E68" s="273">
        <v>155493508.75999999</v>
      </c>
      <c r="F68" s="214">
        <v>0</v>
      </c>
      <c r="G68" s="270">
        <f t="shared" si="29"/>
        <v>155493508.75999999</v>
      </c>
      <c r="H68" s="273">
        <v>0</v>
      </c>
      <c r="I68" s="270">
        <f t="shared" si="30"/>
        <v>155493508.75999999</v>
      </c>
      <c r="J68" s="175">
        <v>1</v>
      </c>
      <c r="K68" s="270">
        <f t="shared" si="31"/>
        <v>155493508.75999999</v>
      </c>
      <c r="L68" s="23"/>
      <c r="M68" s="119"/>
      <c r="N68" s="273">
        <v>33175414.289999999</v>
      </c>
      <c r="O68" s="273">
        <v>801055.98999999999</v>
      </c>
      <c r="P68" s="273">
        <v>0</v>
      </c>
      <c r="Q68" s="270">
        <f t="shared" si="32"/>
        <v>33976470.280000001</v>
      </c>
      <c r="R68" s="273">
        <v>43244355.240000002</v>
      </c>
      <c r="S68" s="273">
        <v>0</v>
      </c>
      <c r="T68" s="270">
        <f t="shared" si="33"/>
        <v>43244355.240000002</v>
      </c>
      <c r="U68" s="273">
        <v>37302658.030000001</v>
      </c>
      <c r="V68" s="273">
        <v>40970025.210000001</v>
      </c>
      <c r="W68" s="270">
        <f t="shared" si="34"/>
        <v>155493508.76000002</v>
      </c>
      <c r="X68" s="6" t="b">
        <f t="shared" si="35"/>
        <v>1</v>
      </c>
      <c r="Y68" s="172">
        <f t="shared" si="36"/>
        <v>0</v>
      </c>
    </row>
    <row r="69" spans="1:25" s="10" customFormat="1" ht="12.75">
      <c r="A69" s="23">
        <v>55</v>
      </c>
      <c r="B69" s="6" t="s">
        <v>89</v>
      </c>
      <c r="C69" s="6" t="s">
        <v>90</v>
      </c>
      <c r="D69" s="75"/>
      <c r="E69" s="273">
        <v>6023846.0599999996</v>
      </c>
      <c r="F69" s="214">
        <v>0</v>
      </c>
      <c r="G69" s="270">
        <f t="shared" si="29"/>
        <v>6023846.0599999996</v>
      </c>
      <c r="H69" s="273">
        <v>-1197271.6399999999</v>
      </c>
      <c r="I69" s="270">
        <f t="shared" si="30"/>
        <v>4826574.4199999999</v>
      </c>
      <c r="J69" s="175">
        <v>1</v>
      </c>
      <c r="K69" s="270">
        <f t="shared" si="31"/>
        <v>4826574.4199999999</v>
      </c>
      <c r="L69" s="23"/>
      <c r="M69" s="119"/>
      <c r="N69" s="273">
        <v>1018691.6</v>
      </c>
      <c r="O69" s="273">
        <v>918047.65000000002</v>
      </c>
      <c r="P69" s="273">
        <v>0</v>
      </c>
      <c r="Q69" s="270">
        <f t="shared" si="32"/>
        <v>1936739.25</v>
      </c>
      <c r="R69" s="273">
        <v>2889835.1699999999</v>
      </c>
      <c r="S69" s="273">
        <v>0</v>
      </c>
      <c r="T69" s="270">
        <f t="shared" si="33"/>
        <v>2889835.1699999999</v>
      </c>
      <c r="U69" s="273">
        <v>0</v>
      </c>
      <c r="V69" s="273">
        <v>0</v>
      </c>
      <c r="W69" s="270">
        <f t="shared" si="34"/>
        <v>4826574.4199999999</v>
      </c>
      <c r="X69" s="6" t="b">
        <f t="shared" si="35"/>
        <v>1</v>
      </c>
      <c r="Y69" s="172">
        <f>+K69-W69</f>
        <v>0</v>
      </c>
    </row>
    <row r="70" spans="1:25" s="10" customFormat="1" ht="12.75">
      <c r="A70" s="23">
        <v>56</v>
      </c>
      <c r="B70" s="6" t="s">
        <v>91</v>
      </c>
      <c r="C70" s="6" t="s">
        <v>10</v>
      </c>
      <c r="D70" s="75"/>
      <c r="E70" s="273">
        <v>994469.57999999996</v>
      </c>
      <c r="F70" s="214">
        <v>0</v>
      </c>
      <c r="G70" s="270">
        <f t="shared" si="29"/>
        <v>994469.57999999996</v>
      </c>
      <c r="H70" s="273">
        <v>0</v>
      </c>
      <c r="I70" s="270">
        <f t="shared" si="30"/>
        <v>994469.57999999996</v>
      </c>
      <c r="J70" s="175">
        <v>1</v>
      </c>
      <c r="K70" s="270">
        <f t="shared" si="31"/>
        <v>994469.57999999996</v>
      </c>
      <c r="L70" s="23"/>
      <c r="M70" s="119"/>
      <c r="N70" s="273">
        <v>237481.10000000001</v>
      </c>
      <c r="O70" s="273">
        <v>0</v>
      </c>
      <c r="P70" s="273">
        <v>0</v>
      </c>
      <c r="Q70" s="270">
        <f t="shared" si="32"/>
        <v>237481.10000000001</v>
      </c>
      <c r="R70" s="273">
        <v>642515.64000000001</v>
      </c>
      <c r="S70" s="273">
        <v>0</v>
      </c>
      <c r="T70" s="270">
        <f t="shared" si="33"/>
        <v>642515.64000000001</v>
      </c>
      <c r="U70" s="273">
        <v>114472.84</v>
      </c>
      <c r="V70" s="273">
        <v>0</v>
      </c>
      <c r="W70" s="270">
        <f t="shared" si="34"/>
        <v>994469.57999999996</v>
      </c>
      <c r="X70" s="6" t="b">
        <f t="shared" si="35"/>
        <v>1</v>
      </c>
      <c r="Y70" s="172">
        <f t="shared" si="36"/>
        <v>0</v>
      </c>
    </row>
    <row r="71" spans="1:25" s="10" customFormat="1" ht="12.75">
      <c r="A71" s="23">
        <v>57</v>
      </c>
      <c r="B71" s="6" t="s">
        <v>92</v>
      </c>
      <c r="C71" s="6" t="s">
        <v>11</v>
      </c>
      <c r="D71" s="75"/>
      <c r="E71" s="273">
        <v>16871488.609999999</v>
      </c>
      <c r="F71" s="214">
        <v>0</v>
      </c>
      <c r="G71" s="270">
        <f t="shared" si="29"/>
        <v>16871488.609999999</v>
      </c>
      <c r="H71" s="273">
        <v>0</v>
      </c>
      <c r="I71" s="270">
        <f t="shared" si="30"/>
        <v>16871488.609999999</v>
      </c>
      <c r="J71" s="175">
        <v>1</v>
      </c>
      <c r="K71" s="270">
        <f t="shared" si="31"/>
        <v>16871488.609999999</v>
      </c>
      <c r="L71" s="23"/>
      <c r="M71" s="119"/>
      <c r="N71" s="273">
        <v>5781119.9699999997</v>
      </c>
      <c r="O71" s="273">
        <v>69060.020000000004</v>
      </c>
      <c r="P71" s="273">
        <v>0</v>
      </c>
      <c r="Q71" s="270">
        <f t="shared" si="32"/>
        <v>5850179.9899999993</v>
      </c>
      <c r="R71" s="273">
        <v>10062139.470000001</v>
      </c>
      <c r="S71" s="273">
        <v>0</v>
      </c>
      <c r="T71" s="270">
        <f t="shared" si="33"/>
        <v>10062139.470000001</v>
      </c>
      <c r="U71" s="273">
        <v>959169.15000000002</v>
      </c>
      <c r="V71" s="273">
        <v>0</v>
      </c>
      <c r="W71" s="270">
        <f t="shared" si="34"/>
        <v>16871488.609999999</v>
      </c>
      <c r="X71" s="6" t="b">
        <f t="shared" si="35"/>
        <v>1</v>
      </c>
      <c r="Y71" s="172">
        <f t="shared" si="36"/>
        <v>0</v>
      </c>
    </row>
    <row r="72" spans="1:25" s="10" customFormat="1" ht="12.75">
      <c r="A72" s="23">
        <v>58</v>
      </c>
      <c r="B72" s="6" t="s">
        <v>93</v>
      </c>
      <c r="C72" s="6" t="s">
        <v>94</v>
      </c>
      <c r="D72" s="75"/>
      <c r="E72" s="273">
        <v>8230086.3300000001</v>
      </c>
      <c r="F72" s="214">
        <v>0</v>
      </c>
      <c r="G72" s="270">
        <f t="shared" si="29"/>
        <v>8230086.3300000001</v>
      </c>
      <c r="H72" s="273">
        <v>0</v>
      </c>
      <c r="I72" s="270">
        <f t="shared" si="30"/>
        <v>8230086.3300000001</v>
      </c>
      <c r="J72" s="175">
        <v>1</v>
      </c>
      <c r="K72" s="270">
        <f t="shared" si="31"/>
        <v>8230086.3300000001</v>
      </c>
      <c r="L72" s="23"/>
      <c r="M72" s="119"/>
      <c r="N72" s="273">
        <v>4825932.71</v>
      </c>
      <c r="O72" s="273">
        <v>0</v>
      </c>
      <c r="P72" s="273">
        <v>0</v>
      </c>
      <c r="Q72" s="270">
        <f t="shared" si="32"/>
        <v>4825932.71</v>
      </c>
      <c r="R72" s="273">
        <v>2811643.6499999999</v>
      </c>
      <c r="S72" s="273">
        <v>0</v>
      </c>
      <c r="T72" s="270">
        <f t="shared" si="33"/>
        <v>2811643.6499999999</v>
      </c>
      <c r="U72" s="273">
        <v>592509.96999999997</v>
      </c>
      <c r="V72" s="273">
        <v>0</v>
      </c>
      <c r="W72" s="270">
        <f t="shared" si="34"/>
        <v>8230086.3299999991</v>
      </c>
      <c r="X72" s="6" t="b">
        <f t="shared" si="35"/>
        <v>1</v>
      </c>
      <c r="Y72" s="172">
        <f t="shared" si="36"/>
        <v>0</v>
      </c>
    </row>
    <row r="73" spans="1:25" s="10" customFormat="1" ht="12.75">
      <c r="A73" s="23">
        <v>59</v>
      </c>
      <c r="B73" s="6" t="s">
        <v>95</v>
      </c>
      <c r="C73" s="6" t="s">
        <v>96</v>
      </c>
      <c r="D73" s="75"/>
      <c r="E73" s="273">
        <v>4007607.5499999998</v>
      </c>
      <c r="F73" s="214">
        <v>0</v>
      </c>
      <c r="G73" s="270">
        <f t="shared" si="29"/>
        <v>4007607.5499999998</v>
      </c>
      <c r="H73" s="273">
        <v>0</v>
      </c>
      <c r="I73" s="270">
        <f t="shared" si="30"/>
        <v>4007607.5499999998</v>
      </c>
      <c r="J73" s="175">
        <v>1</v>
      </c>
      <c r="K73" s="270">
        <f t="shared" si="31"/>
        <v>4007607.5499999998</v>
      </c>
      <c r="L73" s="23"/>
      <c r="M73" s="119"/>
      <c r="N73" s="273">
        <v>1239086.5700000001</v>
      </c>
      <c r="O73" s="273">
        <v>105910.32000000001</v>
      </c>
      <c r="P73" s="273">
        <v>0</v>
      </c>
      <c r="Q73" s="270">
        <f t="shared" si="32"/>
        <v>1344996.8900000001</v>
      </c>
      <c r="R73" s="273">
        <v>2373053.8799999999</v>
      </c>
      <c r="S73" s="273">
        <v>0</v>
      </c>
      <c r="T73" s="270">
        <f t="shared" si="33"/>
        <v>2373053.8799999999</v>
      </c>
      <c r="U73" s="273">
        <v>289556.78000000003</v>
      </c>
      <c r="V73" s="273">
        <v>0</v>
      </c>
      <c r="W73" s="270">
        <f t="shared" si="34"/>
        <v>4007607.5499999998</v>
      </c>
      <c r="X73" s="6" t="b">
        <f t="shared" si="35"/>
        <v>1</v>
      </c>
      <c r="Y73" s="172">
        <f t="shared" si="36"/>
        <v>0</v>
      </c>
    </row>
    <row r="74" spans="1:25" s="10" customFormat="1" ht="12.75">
      <c r="A74" s="23">
        <v>60</v>
      </c>
      <c r="B74" s="6"/>
      <c r="C74" s="6"/>
      <c r="D74" s="53"/>
      <c r="E74" s="156"/>
      <c r="F74" s="156"/>
      <c r="G74" s="161"/>
      <c r="H74" s="156"/>
      <c r="I74" s="156" t="s">
        <v>24</v>
      </c>
      <c r="J74" s="177"/>
      <c r="K74" s="156"/>
      <c r="L74" s="23"/>
      <c r="M74" s="23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Y74" s="172"/>
    </row>
    <row r="75" spans="1:25" s="6" customFormat="1" ht="12.75">
      <c r="A75" s="23">
        <v>61</v>
      </c>
      <c r="C75" s="58" t="s">
        <v>40</v>
      </c>
      <c r="D75" s="23"/>
      <c r="E75" s="272">
        <f>SUM(E65:E74)</f>
        <v>225494139.79000005</v>
      </c>
      <c r="F75" s="272">
        <f>SUM(F65:F73)</f>
        <v>0</v>
      </c>
      <c r="G75" s="272">
        <f>SUM(G65:G73)</f>
        <v>225494139.79000005</v>
      </c>
      <c r="H75" s="272">
        <f>SUM(H65:H74)</f>
        <v>-13201371.700000001</v>
      </c>
      <c r="I75" s="272">
        <f>SUM(I65:I73)</f>
        <v>212292768.09</v>
      </c>
      <c r="J75" s="188"/>
      <c r="K75" s="272">
        <f>SUM(K65:K73)</f>
        <v>212292768.09</v>
      </c>
      <c r="L75" s="188"/>
      <c r="M75" s="188"/>
      <c r="N75" s="272">
        <f>SUM(N65:N74)</f>
        <v>52884312.160000004</v>
      </c>
      <c r="O75" s="272">
        <f>SUM(O65:O74)</f>
        <v>1999491.3700000001</v>
      </c>
      <c r="P75" s="272">
        <f>SUM(P65:P74)</f>
        <v>0</v>
      </c>
      <c r="Q75" s="272">
        <f t="shared" si="37" ref="Q75:W75">SUM(Q65:Q73)</f>
        <v>54883803.530000009</v>
      </c>
      <c r="R75" s="272">
        <f>SUM(R65:R74)</f>
        <v>73941060.63000001</v>
      </c>
      <c r="S75" s="272">
        <f>SUM(S65:S74)</f>
        <v>0</v>
      </c>
      <c r="T75" s="272">
        <f t="shared" si="37"/>
        <v>73941060.63000001</v>
      </c>
      <c r="U75" s="272">
        <f>SUM(U65:U74)</f>
        <v>41356714.980000004</v>
      </c>
      <c r="V75" s="272">
        <f>SUM(V65:V74)</f>
        <v>42111188.950000003</v>
      </c>
      <c r="W75" s="272">
        <f t="shared" si="37"/>
        <v>212292768.09000006</v>
      </c>
      <c r="X75" s="6" t="b">
        <f>+K75=W75</f>
        <v>1</v>
      </c>
      <c r="Y75" s="172">
        <f>+K75-W75</f>
        <v>0</v>
      </c>
    </row>
    <row r="76" spans="1:25" s="10" customFormat="1" ht="12.75">
      <c r="A76" s="23">
        <v>62</v>
      </c>
      <c r="C76" s="58"/>
      <c r="D76" s="53"/>
      <c r="E76" s="63"/>
      <c r="F76" s="63"/>
      <c r="G76" s="63"/>
      <c r="H76" s="63"/>
      <c r="I76" s="55"/>
      <c r="J76" s="176"/>
      <c r="K76" s="63"/>
      <c r="L76" s="53"/>
      <c r="M76" s="53"/>
      <c r="N76" s="63"/>
      <c r="O76" s="63"/>
      <c r="P76" s="63"/>
      <c r="Q76" s="63"/>
      <c r="R76" s="63"/>
      <c r="S76" s="63"/>
      <c r="T76" s="63"/>
      <c r="U76" s="63"/>
      <c r="V76" s="63"/>
      <c r="W76" s="63"/>
      <c r="Y76" s="172"/>
    </row>
    <row r="77" spans="1:25" s="6" customFormat="1" ht="12.75">
      <c r="A77" s="23">
        <v>63</v>
      </c>
      <c r="B77" s="6" t="s">
        <v>97</v>
      </c>
      <c r="C77" s="6" t="s">
        <v>98</v>
      </c>
      <c r="D77" s="53"/>
      <c r="E77" s="271">
        <v>61505556.329999998</v>
      </c>
      <c r="F77" s="271">
        <v>0</v>
      </c>
      <c r="G77" s="271">
        <f>+E77+F77</f>
        <v>61505556.329999998</v>
      </c>
      <c r="H77" s="271">
        <v>0</v>
      </c>
      <c r="I77" s="271">
        <f>+G77+H77</f>
        <v>61505556.329999998</v>
      </c>
      <c r="J77" s="175">
        <v>1</v>
      </c>
      <c r="K77" s="271">
        <f t="shared" si="38" ref="K77:K79">ROUND(+I77*J77,2)</f>
        <v>61505556.329999998</v>
      </c>
      <c r="L77" s="187"/>
      <c r="M77" s="187"/>
      <c r="N77" s="271">
        <v>11560520.050000001</v>
      </c>
      <c r="O77" s="271">
        <v>8285.4099999999999</v>
      </c>
      <c r="P77" s="271">
        <v>0</v>
      </c>
      <c r="Q77" s="271">
        <f t="shared" si="39" ref="Q77:Q79">SUM(N77:P77)</f>
        <v>11568805.460000001</v>
      </c>
      <c r="R77" s="271">
        <v>7510868.3600000003</v>
      </c>
      <c r="S77" s="271">
        <v>0</v>
      </c>
      <c r="T77" s="271">
        <f t="shared" si="40" ref="T77:T79">SUM(R77:S77)</f>
        <v>7510868.3600000003</v>
      </c>
      <c r="U77" s="271">
        <v>42151878.130000003</v>
      </c>
      <c r="V77" s="271">
        <v>274004.38</v>
      </c>
      <c r="W77" s="271">
        <f t="shared" si="41" ref="W77:W79">+Q77+T77+U77+V77</f>
        <v>61505556.330000006</v>
      </c>
      <c r="X77" s="6" t="b">
        <f>+K77=W77</f>
        <v>1</v>
      </c>
      <c r="Y77" s="172">
        <f>+K77-W77</f>
        <v>0</v>
      </c>
    </row>
    <row r="78" spans="1:25" s="10" customFormat="1" ht="12.75">
      <c r="A78" s="23">
        <v>64</v>
      </c>
      <c r="B78" s="6" t="s">
        <v>99</v>
      </c>
      <c r="C78" s="6" t="str">
        <f>VLOOKUP(B78,'II-B-2'!$B$16:$C$28,2,FALSE)</f>
        <v>Miscellaneous Equipment</v>
      </c>
      <c r="D78" s="53"/>
      <c r="E78" s="273">
        <v>1255624.6100000001</v>
      </c>
      <c r="F78" s="273">
        <v>0</v>
      </c>
      <c r="G78" s="273">
        <f>+E78+F78</f>
        <v>1255624.6100000001</v>
      </c>
      <c r="H78" s="273">
        <v>0</v>
      </c>
      <c r="I78" s="273">
        <f>+G78+H78</f>
        <v>1255624.6100000001</v>
      </c>
      <c r="J78" s="175">
        <v>1</v>
      </c>
      <c r="K78" s="273">
        <f t="shared" si="38"/>
        <v>1255624.6100000001</v>
      </c>
      <c r="L78" s="23"/>
      <c r="M78" s="119"/>
      <c r="N78" s="273">
        <v>567681.39000000001</v>
      </c>
      <c r="O78" s="273">
        <v>6603.3000000000002</v>
      </c>
      <c r="P78" s="273">
        <v>0</v>
      </c>
      <c r="Q78" s="273">
        <f t="shared" si="39"/>
        <v>574284.69000000006</v>
      </c>
      <c r="R78" s="273">
        <v>565246.04000000004</v>
      </c>
      <c r="S78" s="273">
        <v>0</v>
      </c>
      <c r="T78" s="273">
        <f t="shared" si="40"/>
        <v>565246.04000000004</v>
      </c>
      <c r="U78" s="273">
        <v>116093.88000000001</v>
      </c>
      <c r="V78" s="273">
        <v>0</v>
      </c>
      <c r="W78" s="273">
        <f t="shared" si="41"/>
        <v>1255624.6099999999</v>
      </c>
      <c r="X78" s="6" t="b">
        <f>+K78=W78</f>
        <v>1</v>
      </c>
      <c r="Y78" s="172">
        <f>+K78-W78</f>
        <v>0</v>
      </c>
    </row>
    <row r="79" spans="1:25" s="10" customFormat="1" ht="12.75">
      <c r="A79" s="23">
        <v>65</v>
      </c>
      <c r="B79" s="6" t="s">
        <v>200</v>
      </c>
      <c r="C79" s="6" t="s">
        <v>201</v>
      </c>
      <c r="D79" s="53"/>
      <c r="E79" s="273">
        <v>0</v>
      </c>
      <c r="F79" s="273">
        <v>0</v>
      </c>
      <c r="G79" s="273">
        <f>+E79+F79</f>
        <v>0</v>
      </c>
      <c r="H79" s="273">
        <v>0</v>
      </c>
      <c r="I79" s="273">
        <f>+G79+H79</f>
        <v>0</v>
      </c>
      <c r="J79" s="175">
        <v>1</v>
      </c>
      <c r="K79" s="273">
        <f t="shared" si="38"/>
        <v>0</v>
      </c>
      <c r="L79" s="23"/>
      <c r="M79" s="119"/>
      <c r="N79" s="273">
        <v>0</v>
      </c>
      <c r="O79" s="273">
        <v>0</v>
      </c>
      <c r="P79" s="273">
        <v>0</v>
      </c>
      <c r="Q79" s="273">
        <f t="shared" si="39"/>
        <v>0</v>
      </c>
      <c r="R79" s="273">
        <v>0</v>
      </c>
      <c r="S79" s="273">
        <v>0</v>
      </c>
      <c r="T79" s="273">
        <f t="shared" si="40"/>
        <v>0</v>
      </c>
      <c r="U79" s="273">
        <v>0</v>
      </c>
      <c r="V79" s="273">
        <v>0</v>
      </c>
      <c r="W79" s="273">
        <f t="shared" si="41"/>
        <v>0</v>
      </c>
      <c r="X79" s="6" t="b">
        <f>+K79=W79</f>
        <v>1</v>
      </c>
      <c r="Y79" s="172">
        <f>+K79-W79</f>
        <v>0</v>
      </c>
    </row>
    <row r="80" spans="1:25" s="10" customFormat="1" ht="12.75">
      <c r="A80" s="23">
        <v>66</v>
      </c>
      <c r="B80" s="6"/>
      <c r="C80" s="6"/>
      <c r="D80" s="53"/>
      <c r="E80" s="156"/>
      <c r="F80" s="156"/>
      <c r="G80" s="161"/>
      <c r="H80" s="156"/>
      <c r="I80" s="156"/>
      <c r="J80" s="175"/>
      <c r="K80" s="156"/>
      <c r="L80" s="23"/>
      <c r="M80" s="23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12"/>
      <c r="Y80" s="172"/>
    </row>
    <row r="81" spans="1:25" s="6" customFormat="1" ht="12.75">
      <c r="A81" s="23">
        <v>67</v>
      </c>
      <c r="C81" s="58" t="s">
        <v>40</v>
      </c>
      <c r="D81" s="23"/>
      <c r="E81" s="272">
        <f>SUM(E77:E79)</f>
        <v>62761180.939999998</v>
      </c>
      <c r="F81" s="272">
        <f>SUM(F77:F79)</f>
        <v>0</v>
      </c>
      <c r="G81" s="272">
        <f>SUM(G77:G79)</f>
        <v>62761180.939999998</v>
      </c>
      <c r="H81" s="272">
        <f>SUM(H77:H79)</f>
        <v>0</v>
      </c>
      <c r="I81" s="272">
        <f>SUM(I77:I79)</f>
        <v>62761180.939999998</v>
      </c>
      <c r="J81" s="188" t="s">
        <v>24</v>
      </c>
      <c r="K81" s="272">
        <f>SUM(K77:K79)</f>
        <v>62761180.939999998</v>
      </c>
      <c r="L81" s="188"/>
      <c r="M81" s="188"/>
      <c r="N81" s="272">
        <f t="shared" si="42" ref="N81:W81">SUM(N77:N79)</f>
        <v>12128201.440000001</v>
      </c>
      <c r="O81" s="272">
        <f t="shared" si="42"/>
        <v>14888.709999999999</v>
      </c>
      <c r="P81" s="272">
        <f t="shared" si="43" ref="P81">SUM(P77:P79)</f>
        <v>0</v>
      </c>
      <c r="Q81" s="272">
        <f t="shared" si="42"/>
        <v>12143090.15</v>
      </c>
      <c r="R81" s="272">
        <f t="shared" si="42"/>
        <v>8076114.4000000004</v>
      </c>
      <c r="S81" s="272">
        <f t="shared" si="44" ref="S81">SUM(S77:S79)</f>
        <v>0</v>
      </c>
      <c r="T81" s="272">
        <f t="shared" si="42"/>
        <v>8076114.4000000004</v>
      </c>
      <c r="U81" s="272">
        <f t="shared" si="42"/>
        <v>42267972.010000005</v>
      </c>
      <c r="V81" s="272">
        <f t="shared" si="45" ref="V81">SUM(V77:V79)</f>
        <v>274004.38</v>
      </c>
      <c r="W81" s="272">
        <f t="shared" si="42"/>
        <v>62761180.940000005</v>
      </c>
      <c r="X81" s="6" t="b">
        <f>+K81=W81</f>
        <v>1</v>
      </c>
      <c r="Y81" s="172">
        <f>+K81-W81</f>
        <v>0</v>
      </c>
    </row>
    <row r="82" spans="1:25" s="6" customFormat="1" ht="12.75">
      <c r="A82" s="23">
        <v>68</v>
      </c>
      <c r="D82" s="23"/>
      <c r="E82" s="272"/>
      <c r="F82" s="272"/>
      <c r="G82" s="272"/>
      <c r="H82" s="272"/>
      <c r="I82" s="272"/>
      <c r="J82" s="177"/>
      <c r="K82" s="272"/>
      <c r="L82" s="23"/>
      <c r="M82" s="23"/>
      <c r="N82" s="272"/>
      <c r="O82" s="272"/>
      <c r="P82" s="272"/>
      <c r="Q82" s="272"/>
      <c r="R82" s="272"/>
      <c r="S82" s="272"/>
      <c r="T82" s="272"/>
      <c r="U82" s="272"/>
      <c r="V82" s="272"/>
      <c r="W82" s="272"/>
      <c r="Y82" s="172"/>
    </row>
    <row r="83" spans="1:25" ht="12.75">
      <c r="A83" s="23">
        <v>69</v>
      </c>
      <c r="B83" s="10" t="s">
        <v>139</v>
      </c>
      <c r="C83" s="6"/>
      <c r="D83" s="53" t="s">
        <v>158</v>
      </c>
      <c r="E83" s="272">
        <f>+E81+E75</f>
        <v>288255320.73000002</v>
      </c>
      <c r="F83" s="272">
        <f>+F81+F75</f>
        <v>0</v>
      </c>
      <c r="G83" s="272">
        <f>+G81+G75</f>
        <v>288255320.73000002</v>
      </c>
      <c r="H83" s="272">
        <f>+H81+H75</f>
        <v>-13201371.700000001</v>
      </c>
      <c r="I83" s="272">
        <f>+I81+I75</f>
        <v>275053949.02999997</v>
      </c>
      <c r="J83" s="188"/>
      <c r="K83" s="272">
        <f>+K81+K75</f>
        <v>275053949.02999997</v>
      </c>
      <c r="L83" s="188"/>
      <c r="M83" s="188"/>
      <c r="N83" s="272">
        <f t="shared" si="46" ref="N83:W83">+N81+N75</f>
        <v>65012513.600000009</v>
      </c>
      <c r="O83" s="272">
        <f t="shared" si="47" ref="O83:Q83">+O81+O75</f>
        <v>2014380.0800000001</v>
      </c>
      <c r="P83" s="272">
        <f t="shared" si="48" ref="P83">+P81+P75</f>
        <v>0</v>
      </c>
      <c r="Q83" s="272">
        <f t="shared" si="47"/>
        <v>67026893.680000007</v>
      </c>
      <c r="R83" s="272">
        <f t="shared" si="46"/>
        <v>82017175.030000016</v>
      </c>
      <c r="S83" s="272">
        <f t="shared" si="46"/>
        <v>0</v>
      </c>
      <c r="T83" s="272">
        <f t="shared" si="49" ref="T83">+T81+T75</f>
        <v>82017175.030000016</v>
      </c>
      <c r="U83" s="272">
        <f t="shared" si="46"/>
        <v>83624686.99000001</v>
      </c>
      <c r="V83" s="272">
        <f t="shared" si="50" ref="V83">+V81+V75</f>
        <v>42385193.330000006</v>
      </c>
      <c r="W83" s="272">
        <f t="shared" si="46"/>
        <v>275053949.03000009</v>
      </c>
      <c r="X83" s="6" t="b">
        <f>+K83=W83</f>
        <v>1</v>
      </c>
      <c r="Y83" s="172">
        <f>+K83-W83</f>
        <v>0</v>
      </c>
    </row>
    <row r="84" spans="1:25" s="6" customFormat="1" ht="12.75">
      <c r="A84" s="23">
        <v>70</v>
      </c>
      <c r="B84" s="10" t="s">
        <v>100</v>
      </c>
      <c r="D84" s="53" t="s">
        <v>160</v>
      </c>
      <c r="E84" s="272">
        <f>+'II-B-3'!E22-'II-B-5'!E83</f>
        <v>703642105.88999999</v>
      </c>
      <c r="F84" s="272">
        <f>+'II-B-3'!F22-'II-B-5'!F83</f>
        <v>0</v>
      </c>
      <c r="G84" s="272">
        <f>+'II-B-3'!G22-'II-B-5'!G83</f>
        <v>703642105.88999999</v>
      </c>
      <c r="H84" s="272">
        <f>+'II-B-3'!H22-'II-B-5'!H83</f>
        <v>-21041172.709999993</v>
      </c>
      <c r="I84" s="272">
        <f>+'II-B-3'!I22-'II-B-5'!I83</f>
        <v>682600933.17999995</v>
      </c>
      <c r="J84" s="188"/>
      <c r="K84" s="272">
        <f>ROUND(+'II-B-3'!K22-'II-B-5'!K83,2)</f>
        <v>682600933.17999995</v>
      </c>
      <c r="L84" s="188"/>
      <c r="M84" s="188"/>
      <c r="N84" s="272">
        <f>ROUND(+'II-B-3'!N22-'II-B-5'!N83,2)</f>
        <v>243261213.11000001</v>
      </c>
      <c r="O84" s="272">
        <f>ROUND(+'II-B-3'!O22-'II-B-5'!O83,2)</f>
        <v>3825694.3199999998</v>
      </c>
      <c r="P84" s="272">
        <f>ROUND(+'II-B-3'!P22-'II-B-5'!P83,2)</f>
        <v>0</v>
      </c>
      <c r="Q84" s="272">
        <f>ROUND(+'II-B-3'!Q22-'II-B-5'!Q83,2)</f>
        <v>247086907.43000001</v>
      </c>
      <c r="R84" s="272">
        <f>ROUND(+'II-B-3'!R22-'II-B-5'!R83,2)</f>
        <v>309452773.04000002</v>
      </c>
      <c r="S84" s="272">
        <f>ROUND(+'II-B-3'!S22-'II-B-5'!S83,2)</f>
        <v>0</v>
      </c>
      <c r="T84" s="272">
        <f>ROUND(+'II-B-3'!T22-'II-B-5'!T83,2)</f>
        <v>309452773.04000002</v>
      </c>
      <c r="U84" s="272">
        <f>ROUND(+'II-B-3'!U22-'II-B-5'!U83,2)</f>
        <v>66790795.659999996</v>
      </c>
      <c r="V84" s="272">
        <f>ROUND(+'II-B-3'!V22-'II-B-5'!V83,2)</f>
        <v>59270457.049999997</v>
      </c>
      <c r="W84" s="272">
        <f>ROUND(+'II-B-3'!W22-'II-B-5'!W83,2)</f>
        <v>682600933.17999995</v>
      </c>
      <c r="X84" s="6" t="b">
        <f>+K84=W84</f>
        <v>1</v>
      </c>
      <c r="Y84" s="172">
        <f>+K84-W84</f>
        <v>0</v>
      </c>
    </row>
    <row r="85" spans="1:25" s="6" customFormat="1" ht="12.75">
      <c r="A85" s="23">
        <v>71</v>
      </c>
      <c r="C85" s="60"/>
      <c r="D85" s="23"/>
      <c r="E85" s="272"/>
      <c r="F85" s="272"/>
      <c r="G85" s="272"/>
      <c r="H85" s="272"/>
      <c r="I85" s="272"/>
      <c r="J85" s="188"/>
      <c r="K85" s="272"/>
      <c r="L85" s="188"/>
      <c r="M85" s="188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Y85" s="172"/>
    </row>
    <row r="86" spans="1:25" s="10" customFormat="1" ht="12.75">
      <c r="A86" s="23">
        <v>72</v>
      </c>
      <c r="B86" s="10" t="s">
        <v>132</v>
      </c>
      <c r="D86" s="53" t="s">
        <v>161</v>
      </c>
      <c r="E86" s="272">
        <f>+E60+E84</f>
        <v>21107916886.770004</v>
      </c>
      <c r="F86" s="272">
        <f t="shared" si="51" ref="F86:K86">+F60+F84</f>
        <v>3146147.4399999999</v>
      </c>
      <c r="G86" s="272">
        <f t="shared" si="51"/>
        <v>21111063034.209999</v>
      </c>
      <c r="H86" s="272">
        <f t="shared" si="51"/>
        <v>-25692746.739999995</v>
      </c>
      <c r="I86" s="272">
        <f t="shared" si="51"/>
        <v>21085370287.470005</v>
      </c>
      <c r="J86" s="188"/>
      <c r="K86" s="272">
        <f t="shared" si="51"/>
        <v>21085370287.470005</v>
      </c>
      <c r="L86" s="188"/>
      <c r="M86" s="188"/>
      <c r="N86" s="272">
        <f t="shared" si="52" ref="N86:W86">+N60+N84</f>
        <v>9078657048.3600006</v>
      </c>
      <c r="O86" s="272">
        <f t="shared" si="53" ref="O86:Q86">+O60+O84</f>
        <v>1413505644.1699998</v>
      </c>
      <c r="P86" s="272">
        <f t="shared" si="54" ref="P86">+P60+P84</f>
        <v>11582390.280000001</v>
      </c>
      <c r="Q86" s="272">
        <f t="shared" si="53"/>
        <v>10503745082.809998</v>
      </c>
      <c r="R86" s="272">
        <f t="shared" si="52"/>
        <v>9845662713.4499989</v>
      </c>
      <c r="S86" s="272">
        <f t="shared" si="52"/>
        <v>115590307.41</v>
      </c>
      <c r="T86" s="272">
        <f t="shared" si="55" ref="T86">+T60+T84</f>
        <v>9961253020.8600025</v>
      </c>
      <c r="U86" s="272">
        <f t="shared" si="52"/>
        <v>334838711.58000004</v>
      </c>
      <c r="V86" s="272">
        <f t="shared" si="56" ref="V86">+V60+V84</f>
        <v>285533472.22000003</v>
      </c>
      <c r="W86" s="272">
        <f t="shared" si="52"/>
        <v>21085370287.470005</v>
      </c>
      <c r="X86" s="6" t="b">
        <f>+K86=W86</f>
        <v>1</v>
      </c>
      <c r="Y86" s="172">
        <f>+K86-W86</f>
        <v>0</v>
      </c>
    </row>
    <row r="87" spans="1:25" s="10" customFormat="1" ht="12.75">
      <c r="A87" s="23">
        <v>73</v>
      </c>
      <c r="D87" s="53"/>
      <c r="E87" s="272"/>
      <c r="F87" s="272"/>
      <c r="G87" s="272"/>
      <c r="H87" s="272"/>
      <c r="I87" s="272"/>
      <c r="J87" s="188"/>
      <c r="K87" s="272"/>
      <c r="L87" s="188"/>
      <c r="M87" s="188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Y87" s="172"/>
    </row>
    <row r="88" spans="1:25" s="10" customFormat="1" ht="12.75">
      <c r="A88" s="23">
        <v>74</v>
      </c>
      <c r="B88" s="10" t="s">
        <v>133</v>
      </c>
      <c r="D88" s="53" t="s">
        <v>161</v>
      </c>
      <c r="E88" s="272">
        <f>+E61+E84</f>
        <v>20494334481.700005</v>
      </c>
      <c r="F88" s="272">
        <f t="shared" si="57" ref="F88:K88">+F61+F84</f>
        <v>3146147.4399999999</v>
      </c>
      <c r="G88" s="272">
        <f t="shared" si="57"/>
        <v>20497480629.139999</v>
      </c>
      <c r="H88" s="272">
        <f t="shared" si="57"/>
        <v>-25692746.739999995</v>
      </c>
      <c r="I88" s="272">
        <f t="shared" si="57"/>
        <v>20471787882.400005</v>
      </c>
      <c r="J88" s="188"/>
      <c r="K88" s="272">
        <f t="shared" si="57"/>
        <v>20471787882.400005</v>
      </c>
      <c r="L88" s="188"/>
      <c r="M88" s="188"/>
      <c r="N88" s="272">
        <f t="shared" si="58" ref="N88:W88">+N61+N84</f>
        <v>8930688473.6800003</v>
      </c>
      <c r="O88" s="272">
        <f t="shared" si="59" ref="O88:Q88">+O61+O84</f>
        <v>1413505644.1699998</v>
      </c>
      <c r="P88" s="272">
        <f t="shared" si="60" ref="P88">+P61+P84</f>
        <v>11582390.280000001</v>
      </c>
      <c r="Q88" s="272">
        <f t="shared" si="59"/>
        <v>10355776508.129999</v>
      </c>
      <c r="R88" s="272">
        <f t="shared" si="58"/>
        <v>9636452188.4599991</v>
      </c>
      <c r="S88" s="272">
        <f t="shared" si="58"/>
        <v>115590307.41</v>
      </c>
      <c r="T88" s="272">
        <f t="shared" si="61" ref="T88">+T61+T84</f>
        <v>9752042495.8700027</v>
      </c>
      <c r="U88" s="272">
        <f t="shared" si="58"/>
        <v>304698421.35000002</v>
      </c>
      <c r="V88" s="272">
        <f t="shared" si="62" ref="V88">+V61+V84</f>
        <v>59270457.049999997</v>
      </c>
      <c r="W88" s="272">
        <f t="shared" si="58"/>
        <v>20471787882.400005</v>
      </c>
      <c r="X88" s="6" t="b">
        <f>+K88=W88</f>
        <v>1</v>
      </c>
      <c r="Y88" s="172">
        <f>+K88-W88</f>
        <v>0</v>
      </c>
    </row>
    <row r="89" spans="4:25" s="6" customFormat="1" ht="12.75">
      <c r="D89" s="23"/>
      <c r="E89" s="188"/>
      <c r="F89" s="188"/>
      <c r="G89" s="188"/>
      <c r="H89" s="188"/>
      <c r="I89" s="188"/>
      <c r="J89" s="188"/>
      <c r="K89" s="188"/>
      <c r="L89" s="188"/>
      <c r="M89" s="188"/>
      <c r="N89" s="188"/>
      <c r="O89" s="188"/>
      <c r="P89" s="188"/>
      <c r="Q89" s="188"/>
      <c r="R89" s="188"/>
      <c r="S89" s="188"/>
      <c r="T89" s="188"/>
      <c r="U89" s="188"/>
      <c r="V89" s="188"/>
      <c r="W89" s="188"/>
      <c r="Y89" s="172"/>
    </row>
    <row r="90" spans="11:23" ht="12.75">
      <c r="K90" s="6"/>
      <c r="L90" s="59"/>
      <c r="M90" s="23"/>
      <c r="N90" s="6"/>
      <c r="O90" s="6"/>
      <c r="P90" s="6"/>
      <c r="Q90" s="6"/>
      <c r="R90" s="6"/>
      <c r="S90" s="6"/>
      <c r="T90" s="6"/>
      <c r="U90" s="6"/>
      <c r="V90" s="6"/>
      <c r="W90" s="6"/>
    </row>
    <row r="91" spans="11:23" ht="12.75">
      <c r="K91" s="6"/>
      <c r="L91" s="59"/>
      <c r="M91" s="23"/>
      <c r="N91" s="6"/>
      <c r="O91" s="6"/>
      <c r="P91" s="6"/>
      <c r="Q91" s="6"/>
      <c r="R91" s="6"/>
      <c r="S91" s="6"/>
      <c r="T91" s="6"/>
      <c r="U91" s="6"/>
      <c r="V91" s="6"/>
      <c r="W91" s="6"/>
    </row>
  </sheetData>
  <printOptions horizontalCentered="1"/>
  <pageMargins left="0.5" right="0.5" top="2.5" bottom="0.5" header="1.5" footer="0.5"/>
  <pageSetup fitToHeight="0" fitToWidth="2" orientation="landscape" pageOrder="overThenDown" scale="50" r:id="rId1"/>
  <headerFooter alignWithMargins="0">
    <oddHeader>&amp;C&amp;B
2022 RATE CASE
ONCOR ELECTRIC DELIVERY COMPANY LLC
II-B-5  ACCUMULATED DEPRECIATION
TEST YEAR ENDING DECEMBER 31, 2021
SPONSOR: W. ALAN LEDBETTER &amp;&amp; D. WATSON&amp;R&amp;"Arial,Bold"Schedule &amp;A
Page &amp;P of &amp;N</oddHeader>
  </headerFooter>
  <rowBreaks count="1" manualBreakCount="1">
    <brk id="62" max="18" man="1"/>
  </rowBreaks>
  <colBreaks count="1" manualBreakCount="1">
    <brk id="10" min="14" max="87" man="1"/>
  </col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5">
    <tabColor rgb="FFFF0000"/>
  </sheetPr>
  <dimension ref="A1:X157"/>
  <sheetViews>
    <sheetView zoomScale="85" zoomScaleNormal="85" workbookViewId="0" topLeftCell="A1">
      <pane xSplit="4" ySplit="13" topLeftCell="E14" activePane="bottomRight" state="frozen"/>
      <selection pane="topLeft" activeCell="E14" sqref="E14"/>
      <selection pane="bottomLeft" activeCell="E14" sqref="E14"/>
      <selection pane="topRight" activeCell="E14" sqref="E14"/>
      <selection pane="bottomRight" activeCell="I46" sqref="I46"/>
    </sheetView>
  </sheetViews>
  <sheetFormatPr defaultColWidth="9.14428571428571" defaultRowHeight="12.75"/>
  <cols>
    <col min="1" max="1" width="5.71428571428571" style="76" customWidth="1"/>
    <col min="2" max="2" width="8.71428571428571" style="78" customWidth="1"/>
    <col min="3" max="3" width="36.5714285714286" style="78" customWidth="1"/>
    <col min="4" max="4" width="10.5714285714286" style="78" customWidth="1"/>
    <col min="5" max="5" width="12.7142857142857" style="78" customWidth="1"/>
    <col min="6" max="6" width="17.1428571428571" style="78" bestFit="1" customWidth="1"/>
    <col min="7" max="7" width="12.7142857142857" style="78" customWidth="1"/>
    <col min="8" max="8" width="13.2857142857143" style="78" bestFit="1" customWidth="1"/>
    <col min="9" max="9" width="12.7142857142857" style="78" customWidth="1"/>
    <col min="10" max="10" width="10.2857142857143" style="78" bestFit="1" customWidth="1"/>
    <col min="11" max="11" width="12.5714285714286" style="82" bestFit="1" customWidth="1"/>
    <col min="12" max="12" width="3.28571428571429" style="78" bestFit="1" customWidth="1"/>
    <col min="13" max="13" width="6.85714285714286" style="82" bestFit="1" customWidth="1"/>
    <col min="14" max="23" width="12.7142857142857" style="78" customWidth="1"/>
    <col min="24" max="16384" width="9.14285714285714" style="78"/>
  </cols>
  <sheetData>
    <row r="1" spans="1:1" ht="12.75">
      <c r="A1" s="80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7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Sponsors'!$A$18,'[4]Schedule Sponsors'!$B$18)</f>
        <v>II-B-6   PLANT HELD FOR FUTURE USE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Sponsors'!$D$18)</f>
        <v>SPONSOR: W. ALAN LEDBETTER &amp;&amp; W. SPEED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2:23" ht="12.75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2:23" s="76" customFormat="1" ht="12.75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2" s="80" customFormat="1" ht="15" customHeight="1">
      <c r="A15" s="77">
        <v>1</v>
      </c>
      <c r="B15" s="85" t="s">
        <v>101</v>
      </c>
      <c r="D15" s="88" t="s">
        <v>162</v>
      </c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4" s="76" customFormat="1" ht="15" customHeight="1">
      <c r="A16" s="77">
        <v>2</v>
      </c>
      <c r="B16" s="76" t="s">
        <v>102</v>
      </c>
      <c r="C16" s="76" t="s">
        <v>13</v>
      </c>
      <c r="E16" s="226">
        <v>26700685.460000001</v>
      </c>
      <c r="F16" s="185">
        <v>0</v>
      </c>
      <c r="G16" s="185">
        <f>+E16+F16</f>
        <v>26700685.460000001</v>
      </c>
      <c r="H16" s="227">
        <v>-3485637.96</v>
      </c>
      <c r="I16" s="185">
        <f>+G16+H16</f>
        <v>23215047.5</v>
      </c>
      <c r="J16" s="175">
        <v>1</v>
      </c>
      <c r="K16" s="185">
        <f>+I16*J16</f>
        <v>23215047.5</v>
      </c>
      <c r="L16" s="185"/>
      <c r="M16" s="185"/>
      <c r="N16" s="228">
        <v>21469068.16</v>
      </c>
      <c r="O16" s="228">
        <v>0</v>
      </c>
      <c r="P16" s="228">
        <v>0</v>
      </c>
      <c r="Q16" s="228">
        <f>SUM(N16:P16)</f>
        <v>21469068.16</v>
      </c>
      <c r="R16" s="185">
        <v>1745979.3400000001</v>
      </c>
      <c r="S16" s="185">
        <v>0</v>
      </c>
      <c r="T16" s="185">
        <f>SUM(R16:S16)</f>
        <v>1745979.3400000001</v>
      </c>
      <c r="U16" s="185">
        <v>0</v>
      </c>
      <c r="V16" s="185">
        <v>0</v>
      </c>
      <c r="W16" s="185">
        <f>+Q16+T16+U16+V16</f>
        <v>23215047.5</v>
      </c>
      <c r="X16" s="76" t="b">
        <f>+W16=K16</f>
        <v>1</v>
      </c>
    </row>
    <row r="17" spans="1:23" s="76" customFormat="1" ht="15" customHeight="1">
      <c r="A17" s="77">
        <v>3</v>
      </c>
      <c r="D17" s="88"/>
      <c r="E17" s="163"/>
      <c r="F17" s="160"/>
      <c r="G17" s="160"/>
      <c r="H17" s="160"/>
      <c r="I17" s="160"/>
      <c r="J17" s="39"/>
      <c r="K17" s="164"/>
      <c r="L17" s="39"/>
      <c r="M17" s="77"/>
      <c r="N17" s="165"/>
      <c r="O17" s="165"/>
      <c r="P17" s="165"/>
      <c r="Q17" s="165"/>
      <c r="R17" s="165"/>
      <c r="S17" s="165"/>
      <c r="T17" s="165"/>
      <c r="U17" s="165"/>
      <c r="V17" s="165"/>
      <c r="W17" s="165"/>
    </row>
    <row r="18" spans="1:24" s="80" customFormat="1" ht="15" customHeight="1">
      <c r="A18" s="77">
        <v>4</v>
      </c>
      <c r="C18" s="90" t="s">
        <v>40</v>
      </c>
      <c r="D18" s="87"/>
      <c r="E18" s="189">
        <f>+E16</f>
        <v>26700685.460000001</v>
      </c>
      <c r="F18" s="189">
        <f>+F16</f>
        <v>0</v>
      </c>
      <c r="G18" s="189">
        <f>+G16</f>
        <v>26700685.460000001</v>
      </c>
      <c r="H18" s="189">
        <f>+H16</f>
        <v>-3485637.96</v>
      </c>
      <c r="I18" s="189">
        <f>+I16</f>
        <v>23215047.5</v>
      </c>
      <c r="J18" s="189"/>
      <c r="K18" s="189">
        <f>+K16</f>
        <v>23215047.5</v>
      </c>
      <c r="L18" s="189"/>
      <c r="M18" s="189"/>
      <c r="N18" s="189">
        <f t="shared" si="0" ref="N18:W18">+N16</f>
        <v>21469068.16</v>
      </c>
      <c r="O18" s="189">
        <f t="shared" si="0"/>
        <v>0</v>
      </c>
      <c r="P18" s="189">
        <f t="shared" si="1" ref="P18">+P16</f>
        <v>0</v>
      </c>
      <c r="Q18" s="189">
        <f t="shared" si="0"/>
        <v>21469068.16</v>
      </c>
      <c r="R18" s="189">
        <f t="shared" si="0"/>
        <v>1745979.3400000001</v>
      </c>
      <c r="S18" s="189">
        <f t="shared" si="0"/>
        <v>0</v>
      </c>
      <c r="T18" s="189">
        <f t="shared" si="0"/>
        <v>1745979.3400000001</v>
      </c>
      <c r="U18" s="189">
        <f t="shared" si="0"/>
        <v>0</v>
      </c>
      <c r="V18" s="189">
        <f t="shared" si="0"/>
        <v>0</v>
      </c>
      <c r="W18" s="189">
        <f t="shared" si="0"/>
        <v>23215047.5</v>
      </c>
      <c r="X18" s="76" t="b">
        <f>+W18=K18</f>
        <v>1</v>
      </c>
    </row>
    <row r="19" spans="1:23" s="76" customFormat="1" ht="15" customHeight="1">
      <c r="A19" s="77">
        <v>5</v>
      </c>
      <c r="D19" s="39"/>
      <c r="E19" s="189"/>
      <c r="F19" s="189"/>
      <c r="G19" s="189"/>
      <c r="H19" s="189"/>
      <c r="I19" s="189"/>
      <c r="J19" s="189"/>
      <c r="K19" s="189"/>
      <c r="L19" s="189"/>
      <c r="M19" s="189"/>
      <c r="N19" s="189"/>
      <c r="O19" s="189"/>
      <c r="P19" s="189"/>
      <c r="Q19" s="189"/>
      <c r="R19" s="189"/>
      <c r="S19" s="189"/>
      <c r="T19" s="189"/>
      <c r="U19" s="189"/>
      <c r="V19" s="189"/>
      <c r="W19" s="189"/>
    </row>
    <row r="20" spans="1:24" s="76" customFormat="1" ht="15" customHeight="1">
      <c r="A20" s="77">
        <v>6</v>
      </c>
      <c r="B20" s="80" t="s">
        <v>14</v>
      </c>
      <c r="D20" s="86" t="s">
        <v>162</v>
      </c>
      <c r="E20" s="189">
        <f>+E18</f>
        <v>26700685.460000001</v>
      </c>
      <c r="F20" s="189">
        <f>+F18</f>
        <v>0</v>
      </c>
      <c r="G20" s="189">
        <f>+G18</f>
        <v>26700685.460000001</v>
      </c>
      <c r="H20" s="189">
        <f>+H18</f>
        <v>-3485637.96</v>
      </c>
      <c r="I20" s="189">
        <f>+I18</f>
        <v>23215047.5</v>
      </c>
      <c r="J20" s="189"/>
      <c r="K20" s="189">
        <f>+K18</f>
        <v>23215047.5</v>
      </c>
      <c r="L20" s="189"/>
      <c r="M20" s="189"/>
      <c r="N20" s="189">
        <f t="shared" si="2" ref="N20:W20">+N18</f>
        <v>21469068.16</v>
      </c>
      <c r="O20" s="189">
        <f t="shared" si="2"/>
        <v>0</v>
      </c>
      <c r="P20" s="189">
        <f t="shared" si="3" ref="P20">+P18</f>
        <v>0</v>
      </c>
      <c r="Q20" s="189">
        <f t="shared" si="2"/>
        <v>21469068.16</v>
      </c>
      <c r="R20" s="189">
        <f t="shared" si="2"/>
        <v>1745979.3400000001</v>
      </c>
      <c r="S20" s="189">
        <f t="shared" si="2"/>
        <v>0</v>
      </c>
      <c r="T20" s="189">
        <f t="shared" si="2"/>
        <v>1745979.3400000001</v>
      </c>
      <c r="U20" s="189">
        <f t="shared" si="2"/>
        <v>0</v>
      </c>
      <c r="V20" s="189">
        <f t="shared" si="2"/>
        <v>0</v>
      </c>
      <c r="W20" s="189">
        <f t="shared" si="2"/>
        <v>23215047.5</v>
      </c>
      <c r="X20" s="76" t="b">
        <f>+W20=K20</f>
        <v>1</v>
      </c>
    </row>
    <row r="21" spans="3:23" s="80" customFormat="1" ht="12.75">
      <c r="C21" s="90"/>
      <c r="D21" s="87"/>
      <c r="E21" s="87"/>
      <c r="F21" s="87"/>
      <c r="G21" s="87"/>
      <c r="H21" s="87"/>
      <c r="I21" s="87"/>
      <c r="J21" s="87"/>
      <c r="K21" s="88"/>
      <c r="L21" s="87"/>
      <c r="M21" s="88"/>
      <c r="N21" s="87"/>
      <c r="O21" s="87"/>
      <c r="P21" s="87"/>
      <c r="Q21" s="87"/>
      <c r="R21" s="87"/>
      <c r="S21" s="87"/>
      <c r="T21" s="87"/>
      <c r="U21" s="87"/>
      <c r="V21" s="87"/>
      <c r="W21" s="87"/>
    </row>
    <row r="22" spans="3:22" s="76" customFormat="1" ht="12.75">
      <c r="C22" s="91"/>
      <c r="D22" s="39"/>
      <c r="E22" s="39"/>
      <c r="F22" s="39"/>
      <c r="G22" s="39"/>
      <c r="H22" s="39"/>
      <c r="I22" s="39"/>
      <c r="J22" s="39"/>
      <c r="K22" s="77"/>
      <c r="L22" s="39"/>
      <c r="M22" s="77"/>
      <c r="N22" s="39"/>
      <c r="O22" s="39"/>
      <c r="P22" s="39"/>
      <c r="Q22" s="39"/>
      <c r="R22" s="39"/>
      <c r="S22" s="39"/>
      <c r="T22" s="39"/>
      <c r="U22" s="39"/>
      <c r="V22" s="39"/>
    </row>
    <row r="23" spans="4:23" s="76" customFormat="1" ht="12.75">
      <c r="D23" s="39"/>
      <c r="E23" s="39"/>
      <c r="F23" s="39"/>
      <c r="G23" s="39"/>
      <c r="H23" s="39"/>
      <c r="I23" s="39"/>
      <c r="J23" s="39"/>
      <c r="K23" s="77"/>
      <c r="L23" s="39"/>
      <c r="M23" s="77"/>
      <c r="N23" s="39"/>
      <c r="O23" s="39"/>
      <c r="P23" s="39"/>
      <c r="Q23" s="39"/>
      <c r="R23" s="92"/>
      <c r="S23" s="92"/>
      <c r="T23" s="92"/>
      <c r="U23" s="92"/>
      <c r="V23" s="92"/>
      <c r="W23" s="92"/>
    </row>
    <row r="24" spans="4:23" s="76" customFormat="1" ht="12.75">
      <c r="D24" s="39"/>
      <c r="E24" s="39"/>
      <c r="F24" s="39"/>
      <c r="G24" s="39"/>
      <c r="H24" s="39"/>
      <c r="I24" s="39"/>
      <c r="J24" s="39"/>
      <c r="K24" s="77"/>
      <c r="L24" s="39"/>
      <c r="M24" s="77"/>
      <c r="N24" s="39"/>
      <c r="O24" s="39"/>
      <c r="P24" s="39"/>
      <c r="Q24" s="39"/>
      <c r="R24" s="92"/>
      <c r="S24" s="92"/>
      <c r="T24" s="92"/>
      <c r="U24" s="92"/>
      <c r="V24" s="92"/>
      <c r="W24" s="92"/>
    </row>
    <row r="25" spans="3:23" s="80" customFormat="1" ht="12.75">
      <c r="C25" s="90"/>
      <c r="D25" s="87"/>
      <c r="E25" s="87"/>
      <c r="F25" s="87"/>
      <c r="G25" s="87"/>
      <c r="H25" s="87"/>
      <c r="I25" s="87"/>
      <c r="J25" s="87"/>
      <c r="K25" s="88"/>
      <c r="L25" s="87"/>
      <c r="M25" s="88"/>
      <c r="N25" s="87"/>
      <c r="O25" s="87"/>
      <c r="P25" s="87"/>
      <c r="Q25" s="87"/>
      <c r="R25" s="87"/>
      <c r="S25" s="87"/>
      <c r="T25" s="87"/>
      <c r="U25" s="87"/>
      <c r="V25" s="87"/>
      <c r="W25" s="87"/>
    </row>
    <row r="26" spans="4:22" s="76" customFormat="1" ht="13.5" customHeight="1">
      <c r="D26" s="39"/>
      <c r="E26" s="39"/>
      <c r="F26" s="39"/>
      <c r="G26" s="39"/>
      <c r="H26" s="39"/>
      <c r="I26" s="39"/>
      <c r="J26" s="39"/>
      <c r="K26" s="77"/>
      <c r="L26" s="39"/>
      <c r="M26" s="77"/>
      <c r="N26" s="39"/>
      <c r="O26" s="39"/>
      <c r="P26" s="39"/>
      <c r="Q26" s="39"/>
      <c r="R26" s="39"/>
      <c r="S26" s="39"/>
      <c r="T26" s="39"/>
      <c r="U26" s="39"/>
      <c r="V26" s="39"/>
    </row>
    <row r="27" spans="2:22" s="80" customFormat="1" ht="12.75" hidden="1">
      <c r="B27" s="93"/>
      <c r="D27" s="86"/>
      <c r="E27" s="87"/>
      <c r="F27" s="87"/>
      <c r="G27" s="87"/>
      <c r="H27" s="87"/>
      <c r="I27" s="87"/>
      <c r="J27" s="87"/>
      <c r="K27" s="88"/>
      <c r="L27" s="87"/>
      <c r="M27" s="88"/>
      <c r="N27" s="87"/>
      <c r="O27" s="87"/>
      <c r="P27" s="87"/>
      <c r="Q27" s="87"/>
      <c r="R27" s="87"/>
      <c r="S27" s="87"/>
      <c r="T27" s="87"/>
      <c r="U27" s="87"/>
      <c r="V27" s="87"/>
    </row>
    <row r="28" spans="2:23" s="76" customFormat="1" ht="12.75" hidden="1">
      <c r="B28" s="93"/>
      <c r="D28" s="39"/>
      <c r="E28" s="39"/>
      <c r="F28" s="39"/>
      <c r="G28" s="39"/>
      <c r="H28" s="39"/>
      <c r="I28" s="39"/>
      <c r="J28" s="39"/>
      <c r="K28" s="77"/>
      <c r="L28" s="39"/>
      <c r="M28" s="81"/>
      <c r="N28" s="39"/>
      <c r="O28" s="39"/>
      <c r="P28" s="39"/>
      <c r="Q28" s="39"/>
      <c r="R28" s="92"/>
      <c r="S28" s="92"/>
      <c r="T28" s="92"/>
      <c r="U28" s="92"/>
      <c r="V28" s="92"/>
      <c r="W28" s="92"/>
    </row>
    <row r="29" spans="2:22" s="76" customFormat="1" ht="12.75" hidden="1">
      <c r="B29" s="93"/>
      <c r="D29" s="39"/>
      <c r="E29" s="39"/>
      <c r="F29" s="39"/>
      <c r="G29" s="39"/>
      <c r="H29" s="39"/>
      <c r="I29" s="39"/>
      <c r="J29" s="39"/>
      <c r="K29" s="77"/>
      <c r="L29" s="39"/>
      <c r="M29" s="77"/>
      <c r="N29" s="39"/>
      <c r="O29" s="39"/>
      <c r="P29" s="39"/>
      <c r="Q29" s="39"/>
      <c r="R29" s="39"/>
      <c r="S29" s="39"/>
      <c r="T29" s="39"/>
      <c r="U29" s="39"/>
      <c r="V29" s="39"/>
    </row>
    <row r="30" spans="3:23" s="76" customFormat="1" ht="12.75" hidden="1">
      <c r="C30" s="94"/>
      <c r="D30" s="39"/>
      <c r="E30" s="39"/>
      <c r="F30" s="39"/>
      <c r="G30" s="39"/>
      <c r="H30" s="39"/>
      <c r="I30" s="39"/>
      <c r="J30" s="39"/>
      <c r="K30" s="77"/>
      <c r="L30" s="39"/>
      <c r="M30" s="81"/>
      <c r="N30" s="39"/>
      <c r="O30" s="39"/>
      <c r="P30" s="39"/>
      <c r="Q30" s="39"/>
      <c r="R30" s="92"/>
      <c r="S30" s="92"/>
      <c r="T30" s="92"/>
      <c r="U30" s="92"/>
      <c r="V30" s="92"/>
      <c r="W30" s="92"/>
    </row>
    <row r="31" spans="3:23" s="76" customFormat="1" ht="12.75" hidden="1">
      <c r="C31" s="94"/>
      <c r="D31" s="39"/>
      <c r="E31" s="39"/>
      <c r="F31" s="39"/>
      <c r="G31" s="39"/>
      <c r="H31" s="39"/>
      <c r="I31" s="39"/>
      <c r="J31" s="39"/>
      <c r="K31" s="77"/>
      <c r="L31" s="39"/>
      <c r="M31" s="81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3:23" s="76" customFormat="1" ht="12.75" hidden="1">
      <c r="C32" s="94"/>
      <c r="D32" s="39"/>
      <c r="E32" s="39"/>
      <c r="F32" s="39"/>
      <c r="G32" s="39"/>
      <c r="H32" s="39"/>
      <c r="I32" s="39"/>
      <c r="J32" s="39"/>
      <c r="K32" s="77"/>
      <c r="L32" s="39"/>
      <c r="M32" s="77"/>
      <c r="N32" s="39"/>
      <c r="O32" s="39"/>
      <c r="P32" s="39"/>
      <c r="Q32" s="39"/>
      <c r="R32" s="92"/>
      <c r="S32" s="92"/>
      <c r="T32" s="92"/>
      <c r="U32" s="92"/>
      <c r="V32" s="92"/>
      <c r="W32" s="92"/>
    </row>
    <row r="33" spans="3:23" s="76" customFormat="1" ht="12.75" hidden="1">
      <c r="C33" s="94"/>
      <c r="D33" s="39"/>
      <c r="E33" s="39"/>
      <c r="F33" s="39"/>
      <c r="G33" s="39"/>
      <c r="H33" s="39"/>
      <c r="I33" s="39"/>
      <c r="J33" s="39"/>
      <c r="K33" s="77"/>
      <c r="L33" s="39"/>
      <c r="M33" s="77"/>
      <c r="N33" s="39"/>
      <c r="O33" s="39"/>
      <c r="P33" s="39"/>
      <c r="Q33" s="39"/>
      <c r="R33" s="92"/>
      <c r="S33" s="92"/>
      <c r="T33" s="92"/>
      <c r="U33" s="92"/>
      <c r="V33" s="92"/>
      <c r="W33" s="92"/>
    </row>
    <row r="34" spans="3:23" s="76" customFormat="1" ht="12.75" hidden="1">
      <c r="C34" s="94"/>
      <c r="D34" s="39"/>
      <c r="E34" s="39"/>
      <c r="F34" s="39"/>
      <c r="G34" s="39"/>
      <c r="H34" s="39"/>
      <c r="I34" s="39"/>
      <c r="J34" s="39"/>
      <c r="K34" s="77"/>
      <c r="L34" s="39"/>
      <c r="M34" s="81"/>
      <c r="N34" s="39"/>
      <c r="O34" s="39"/>
      <c r="P34" s="39"/>
      <c r="Q34" s="39"/>
      <c r="R34" s="92"/>
      <c r="S34" s="92"/>
      <c r="T34" s="92"/>
      <c r="U34" s="92"/>
      <c r="V34" s="92"/>
      <c r="W34" s="92"/>
    </row>
    <row r="35" spans="3:23" s="80" customFormat="1" ht="12.75" hidden="1">
      <c r="C35" s="90"/>
      <c r="D35" s="87"/>
      <c r="E35" s="87"/>
      <c r="F35" s="87"/>
      <c r="G35" s="87"/>
      <c r="H35" s="87"/>
      <c r="I35" s="87"/>
      <c r="J35" s="87"/>
      <c r="K35" s="88"/>
      <c r="L35" s="87"/>
      <c r="M35" s="95"/>
      <c r="N35" s="87"/>
      <c r="O35" s="87"/>
      <c r="P35" s="87"/>
      <c r="Q35" s="87"/>
      <c r="R35" s="87"/>
      <c r="S35" s="87"/>
      <c r="T35" s="87"/>
      <c r="U35" s="87"/>
      <c r="V35" s="87"/>
      <c r="W35" s="87"/>
    </row>
    <row r="36" spans="3:23" s="76" customFormat="1" ht="12.75" hidden="1">
      <c r="C36" s="94"/>
      <c r="D36" s="39"/>
      <c r="E36" s="39"/>
      <c r="F36" s="39"/>
      <c r="G36" s="39"/>
      <c r="H36" s="39"/>
      <c r="I36" s="39"/>
      <c r="J36" s="39"/>
      <c r="K36" s="77"/>
      <c r="L36" s="39"/>
      <c r="M36" s="81"/>
      <c r="N36" s="39"/>
      <c r="O36" s="39"/>
      <c r="P36" s="39"/>
      <c r="Q36" s="39"/>
      <c r="R36" s="92"/>
      <c r="S36" s="92"/>
      <c r="T36" s="92"/>
      <c r="U36" s="92"/>
      <c r="V36" s="92"/>
      <c r="W36" s="92"/>
    </row>
    <row r="37" spans="3:23" s="76" customFormat="1" ht="12.75" hidden="1">
      <c r="C37" s="91"/>
      <c r="D37" s="39"/>
      <c r="E37" s="39"/>
      <c r="F37" s="39"/>
      <c r="G37" s="39"/>
      <c r="H37" s="39"/>
      <c r="I37" s="39"/>
      <c r="J37" s="39"/>
      <c r="K37" s="77"/>
      <c r="L37" s="39"/>
      <c r="M37" s="77"/>
      <c r="N37" s="39"/>
      <c r="O37" s="39"/>
      <c r="P37" s="39"/>
      <c r="Q37" s="39"/>
      <c r="R37" s="92"/>
      <c r="S37" s="92"/>
      <c r="T37" s="92"/>
      <c r="U37" s="92"/>
      <c r="V37" s="92"/>
      <c r="W37" s="92"/>
    </row>
    <row r="38" spans="3:23" s="76" customFormat="1" ht="12.75" hidden="1">
      <c r="C38" s="91"/>
      <c r="D38" s="39"/>
      <c r="E38" s="39"/>
      <c r="F38" s="39"/>
      <c r="G38" s="39"/>
      <c r="H38" s="39"/>
      <c r="I38" s="39"/>
      <c r="J38" s="39"/>
      <c r="K38" s="77"/>
      <c r="L38" s="39"/>
      <c r="M38" s="77"/>
      <c r="N38" s="39"/>
      <c r="O38" s="39"/>
      <c r="P38" s="39"/>
      <c r="Q38" s="39"/>
      <c r="R38" s="92"/>
      <c r="S38" s="92"/>
      <c r="T38" s="92"/>
      <c r="U38" s="92"/>
      <c r="V38" s="92"/>
      <c r="W38" s="92"/>
    </row>
    <row r="39" spans="4:23" s="76" customFormat="1" ht="12.75" hidden="1">
      <c r="D39" s="39"/>
      <c r="E39" s="39"/>
      <c r="F39" s="39"/>
      <c r="G39" s="39"/>
      <c r="H39" s="39"/>
      <c r="I39" s="39"/>
      <c r="J39" s="39"/>
      <c r="K39" s="77"/>
      <c r="L39" s="39"/>
      <c r="M39" s="77"/>
      <c r="N39" s="39"/>
      <c r="O39" s="39"/>
      <c r="P39" s="39"/>
      <c r="Q39" s="39"/>
      <c r="R39" s="92"/>
      <c r="S39" s="92"/>
      <c r="T39" s="92"/>
      <c r="U39" s="92"/>
      <c r="V39" s="92"/>
      <c r="W39" s="92"/>
    </row>
    <row r="40" spans="3:23" s="80" customFormat="1" ht="12.75" hidden="1">
      <c r="C40" s="90"/>
      <c r="D40" s="87"/>
      <c r="E40" s="87"/>
      <c r="F40" s="87"/>
      <c r="G40" s="87"/>
      <c r="H40" s="87"/>
      <c r="I40" s="87"/>
      <c r="J40" s="87"/>
      <c r="K40" s="88"/>
      <c r="L40" s="87"/>
      <c r="M40" s="88"/>
      <c r="N40" s="87"/>
      <c r="O40" s="87"/>
      <c r="P40" s="87"/>
      <c r="Q40" s="87"/>
      <c r="R40" s="87"/>
      <c r="S40" s="87"/>
      <c r="T40" s="87"/>
      <c r="U40" s="87"/>
      <c r="V40" s="87"/>
      <c r="W40" s="87"/>
    </row>
    <row r="41" spans="3:23" s="76" customFormat="1" ht="12.75" hidden="1">
      <c r="C41" s="90"/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39"/>
      <c r="S41" s="39"/>
      <c r="T41" s="39"/>
      <c r="U41" s="39"/>
      <c r="V41" s="39"/>
      <c r="W41" s="39"/>
    </row>
    <row r="42" spans="3:23" s="76" customFormat="1" ht="12.75" hidden="1">
      <c r="C42" s="90"/>
      <c r="D42" s="39"/>
      <c r="E42" s="39"/>
      <c r="F42" s="39"/>
      <c r="G42" s="39"/>
      <c r="H42" s="39"/>
      <c r="I42" s="39"/>
      <c r="J42" s="39"/>
      <c r="K42" s="77"/>
      <c r="L42" s="39"/>
      <c r="M42" s="77"/>
      <c r="N42" s="39"/>
      <c r="O42" s="39"/>
      <c r="P42" s="39"/>
      <c r="Q42" s="39"/>
      <c r="R42" s="39"/>
      <c r="S42" s="39"/>
      <c r="T42" s="39"/>
      <c r="U42" s="39"/>
      <c r="V42" s="39"/>
      <c r="W42" s="39"/>
    </row>
    <row r="43" spans="4:22" s="76" customFormat="1" ht="12.75">
      <c r="D43" s="39"/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39"/>
      <c r="S43" s="39"/>
      <c r="T43" s="39"/>
      <c r="U43" s="39"/>
      <c r="V43" s="39"/>
    </row>
    <row r="44" spans="2:22" s="80" customFormat="1" ht="12.75">
      <c r="B44" s="96"/>
      <c r="D44" s="87"/>
      <c r="E44" s="87"/>
      <c r="F44" s="87"/>
      <c r="G44" s="87"/>
      <c r="H44" s="87"/>
      <c r="I44" s="87"/>
      <c r="J44" s="87"/>
      <c r="K44" s="88"/>
      <c r="L44" s="87"/>
      <c r="M44" s="88"/>
      <c r="N44" s="87"/>
      <c r="O44" s="87"/>
      <c r="P44" s="87"/>
      <c r="Q44" s="87"/>
      <c r="R44" s="87"/>
      <c r="S44" s="87"/>
      <c r="T44" s="87"/>
      <c r="U44" s="87"/>
      <c r="V44" s="87"/>
    </row>
    <row r="45" spans="5:23" s="76" customFormat="1" ht="12.75">
      <c r="E45" s="39"/>
      <c r="F45" s="39"/>
      <c r="G45" s="39"/>
      <c r="H45" s="39"/>
      <c r="I45" s="39"/>
      <c r="J45" s="39"/>
      <c r="K45" s="77"/>
      <c r="L45" s="39"/>
      <c r="M45" s="77"/>
      <c r="N45" s="39"/>
      <c r="O45" s="39"/>
      <c r="P45" s="39"/>
      <c r="Q45" s="39"/>
      <c r="R45" s="92"/>
      <c r="S45" s="92"/>
      <c r="T45" s="92"/>
      <c r="U45" s="92"/>
      <c r="V45" s="92"/>
      <c r="W45" s="92"/>
    </row>
    <row r="46" spans="4:22" s="76" customFormat="1" ht="12.75">
      <c r="D46" s="39"/>
      <c r="E46" s="39"/>
      <c r="F46" s="39"/>
      <c r="G46" s="39"/>
      <c r="H46" s="39"/>
      <c r="I46" s="39"/>
      <c r="J46" s="39"/>
      <c r="K46" s="77"/>
      <c r="L46" s="39"/>
      <c r="M46" s="77"/>
      <c r="N46" s="39"/>
      <c r="O46" s="39"/>
      <c r="P46" s="39"/>
      <c r="Q46" s="39"/>
      <c r="R46" s="39"/>
      <c r="S46" s="39"/>
      <c r="T46" s="39"/>
      <c r="U46" s="39"/>
      <c r="V46" s="39"/>
    </row>
    <row r="47" spans="4:23" s="76" customFormat="1" ht="12.75">
      <c r="D47" s="87"/>
      <c r="E47" s="39"/>
      <c r="F47" s="39"/>
      <c r="G47" s="39"/>
      <c r="H47" s="39"/>
      <c r="I47" s="39"/>
      <c r="J47" s="39"/>
      <c r="K47" s="77"/>
      <c r="L47" s="39"/>
      <c r="M47" s="77"/>
      <c r="N47" s="39"/>
      <c r="O47" s="39"/>
      <c r="P47" s="39"/>
      <c r="Q47" s="39"/>
      <c r="R47" s="19"/>
      <c r="S47" s="19"/>
      <c r="T47" s="19"/>
      <c r="U47" s="19"/>
      <c r="V47" s="19"/>
      <c r="W47" s="19"/>
    </row>
    <row r="48" spans="4:23" s="76" customFormat="1" ht="12.75">
      <c r="D48" s="3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19"/>
      <c r="S48" s="19"/>
      <c r="T48" s="19"/>
      <c r="U48" s="19"/>
      <c r="V48" s="19"/>
      <c r="W48" s="19"/>
    </row>
    <row r="49" spans="3:23" s="80" customFormat="1" ht="12.75">
      <c r="C49" s="90"/>
      <c r="D49" s="87"/>
      <c r="E49" s="87"/>
      <c r="F49" s="87"/>
      <c r="G49" s="87"/>
      <c r="H49" s="87"/>
      <c r="I49" s="87"/>
      <c r="J49" s="87"/>
      <c r="K49" s="88"/>
      <c r="L49" s="87"/>
      <c r="M49" s="88"/>
      <c r="N49" s="87"/>
      <c r="O49" s="87"/>
      <c r="P49" s="87"/>
      <c r="Q49" s="87"/>
      <c r="R49" s="87"/>
      <c r="S49" s="87"/>
      <c r="T49" s="87"/>
      <c r="U49" s="87"/>
      <c r="V49" s="87"/>
      <c r="W49" s="87"/>
    </row>
    <row r="50" spans="4:22" s="76" customFormat="1" ht="12.75">
      <c r="D50" s="39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39"/>
      <c r="S50" s="39"/>
      <c r="T50" s="39"/>
      <c r="U50" s="39"/>
      <c r="V50" s="39"/>
    </row>
    <row r="51" spans="3:22" s="80" customFormat="1" ht="12.75">
      <c r="C51" s="96"/>
      <c r="D51" s="87"/>
      <c r="E51" s="87"/>
      <c r="F51" s="97"/>
      <c r="G51" s="87"/>
      <c r="H51" s="87"/>
      <c r="I51" s="87"/>
      <c r="J51" s="87"/>
      <c r="K51" s="88"/>
      <c r="L51" s="87"/>
      <c r="M51" s="98"/>
      <c r="N51" s="87"/>
      <c r="O51" s="87"/>
      <c r="P51" s="87"/>
      <c r="Q51" s="87"/>
      <c r="R51" s="87"/>
      <c r="S51" s="87"/>
      <c r="T51" s="87"/>
      <c r="U51" s="87"/>
      <c r="V51" s="87"/>
    </row>
    <row r="52" spans="4:23" s="76" customFormat="1" ht="12.75">
      <c r="D52" s="9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92"/>
      <c r="S52" s="92"/>
      <c r="T52" s="92"/>
      <c r="U52" s="92"/>
      <c r="V52" s="92"/>
      <c r="W52" s="92"/>
    </row>
    <row r="53" spans="4:23" s="76" customFormat="1" ht="12.75">
      <c r="D53" s="9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92"/>
      <c r="S53" s="92"/>
      <c r="T53" s="92"/>
      <c r="U53" s="92"/>
      <c r="V53" s="92"/>
      <c r="W53" s="92"/>
    </row>
    <row r="54" spans="4:23" s="76" customFormat="1" ht="12.75">
      <c r="D54" s="99"/>
      <c r="E54" s="39"/>
      <c r="F54" s="39"/>
      <c r="G54" s="39"/>
      <c r="H54" s="39"/>
      <c r="I54" s="39"/>
      <c r="J54" s="39"/>
      <c r="K54" s="77"/>
      <c r="L54" s="39"/>
      <c r="M54" s="77"/>
      <c r="N54" s="39"/>
      <c r="O54" s="39"/>
      <c r="P54" s="39"/>
      <c r="Q54" s="39"/>
      <c r="R54" s="92"/>
      <c r="S54" s="92"/>
      <c r="T54" s="92"/>
      <c r="U54" s="92"/>
      <c r="V54" s="92"/>
      <c r="W54" s="92"/>
    </row>
    <row r="55" spans="4:23" s="76" customFormat="1" ht="12.75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4:23" s="76" customFormat="1" ht="12.75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92"/>
      <c r="S56" s="92"/>
      <c r="T56" s="92"/>
      <c r="U56" s="92"/>
      <c r="V56" s="92"/>
      <c r="W56" s="92"/>
    </row>
    <row r="57" spans="4:23" s="76" customFormat="1" ht="12.75">
      <c r="D57" s="99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92"/>
      <c r="S57" s="92"/>
      <c r="T57" s="92"/>
      <c r="U57" s="92"/>
      <c r="V57" s="92"/>
      <c r="W57" s="92"/>
    </row>
    <row r="58" spans="4:23" s="76" customFormat="1" ht="12.75">
      <c r="D58" s="9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19"/>
      <c r="S58" s="19"/>
      <c r="T58" s="19"/>
      <c r="U58" s="19"/>
      <c r="V58" s="19"/>
      <c r="W58" s="19"/>
    </row>
    <row r="59" spans="4:23" s="76" customFormat="1" ht="12.75">
      <c r="D59" s="99"/>
      <c r="E59" s="39"/>
      <c r="F59" s="39"/>
      <c r="G59" s="39"/>
      <c r="H59" s="39"/>
      <c r="I59" s="39"/>
      <c r="J59" s="39"/>
      <c r="K59" s="77"/>
      <c r="L59" s="39"/>
      <c r="M59" s="77"/>
      <c r="N59" s="39"/>
      <c r="O59" s="39"/>
      <c r="P59" s="39"/>
      <c r="Q59" s="39"/>
      <c r="R59" s="92"/>
      <c r="S59" s="92"/>
      <c r="T59" s="92"/>
      <c r="U59" s="92"/>
      <c r="V59" s="92"/>
      <c r="W59" s="92"/>
    </row>
    <row r="60" spans="4:23" s="76" customFormat="1" ht="12.75">
      <c r="D60" s="99"/>
      <c r="E60" s="39"/>
      <c r="F60" s="39"/>
      <c r="G60" s="39"/>
      <c r="H60" s="39"/>
      <c r="I60" s="39"/>
      <c r="J60" s="39"/>
      <c r="K60" s="77"/>
      <c r="L60" s="39"/>
      <c r="M60" s="77"/>
      <c r="N60" s="39"/>
      <c r="O60" s="39"/>
      <c r="P60" s="39"/>
      <c r="Q60" s="39"/>
      <c r="R60" s="92"/>
      <c r="S60" s="92"/>
      <c r="T60" s="92"/>
      <c r="U60" s="92"/>
      <c r="V60" s="92"/>
      <c r="W60" s="92"/>
    </row>
    <row r="61" spans="4:23" s="76" customFormat="1" ht="12.75">
      <c r="D61" s="99"/>
      <c r="E61" s="39"/>
      <c r="F61" s="39"/>
      <c r="G61" s="39"/>
      <c r="H61" s="39"/>
      <c r="I61" s="39"/>
      <c r="J61" s="39"/>
      <c r="K61" s="77"/>
      <c r="L61" s="39"/>
      <c r="M61" s="77"/>
      <c r="N61" s="39"/>
      <c r="O61" s="39"/>
      <c r="P61" s="39"/>
      <c r="Q61" s="39"/>
      <c r="R61" s="92"/>
      <c r="S61" s="92"/>
      <c r="T61" s="92"/>
      <c r="U61" s="92"/>
      <c r="V61" s="92"/>
      <c r="W61" s="92"/>
    </row>
    <row r="62" spans="3:24" s="80" customFormat="1" ht="12.75">
      <c r="C62" s="90"/>
      <c r="D62" s="97"/>
      <c r="E62" s="87"/>
      <c r="F62" s="87"/>
      <c r="G62" s="87"/>
      <c r="H62" s="87"/>
      <c r="I62" s="87"/>
      <c r="J62" s="87"/>
      <c r="K62" s="9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76"/>
    </row>
    <row r="63" spans="3:22" s="76" customFormat="1" ht="12.75">
      <c r="C63" s="91"/>
      <c r="D63" s="99"/>
      <c r="E63" s="39"/>
      <c r="F63" s="39"/>
      <c r="G63" s="39"/>
      <c r="H63" s="39"/>
      <c r="I63" s="39"/>
      <c r="J63" s="39"/>
      <c r="K63" s="100"/>
      <c r="L63" s="39"/>
      <c r="M63" s="77"/>
      <c r="N63" s="39"/>
      <c r="O63" s="39"/>
      <c r="P63" s="39"/>
      <c r="Q63" s="39"/>
      <c r="R63" s="39"/>
      <c r="S63" s="39"/>
      <c r="T63" s="39"/>
      <c r="U63" s="39"/>
      <c r="V63" s="39"/>
    </row>
    <row r="64" spans="2:24" s="80" customFormat="1" ht="12.75">
      <c r="B64" s="101"/>
      <c r="D64" s="97"/>
      <c r="E64" s="87"/>
      <c r="F64" s="87"/>
      <c r="G64" s="87"/>
      <c r="H64" s="87"/>
      <c r="I64" s="87"/>
      <c r="J64" s="87"/>
      <c r="K64" s="9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76"/>
    </row>
    <row r="65" spans="3:23" s="76" customFormat="1" ht="12.75">
      <c r="C65" s="90"/>
      <c r="D65" s="99"/>
      <c r="E65" s="39"/>
      <c r="F65" s="39"/>
      <c r="G65" s="39"/>
      <c r="H65" s="39"/>
      <c r="I65" s="39"/>
      <c r="J65" s="39"/>
      <c r="K65" s="100"/>
      <c r="L65" s="39"/>
      <c r="M65" s="88"/>
      <c r="N65" s="39"/>
      <c r="O65" s="39"/>
      <c r="P65" s="39"/>
      <c r="Q65" s="39"/>
      <c r="R65" s="39"/>
      <c r="S65" s="39"/>
      <c r="T65" s="39"/>
      <c r="U65" s="39"/>
      <c r="V65" s="39"/>
      <c r="W65" s="39"/>
    </row>
    <row r="66" spans="3:23" s="80" customFormat="1" ht="12.75">
      <c r="C66" s="90"/>
      <c r="D66" s="87"/>
      <c r="E66" s="87"/>
      <c r="F66" s="87"/>
      <c r="G66" s="87"/>
      <c r="H66" s="87"/>
      <c r="I66" s="87"/>
      <c r="J66" s="87"/>
      <c r="K66" s="98"/>
      <c r="L66" s="87"/>
      <c r="M66" s="88"/>
      <c r="N66" s="87"/>
      <c r="O66" s="87"/>
      <c r="P66" s="87"/>
      <c r="Q66" s="87"/>
      <c r="R66" s="87"/>
      <c r="S66" s="87"/>
      <c r="T66" s="87"/>
      <c r="U66" s="87"/>
      <c r="V66" s="87"/>
      <c r="W66" s="87"/>
    </row>
    <row r="67" spans="3:22" s="80" customFormat="1" ht="12.75">
      <c r="C67" s="90"/>
      <c r="D67" s="97"/>
      <c r="E67" s="87"/>
      <c r="F67" s="87"/>
      <c r="G67" s="87"/>
      <c r="H67" s="87"/>
      <c r="I67" s="87"/>
      <c r="J67" s="87"/>
      <c r="K67" s="98"/>
      <c r="L67" s="87"/>
      <c r="M67" s="88"/>
      <c r="N67" s="87"/>
      <c r="O67" s="87"/>
      <c r="P67" s="87"/>
      <c r="Q67" s="87"/>
      <c r="R67" s="87"/>
      <c r="S67" s="87"/>
      <c r="T67" s="87"/>
      <c r="U67" s="87"/>
      <c r="V67" s="87"/>
    </row>
    <row r="68" spans="3:23" s="80" customFormat="1" ht="12.75">
      <c r="C68" s="90"/>
      <c r="D68" s="87"/>
      <c r="E68" s="87"/>
      <c r="F68" s="87"/>
      <c r="G68" s="87"/>
      <c r="H68" s="87"/>
      <c r="I68" s="87"/>
      <c r="J68" s="87"/>
      <c r="K68" s="98"/>
      <c r="L68" s="87"/>
      <c r="M68" s="88"/>
      <c r="N68" s="87"/>
      <c r="O68" s="87"/>
      <c r="P68" s="87"/>
      <c r="Q68" s="87"/>
      <c r="R68" s="102"/>
      <c r="S68" s="102"/>
      <c r="T68" s="102"/>
      <c r="U68" s="102"/>
      <c r="V68" s="102"/>
      <c r="W68" s="102"/>
    </row>
    <row r="69" spans="3:22" s="80" customFormat="1" ht="12.75">
      <c r="C69" s="90"/>
      <c r="D69" s="97"/>
      <c r="E69" s="87"/>
      <c r="F69" s="87"/>
      <c r="G69" s="87"/>
      <c r="H69" s="87"/>
      <c r="I69" s="87"/>
      <c r="J69" s="87"/>
      <c r="K69" s="98"/>
      <c r="L69" s="87"/>
      <c r="M69" s="88"/>
      <c r="N69" s="87"/>
      <c r="O69" s="87"/>
      <c r="P69" s="87"/>
      <c r="Q69" s="87"/>
      <c r="R69" s="87"/>
      <c r="S69" s="87"/>
      <c r="T69" s="87"/>
      <c r="U69" s="87"/>
      <c r="V69" s="87"/>
    </row>
    <row r="70" spans="2:23" s="80" customFormat="1" ht="12.75">
      <c r="B70" s="85"/>
      <c r="C70" s="90"/>
      <c r="D70" s="97"/>
      <c r="E70" s="87"/>
      <c r="F70" s="87"/>
      <c r="G70" s="87"/>
      <c r="H70" s="87"/>
      <c r="I70" s="87"/>
      <c r="J70" s="87"/>
      <c r="K70" s="98"/>
      <c r="L70" s="87"/>
      <c r="M70" s="88"/>
      <c r="N70" s="87"/>
      <c r="O70" s="87"/>
      <c r="P70" s="87"/>
      <c r="Q70" s="87"/>
      <c r="R70" s="87"/>
      <c r="S70" s="87"/>
      <c r="T70" s="87"/>
      <c r="U70" s="87"/>
      <c r="V70" s="87"/>
      <c r="W70" s="87"/>
    </row>
    <row r="71" spans="3:22" s="76" customFormat="1" ht="12.75">
      <c r="C71" s="90"/>
      <c r="D71" s="99"/>
      <c r="E71" s="39"/>
      <c r="F71" s="39"/>
      <c r="G71" s="39"/>
      <c r="H71" s="39"/>
      <c r="I71" s="39"/>
      <c r="J71" s="39"/>
      <c r="K71" s="100"/>
      <c r="L71" s="39"/>
      <c r="M71" s="88"/>
      <c r="N71" s="39"/>
      <c r="O71" s="39"/>
      <c r="P71" s="39"/>
      <c r="Q71" s="39"/>
      <c r="R71" s="39"/>
      <c r="S71" s="39"/>
      <c r="T71" s="39"/>
      <c r="U71" s="39"/>
      <c r="V71" s="39"/>
    </row>
    <row r="72" spans="3:23" s="76" customFormat="1" ht="12.75">
      <c r="C72" s="90"/>
      <c r="D72" s="99"/>
      <c r="E72" s="39"/>
      <c r="F72" s="39"/>
      <c r="G72" s="39"/>
      <c r="H72" s="39"/>
      <c r="I72" s="39"/>
      <c r="J72" s="39"/>
      <c r="K72" s="77"/>
      <c r="L72" s="39"/>
      <c r="M72" s="77"/>
      <c r="N72" s="39"/>
      <c r="O72" s="39"/>
      <c r="P72" s="39"/>
      <c r="Q72" s="39"/>
      <c r="R72" s="92"/>
      <c r="S72" s="92"/>
      <c r="T72" s="92"/>
      <c r="U72" s="92"/>
      <c r="V72" s="92"/>
      <c r="W72" s="92"/>
    </row>
    <row r="73" spans="3:23" s="76" customFormat="1" ht="12.75">
      <c r="C73" s="90"/>
      <c r="D73" s="99"/>
      <c r="E73" s="39"/>
      <c r="F73" s="39"/>
      <c r="G73" s="39"/>
      <c r="H73" s="39"/>
      <c r="I73" s="39"/>
      <c r="J73" s="39"/>
      <c r="K73" s="77"/>
      <c r="L73" s="39"/>
      <c r="M73" s="77"/>
      <c r="N73" s="39"/>
      <c r="O73" s="39"/>
      <c r="P73" s="39"/>
      <c r="Q73" s="39"/>
      <c r="R73" s="92"/>
      <c r="S73" s="92"/>
      <c r="T73" s="92"/>
      <c r="U73" s="92"/>
      <c r="V73" s="92"/>
      <c r="W73" s="92"/>
    </row>
    <row r="74" spans="3:22" s="76" customFormat="1" ht="12.75">
      <c r="C74" s="90"/>
      <c r="D74" s="99"/>
      <c r="E74" s="39"/>
      <c r="F74" s="39"/>
      <c r="G74" s="39"/>
      <c r="H74" s="39"/>
      <c r="I74" s="39"/>
      <c r="J74" s="39"/>
      <c r="K74" s="100"/>
      <c r="L74" s="39"/>
      <c r="M74" s="88"/>
      <c r="N74" s="39"/>
      <c r="O74" s="39"/>
      <c r="P74" s="39"/>
      <c r="Q74" s="39"/>
      <c r="R74" s="39"/>
      <c r="S74" s="39"/>
      <c r="T74" s="39"/>
      <c r="U74" s="39"/>
      <c r="V74" s="39"/>
    </row>
    <row r="75" spans="3:23" s="76" customFormat="1" ht="12.75">
      <c r="C75" s="103"/>
      <c r="D75" s="9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3:23" s="76" customFormat="1" ht="12.75">
      <c r="C76" s="104"/>
      <c r="D76" s="99"/>
      <c r="E76" s="39"/>
      <c r="F76" s="39"/>
      <c r="G76" s="39"/>
      <c r="H76" s="39"/>
      <c r="I76" s="39"/>
      <c r="J76" s="39"/>
      <c r="K76" s="77"/>
      <c r="L76" s="39"/>
      <c r="M76" s="77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4:23" s="76" customFormat="1" ht="12.75">
      <c r="D77" s="99"/>
      <c r="E77" s="39"/>
      <c r="F77" s="39"/>
      <c r="G77" s="39"/>
      <c r="H77" s="39"/>
      <c r="I77" s="39"/>
      <c r="J77" s="39"/>
      <c r="K77" s="77"/>
      <c r="L77" s="39"/>
      <c r="M77" s="77"/>
      <c r="N77" s="39"/>
      <c r="O77" s="39"/>
      <c r="P77" s="39"/>
      <c r="Q77" s="39"/>
      <c r="R77" s="92"/>
      <c r="S77" s="92"/>
      <c r="T77" s="92"/>
      <c r="U77" s="92"/>
      <c r="V77" s="92"/>
      <c r="W77" s="92"/>
    </row>
    <row r="78" spans="11:13" s="76" customFormat="1" ht="12.75">
      <c r="K78" s="77"/>
      <c r="M78" s="77"/>
    </row>
    <row r="79" spans="5:23" s="76" customFormat="1" ht="12.75">
      <c r="E79" s="129"/>
      <c r="K79" s="77"/>
      <c r="M79" s="77"/>
      <c r="N79" s="129"/>
      <c r="O79" s="129"/>
      <c r="P79" s="129"/>
      <c r="Q79" s="129"/>
      <c r="R79" s="129"/>
      <c r="S79" s="129"/>
      <c r="T79" s="129"/>
      <c r="U79" s="129"/>
      <c r="V79" s="129"/>
      <c r="W79" s="129"/>
    </row>
    <row r="80" spans="11:13" s="76" customFormat="1" ht="12.75">
      <c r="K80" s="77"/>
      <c r="M80" s="77"/>
    </row>
    <row r="81" spans="11:13" s="76" customFormat="1" ht="12.75">
      <c r="K81" s="77"/>
      <c r="M81" s="77"/>
    </row>
    <row r="82" spans="11:13" s="76" customFormat="1" ht="12.75">
      <c r="K82" s="77"/>
      <c r="M82" s="77"/>
    </row>
    <row r="83" spans="11:13" s="76" customFormat="1" ht="12.75">
      <c r="K83" s="77"/>
      <c r="M83" s="77"/>
    </row>
    <row r="84" spans="11:13" s="76" customFormat="1" ht="12.75">
      <c r="K84" s="77"/>
      <c r="M84" s="77"/>
    </row>
    <row r="85" spans="11:13" s="76" customFormat="1" ht="12.75">
      <c r="K85" s="77"/>
      <c r="M85" s="77"/>
    </row>
    <row r="86" spans="11:13" s="76" customFormat="1" ht="12.75">
      <c r="K86" s="77"/>
      <c r="M86" s="77"/>
    </row>
    <row r="87" spans="11:13" s="76" customFormat="1" ht="12.75">
      <c r="K87" s="77"/>
      <c r="M87" s="77"/>
    </row>
    <row r="88" spans="11:13" s="76" customFormat="1" ht="12.75">
      <c r="K88" s="77"/>
      <c r="M88" s="77"/>
    </row>
    <row r="89" spans="11:13" s="76" customFormat="1" ht="12.75">
      <c r="K89" s="77"/>
      <c r="M89" s="77"/>
    </row>
    <row r="90" spans="11:13" s="76" customFormat="1" ht="12.75">
      <c r="K90" s="77"/>
      <c r="M90" s="77"/>
    </row>
    <row r="91" spans="11:13" s="76" customFormat="1" ht="12.75">
      <c r="K91" s="77"/>
      <c r="M91" s="77"/>
    </row>
    <row r="92" spans="11:13" s="76" customFormat="1" ht="12.75">
      <c r="K92" s="77"/>
      <c r="M92" s="77"/>
    </row>
    <row r="93" spans="11:13" s="76" customFormat="1" ht="12.75">
      <c r="K93" s="77"/>
      <c r="M93" s="77"/>
    </row>
    <row r="94" spans="11:13" s="76" customFormat="1" ht="12.75">
      <c r="K94" s="77"/>
      <c r="M94" s="77"/>
    </row>
    <row r="95" spans="11:13" s="76" customFormat="1" ht="12.75">
      <c r="K95" s="77"/>
      <c r="M95" s="77"/>
    </row>
    <row r="96" spans="11:13" s="76" customFormat="1" ht="12.75">
      <c r="K96" s="77"/>
      <c r="M96" s="77"/>
    </row>
    <row r="97" spans="11:13" s="76" customFormat="1" ht="12.75">
      <c r="K97" s="77"/>
      <c r="M97" s="77"/>
    </row>
    <row r="98" spans="11:13" s="76" customFormat="1" ht="12.75">
      <c r="K98" s="77"/>
      <c r="M98" s="77"/>
    </row>
    <row r="99" spans="11:13" s="76" customFormat="1" ht="12.75">
      <c r="K99" s="77"/>
      <c r="M99" s="77"/>
    </row>
    <row r="100" spans="11:13" s="76" customFormat="1" ht="12.75">
      <c r="K100" s="77"/>
      <c r="M100" s="77"/>
    </row>
    <row r="101" spans="11:13" s="76" customFormat="1" ht="12.75">
      <c r="K101" s="77"/>
      <c r="M101" s="77"/>
    </row>
    <row r="102" spans="11:13" s="76" customFormat="1" ht="12.75">
      <c r="K102" s="77"/>
      <c r="M102" s="77"/>
    </row>
    <row r="103" spans="11:13" s="76" customFormat="1" ht="12.75">
      <c r="K103" s="77"/>
      <c r="M103" s="77"/>
    </row>
    <row r="104" spans="11:13" s="76" customFormat="1" ht="12.75">
      <c r="K104" s="77"/>
      <c r="M104" s="77"/>
    </row>
    <row r="105" spans="11:13" s="76" customFormat="1" ht="12.75">
      <c r="K105" s="77"/>
      <c r="M105" s="77"/>
    </row>
    <row r="106" spans="11:13" s="76" customFormat="1" ht="12.75">
      <c r="K106" s="77"/>
      <c r="M106" s="77"/>
    </row>
    <row r="107" spans="11:13" s="76" customFormat="1" ht="12.75">
      <c r="K107" s="77"/>
      <c r="M107" s="77"/>
    </row>
    <row r="108" spans="11:13" s="76" customFormat="1" ht="12.75">
      <c r="K108" s="77"/>
      <c r="M108" s="77"/>
    </row>
    <row r="109" spans="11:13" s="76" customFormat="1" ht="12.75">
      <c r="K109" s="77"/>
      <c r="M109" s="77"/>
    </row>
    <row r="110" spans="11:13" s="76" customFormat="1" ht="12.75">
      <c r="K110" s="77"/>
      <c r="M110" s="77"/>
    </row>
    <row r="111" spans="11:13" s="76" customFormat="1" ht="12.75">
      <c r="K111" s="77"/>
      <c r="M111" s="77"/>
    </row>
    <row r="112" spans="11:13" s="76" customFormat="1" ht="12.75">
      <c r="K112" s="77"/>
      <c r="M112" s="77"/>
    </row>
    <row r="113" spans="11:13" s="76" customFormat="1" ht="12.75">
      <c r="K113" s="77"/>
      <c r="M113" s="77"/>
    </row>
    <row r="114" spans="11:13" s="76" customFormat="1" ht="12.75">
      <c r="K114" s="77"/>
      <c r="M114" s="77"/>
    </row>
    <row r="115" spans="11:13" s="76" customFormat="1" ht="12.75">
      <c r="K115" s="77"/>
      <c r="M115" s="77"/>
    </row>
    <row r="116" spans="11:13" s="76" customFormat="1" ht="12.75">
      <c r="K116" s="77"/>
      <c r="M116" s="77"/>
    </row>
    <row r="117" spans="11:13" s="76" customFormat="1" ht="12.75">
      <c r="K117" s="77"/>
      <c r="M117" s="77"/>
    </row>
    <row r="118" spans="11:13" s="76" customFormat="1" ht="12.75">
      <c r="K118" s="77"/>
      <c r="M118" s="77"/>
    </row>
    <row r="119" spans="11:13" s="76" customFormat="1" ht="12.75">
      <c r="K119" s="77"/>
      <c r="M119" s="77"/>
    </row>
    <row r="120" spans="11:13" s="76" customFormat="1" ht="12.75">
      <c r="K120" s="77"/>
      <c r="M120" s="77"/>
    </row>
    <row r="121" spans="11:13" s="76" customFormat="1" ht="12.75">
      <c r="K121" s="77"/>
      <c r="M121" s="77"/>
    </row>
    <row r="122" spans="11:13" s="76" customFormat="1" ht="12.75">
      <c r="K122" s="77"/>
      <c r="M122" s="77"/>
    </row>
    <row r="123" spans="11:13" s="76" customFormat="1" ht="12.75">
      <c r="K123" s="77"/>
      <c r="M123" s="77"/>
    </row>
    <row r="124" spans="11:13" s="76" customFormat="1" ht="12.75">
      <c r="K124" s="77"/>
      <c r="M124" s="77"/>
    </row>
    <row r="125" spans="11:13" s="76" customFormat="1" ht="12.75">
      <c r="K125" s="77"/>
      <c r="M125" s="77"/>
    </row>
    <row r="126" spans="11:13" s="76" customFormat="1" ht="12.75">
      <c r="K126" s="77"/>
      <c r="M126" s="77"/>
    </row>
    <row r="127" spans="11:13" s="76" customFormat="1" ht="12.75">
      <c r="K127" s="77"/>
      <c r="M127" s="77"/>
    </row>
    <row r="128" spans="11:13" s="76" customFormat="1" ht="12.75">
      <c r="K128" s="77"/>
      <c r="M128" s="77"/>
    </row>
    <row r="129" spans="11:13" s="76" customFormat="1" ht="12.75">
      <c r="K129" s="77"/>
      <c r="M129" s="77"/>
    </row>
    <row r="130" spans="11:13" s="76" customFormat="1" ht="12.75">
      <c r="K130" s="77"/>
      <c r="M130" s="77"/>
    </row>
    <row r="131" spans="11:13" s="76" customFormat="1" ht="12.75">
      <c r="K131" s="77"/>
      <c r="M131" s="77"/>
    </row>
    <row r="132" spans="11:13" s="76" customFormat="1" ht="12.75">
      <c r="K132" s="77"/>
      <c r="M132" s="77"/>
    </row>
    <row r="133" spans="11:13" s="76" customFormat="1" ht="12.75">
      <c r="K133" s="77"/>
      <c r="M133" s="77"/>
    </row>
    <row r="134" spans="11:13" s="76" customFormat="1" ht="12.75">
      <c r="K134" s="77"/>
      <c r="M134" s="77"/>
    </row>
    <row r="135" spans="11:13" s="76" customFormat="1" ht="12.75">
      <c r="K135" s="77"/>
      <c r="M135" s="77"/>
    </row>
    <row r="136" spans="11:13" s="76" customFormat="1" ht="12.75">
      <c r="K136" s="77"/>
      <c r="M136" s="77"/>
    </row>
    <row r="137" spans="11:13" s="76" customFormat="1" ht="12.75">
      <c r="K137" s="77"/>
      <c r="M137" s="77"/>
    </row>
    <row r="138" spans="11:13" s="76" customFormat="1" ht="12.75">
      <c r="K138" s="77"/>
      <c r="M138" s="77"/>
    </row>
    <row r="139" spans="11:13" s="76" customFormat="1" ht="12.75">
      <c r="K139" s="77"/>
      <c r="M139" s="77"/>
    </row>
    <row r="140" spans="11:13" s="76" customFormat="1" ht="12.75">
      <c r="K140" s="77"/>
      <c r="M140" s="77"/>
    </row>
    <row r="141" spans="11:13" s="76" customFormat="1" ht="12.75">
      <c r="K141" s="77"/>
      <c r="M141" s="77"/>
    </row>
    <row r="142" spans="11:13" s="76" customFormat="1" ht="12.75">
      <c r="K142" s="77"/>
      <c r="M142" s="77"/>
    </row>
    <row r="143" spans="11:13" s="76" customFormat="1" ht="12.75">
      <c r="K143" s="77"/>
      <c r="M143" s="77"/>
    </row>
    <row r="144" spans="11:13" s="76" customFormat="1" ht="12.75">
      <c r="K144" s="77"/>
      <c r="M144" s="77"/>
    </row>
    <row r="145" spans="11:13" s="76" customFormat="1" ht="12.75">
      <c r="K145" s="77"/>
      <c r="M145" s="77"/>
    </row>
    <row r="146" spans="11:13" s="76" customFormat="1" ht="12.75">
      <c r="K146" s="77"/>
      <c r="M146" s="77"/>
    </row>
    <row r="147" spans="11:13" s="76" customFormat="1" ht="12.75">
      <c r="K147" s="77"/>
      <c r="M147" s="77"/>
    </row>
    <row r="148" spans="11:13" s="76" customFormat="1" ht="12.75">
      <c r="K148" s="77"/>
      <c r="M148" s="77"/>
    </row>
    <row r="149" spans="11:13" s="76" customFormat="1" ht="12.75">
      <c r="K149" s="77"/>
      <c r="M149" s="77"/>
    </row>
    <row r="150" spans="11:13" s="76" customFormat="1" ht="12.75">
      <c r="K150" s="77"/>
      <c r="M150" s="77"/>
    </row>
    <row r="151" spans="11:13" s="76" customFormat="1" ht="12.75">
      <c r="K151" s="77"/>
      <c r="M151" s="77"/>
    </row>
    <row r="152" spans="11:13" s="76" customFormat="1" ht="12.75">
      <c r="K152" s="77"/>
      <c r="M152" s="77"/>
    </row>
    <row r="153" spans="11:13" s="76" customFormat="1" ht="12.75">
      <c r="K153" s="77"/>
      <c r="M153" s="77"/>
    </row>
    <row r="154" spans="11:13" s="76" customFormat="1" ht="12.75">
      <c r="K154" s="77"/>
      <c r="M154" s="77"/>
    </row>
    <row r="155" spans="11:13" s="76" customFormat="1" ht="12.75">
      <c r="K155" s="77"/>
      <c r="M155" s="77"/>
    </row>
    <row r="156" spans="11:13" s="76" customFormat="1" ht="12.75">
      <c r="K156" s="77"/>
      <c r="M156" s="77"/>
    </row>
    <row r="157" spans="11:13" s="76" customFormat="1" ht="12.75">
      <c r="K157" s="77"/>
      <c r="M157" s="77"/>
    </row>
  </sheetData>
  <printOptions horizontalCentered="1"/>
  <pageMargins left="0.5" right="0.5" top="2.75" bottom="0.5" header="1.5" footer="0.25"/>
  <pageSetup fitToHeight="0" fitToWidth="2" orientation="landscape" pageOrder="overThenDown" scale="64" r:id="rId1"/>
  <headerFooter alignWithMargins="0">
    <oddHeader>&amp;C&amp;B
2022 RATE CASE
ONCOR ELECTRIC DELIVERY COMPANY LLC
II-B-6   PLANT HELD FOR FUTURE USE
TEST YEAR ENDING DECEMBER 31, 2021
SPONSOR: W. ALAN LEDBETTER &amp;&amp; W. SPEED&amp;R&amp;"Arial,Bold"Schedule &amp;A
Page &amp;P of &amp;N</oddHeader>
  </headerFooter>
  <colBreaks count="1" manualBreakCount="1">
    <brk id="10" min="14" max="19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6">
    <tabColor rgb="FFFF0000"/>
  </sheetPr>
  <dimension ref="A1:X148"/>
  <sheetViews>
    <sheetView zoomScale="85" zoomScaleNormal="85" workbookViewId="0" topLeftCell="A1">
      <pane xSplit="4" ySplit="13" topLeftCell="E14" activePane="bottomRight" state="frozen"/>
      <selection pane="topLeft" activeCell="E14" sqref="E14"/>
      <selection pane="bottomLeft" activeCell="E14" sqref="E14"/>
      <selection pane="topRight" activeCell="E14" sqref="E14"/>
      <selection pane="bottomRight" activeCell="B26" sqref="B26"/>
    </sheetView>
  </sheetViews>
  <sheetFormatPr defaultColWidth="9.14428571428571" defaultRowHeight="12.75" customHeight="1"/>
  <cols>
    <col min="1" max="1" width="5.71428571428571" style="76" customWidth="1"/>
    <col min="2" max="2" width="8.71428571428571" style="78" customWidth="1"/>
    <col min="3" max="3" width="28.2857142857143" style="78" customWidth="1"/>
    <col min="4" max="4" width="10.5714285714286" style="78" customWidth="1"/>
    <col min="5" max="5" width="10.7142857142857" style="78" customWidth="1"/>
    <col min="6" max="6" width="17.7142857142857" style="78" customWidth="1"/>
    <col min="7" max="7" width="10.7142857142857" style="78" customWidth="1"/>
    <col min="8" max="8" width="13.7142857142857" style="78" customWidth="1"/>
    <col min="9" max="10" width="10.7142857142857" style="78" customWidth="1"/>
    <col min="11" max="11" width="10.7142857142857" style="82" customWidth="1"/>
    <col min="12" max="12" width="4.71428571428571" style="78" customWidth="1"/>
    <col min="13" max="13" width="7.71428571428571" style="82" customWidth="1"/>
    <col min="14" max="14" width="13.2857142857143" style="78" bestFit="1" customWidth="1"/>
    <col min="15" max="17" width="13.2857142857143" style="78" customWidth="1"/>
    <col min="18" max="18" width="13.2857142857143" style="78" bestFit="1" customWidth="1"/>
    <col min="19" max="20" width="13.2857142857143" style="78" customWidth="1"/>
    <col min="21" max="22" width="12.7142857142857" style="78" customWidth="1"/>
    <col min="23" max="23" width="13.2857142857143" style="78" bestFit="1" customWidth="1"/>
    <col min="24" max="16384" width="9.14285714285714" style="78"/>
  </cols>
  <sheetData>
    <row r="1" spans="1:1" ht="12.75" customHeight="1">
      <c r="A1" s="80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Sponsors'!$A$19,'[4]Schedule Sponsors'!$B$19)</f>
        <v>II-B-7   ACCUMULATED PROVISION BALANCES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Sponsors'!$D$19)</f>
        <v>SPONSOR: W. ALAN LEDBETTER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2:23" ht="12.75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2:23" s="76" customFormat="1" ht="12.75" customHeight="1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2" s="80" customFormat="1" ht="15" customHeight="1">
      <c r="A15" s="77">
        <v>1</v>
      </c>
      <c r="B15" s="101" t="s">
        <v>226</v>
      </c>
      <c r="D15" s="86"/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4" s="76" customFormat="1" ht="15" customHeight="1">
      <c r="A16" s="77">
        <v>2</v>
      </c>
      <c r="D16" s="86" t="s">
        <v>163</v>
      </c>
      <c r="E16" s="185">
        <v>0</v>
      </c>
      <c r="F16" s="190">
        <v>0</v>
      </c>
      <c r="G16" s="190">
        <f>+E16+F16</f>
        <v>0</v>
      </c>
      <c r="H16" s="190">
        <v>0</v>
      </c>
      <c r="I16" s="190">
        <f>+G16+H16</f>
        <v>0</v>
      </c>
      <c r="J16" s="175">
        <v>1</v>
      </c>
      <c r="K16" s="191">
        <f>+I16*J16</f>
        <v>0</v>
      </c>
      <c r="L16" s="190"/>
      <c r="M16" s="192"/>
      <c r="N16" s="190">
        <v>0</v>
      </c>
      <c r="O16" s="190">
        <v>0</v>
      </c>
      <c r="P16" s="190">
        <v>0</v>
      </c>
      <c r="Q16" s="190">
        <f>SUM(N16:P16)</f>
        <v>0</v>
      </c>
      <c r="R16" s="193">
        <v>0</v>
      </c>
      <c r="S16" s="193">
        <v>0</v>
      </c>
      <c r="T16" s="193">
        <f>SUM(R16:S16)</f>
        <v>0</v>
      </c>
      <c r="U16" s="193">
        <v>0</v>
      </c>
      <c r="V16" s="193">
        <v>0</v>
      </c>
      <c r="W16" s="193">
        <f>+Q16+T16+U16+V16</f>
        <v>0</v>
      </c>
      <c r="X16" s="76" t="b">
        <f>ROUND(+W16,0)=ROUND(K16,0)</f>
        <v>1</v>
      </c>
    </row>
    <row r="17" spans="1:23" s="76" customFormat="1" ht="15" customHeight="1">
      <c r="A17" s="77">
        <v>3</v>
      </c>
      <c r="D17" s="86"/>
      <c r="E17" s="160"/>
      <c r="F17" s="160"/>
      <c r="G17" s="160"/>
      <c r="H17" s="160"/>
      <c r="I17" s="160"/>
      <c r="J17" s="178"/>
      <c r="K17" s="160"/>
      <c r="L17" s="39"/>
      <c r="M17" s="77"/>
      <c r="N17" s="160"/>
      <c r="O17" s="160"/>
      <c r="P17" s="160"/>
      <c r="Q17" s="160"/>
      <c r="R17" s="160"/>
      <c r="S17" s="160"/>
      <c r="T17" s="160"/>
      <c r="U17" s="160"/>
      <c r="V17" s="160"/>
      <c r="W17" s="160"/>
    </row>
    <row r="18" spans="1:24" s="80" customFormat="1" ht="15" customHeight="1">
      <c r="A18" s="77">
        <v>4</v>
      </c>
      <c r="C18" s="90" t="s">
        <v>40</v>
      </c>
      <c r="D18" s="87"/>
      <c r="E18" s="189">
        <f>+E16</f>
        <v>0</v>
      </c>
      <c r="F18" s="189">
        <f>+F16</f>
        <v>0</v>
      </c>
      <c r="G18" s="189">
        <f>+G16</f>
        <v>0</v>
      </c>
      <c r="H18" s="189">
        <f>+H16</f>
        <v>0</v>
      </c>
      <c r="I18" s="189">
        <f>+I16</f>
        <v>0</v>
      </c>
      <c r="J18" s="179"/>
      <c r="K18" s="189">
        <f>+K16</f>
        <v>0</v>
      </c>
      <c r="L18" s="189"/>
      <c r="M18" s="194"/>
      <c r="N18" s="189">
        <f t="shared" si="0" ref="N18:W18">+N16</f>
        <v>0</v>
      </c>
      <c r="O18" s="189">
        <f t="shared" si="0"/>
        <v>0</v>
      </c>
      <c r="P18" s="189">
        <f t="shared" si="1" ref="P18">+P16</f>
        <v>0</v>
      </c>
      <c r="Q18" s="189">
        <f t="shared" si="0"/>
        <v>0</v>
      </c>
      <c r="R18" s="189">
        <f t="shared" si="0"/>
        <v>0</v>
      </c>
      <c r="S18" s="189">
        <f t="shared" si="0"/>
        <v>0</v>
      </c>
      <c r="T18" s="189">
        <f t="shared" si="0"/>
        <v>0</v>
      </c>
      <c r="U18" s="189">
        <f t="shared" si="0"/>
        <v>0</v>
      </c>
      <c r="V18" s="189">
        <f t="shared" si="0"/>
        <v>0</v>
      </c>
      <c r="W18" s="189">
        <f t="shared" si="0"/>
        <v>0</v>
      </c>
      <c r="X18" s="76" t="b">
        <f>ROUND(+W18,0)=ROUND(K18,0)</f>
        <v>1</v>
      </c>
    </row>
    <row r="19" spans="1:22" s="76" customFormat="1" ht="15" customHeight="1">
      <c r="A19" s="77">
        <v>5</v>
      </c>
      <c r="D19" s="39"/>
      <c r="E19" s="39"/>
      <c r="F19" s="39"/>
      <c r="G19" s="39"/>
      <c r="H19" s="39"/>
      <c r="I19" s="39"/>
      <c r="J19" s="178"/>
      <c r="K19" s="77"/>
      <c r="L19" s="39"/>
      <c r="M19" s="77"/>
      <c r="N19" s="39"/>
      <c r="O19" s="39"/>
      <c r="P19" s="39"/>
      <c r="Q19" s="39"/>
      <c r="R19" s="39"/>
      <c r="S19" s="39"/>
      <c r="T19" s="39"/>
      <c r="U19" s="39"/>
      <c r="V19" s="39"/>
    </row>
    <row r="20" spans="1:24" s="80" customFormat="1" ht="15" customHeight="1">
      <c r="A20" s="77">
        <v>6</v>
      </c>
      <c r="C20" s="90"/>
      <c r="D20" s="86"/>
      <c r="E20" s="87">
        <v>0</v>
      </c>
      <c r="F20" s="87">
        <v>0</v>
      </c>
      <c r="G20" s="87">
        <v>0</v>
      </c>
      <c r="H20" s="87">
        <v>0</v>
      </c>
      <c r="I20" s="87">
        <f>+G20+H20</f>
        <v>0</v>
      </c>
      <c r="J20" s="175">
        <v>1</v>
      </c>
      <c r="K20" s="86">
        <f>+I20*J20</f>
        <v>0</v>
      </c>
      <c r="L20" s="87"/>
      <c r="M20" s="88"/>
      <c r="N20" s="87">
        <v>0</v>
      </c>
      <c r="O20" s="87">
        <v>0</v>
      </c>
      <c r="P20" s="87">
        <v>0</v>
      </c>
      <c r="Q20" s="87">
        <f>SUM(N20:P20)</f>
        <v>0</v>
      </c>
      <c r="R20" s="87">
        <v>0</v>
      </c>
      <c r="S20" s="87">
        <v>0</v>
      </c>
      <c r="T20" s="87">
        <f>SUM(R20:S20)</f>
        <v>0</v>
      </c>
      <c r="U20" s="87">
        <v>0</v>
      </c>
      <c r="V20" s="87">
        <v>0</v>
      </c>
      <c r="W20" s="87">
        <f>+Q20+T20+U20+V20</f>
        <v>0</v>
      </c>
      <c r="X20" s="76" t="b">
        <f>ROUND(+W20,0)=ROUND(K20,0)</f>
        <v>1</v>
      </c>
    </row>
    <row r="21" spans="1:23" s="76" customFormat="1" ht="15" customHeight="1">
      <c r="A21" s="77">
        <v>7</v>
      </c>
      <c r="D21" s="39"/>
      <c r="E21" s="160"/>
      <c r="F21" s="160"/>
      <c r="G21" s="160"/>
      <c r="H21" s="160"/>
      <c r="I21" s="160"/>
      <c r="J21" s="178"/>
      <c r="K21" s="164"/>
      <c r="L21" s="39"/>
      <c r="M21" s="77"/>
      <c r="N21" s="160"/>
      <c r="O21" s="160"/>
      <c r="P21" s="160"/>
      <c r="Q21" s="160"/>
      <c r="R21" s="160"/>
      <c r="S21" s="160"/>
      <c r="T21" s="160"/>
      <c r="U21" s="160"/>
      <c r="V21" s="160"/>
      <c r="W21" s="170"/>
    </row>
    <row r="22" spans="1:24" s="80" customFormat="1" ht="15" customHeight="1">
      <c r="A22" s="77">
        <v>8</v>
      </c>
      <c r="B22" s="101" t="s">
        <v>144</v>
      </c>
      <c r="D22" s="86" t="s">
        <v>163</v>
      </c>
      <c r="E22" s="189">
        <f>+E18+E20</f>
        <v>0</v>
      </c>
      <c r="F22" s="189">
        <f>+F18+F20</f>
        <v>0</v>
      </c>
      <c r="G22" s="189">
        <f>+G18+G20</f>
        <v>0</v>
      </c>
      <c r="H22" s="189">
        <f>+H18+H20</f>
        <v>0</v>
      </c>
      <c r="I22" s="189">
        <f>+I18+I20</f>
        <v>0</v>
      </c>
      <c r="J22" s="189"/>
      <c r="K22" s="189">
        <f>+K18+K20</f>
        <v>0</v>
      </c>
      <c r="L22" s="189"/>
      <c r="M22" s="194"/>
      <c r="N22" s="189">
        <f t="shared" si="2" ref="N22:W22">+N18+N20</f>
        <v>0</v>
      </c>
      <c r="O22" s="189">
        <f t="shared" si="2"/>
        <v>0</v>
      </c>
      <c r="P22" s="189">
        <f t="shared" si="3" ref="P22">+P18+P20</f>
        <v>0</v>
      </c>
      <c r="Q22" s="189">
        <f t="shared" si="2"/>
        <v>0</v>
      </c>
      <c r="R22" s="189">
        <f t="shared" si="2"/>
        <v>0</v>
      </c>
      <c r="S22" s="189">
        <f t="shared" si="2"/>
        <v>0</v>
      </c>
      <c r="T22" s="189">
        <f t="shared" si="2"/>
        <v>0</v>
      </c>
      <c r="U22" s="189">
        <f t="shared" si="2"/>
        <v>0</v>
      </c>
      <c r="V22" s="189">
        <f t="shared" si="4" ref="V22">+V18+V20</f>
        <v>0</v>
      </c>
      <c r="W22" s="189">
        <f t="shared" si="2"/>
        <v>0</v>
      </c>
      <c r="X22" s="76" t="b">
        <f>ROUND(+W22,0)=ROUND(K22,0)</f>
        <v>1</v>
      </c>
    </row>
    <row r="23" spans="2:23" s="76" customFormat="1" ht="12.75" customHeight="1">
      <c r="B23" s="93"/>
      <c r="D23" s="39"/>
      <c r="E23" s="39"/>
      <c r="F23" s="39"/>
      <c r="G23" s="39"/>
      <c r="H23" s="39"/>
      <c r="I23" s="39"/>
      <c r="J23" s="39"/>
      <c r="K23" s="77"/>
      <c r="L23" s="39"/>
      <c r="M23" s="81"/>
      <c r="N23" s="39"/>
      <c r="O23" s="39"/>
      <c r="P23" s="39"/>
      <c r="Q23" s="39"/>
      <c r="R23" s="92"/>
      <c r="S23" s="92"/>
      <c r="T23" s="92"/>
      <c r="U23" s="92"/>
      <c r="V23" s="92"/>
      <c r="W23" s="92"/>
    </row>
    <row r="24" spans="2:22" s="76" customFormat="1" ht="12.75" customHeight="1">
      <c r="B24" s="209" t="s">
        <v>635</v>
      </c>
      <c r="D24" s="39"/>
      <c r="E24" s="39"/>
      <c r="F24" s="39"/>
      <c r="G24" s="39"/>
      <c r="H24" s="39"/>
      <c r="I24" s="39"/>
      <c r="J24" s="39"/>
      <c r="K24" s="77"/>
      <c r="L24" s="39"/>
      <c r="M24" s="77"/>
      <c r="N24" s="39"/>
      <c r="O24" s="39"/>
      <c r="P24" s="39"/>
      <c r="Q24" s="39"/>
      <c r="R24" s="39"/>
      <c r="S24" s="39"/>
      <c r="T24" s="39"/>
      <c r="U24" s="39"/>
      <c r="V24" s="39"/>
    </row>
    <row r="25" spans="2:23" s="76" customFormat="1" ht="12.75" customHeight="1">
      <c r="B25" s="209" t="s">
        <v>636</v>
      </c>
      <c r="C25" s="94"/>
      <c r="D25" s="39"/>
      <c r="E25" s="39"/>
      <c r="F25" s="39"/>
      <c r="G25" s="39"/>
      <c r="H25" s="39"/>
      <c r="I25" s="39"/>
      <c r="J25" s="39"/>
      <c r="K25" s="77"/>
      <c r="L25" s="39"/>
      <c r="M25" s="81"/>
      <c r="N25" s="39"/>
      <c r="O25" s="39"/>
      <c r="P25" s="39"/>
      <c r="Q25" s="39"/>
      <c r="R25" s="92"/>
      <c r="S25" s="92"/>
      <c r="T25" s="92"/>
      <c r="U25" s="92"/>
      <c r="V25" s="92"/>
      <c r="W25" s="92"/>
    </row>
    <row r="27" spans="3:23" s="76" customFormat="1" ht="12.75" customHeight="1">
      <c r="C27" s="94"/>
      <c r="D27" s="39"/>
      <c r="E27" s="39"/>
      <c r="F27" s="39"/>
      <c r="G27" s="39"/>
      <c r="H27" s="39"/>
      <c r="I27" s="39"/>
      <c r="J27" s="39"/>
      <c r="K27" s="77"/>
      <c r="L27" s="39"/>
      <c r="M27" s="77"/>
      <c r="N27" s="39"/>
      <c r="O27" s="39"/>
      <c r="P27" s="39"/>
      <c r="Q27" s="39"/>
      <c r="R27" s="92"/>
      <c r="S27" s="92"/>
      <c r="T27" s="92"/>
      <c r="U27" s="92"/>
      <c r="V27" s="92"/>
      <c r="W27" s="92"/>
    </row>
    <row r="28" spans="3:23" s="76" customFormat="1" ht="12.75" customHeight="1">
      <c r="C28" s="94"/>
      <c r="D28" s="39"/>
      <c r="E28" s="39"/>
      <c r="F28" s="39"/>
      <c r="G28" s="39"/>
      <c r="H28" s="39"/>
      <c r="I28" s="39"/>
      <c r="J28" s="39"/>
      <c r="K28" s="77"/>
      <c r="L28" s="39"/>
      <c r="M28" s="77"/>
      <c r="N28" s="39"/>
      <c r="O28" s="39"/>
      <c r="P28" s="39"/>
      <c r="Q28" s="39"/>
      <c r="R28" s="92"/>
      <c r="S28" s="92"/>
      <c r="T28" s="92"/>
      <c r="U28" s="92"/>
      <c r="V28" s="92"/>
      <c r="W28" s="92"/>
    </row>
    <row r="29" spans="3:23" s="76" customFormat="1" ht="12.75" customHeight="1">
      <c r="C29" s="94"/>
      <c r="D29" s="39"/>
      <c r="E29" s="39"/>
      <c r="F29" s="39"/>
      <c r="G29" s="39"/>
      <c r="H29" s="39"/>
      <c r="I29" s="39"/>
      <c r="J29" s="39"/>
      <c r="K29" s="77"/>
      <c r="L29" s="39"/>
      <c r="M29" s="81"/>
      <c r="N29" s="39"/>
      <c r="O29" s="39"/>
      <c r="P29" s="39"/>
      <c r="Q29" s="39"/>
      <c r="R29" s="92"/>
      <c r="S29" s="92"/>
      <c r="T29" s="92"/>
      <c r="U29" s="92"/>
      <c r="V29" s="92"/>
      <c r="W29" s="92"/>
    </row>
    <row r="30" spans="3:23" s="80" customFormat="1" ht="12.75" customHeight="1">
      <c r="C30" s="90"/>
      <c r="D30" s="87"/>
      <c r="E30" s="87"/>
      <c r="F30" s="87"/>
      <c r="G30" s="87"/>
      <c r="H30" s="87"/>
      <c r="I30" s="87"/>
      <c r="J30" s="87"/>
      <c r="K30" s="88"/>
      <c r="L30" s="87"/>
      <c r="M30" s="95"/>
      <c r="N30" s="87"/>
      <c r="O30" s="87"/>
      <c r="P30" s="87"/>
      <c r="Q30" s="87"/>
      <c r="R30" s="87"/>
      <c r="S30" s="87"/>
      <c r="T30" s="87"/>
      <c r="U30" s="87"/>
      <c r="V30" s="87"/>
      <c r="W30" s="87"/>
    </row>
    <row r="31" spans="3:23" s="76" customFormat="1" ht="12.75" customHeight="1">
      <c r="C31" s="94"/>
      <c r="D31" s="39"/>
      <c r="E31" s="39"/>
      <c r="F31" s="39"/>
      <c r="G31" s="39"/>
      <c r="H31" s="39"/>
      <c r="I31" s="39"/>
      <c r="J31" s="39"/>
      <c r="K31" s="77"/>
      <c r="L31" s="39"/>
      <c r="M31" s="81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3:23" s="76" customFormat="1" ht="12.75" customHeight="1">
      <c r="C32" s="91"/>
      <c r="D32" s="39"/>
      <c r="E32" s="39"/>
      <c r="F32" s="39"/>
      <c r="G32" s="39"/>
      <c r="H32" s="39"/>
      <c r="I32" s="39"/>
      <c r="J32" s="39"/>
      <c r="K32" s="77"/>
      <c r="L32" s="39"/>
      <c r="M32" s="77"/>
      <c r="N32" s="39"/>
      <c r="O32" s="39"/>
      <c r="P32" s="39"/>
      <c r="Q32" s="39"/>
      <c r="R32" s="92"/>
      <c r="S32" s="92"/>
      <c r="T32" s="92"/>
      <c r="U32" s="92"/>
      <c r="V32" s="92"/>
      <c r="W32" s="92"/>
    </row>
    <row r="33" spans="3:23" s="76" customFormat="1" ht="12.75" customHeight="1">
      <c r="C33" s="91"/>
      <c r="D33" s="39"/>
      <c r="E33" s="39"/>
      <c r="F33" s="39"/>
      <c r="G33" s="39"/>
      <c r="H33" s="39"/>
      <c r="I33" s="39"/>
      <c r="J33" s="39"/>
      <c r="K33" s="77"/>
      <c r="L33" s="39"/>
      <c r="M33" s="77"/>
      <c r="N33" s="39"/>
      <c r="O33" s="39"/>
      <c r="P33" s="39"/>
      <c r="Q33" s="39"/>
      <c r="R33" s="92"/>
      <c r="S33" s="92"/>
      <c r="T33" s="92"/>
      <c r="U33" s="92"/>
      <c r="V33" s="92"/>
      <c r="W33" s="92"/>
    </row>
    <row r="34" spans="4:23" s="76" customFormat="1" ht="12.75" customHeight="1">
      <c r="D34" s="39"/>
      <c r="E34" s="39"/>
      <c r="F34" s="39"/>
      <c r="G34" s="39"/>
      <c r="H34" s="39"/>
      <c r="I34" s="39"/>
      <c r="J34" s="39"/>
      <c r="K34" s="77"/>
      <c r="L34" s="39"/>
      <c r="M34" s="77"/>
      <c r="N34" s="39"/>
      <c r="O34" s="39"/>
      <c r="P34" s="39"/>
      <c r="Q34" s="39"/>
      <c r="R34" s="92"/>
      <c r="S34" s="92"/>
      <c r="T34" s="92"/>
      <c r="U34" s="92"/>
      <c r="V34" s="92"/>
      <c r="W34" s="92"/>
    </row>
    <row r="35" spans="3:23" s="80" customFormat="1" ht="12.75" customHeight="1">
      <c r="C35" s="90"/>
      <c r="D35" s="87"/>
      <c r="E35" s="87"/>
      <c r="F35" s="87"/>
      <c r="G35" s="87"/>
      <c r="H35" s="87"/>
      <c r="I35" s="87"/>
      <c r="J35" s="87"/>
      <c r="K35" s="88"/>
      <c r="L35" s="87"/>
      <c r="M35" s="88"/>
      <c r="N35" s="87"/>
      <c r="O35" s="87"/>
      <c r="P35" s="87"/>
      <c r="Q35" s="87"/>
      <c r="R35" s="87"/>
      <c r="S35" s="87"/>
      <c r="T35" s="87"/>
      <c r="U35" s="87"/>
      <c r="V35" s="87"/>
      <c r="W35" s="87"/>
    </row>
    <row r="36" spans="3:23" s="76" customFormat="1" ht="12.75" customHeight="1">
      <c r="C36" s="90"/>
      <c r="D36" s="39"/>
      <c r="E36" s="39"/>
      <c r="F36" s="39"/>
      <c r="G36" s="39"/>
      <c r="H36" s="39"/>
      <c r="I36" s="39"/>
      <c r="J36" s="39"/>
      <c r="K36" s="77"/>
      <c r="L36" s="39"/>
      <c r="M36" s="77"/>
      <c r="N36" s="39"/>
      <c r="O36" s="39"/>
      <c r="P36" s="39"/>
      <c r="Q36" s="39"/>
      <c r="R36" s="39"/>
      <c r="S36" s="39"/>
      <c r="T36" s="39"/>
      <c r="U36" s="39"/>
      <c r="V36" s="39"/>
      <c r="W36" s="39"/>
    </row>
    <row r="37" spans="3:23" s="76" customFormat="1" ht="12.75" customHeight="1">
      <c r="C37" s="90"/>
      <c r="D37" s="39"/>
      <c r="E37" s="39"/>
      <c r="F37" s="39"/>
      <c r="G37" s="39"/>
      <c r="H37" s="39"/>
      <c r="I37" s="39"/>
      <c r="J37" s="39"/>
      <c r="K37" s="77"/>
      <c r="L37" s="39"/>
      <c r="M37" s="77"/>
      <c r="N37" s="39"/>
      <c r="O37" s="39"/>
      <c r="P37" s="39"/>
      <c r="Q37" s="39"/>
      <c r="R37" s="39"/>
      <c r="S37" s="39"/>
      <c r="T37" s="39"/>
      <c r="U37" s="39"/>
      <c r="V37" s="39"/>
      <c r="W37" s="39"/>
    </row>
    <row r="38" spans="4:22" s="76" customFormat="1" ht="12.75" customHeight="1">
      <c r="D38" s="39"/>
      <c r="E38" s="39"/>
      <c r="F38" s="39"/>
      <c r="G38" s="39"/>
      <c r="H38" s="39"/>
      <c r="I38" s="39"/>
      <c r="J38" s="39"/>
      <c r="K38" s="77"/>
      <c r="L38" s="39"/>
      <c r="M38" s="77"/>
      <c r="N38" s="39"/>
      <c r="O38" s="39"/>
      <c r="P38" s="39"/>
      <c r="Q38" s="39"/>
      <c r="R38" s="39"/>
      <c r="S38" s="39"/>
      <c r="T38" s="39"/>
      <c r="U38" s="39"/>
      <c r="V38" s="39"/>
    </row>
    <row r="39" spans="2:22" s="80" customFormat="1" ht="12.75" customHeight="1">
      <c r="B39" s="96"/>
      <c r="D39" s="87"/>
      <c r="E39" s="87"/>
      <c r="F39" s="87"/>
      <c r="G39" s="87"/>
      <c r="H39" s="87"/>
      <c r="I39" s="87"/>
      <c r="J39" s="87"/>
      <c r="K39" s="88"/>
      <c r="L39" s="87"/>
      <c r="M39" s="88"/>
      <c r="N39" s="87"/>
      <c r="O39" s="87"/>
      <c r="P39" s="87"/>
      <c r="Q39" s="87"/>
      <c r="R39" s="87"/>
      <c r="S39" s="87"/>
      <c r="T39" s="87"/>
      <c r="U39" s="87"/>
      <c r="V39" s="87"/>
    </row>
    <row r="40" spans="5:23" s="76" customFormat="1" ht="12.75" customHeight="1">
      <c r="E40" s="39"/>
      <c r="F40" s="39"/>
      <c r="G40" s="39"/>
      <c r="H40" s="39"/>
      <c r="I40" s="39"/>
      <c r="J40" s="39"/>
      <c r="K40" s="77"/>
      <c r="L40" s="39"/>
      <c r="M40" s="77"/>
      <c r="N40" s="39"/>
      <c r="O40" s="39"/>
      <c r="P40" s="39"/>
      <c r="Q40" s="39"/>
      <c r="R40" s="92"/>
      <c r="S40" s="92"/>
      <c r="T40" s="92"/>
      <c r="U40" s="92"/>
      <c r="V40" s="92"/>
      <c r="W40" s="92"/>
    </row>
    <row r="41" spans="4:22" s="76" customFormat="1" ht="12.75" customHeight="1"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39"/>
      <c r="S41" s="39"/>
      <c r="T41" s="39"/>
      <c r="U41" s="39"/>
      <c r="V41" s="39"/>
    </row>
    <row r="42" spans="4:23" s="76" customFormat="1" ht="12.75" customHeight="1">
      <c r="D42" s="87"/>
      <c r="E42" s="39"/>
      <c r="F42" s="39"/>
      <c r="G42" s="39"/>
      <c r="H42" s="39"/>
      <c r="I42" s="39"/>
      <c r="J42" s="39"/>
      <c r="K42" s="77"/>
      <c r="L42" s="39"/>
      <c r="M42" s="77"/>
      <c r="N42" s="39"/>
      <c r="O42" s="39"/>
      <c r="P42" s="39"/>
      <c r="Q42" s="39"/>
      <c r="R42" s="19"/>
      <c r="S42" s="19"/>
      <c r="T42" s="19"/>
      <c r="U42" s="19"/>
      <c r="V42" s="19"/>
      <c r="W42" s="19"/>
    </row>
    <row r="43" spans="4:23" s="76" customFormat="1" ht="12.75" customHeight="1">
      <c r="D43" s="39"/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19"/>
      <c r="S43" s="19"/>
      <c r="T43" s="19"/>
      <c r="U43" s="19"/>
      <c r="V43" s="19"/>
      <c r="W43" s="19"/>
    </row>
    <row r="44" spans="3:23" s="80" customFormat="1" ht="12.75" customHeight="1">
      <c r="C44" s="90"/>
      <c r="D44" s="87"/>
      <c r="E44" s="87"/>
      <c r="F44" s="87"/>
      <c r="G44" s="87"/>
      <c r="H44" s="87"/>
      <c r="I44" s="87"/>
      <c r="J44" s="87"/>
      <c r="K44" s="88"/>
      <c r="L44" s="87"/>
      <c r="M44" s="88"/>
      <c r="N44" s="87"/>
      <c r="O44" s="87"/>
      <c r="P44" s="87"/>
      <c r="Q44" s="87"/>
      <c r="R44" s="87"/>
      <c r="S44" s="87"/>
      <c r="T44" s="87"/>
      <c r="U44" s="87"/>
      <c r="V44" s="87"/>
      <c r="W44" s="87"/>
    </row>
    <row r="45" spans="4:22" s="76" customFormat="1" ht="12.75" customHeight="1">
      <c r="D45" s="39"/>
      <c r="E45" s="39"/>
      <c r="F45" s="39"/>
      <c r="G45" s="39"/>
      <c r="H45" s="39"/>
      <c r="I45" s="39"/>
      <c r="J45" s="39"/>
      <c r="K45" s="77"/>
      <c r="L45" s="39"/>
      <c r="M45" s="77"/>
      <c r="N45" s="39"/>
      <c r="O45" s="39"/>
      <c r="P45" s="39"/>
      <c r="Q45" s="39"/>
      <c r="R45" s="39"/>
      <c r="S45" s="39"/>
      <c r="T45" s="39"/>
      <c r="U45" s="39"/>
      <c r="V45" s="39"/>
    </row>
    <row r="46" spans="3:22" s="80" customFormat="1" ht="12.75" customHeight="1">
      <c r="C46" s="96"/>
      <c r="D46" s="87"/>
      <c r="E46" s="87"/>
      <c r="F46" s="97"/>
      <c r="G46" s="87"/>
      <c r="H46" s="87"/>
      <c r="I46" s="87"/>
      <c r="J46" s="87"/>
      <c r="K46" s="88"/>
      <c r="L46" s="87"/>
      <c r="M46" s="98"/>
      <c r="N46" s="87"/>
      <c r="O46" s="87"/>
      <c r="P46" s="87"/>
      <c r="Q46" s="87"/>
      <c r="R46" s="87"/>
      <c r="S46" s="87"/>
      <c r="T46" s="87"/>
      <c r="U46" s="87"/>
      <c r="V46" s="87"/>
    </row>
    <row r="47" spans="4:23" s="76" customFormat="1" ht="12.75" customHeight="1">
      <c r="D47" s="99"/>
      <c r="E47" s="39"/>
      <c r="F47" s="39"/>
      <c r="G47" s="39"/>
      <c r="H47" s="39"/>
      <c r="I47" s="39"/>
      <c r="J47" s="39"/>
      <c r="K47" s="77"/>
      <c r="L47" s="39"/>
      <c r="M47" s="77"/>
      <c r="N47" s="39"/>
      <c r="O47" s="39"/>
      <c r="P47" s="39"/>
      <c r="Q47" s="39"/>
      <c r="R47" s="92"/>
      <c r="S47" s="92"/>
      <c r="T47" s="92"/>
      <c r="U47" s="92"/>
      <c r="V47" s="92"/>
      <c r="W47" s="92"/>
    </row>
    <row r="48" spans="4:23" s="76" customFormat="1" ht="12.75" customHeight="1">
      <c r="D48" s="9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92"/>
      <c r="S48" s="92"/>
      <c r="T48" s="92"/>
      <c r="U48" s="92"/>
      <c r="V48" s="92"/>
      <c r="W48" s="92"/>
    </row>
    <row r="49" spans="4:23" s="76" customFormat="1" ht="12.75" customHeight="1">
      <c r="D49" s="99"/>
      <c r="E49" s="39"/>
      <c r="F49" s="39"/>
      <c r="G49" s="39"/>
      <c r="H49" s="39"/>
      <c r="I49" s="39"/>
      <c r="J49" s="39"/>
      <c r="K49" s="77"/>
      <c r="L49" s="39"/>
      <c r="M49" s="77"/>
      <c r="N49" s="39"/>
      <c r="O49" s="39"/>
      <c r="P49" s="39"/>
      <c r="Q49" s="39"/>
      <c r="R49" s="92"/>
      <c r="S49" s="92"/>
      <c r="T49" s="92"/>
      <c r="U49" s="92"/>
      <c r="V49" s="92"/>
      <c r="W49" s="92"/>
    </row>
    <row r="50" spans="4:23" s="76" customFormat="1" ht="12.75" customHeight="1">
      <c r="D50" s="99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92"/>
      <c r="S50" s="92"/>
      <c r="T50" s="92"/>
      <c r="U50" s="92"/>
      <c r="V50" s="92"/>
      <c r="W50" s="92"/>
    </row>
    <row r="51" spans="4:23" s="76" customFormat="1" ht="12.75" customHeight="1">
      <c r="D51" s="9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92"/>
      <c r="S51" s="92"/>
      <c r="T51" s="92"/>
      <c r="U51" s="92"/>
      <c r="V51" s="92"/>
      <c r="W51" s="92"/>
    </row>
    <row r="52" spans="4:23" s="76" customFormat="1" ht="12.75" customHeight="1">
      <c r="D52" s="9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92"/>
      <c r="S52" s="92"/>
      <c r="T52" s="92"/>
      <c r="U52" s="92"/>
      <c r="V52" s="92"/>
      <c r="W52" s="92"/>
    </row>
    <row r="53" spans="4:23" s="76" customFormat="1" ht="12.75" customHeight="1">
      <c r="D53" s="9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19"/>
      <c r="S53" s="19"/>
      <c r="T53" s="19"/>
      <c r="U53" s="19"/>
      <c r="V53" s="19"/>
      <c r="W53" s="19"/>
    </row>
    <row r="54" spans="4:23" s="76" customFormat="1" ht="12.75" customHeight="1">
      <c r="D54" s="99"/>
      <c r="E54" s="39"/>
      <c r="F54" s="39"/>
      <c r="G54" s="39"/>
      <c r="H54" s="39"/>
      <c r="I54" s="39"/>
      <c r="J54" s="39"/>
      <c r="K54" s="77"/>
      <c r="L54" s="39"/>
      <c r="M54" s="77"/>
      <c r="N54" s="39"/>
      <c r="O54" s="39"/>
      <c r="P54" s="39"/>
      <c r="Q54" s="39"/>
      <c r="R54" s="92"/>
      <c r="S54" s="92"/>
      <c r="T54" s="92"/>
      <c r="U54" s="92"/>
      <c r="V54" s="92"/>
      <c r="W54" s="92"/>
    </row>
    <row r="55" spans="4:23" s="76" customFormat="1" ht="12.75" customHeight="1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4:23" s="76" customFormat="1" ht="12.75" customHeight="1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92"/>
      <c r="S56" s="92"/>
      <c r="T56" s="92"/>
      <c r="U56" s="92"/>
      <c r="V56" s="92"/>
      <c r="W56" s="92"/>
    </row>
    <row r="57" spans="3:24" s="80" customFormat="1" ht="12.75" customHeight="1">
      <c r="C57" s="90"/>
      <c r="D57" s="97"/>
      <c r="E57" s="87"/>
      <c r="F57" s="87"/>
      <c r="G57" s="87"/>
      <c r="H57" s="87"/>
      <c r="I57" s="87"/>
      <c r="J57" s="87"/>
      <c r="K57" s="98"/>
      <c r="L57" s="87"/>
      <c r="M57" s="88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76"/>
    </row>
    <row r="58" spans="3:22" s="76" customFormat="1" ht="12.75" customHeight="1">
      <c r="C58" s="91"/>
      <c r="D58" s="99"/>
      <c r="E58" s="39"/>
      <c r="F58" s="39"/>
      <c r="G58" s="39"/>
      <c r="H58" s="39"/>
      <c r="I58" s="39"/>
      <c r="J58" s="39"/>
      <c r="K58" s="100"/>
      <c r="L58" s="39"/>
      <c r="M58" s="77"/>
      <c r="N58" s="39"/>
      <c r="O58" s="39"/>
      <c r="P58" s="39"/>
      <c r="Q58" s="39"/>
      <c r="R58" s="39"/>
      <c r="S58" s="39"/>
      <c r="T58" s="39"/>
      <c r="U58" s="39"/>
      <c r="V58" s="39"/>
    </row>
    <row r="59" spans="2:24" s="80" customFormat="1" ht="12.75" customHeight="1">
      <c r="B59" s="101"/>
      <c r="D59" s="97"/>
      <c r="E59" s="87"/>
      <c r="F59" s="87"/>
      <c r="G59" s="87"/>
      <c r="H59" s="87"/>
      <c r="I59" s="87"/>
      <c r="J59" s="87"/>
      <c r="K59" s="98"/>
      <c r="L59" s="87"/>
      <c r="M59" s="88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76"/>
    </row>
    <row r="60" spans="3:23" s="76" customFormat="1" ht="12.75" customHeight="1">
      <c r="C60" s="90"/>
      <c r="D60" s="99"/>
      <c r="E60" s="39"/>
      <c r="F60" s="39"/>
      <c r="G60" s="39"/>
      <c r="H60" s="39"/>
      <c r="I60" s="39"/>
      <c r="J60" s="39"/>
      <c r="K60" s="100"/>
      <c r="L60" s="39"/>
      <c r="M60" s="88"/>
      <c r="N60" s="39"/>
      <c r="O60" s="39"/>
      <c r="P60" s="39"/>
      <c r="Q60" s="39"/>
      <c r="R60" s="39"/>
      <c r="S60" s="39"/>
      <c r="T60" s="39"/>
      <c r="U60" s="39"/>
      <c r="V60" s="39"/>
      <c r="W60" s="39"/>
    </row>
    <row r="61" spans="3:23" s="80" customFormat="1" ht="12.75" customHeight="1">
      <c r="C61" s="90"/>
      <c r="D61" s="87"/>
      <c r="E61" s="87"/>
      <c r="F61" s="87"/>
      <c r="G61" s="87"/>
      <c r="H61" s="87"/>
      <c r="I61" s="87"/>
      <c r="J61" s="87"/>
      <c r="K61" s="98"/>
      <c r="L61" s="87"/>
      <c r="M61" s="88"/>
      <c r="N61" s="87"/>
      <c r="O61" s="87"/>
      <c r="P61" s="87"/>
      <c r="Q61" s="87"/>
      <c r="R61" s="87"/>
      <c r="S61" s="87"/>
      <c r="T61" s="87"/>
      <c r="U61" s="87"/>
      <c r="V61" s="87"/>
      <c r="W61" s="87"/>
    </row>
    <row r="62" spans="3:22" s="80" customFormat="1" ht="12.75" customHeight="1">
      <c r="C62" s="90"/>
      <c r="D62" s="97"/>
      <c r="E62" s="87"/>
      <c r="F62" s="87"/>
      <c r="G62" s="87"/>
      <c r="H62" s="87"/>
      <c r="I62" s="87"/>
      <c r="J62" s="87"/>
      <c r="K62" s="9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</row>
    <row r="63" spans="3:23" s="80" customFormat="1" ht="12.75" customHeight="1">
      <c r="C63" s="90"/>
      <c r="D63" s="87"/>
      <c r="E63" s="87"/>
      <c r="F63" s="87"/>
      <c r="G63" s="87"/>
      <c r="H63" s="87"/>
      <c r="I63" s="87"/>
      <c r="J63" s="87"/>
      <c r="K63" s="98"/>
      <c r="L63" s="87"/>
      <c r="M63" s="88"/>
      <c r="N63" s="87"/>
      <c r="O63" s="87"/>
      <c r="P63" s="87"/>
      <c r="Q63" s="87"/>
      <c r="R63" s="102"/>
      <c r="S63" s="102"/>
      <c r="T63" s="102"/>
      <c r="U63" s="102"/>
      <c r="V63" s="102"/>
      <c r="W63" s="102"/>
    </row>
    <row r="64" spans="3:22" s="80" customFormat="1" ht="12.75" customHeight="1">
      <c r="C64" s="90"/>
      <c r="D64" s="97"/>
      <c r="E64" s="87"/>
      <c r="F64" s="87"/>
      <c r="G64" s="87"/>
      <c r="H64" s="87"/>
      <c r="I64" s="87"/>
      <c r="J64" s="87"/>
      <c r="K64" s="9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</row>
    <row r="65" spans="2:23" s="80" customFormat="1" ht="12.75" customHeight="1">
      <c r="B65" s="85"/>
      <c r="C65" s="90"/>
      <c r="D65" s="97"/>
      <c r="E65" s="87"/>
      <c r="F65" s="87"/>
      <c r="G65" s="87"/>
      <c r="H65" s="87"/>
      <c r="I65" s="87"/>
      <c r="J65" s="87"/>
      <c r="K65" s="98"/>
      <c r="L65" s="87"/>
      <c r="M65" s="88"/>
      <c r="N65" s="87"/>
      <c r="O65" s="87"/>
      <c r="P65" s="87"/>
      <c r="Q65" s="87"/>
      <c r="R65" s="87"/>
      <c r="S65" s="87"/>
      <c r="T65" s="87"/>
      <c r="U65" s="87"/>
      <c r="V65" s="87"/>
      <c r="W65" s="87"/>
    </row>
    <row r="66" spans="3:22" s="76" customFormat="1" ht="12.75" customHeight="1">
      <c r="C66" s="90"/>
      <c r="D66" s="99"/>
      <c r="E66" s="39"/>
      <c r="F66" s="39"/>
      <c r="G66" s="39"/>
      <c r="H66" s="39"/>
      <c r="I66" s="39"/>
      <c r="J66" s="39"/>
      <c r="K66" s="100"/>
      <c r="L66" s="39"/>
      <c r="M66" s="88"/>
      <c r="N66" s="39"/>
      <c r="O66" s="39"/>
      <c r="P66" s="39"/>
      <c r="Q66" s="39"/>
      <c r="R66" s="39"/>
      <c r="S66" s="39"/>
      <c r="T66" s="39"/>
      <c r="U66" s="39"/>
      <c r="V66" s="39"/>
    </row>
    <row r="67" spans="3:23" s="76" customFormat="1" ht="12.75" customHeight="1">
      <c r="C67" s="90"/>
      <c r="D67" s="99"/>
      <c r="E67" s="39"/>
      <c r="F67" s="39"/>
      <c r="G67" s="39"/>
      <c r="H67" s="39"/>
      <c r="I67" s="39"/>
      <c r="J67" s="39"/>
      <c r="K67" s="77"/>
      <c r="L67" s="39"/>
      <c r="M67" s="77"/>
      <c r="N67" s="39"/>
      <c r="O67" s="39"/>
      <c r="P67" s="39"/>
      <c r="Q67" s="39"/>
      <c r="R67" s="92"/>
      <c r="S67" s="92"/>
      <c r="T67" s="92"/>
      <c r="U67" s="92"/>
      <c r="V67" s="92"/>
      <c r="W67" s="92"/>
    </row>
    <row r="68" spans="3:23" s="76" customFormat="1" ht="12.75" customHeight="1">
      <c r="C68" s="90"/>
      <c r="D68" s="99"/>
      <c r="E68" s="39"/>
      <c r="F68" s="39"/>
      <c r="G68" s="39"/>
      <c r="H68" s="39"/>
      <c r="I68" s="39"/>
      <c r="J68" s="39"/>
      <c r="K68" s="77"/>
      <c r="L68" s="39"/>
      <c r="M68" s="77"/>
      <c r="N68" s="39"/>
      <c r="O68" s="39"/>
      <c r="P68" s="39"/>
      <c r="Q68" s="39"/>
      <c r="R68" s="92"/>
      <c r="S68" s="92"/>
      <c r="T68" s="92"/>
      <c r="U68" s="92"/>
      <c r="V68" s="92"/>
      <c r="W68" s="92"/>
    </row>
    <row r="69" spans="3:22" s="76" customFormat="1" ht="12.75" customHeight="1">
      <c r="C69" s="90"/>
      <c r="D69" s="99"/>
      <c r="E69" s="39"/>
      <c r="F69" s="39"/>
      <c r="G69" s="39"/>
      <c r="H69" s="39"/>
      <c r="I69" s="39"/>
      <c r="J69" s="39"/>
      <c r="K69" s="100"/>
      <c r="L69" s="39"/>
      <c r="M69" s="88"/>
      <c r="N69" s="39"/>
      <c r="O69" s="39"/>
      <c r="P69" s="39"/>
      <c r="Q69" s="39"/>
      <c r="R69" s="39"/>
      <c r="S69" s="39"/>
      <c r="T69" s="39"/>
      <c r="U69" s="39"/>
      <c r="V69" s="39"/>
    </row>
    <row r="70" spans="3:23" s="76" customFormat="1" ht="12.75" customHeight="1">
      <c r="C70" s="103"/>
      <c r="D70" s="9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3:23" s="76" customFormat="1" ht="12.75" customHeight="1">
      <c r="C71" s="104"/>
      <c r="D71" s="99"/>
      <c r="E71" s="39"/>
      <c r="F71" s="39"/>
      <c r="G71" s="39"/>
      <c r="H71" s="39"/>
      <c r="I71" s="39"/>
      <c r="J71" s="39"/>
      <c r="K71" s="77"/>
      <c r="L71" s="39"/>
      <c r="M71" s="77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11:13" s="76" customFormat="1" ht="12.75" customHeight="1">
      <c r="K72" s="77"/>
      <c r="M72" s="77"/>
    </row>
    <row r="73" spans="11:13" s="76" customFormat="1" ht="12.75" customHeight="1">
      <c r="K73" s="77"/>
      <c r="M73" s="77"/>
    </row>
    <row r="74" spans="11:13" s="76" customFormat="1" ht="12.75" customHeight="1">
      <c r="K74" s="77"/>
      <c r="M74" s="77"/>
    </row>
    <row r="75" spans="11:13" s="76" customFormat="1" ht="12.75" customHeight="1">
      <c r="K75" s="77"/>
      <c r="M75" s="77"/>
    </row>
    <row r="76" spans="11:13" s="76" customFormat="1" ht="12.75" customHeight="1">
      <c r="K76" s="77"/>
      <c r="M76" s="77"/>
    </row>
    <row r="77" spans="11:13" s="76" customFormat="1" ht="12.75" customHeight="1">
      <c r="K77" s="77"/>
      <c r="M77" s="77"/>
    </row>
    <row r="78" spans="11:13" s="76" customFormat="1" ht="12.75" customHeight="1">
      <c r="K78" s="77"/>
      <c r="M78" s="77"/>
    </row>
    <row r="79" spans="11:13" s="76" customFormat="1" ht="12.75" customHeight="1">
      <c r="K79" s="77"/>
      <c r="M79" s="77"/>
    </row>
    <row r="80" spans="11:13" s="76" customFormat="1" ht="12.75" customHeight="1">
      <c r="K80" s="77"/>
      <c r="M80" s="77"/>
    </row>
    <row r="81" spans="11:13" s="76" customFormat="1" ht="12.75" customHeight="1">
      <c r="K81" s="77"/>
      <c r="M81" s="77"/>
    </row>
    <row r="82" spans="11:13" s="76" customFormat="1" ht="12.75" customHeight="1">
      <c r="K82" s="77"/>
      <c r="M82" s="77"/>
    </row>
    <row r="83" spans="11:13" s="76" customFormat="1" ht="12.75" customHeight="1">
      <c r="K83" s="77"/>
      <c r="M83" s="77"/>
    </row>
    <row r="84" spans="11:13" s="76" customFormat="1" ht="12.75" customHeight="1">
      <c r="K84" s="77"/>
      <c r="M84" s="77"/>
    </row>
    <row r="85" spans="11:13" s="76" customFormat="1" ht="12.75" customHeight="1">
      <c r="K85" s="77"/>
      <c r="M85" s="77"/>
    </row>
    <row r="86" spans="11:13" s="76" customFormat="1" ht="12.75" customHeight="1">
      <c r="K86" s="77"/>
      <c r="M86" s="77"/>
    </row>
    <row r="87" spans="11:13" s="76" customFormat="1" ht="12.75" customHeight="1">
      <c r="K87" s="77"/>
      <c r="M87" s="77"/>
    </row>
    <row r="88" spans="11:13" s="76" customFormat="1" ht="12.75" customHeight="1">
      <c r="K88" s="77"/>
      <c r="M88" s="77"/>
    </row>
    <row r="89" spans="11:13" s="76" customFormat="1" ht="12.75" customHeight="1">
      <c r="K89" s="77"/>
      <c r="M89" s="77"/>
    </row>
    <row r="90" spans="11:13" s="76" customFormat="1" ht="12.75" customHeight="1">
      <c r="K90" s="77"/>
      <c r="M90" s="77"/>
    </row>
    <row r="91" spans="11:13" s="76" customFormat="1" ht="12.75" customHeight="1">
      <c r="K91" s="77"/>
      <c r="M91" s="77"/>
    </row>
    <row r="92" spans="11:13" s="76" customFormat="1" ht="12.75" customHeight="1">
      <c r="K92" s="77"/>
      <c r="M92" s="77"/>
    </row>
    <row r="93" spans="11:13" s="76" customFormat="1" ht="12.75" customHeight="1">
      <c r="K93" s="77"/>
      <c r="M93" s="77"/>
    </row>
    <row r="94" spans="11:13" s="76" customFormat="1" ht="12.75" customHeight="1">
      <c r="K94" s="77"/>
      <c r="M94" s="77"/>
    </row>
    <row r="95" spans="11:13" s="76" customFormat="1" ht="12.75" customHeight="1">
      <c r="K95" s="77"/>
      <c r="M95" s="77"/>
    </row>
    <row r="96" spans="11:13" s="76" customFormat="1" ht="12.75" customHeight="1">
      <c r="K96" s="77"/>
      <c r="M96" s="77"/>
    </row>
    <row r="97" spans="11:13" s="76" customFormat="1" ht="12.75" customHeight="1">
      <c r="K97" s="77"/>
      <c r="M97" s="77"/>
    </row>
    <row r="98" spans="11:13" s="76" customFormat="1" ht="12.75" customHeight="1">
      <c r="K98" s="77"/>
      <c r="M98" s="77"/>
    </row>
    <row r="99" spans="11:13" s="76" customFormat="1" ht="12.75" customHeight="1">
      <c r="K99" s="77"/>
      <c r="M99" s="77"/>
    </row>
    <row r="100" spans="11:13" s="76" customFormat="1" ht="12.75" customHeight="1">
      <c r="K100" s="77"/>
      <c r="M100" s="77"/>
    </row>
    <row r="101" spans="11:13" s="76" customFormat="1" ht="12.75" customHeight="1">
      <c r="K101" s="77"/>
      <c r="M101" s="77"/>
    </row>
    <row r="102" spans="11:13" s="76" customFormat="1" ht="12.75" customHeight="1">
      <c r="K102" s="77"/>
      <c r="M102" s="77"/>
    </row>
    <row r="103" spans="11:13" s="76" customFormat="1" ht="12.75" customHeight="1">
      <c r="K103" s="77"/>
      <c r="M103" s="77"/>
    </row>
    <row r="104" spans="11:13" s="76" customFormat="1" ht="12.75" customHeight="1">
      <c r="K104" s="77"/>
      <c r="M104" s="77"/>
    </row>
    <row r="105" spans="11:13" s="76" customFormat="1" ht="12.75" customHeight="1">
      <c r="K105" s="77"/>
      <c r="M105" s="77"/>
    </row>
    <row r="106" spans="11:13" s="76" customFormat="1" ht="12.75" customHeight="1">
      <c r="K106" s="77"/>
      <c r="M106" s="77"/>
    </row>
    <row r="107" spans="11:13" s="76" customFormat="1" ht="12.75" customHeight="1">
      <c r="K107" s="77"/>
      <c r="M107" s="77"/>
    </row>
    <row r="108" spans="11:13" s="76" customFormat="1" ht="12.75" customHeight="1">
      <c r="K108" s="77"/>
      <c r="M108" s="77"/>
    </row>
    <row r="109" spans="11:13" s="76" customFormat="1" ht="12.75" customHeight="1">
      <c r="K109" s="77"/>
      <c r="M109" s="77"/>
    </row>
    <row r="110" spans="11:13" s="76" customFormat="1" ht="12.75" customHeight="1">
      <c r="K110" s="77"/>
      <c r="M110" s="77"/>
    </row>
    <row r="111" spans="11:13" s="76" customFormat="1" ht="12.75" customHeight="1">
      <c r="K111" s="77"/>
      <c r="M111" s="77"/>
    </row>
    <row r="112" spans="11:13" s="76" customFormat="1" ht="12.75" customHeight="1">
      <c r="K112" s="77"/>
      <c r="M112" s="77"/>
    </row>
    <row r="113" spans="11:13" s="76" customFormat="1" ht="12.75" customHeight="1">
      <c r="K113" s="77"/>
      <c r="M113" s="77"/>
    </row>
    <row r="114" spans="11:13" s="76" customFormat="1" ht="12.75" customHeight="1">
      <c r="K114" s="77"/>
      <c r="M114" s="77"/>
    </row>
    <row r="115" spans="11:13" s="76" customFormat="1" ht="12.75" customHeight="1">
      <c r="K115" s="77"/>
      <c r="M115" s="77"/>
    </row>
    <row r="116" spans="11:13" s="76" customFormat="1" ht="12.75" customHeight="1">
      <c r="K116" s="77"/>
      <c r="M116" s="77"/>
    </row>
    <row r="117" spans="11:13" s="76" customFormat="1" ht="12.75" customHeight="1">
      <c r="K117" s="77"/>
      <c r="M117" s="77"/>
    </row>
    <row r="118" spans="11:13" s="76" customFormat="1" ht="12.75" customHeight="1">
      <c r="K118" s="77"/>
      <c r="M118" s="77"/>
    </row>
    <row r="119" spans="11:13" s="76" customFormat="1" ht="12.75" customHeight="1">
      <c r="K119" s="77"/>
      <c r="M119" s="77"/>
    </row>
    <row r="120" spans="11:13" s="76" customFormat="1" ht="12.75" customHeight="1">
      <c r="K120" s="77"/>
      <c r="M120" s="77"/>
    </row>
    <row r="121" spans="11:13" s="76" customFormat="1" ht="12.75" customHeight="1">
      <c r="K121" s="77"/>
      <c r="M121" s="77"/>
    </row>
    <row r="122" spans="11:13" s="76" customFormat="1" ht="12.75" customHeight="1">
      <c r="K122" s="77"/>
      <c r="M122" s="77"/>
    </row>
    <row r="123" spans="11:13" s="76" customFormat="1" ht="12.75" customHeight="1">
      <c r="K123" s="77"/>
      <c r="M123" s="77"/>
    </row>
    <row r="124" spans="11:13" s="76" customFormat="1" ht="12.75" customHeight="1">
      <c r="K124" s="77"/>
      <c r="M124" s="77"/>
    </row>
    <row r="125" spans="11:13" s="76" customFormat="1" ht="12.75" customHeight="1">
      <c r="K125" s="77"/>
      <c r="M125" s="77"/>
    </row>
    <row r="126" spans="11:13" s="76" customFormat="1" ht="12.75" customHeight="1">
      <c r="K126" s="77"/>
      <c r="M126" s="77"/>
    </row>
    <row r="127" spans="11:13" s="76" customFormat="1" ht="12.75" customHeight="1">
      <c r="K127" s="77"/>
      <c r="M127" s="77"/>
    </row>
    <row r="128" spans="11:13" s="76" customFormat="1" ht="12.75" customHeight="1">
      <c r="K128" s="77"/>
      <c r="M128" s="77"/>
    </row>
    <row r="129" spans="11:13" s="76" customFormat="1" ht="12.75" customHeight="1">
      <c r="K129" s="77"/>
      <c r="M129" s="77"/>
    </row>
    <row r="130" spans="11:13" s="76" customFormat="1" ht="12.75" customHeight="1">
      <c r="K130" s="77"/>
      <c r="M130" s="77"/>
    </row>
    <row r="131" spans="11:13" s="76" customFormat="1" ht="12.75" customHeight="1">
      <c r="K131" s="77"/>
      <c r="M131" s="77"/>
    </row>
    <row r="132" spans="11:13" s="76" customFormat="1" ht="12.75" customHeight="1">
      <c r="K132" s="77"/>
      <c r="M132" s="77"/>
    </row>
    <row r="133" spans="11:13" s="76" customFormat="1" ht="12.75" customHeight="1">
      <c r="K133" s="77"/>
      <c r="M133" s="77"/>
    </row>
    <row r="134" spans="11:13" s="76" customFormat="1" ht="12.75" customHeight="1">
      <c r="K134" s="77"/>
      <c r="M134" s="77"/>
    </row>
    <row r="135" spans="11:13" s="76" customFormat="1" ht="12.75" customHeight="1">
      <c r="K135" s="77"/>
      <c r="M135" s="77"/>
    </row>
    <row r="136" spans="11:13" s="76" customFormat="1" ht="12.75" customHeight="1">
      <c r="K136" s="77"/>
      <c r="M136" s="77"/>
    </row>
    <row r="137" spans="11:13" s="76" customFormat="1" ht="12.75" customHeight="1">
      <c r="K137" s="77"/>
      <c r="M137" s="77"/>
    </row>
    <row r="138" spans="11:13" s="76" customFormat="1" ht="12.75" customHeight="1">
      <c r="K138" s="77"/>
      <c r="M138" s="77"/>
    </row>
    <row r="139" spans="11:13" s="76" customFormat="1" ht="12.75" customHeight="1">
      <c r="K139" s="77"/>
      <c r="M139" s="77"/>
    </row>
    <row r="140" spans="11:13" s="76" customFormat="1" ht="12.75" customHeight="1">
      <c r="K140" s="77"/>
      <c r="M140" s="77"/>
    </row>
    <row r="141" spans="11:13" s="76" customFormat="1" ht="12.75" customHeight="1">
      <c r="K141" s="77"/>
      <c r="M141" s="77"/>
    </row>
    <row r="142" spans="11:13" s="76" customFormat="1" ht="12.75" customHeight="1">
      <c r="K142" s="77"/>
      <c r="M142" s="77"/>
    </row>
    <row r="143" spans="11:13" s="76" customFormat="1" ht="12.75" customHeight="1">
      <c r="K143" s="77"/>
      <c r="M143" s="77"/>
    </row>
    <row r="144" spans="11:13" s="76" customFormat="1" ht="12.75" customHeight="1">
      <c r="K144" s="77"/>
      <c r="M144" s="77"/>
    </row>
    <row r="145" spans="11:13" s="76" customFormat="1" ht="12.75" customHeight="1">
      <c r="K145" s="77"/>
      <c r="M145" s="77"/>
    </row>
    <row r="146" spans="11:13" s="76" customFormat="1" ht="12.75" customHeight="1">
      <c r="K146" s="77"/>
      <c r="M146" s="77"/>
    </row>
    <row r="147" spans="11:13" s="76" customFormat="1" ht="12.75" customHeight="1">
      <c r="K147" s="77"/>
      <c r="M147" s="77"/>
    </row>
    <row r="148" spans="11:13" s="76" customFormat="1" ht="12.75" customHeight="1">
      <c r="K148" s="77"/>
      <c r="M148" s="77"/>
    </row>
  </sheetData>
  <printOptions horizontalCentered="1"/>
  <pageMargins left="0.5" right="0.5" top="3" bottom="0.5" header="1.5" footer="0.5"/>
  <pageSetup fitToHeight="0" fitToWidth="2" orientation="landscape" pageOrder="overThenDown" scale="65" r:id="rId1"/>
  <headerFooter alignWithMargins="0">
    <oddHeader>&amp;C&amp;B
2022 RATE CASE
ONCOR ELECTRIC DELIVERY COMPANY LLC
II-B-7   ACCUMULATED PROVISION BALANCES
TEST YEAR ENDING DECEMBER 31, 2021
SPONSOR: W. ALAN LEDBETTER&amp;R&amp;"Arial,Bold"Schedule &amp;A
Page &amp;P of &amp;N</oddHeader>
  </headerFooter>
  <colBreaks count="1" manualBreakCount="1">
    <brk id="10" min="14" max="24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7">
    <tabColor rgb="FFFF0000"/>
  </sheetPr>
  <dimension ref="A1:Y190"/>
  <sheetViews>
    <sheetView zoomScale="85" zoomScaleNormal="85" workbookViewId="0" topLeftCell="A1">
      <pane xSplit="4" ySplit="13" topLeftCell="G23" activePane="bottomRight" state="frozen"/>
      <selection pane="topLeft" activeCell="F16" sqref="F16"/>
      <selection pane="bottomLeft" activeCell="F16" sqref="F16"/>
      <selection pane="topRight" activeCell="F16" sqref="F16"/>
      <selection pane="bottomRight" activeCell="A5" sqref="A5"/>
    </sheetView>
  </sheetViews>
  <sheetFormatPr defaultColWidth="9.14428571428571" defaultRowHeight="12.75" customHeight="1"/>
  <cols>
    <col min="1" max="1" width="5.71428571428571" style="76" customWidth="1"/>
    <col min="2" max="2" width="15.1428571428571" style="78" customWidth="1"/>
    <col min="3" max="3" width="45.8571428571429" style="78" bestFit="1" customWidth="1"/>
    <col min="4" max="4" width="10.5714285714286" style="78" customWidth="1"/>
    <col min="5" max="5" width="13.7142857142857" style="78" bestFit="1" customWidth="1"/>
    <col min="6" max="6" width="17.2857142857143" style="78" bestFit="1" customWidth="1"/>
    <col min="7" max="7" width="13.7142857142857" style="78" bestFit="1" customWidth="1"/>
    <col min="8" max="8" width="13.4285714285714" style="78" bestFit="1" customWidth="1"/>
    <col min="9" max="9" width="13.7142857142857" style="78" bestFit="1" customWidth="1"/>
    <col min="10" max="10" width="10.4285714285714" style="78" bestFit="1" customWidth="1"/>
    <col min="11" max="11" width="15.8571428571429" style="82" bestFit="1" customWidth="1"/>
    <col min="12" max="12" width="3.28571428571429" style="78" bestFit="1" customWidth="1"/>
    <col min="13" max="13" width="15.5714285714286" style="82" bestFit="1" customWidth="1"/>
    <col min="14" max="22" width="12.7142857142857" style="78" customWidth="1"/>
    <col min="23" max="23" width="13.7142857142857" style="78" bestFit="1" customWidth="1"/>
    <col min="24" max="16384" width="9.14285714285714" style="78"/>
  </cols>
  <sheetData>
    <row r="1" spans="1:1" ht="12.75" customHeight="1">
      <c r="A1" s="80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Sponsors'!$A$20,'[4]Schedule Sponsors'!$B$20)</f>
        <v>II-B-8   MATERIALS AND SUPPLIES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Sponsors'!$D$20)</f>
        <v>SPONSOR: A. THENMADATHIL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2:23" ht="12.75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2:23" s="76" customFormat="1" ht="12.75" customHeight="1">
      <c r="B14" s="93"/>
      <c r="D14" s="39"/>
      <c r="E14" s="39"/>
      <c r="F14" s="39"/>
      <c r="G14" s="39"/>
      <c r="H14" s="39"/>
      <c r="I14" s="39"/>
      <c r="J14" s="39"/>
      <c r="K14" s="77"/>
      <c r="L14" s="39"/>
      <c r="M14" s="81"/>
      <c r="N14" s="39"/>
      <c r="O14" s="39"/>
      <c r="P14" s="39"/>
      <c r="Q14" s="39"/>
      <c r="R14" s="92"/>
      <c r="S14" s="92"/>
      <c r="T14" s="92"/>
      <c r="U14" s="92"/>
      <c r="V14" s="92"/>
      <c r="W14" s="92"/>
    </row>
    <row r="15" spans="1:23" s="76" customFormat="1" ht="15" customHeight="1">
      <c r="A15" s="77">
        <v>1</v>
      </c>
      <c r="B15" s="85" t="s">
        <v>101</v>
      </c>
      <c r="D15" s="39"/>
      <c r="E15" s="39"/>
      <c r="F15" s="39"/>
      <c r="G15" s="39"/>
      <c r="H15" s="39"/>
      <c r="I15" s="39"/>
      <c r="J15" s="39"/>
      <c r="K15" s="77"/>
      <c r="L15" s="39"/>
      <c r="M15" s="81"/>
      <c r="N15" s="39"/>
      <c r="O15" s="39"/>
      <c r="P15" s="39"/>
      <c r="Q15" s="39"/>
      <c r="R15" s="92"/>
      <c r="S15" s="92"/>
      <c r="T15" s="92"/>
      <c r="U15" s="92"/>
      <c r="V15" s="92"/>
      <c r="W15" s="92"/>
    </row>
    <row r="16" spans="1:13" s="76" customFormat="1" ht="15" customHeight="1">
      <c r="A16" s="77">
        <v>2</v>
      </c>
      <c r="B16" s="96" t="s">
        <v>106</v>
      </c>
      <c r="C16" s="90"/>
      <c r="K16" s="77"/>
      <c r="M16" s="77"/>
    </row>
    <row r="17" spans="1:13" s="76" customFormat="1" ht="15" customHeight="1">
      <c r="A17" s="77">
        <v>3</v>
      </c>
      <c r="B17" s="80" t="s">
        <v>141</v>
      </c>
      <c r="D17" s="86" t="s">
        <v>164</v>
      </c>
      <c r="K17" s="77"/>
      <c r="M17" s="77"/>
    </row>
    <row r="18" spans="1:23" s="76" customFormat="1" ht="15" customHeight="1">
      <c r="A18" s="77">
        <v>4</v>
      </c>
      <c r="B18" s="76" t="s">
        <v>1</v>
      </c>
      <c r="C18" s="96" t="s">
        <v>16</v>
      </c>
      <c r="E18" s="118"/>
      <c r="F18" s="39"/>
      <c r="G18" s="39"/>
      <c r="H18" s="39"/>
      <c r="I18" s="39"/>
      <c r="J18" s="123"/>
      <c r="K18" s="89"/>
      <c r="L18" s="39"/>
      <c r="M18" s="77"/>
      <c r="N18" s="39"/>
      <c r="O18" s="39"/>
      <c r="P18" s="39"/>
      <c r="Q18" s="39"/>
      <c r="R18" s="39"/>
      <c r="S18" s="39"/>
      <c r="T18" s="39"/>
      <c r="U18" s="39"/>
      <c r="V18" s="39"/>
      <c r="W18" s="19"/>
    </row>
    <row r="19" spans="1:24" s="76" customFormat="1" ht="15" customHeight="1">
      <c r="A19" s="77">
        <v>5</v>
      </c>
      <c r="C19" s="211" t="s">
        <v>340</v>
      </c>
      <c r="E19" s="190">
        <v>126963537.76000001</v>
      </c>
      <c r="F19" s="190">
        <v>0</v>
      </c>
      <c r="G19" s="190">
        <f>+E19+F19</f>
        <v>126963537.76000001</v>
      </c>
      <c r="H19" s="190">
        <v>0</v>
      </c>
      <c r="I19" s="190">
        <f>+G19+H19</f>
        <v>126963537.76000001</v>
      </c>
      <c r="J19" s="175">
        <v>1</v>
      </c>
      <c r="K19" s="190">
        <f>+I19*J19</f>
        <v>126963537.76000001</v>
      </c>
      <c r="L19" s="190"/>
      <c r="M19" s="77" t="s">
        <v>235</v>
      </c>
      <c r="N19" s="190">
        <v>69660230.349999994</v>
      </c>
      <c r="O19" s="190">
        <v>0</v>
      </c>
      <c r="P19" s="190">
        <v>0</v>
      </c>
      <c r="Q19" s="190">
        <f>SUM(N19:P19)</f>
        <v>69660230.349999994</v>
      </c>
      <c r="R19" s="190">
        <v>57222175.479999997</v>
      </c>
      <c r="S19" s="190">
        <v>0</v>
      </c>
      <c r="T19" s="190">
        <f>SUM(R19:S19)</f>
        <v>57222175.479999997</v>
      </c>
      <c r="U19" s="190">
        <v>81131.929999999993</v>
      </c>
      <c r="V19" s="190">
        <v>0</v>
      </c>
      <c r="W19" s="190">
        <f>+Q19+T19+U19+V19</f>
        <v>126963537.75999999</v>
      </c>
      <c r="X19" s="76" t="b">
        <f t="shared" si="0" ref="X19:X31">+W19=K19</f>
        <v>1</v>
      </c>
    </row>
    <row r="20" spans="1:24" s="76" customFormat="1" ht="15" customHeight="1">
      <c r="A20" s="77">
        <v>6</v>
      </c>
      <c r="C20" s="148" t="s">
        <v>341</v>
      </c>
      <c r="E20" s="118">
        <v>128988785.7</v>
      </c>
      <c r="F20" s="39">
        <v>0</v>
      </c>
      <c r="G20" s="39">
        <f t="shared" si="1" ref="G20:G31">+E20+F20</f>
        <v>128988785.7</v>
      </c>
      <c r="H20" s="118">
        <v>0</v>
      </c>
      <c r="I20" s="39">
        <f t="shared" si="2" ref="I20:I31">+G20+H20</f>
        <v>128988785.7</v>
      </c>
      <c r="J20" s="175">
        <v>1</v>
      </c>
      <c r="K20" s="149">
        <f t="shared" si="3" ref="K20:K31">+I20*J20</f>
        <v>128988785.7</v>
      </c>
      <c r="L20" s="39"/>
      <c r="M20" s="77" t="s">
        <v>235</v>
      </c>
      <c r="N20" s="118">
        <v>72969783.599999994</v>
      </c>
      <c r="O20" s="118">
        <v>0</v>
      </c>
      <c r="P20" s="118">
        <v>0</v>
      </c>
      <c r="Q20" s="118">
        <f t="shared" si="4" ref="Q20:Q31">SUM(N20:P20)</f>
        <v>72969783.599999994</v>
      </c>
      <c r="R20" s="118">
        <v>55937699.030000001</v>
      </c>
      <c r="S20" s="118">
        <v>0</v>
      </c>
      <c r="T20" s="118">
        <f t="shared" si="5" ref="T20:T31">SUM(R20:S20)</f>
        <v>55937699.030000001</v>
      </c>
      <c r="U20" s="118">
        <v>81303.070000000007</v>
      </c>
      <c r="V20" s="118">
        <v>0</v>
      </c>
      <c r="W20" s="19">
        <f t="shared" si="6" ref="W20:W31">+Q20+T20+U20+V20</f>
        <v>128988785.69999999</v>
      </c>
      <c r="X20" s="76" t="b">
        <f t="shared" si="0"/>
        <v>1</v>
      </c>
    </row>
    <row r="21" spans="1:24" s="76" customFormat="1" ht="15" customHeight="1">
      <c r="A21" s="77">
        <v>7</v>
      </c>
      <c r="C21" s="148" t="s">
        <v>342</v>
      </c>
      <c r="E21" s="118">
        <v>130563648.09</v>
      </c>
      <c r="F21" s="39">
        <v>0</v>
      </c>
      <c r="G21" s="39">
        <f t="shared" si="1"/>
        <v>130563648.09</v>
      </c>
      <c r="H21" s="118">
        <v>0</v>
      </c>
      <c r="I21" s="39">
        <f t="shared" si="2"/>
        <v>130563648.09</v>
      </c>
      <c r="J21" s="175">
        <v>1</v>
      </c>
      <c r="K21" s="149">
        <f t="shared" si="3"/>
        <v>130563648.09</v>
      </c>
      <c r="L21" s="39"/>
      <c r="M21" s="77" t="s">
        <v>235</v>
      </c>
      <c r="N21" s="118">
        <v>72322800.760000005</v>
      </c>
      <c r="O21" s="118">
        <v>0</v>
      </c>
      <c r="P21" s="118">
        <v>0</v>
      </c>
      <c r="Q21" s="118">
        <f t="shared" si="4"/>
        <v>72322800.760000005</v>
      </c>
      <c r="R21" s="118">
        <v>58171263.229999997</v>
      </c>
      <c r="S21" s="118">
        <v>0</v>
      </c>
      <c r="T21" s="118">
        <f t="shared" si="5"/>
        <v>58171263.229999997</v>
      </c>
      <c r="U21" s="118">
        <v>69584.100000000006</v>
      </c>
      <c r="V21" s="118">
        <v>0</v>
      </c>
      <c r="W21" s="19">
        <f t="shared" si="6"/>
        <v>130563648.09</v>
      </c>
      <c r="X21" s="76" t="b">
        <f t="shared" si="0"/>
        <v>1</v>
      </c>
    </row>
    <row r="22" spans="1:24" s="76" customFormat="1" ht="15" customHeight="1">
      <c r="A22" s="77">
        <v>8</v>
      </c>
      <c r="C22" s="148" t="s">
        <v>343</v>
      </c>
      <c r="E22" s="118">
        <v>131082091.09</v>
      </c>
      <c r="F22" s="39">
        <v>0</v>
      </c>
      <c r="G22" s="39">
        <f t="shared" si="1"/>
        <v>131082091.09</v>
      </c>
      <c r="H22" s="118">
        <v>0</v>
      </c>
      <c r="I22" s="39">
        <f t="shared" si="2"/>
        <v>131082091.09</v>
      </c>
      <c r="J22" s="175">
        <v>1</v>
      </c>
      <c r="K22" s="149">
        <f t="shared" si="3"/>
        <v>131082091.09</v>
      </c>
      <c r="L22" s="39"/>
      <c r="M22" s="77" t="s">
        <v>235</v>
      </c>
      <c r="N22" s="118">
        <v>71963110.239999995</v>
      </c>
      <c r="O22" s="118">
        <v>0</v>
      </c>
      <c r="P22" s="118">
        <v>0</v>
      </c>
      <c r="Q22" s="118">
        <f t="shared" si="4"/>
        <v>71963110.239999995</v>
      </c>
      <c r="R22" s="118">
        <v>59032726.780000001</v>
      </c>
      <c r="S22" s="118">
        <v>0</v>
      </c>
      <c r="T22" s="118">
        <f t="shared" si="5"/>
        <v>59032726.780000001</v>
      </c>
      <c r="U22" s="118">
        <v>86254.070000000007</v>
      </c>
      <c r="V22" s="118">
        <v>0</v>
      </c>
      <c r="W22" s="19">
        <f t="shared" si="6"/>
        <v>131082091.08999999</v>
      </c>
      <c r="X22" s="76" t="b">
        <f t="shared" si="0"/>
        <v>1</v>
      </c>
    </row>
    <row r="23" spans="1:24" s="76" customFormat="1" ht="15" customHeight="1">
      <c r="A23" s="77">
        <v>9</v>
      </c>
      <c r="C23" s="148" t="s">
        <v>435</v>
      </c>
      <c r="E23" s="118">
        <v>127826608.77</v>
      </c>
      <c r="F23" s="39">
        <v>0</v>
      </c>
      <c r="G23" s="39">
        <f t="shared" si="1"/>
        <v>127826608.77</v>
      </c>
      <c r="H23" s="118">
        <v>0</v>
      </c>
      <c r="I23" s="39">
        <f t="shared" si="2"/>
        <v>127826608.77</v>
      </c>
      <c r="J23" s="175">
        <v>1</v>
      </c>
      <c r="K23" s="149">
        <f t="shared" si="3"/>
        <v>127826608.77</v>
      </c>
      <c r="L23" s="39"/>
      <c r="M23" s="77" t="s">
        <v>235</v>
      </c>
      <c r="N23" s="118">
        <v>70284832.150000006</v>
      </c>
      <c r="O23" s="118">
        <v>0</v>
      </c>
      <c r="P23" s="118">
        <v>0</v>
      </c>
      <c r="Q23" s="118">
        <f t="shared" si="4"/>
        <v>70284832.150000006</v>
      </c>
      <c r="R23" s="118">
        <v>57455771.159999996</v>
      </c>
      <c r="S23" s="118">
        <v>0</v>
      </c>
      <c r="T23" s="118">
        <f t="shared" si="5"/>
        <v>57455771.159999996</v>
      </c>
      <c r="U23" s="118">
        <v>86005.460000000006</v>
      </c>
      <c r="V23" s="118">
        <v>0</v>
      </c>
      <c r="W23" s="19">
        <f t="shared" si="6"/>
        <v>127826608.77</v>
      </c>
      <c r="X23" s="76" t="b">
        <f t="shared" si="0"/>
        <v>1</v>
      </c>
    </row>
    <row r="24" spans="1:24" s="76" customFormat="1" ht="15" customHeight="1">
      <c r="A24" s="77">
        <v>10</v>
      </c>
      <c r="C24" s="148" t="s">
        <v>436</v>
      </c>
      <c r="E24" s="118">
        <v>128846117.42</v>
      </c>
      <c r="F24" s="39">
        <v>0</v>
      </c>
      <c r="G24" s="39">
        <f t="shared" si="1"/>
        <v>128846117.42</v>
      </c>
      <c r="H24" s="118">
        <v>0</v>
      </c>
      <c r="I24" s="39">
        <f t="shared" si="2"/>
        <v>128846117.42</v>
      </c>
      <c r="J24" s="175">
        <v>1</v>
      </c>
      <c r="K24" s="149">
        <f t="shared" si="3"/>
        <v>128846117.42</v>
      </c>
      <c r="L24" s="39"/>
      <c r="M24" s="77" t="s">
        <v>235</v>
      </c>
      <c r="N24" s="118">
        <v>70060379.909999996</v>
      </c>
      <c r="O24" s="118">
        <v>0</v>
      </c>
      <c r="P24" s="118">
        <v>0</v>
      </c>
      <c r="Q24" s="118">
        <f t="shared" si="4"/>
        <v>70060379.909999996</v>
      </c>
      <c r="R24" s="118">
        <v>58698861.509999998</v>
      </c>
      <c r="S24" s="118">
        <v>0</v>
      </c>
      <c r="T24" s="118">
        <f t="shared" si="5"/>
        <v>58698861.509999998</v>
      </c>
      <c r="U24" s="118">
        <v>86876</v>
      </c>
      <c r="V24" s="118">
        <v>0</v>
      </c>
      <c r="W24" s="19">
        <f t="shared" si="6"/>
        <v>128846117.41999999</v>
      </c>
      <c r="X24" s="76" t="b">
        <f t="shared" si="0"/>
        <v>1</v>
      </c>
    </row>
    <row r="25" spans="1:24" s="76" customFormat="1" ht="15" customHeight="1">
      <c r="A25" s="77">
        <v>11</v>
      </c>
      <c r="C25" s="148" t="s">
        <v>437</v>
      </c>
      <c r="E25" s="118">
        <v>132985180.40000001</v>
      </c>
      <c r="F25" s="39">
        <v>0</v>
      </c>
      <c r="G25" s="39">
        <f t="shared" si="1"/>
        <v>132985180.40000001</v>
      </c>
      <c r="H25" s="118">
        <v>0</v>
      </c>
      <c r="I25" s="39">
        <f t="shared" si="2"/>
        <v>132985180.40000001</v>
      </c>
      <c r="J25" s="175">
        <v>1</v>
      </c>
      <c r="K25" s="149">
        <f t="shared" si="3"/>
        <v>132985180.40000001</v>
      </c>
      <c r="L25" s="39"/>
      <c r="M25" s="77" t="s">
        <v>235</v>
      </c>
      <c r="N25" s="118">
        <v>72203629.060000002</v>
      </c>
      <c r="O25" s="118">
        <v>0</v>
      </c>
      <c r="P25" s="118">
        <v>0</v>
      </c>
      <c r="Q25" s="118">
        <f t="shared" si="4"/>
        <v>72203629.060000002</v>
      </c>
      <c r="R25" s="118">
        <v>60696152.909999996</v>
      </c>
      <c r="S25" s="118">
        <v>0</v>
      </c>
      <c r="T25" s="118">
        <f t="shared" si="5"/>
        <v>60696152.909999996</v>
      </c>
      <c r="U25" s="118">
        <v>85398.429999999993</v>
      </c>
      <c r="V25" s="118">
        <v>0</v>
      </c>
      <c r="W25" s="19">
        <f t="shared" si="6"/>
        <v>132985180.40000001</v>
      </c>
      <c r="X25" s="76" t="b">
        <f t="shared" si="0"/>
        <v>1</v>
      </c>
    </row>
    <row r="26" spans="1:24" s="76" customFormat="1" ht="15" customHeight="1">
      <c r="A26" s="77">
        <v>12</v>
      </c>
      <c r="C26" s="148" t="s">
        <v>438</v>
      </c>
      <c r="E26" s="118">
        <v>135595432.31999999</v>
      </c>
      <c r="F26" s="39">
        <v>0</v>
      </c>
      <c r="G26" s="39">
        <f t="shared" si="1"/>
        <v>135595432.31999999</v>
      </c>
      <c r="H26" s="118">
        <v>0</v>
      </c>
      <c r="I26" s="39">
        <f t="shared" si="2"/>
        <v>135595432.31999999</v>
      </c>
      <c r="J26" s="175">
        <v>1</v>
      </c>
      <c r="K26" s="149">
        <f t="shared" si="3"/>
        <v>135595432.31999999</v>
      </c>
      <c r="L26" s="39"/>
      <c r="M26" s="77" t="s">
        <v>235</v>
      </c>
      <c r="N26" s="118">
        <v>70665174.829999998</v>
      </c>
      <c r="O26" s="118">
        <v>0</v>
      </c>
      <c r="P26" s="118">
        <v>0</v>
      </c>
      <c r="Q26" s="118">
        <f t="shared" si="4"/>
        <v>70665174.829999998</v>
      </c>
      <c r="R26" s="118">
        <v>64845583.960000001</v>
      </c>
      <c r="S26" s="118">
        <v>0</v>
      </c>
      <c r="T26" s="118">
        <f t="shared" si="5"/>
        <v>64845583.960000001</v>
      </c>
      <c r="U26" s="118">
        <v>84673.529999999999</v>
      </c>
      <c r="V26" s="118">
        <v>0</v>
      </c>
      <c r="W26" s="19">
        <f t="shared" si="6"/>
        <v>135595432.31999999</v>
      </c>
      <c r="X26" s="76" t="b">
        <f t="shared" si="0"/>
        <v>1</v>
      </c>
    </row>
    <row r="27" spans="1:24" s="76" customFormat="1" ht="15" customHeight="1">
      <c r="A27" s="77">
        <v>13</v>
      </c>
      <c r="C27" s="148" t="s">
        <v>439</v>
      </c>
      <c r="E27" s="118">
        <v>137369961.27000001</v>
      </c>
      <c r="F27" s="39">
        <v>0</v>
      </c>
      <c r="G27" s="39">
        <f t="shared" si="1"/>
        <v>137369961.27000001</v>
      </c>
      <c r="H27" s="118">
        <v>0</v>
      </c>
      <c r="I27" s="39">
        <f t="shared" si="2"/>
        <v>137369961.27000001</v>
      </c>
      <c r="J27" s="175">
        <v>1</v>
      </c>
      <c r="K27" s="149">
        <f t="shared" si="3"/>
        <v>137369961.27000001</v>
      </c>
      <c r="L27" s="39"/>
      <c r="M27" s="77" t="s">
        <v>235</v>
      </c>
      <c r="N27" s="118">
        <v>70310398.140000001</v>
      </c>
      <c r="O27" s="118">
        <v>0</v>
      </c>
      <c r="P27" s="118">
        <v>0</v>
      </c>
      <c r="Q27" s="118">
        <f t="shared" si="4"/>
        <v>70310398.140000001</v>
      </c>
      <c r="R27" s="118">
        <v>66975349.310000002</v>
      </c>
      <c r="S27" s="118">
        <v>0</v>
      </c>
      <c r="T27" s="118">
        <f t="shared" si="5"/>
        <v>66975349.310000002</v>
      </c>
      <c r="U27" s="118">
        <v>84213.820000000007</v>
      </c>
      <c r="V27" s="118">
        <v>0</v>
      </c>
      <c r="W27" s="19">
        <f t="shared" si="6"/>
        <v>137369961.26999998</v>
      </c>
      <c r="X27" s="76" t="b">
        <f t="shared" si="0"/>
        <v>1</v>
      </c>
    </row>
    <row r="28" spans="1:24" s="76" customFormat="1" ht="15" customHeight="1">
      <c r="A28" s="77">
        <v>14</v>
      </c>
      <c r="C28" s="148" t="s">
        <v>440</v>
      </c>
      <c r="E28" s="118">
        <v>139547657.41999999</v>
      </c>
      <c r="F28" s="39">
        <v>0</v>
      </c>
      <c r="G28" s="39">
        <f t="shared" si="1"/>
        <v>139547657.41999999</v>
      </c>
      <c r="H28" s="118">
        <v>0</v>
      </c>
      <c r="I28" s="39">
        <f t="shared" si="2"/>
        <v>139547657.41999999</v>
      </c>
      <c r="J28" s="175">
        <v>1</v>
      </c>
      <c r="K28" s="149">
        <f t="shared" si="3"/>
        <v>139547657.41999999</v>
      </c>
      <c r="L28" s="39"/>
      <c r="M28" s="77" t="s">
        <v>235</v>
      </c>
      <c r="N28" s="118">
        <v>69204688.689999998</v>
      </c>
      <c r="O28" s="118">
        <v>0</v>
      </c>
      <c r="P28" s="118">
        <v>0</v>
      </c>
      <c r="Q28" s="118">
        <f t="shared" si="4"/>
        <v>69204688.689999998</v>
      </c>
      <c r="R28" s="118">
        <v>70258782.510000005</v>
      </c>
      <c r="S28" s="118">
        <v>0</v>
      </c>
      <c r="T28" s="118">
        <f t="shared" si="5"/>
        <v>70258782.510000005</v>
      </c>
      <c r="U28" s="118">
        <v>84186.220000000001</v>
      </c>
      <c r="V28" s="118">
        <v>0</v>
      </c>
      <c r="W28" s="19">
        <f t="shared" si="6"/>
        <v>139547657.41999999</v>
      </c>
      <c r="X28" s="76" t="b">
        <f t="shared" si="0"/>
        <v>1</v>
      </c>
    </row>
    <row r="29" spans="1:24" s="76" customFormat="1" ht="15" customHeight="1">
      <c r="A29" s="77">
        <v>15</v>
      </c>
      <c r="C29" s="148" t="s">
        <v>441</v>
      </c>
      <c r="E29" s="118">
        <v>141343341.30000001</v>
      </c>
      <c r="F29" s="39">
        <v>0</v>
      </c>
      <c r="G29" s="39">
        <f t="shared" si="1"/>
        <v>141343341.30000001</v>
      </c>
      <c r="H29" s="118">
        <v>-260.55000000000001</v>
      </c>
      <c r="I29" s="39">
        <f t="shared" si="2"/>
        <v>141343080.75</v>
      </c>
      <c r="J29" s="175">
        <v>1</v>
      </c>
      <c r="K29" s="149">
        <f t="shared" si="3"/>
        <v>141343080.75</v>
      </c>
      <c r="L29" s="39"/>
      <c r="M29" s="77" t="s">
        <v>235</v>
      </c>
      <c r="N29" s="118">
        <v>69179072.980000004</v>
      </c>
      <c r="O29" s="118">
        <v>0</v>
      </c>
      <c r="P29" s="118">
        <v>0</v>
      </c>
      <c r="Q29" s="118">
        <f t="shared" si="4"/>
        <v>69179072.980000004</v>
      </c>
      <c r="R29" s="118">
        <v>72079501.959999993</v>
      </c>
      <c r="S29" s="118">
        <v>0</v>
      </c>
      <c r="T29" s="118">
        <f t="shared" si="5"/>
        <v>72079501.959999993</v>
      </c>
      <c r="U29" s="118">
        <v>84505.809999999998</v>
      </c>
      <c r="V29" s="118">
        <v>0</v>
      </c>
      <c r="W29" s="19">
        <f t="shared" si="6"/>
        <v>141343080.75</v>
      </c>
      <c r="X29" s="76" t="b">
        <f t="shared" si="0"/>
        <v>1</v>
      </c>
    </row>
    <row r="30" spans="1:24" s="76" customFormat="1" ht="15" customHeight="1">
      <c r="A30" s="77">
        <v>16</v>
      </c>
      <c r="C30" s="148" t="s">
        <v>442</v>
      </c>
      <c r="E30" s="118">
        <v>145695331.97999999</v>
      </c>
      <c r="F30" s="39">
        <v>0</v>
      </c>
      <c r="G30" s="39">
        <f t="shared" si="1"/>
        <v>145695331.97999999</v>
      </c>
      <c r="H30" s="118">
        <v>-47619.910000000003</v>
      </c>
      <c r="I30" s="39">
        <f t="shared" si="2"/>
        <v>145647712.06999999</v>
      </c>
      <c r="J30" s="175">
        <v>1</v>
      </c>
      <c r="K30" s="149">
        <f t="shared" si="3"/>
        <v>145647712.06999999</v>
      </c>
      <c r="L30" s="39"/>
      <c r="M30" s="77" t="s">
        <v>235</v>
      </c>
      <c r="N30" s="118">
        <v>68791056.870000005</v>
      </c>
      <c r="O30" s="118">
        <v>0</v>
      </c>
      <c r="P30" s="118">
        <v>0</v>
      </c>
      <c r="Q30" s="118">
        <f t="shared" si="4"/>
        <v>68791056.870000005</v>
      </c>
      <c r="R30" s="118">
        <v>76742499.829999998</v>
      </c>
      <c r="S30" s="118">
        <v>0</v>
      </c>
      <c r="T30" s="118">
        <f t="shared" si="5"/>
        <v>76742499.829999998</v>
      </c>
      <c r="U30" s="118">
        <v>114155.37</v>
      </c>
      <c r="V30" s="118">
        <v>0</v>
      </c>
      <c r="W30" s="19">
        <f t="shared" si="6"/>
        <v>145647712.06999999</v>
      </c>
      <c r="X30" s="76" t="b">
        <f t="shared" si="0"/>
        <v>1</v>
      </c>
    </row>
    <row r="31" spans="1:24" s="76" customFormat="1" ht="15" customHeight="1">
      <c r="A31" s="77">
        <v>17</v>
      </c>
      <c r="C31" s="148" t="s">
        <v>443</v>
      </c>
      <c r="E31" s="118">
        <v>152138597.88</v>
      </c>
      <c r="F31" s="39">
        <v>0</v>
      </c>
      <c r="G31" s="39">
        <f t="shared" si="1"/>
        <v>152138597.88</v>
      </c>
      <c r="H31" s="118">
        <v>-2431379.3599999999</v>
      </c>
      <c r="I31" s="39">
        <f t="shared" si="2"/>
        <v>149707218.51999998</v>
      </c>
      <c r="J31" s="175">
        <v>1</v>
      </c>
      <c r="K31" s="149">
        <f t="shared" si="3"/>
        <v>149707218.51999998</v>
      </c>
      <c r="L31" s="39"/>
      <c r="M31" s="77" t="s">
        <v>235</v>
      </c>
      <c r="N31" s="118">
        <v>71442939.709999993</v>
      </c>
      <c r="O31" s="118">
        <v>0</v>
      </c>
      <c r="P31" s="118">
        <v>0</v>
      </c>
      <c r="Q31" s="118">
        <f t="shared" si="4"/>
        <v>71442939.709999993</v>
      </c>
      <c r="R31" s="118">
        <v>78108665.379999995</v>
      </c>
      <c r="S31" s="118">
        <v>0</v>
      </c>
      <c r="T31" s="118">
        <f t="shared" si="5"/>
        <v>78108665.379999995</v>
      </c>
      <c r="U31" s="118">
        <v>155613.42999999999</v>
      </c>
      <c r="V31" s="118">
        <v>0</v>
      </c>
      <c r="W31" s="19">
        <f t="shared" si="6"/>
        <v>149707218.51999998</v>
      </c>
      <c r="X31" s="76" t="b">
        <f t="shared" si="0"/>
        <v>1</v>
      </c>
    </row>
    <row r="32" spans="1:25" s="76" customFormat="1" ht="15" customHeight="1">
      <c r="A32" s="77">
        <v>18</v>
      </c>
      <c r="C32" s="150" t="str">
        <f>CONCATENATE("13-Month Average ",C18)</f>
        <v>13-Month Average Plant Materials and Operating Supplies</v>
      </c>
      <c r="E32" s="195">
        <f>ROUND(SUM(E19:E31)/13,2)</f>
        <v>135303560.88</v>
      </c>
      <c r="F32" s="195">
        <f>ROUND(SUM(F19:F31)/13,2)</f>
        <v>0</v>
      </c>
      <c r="G32" s="195">
        <f>ROUND(SUM(G19:G31)/13,2)</f>
        <v>135303560.88</v>
      </c>
      <c r="H32" s="195">
        <f>ROUND(SUM(H19:H31)/13,2)</f>
        <v>-190712.29000000001</v>
      </c>
      <c r="I32" s="195">
        <f>ROUND(SUM(I19:I31)/13,2)</f>
        <v>135112848.58000001</v>
      </c>
      <c r="J32" s="195"/>
      <c r="K32" s="195">
        <f>ROUND(SUM(K19:K31)/13,2)</f>
        <v>135112848.58000001</v>
      </c>
      <c r="L32" s="195"/>
      <c r="M32" s="195"/>
      <c r="N32" s="195">
        <f t="shared" si="7" ref="N32:W32">ROUND(SUM(N19:N31)/13,2)</f>
        <v>70696776.709999993</v>
      </c>
      <c r="O32" s="195">
        <f t="shared" si="7"/>
        <v>0</v>
      </c>
      <c r="P32" s="195">
        <f t="shared" si="7"/>
        <v>0</v>
      </c>
      <c r="Q32" s="195">
        <f t="shared" si="7"/>
        <v>70696776.709999993</v>
      </c>
      <c r="R32" s="195">
        <f t="shared" si="7"/>
        <v>64325002.539999999</v>
      </c>
      <c r="S32" s="195">
        <f t="shared" si="7"/>
        <v>0</v>
      </c>
      <c r="T32" s="195">
        <f t="shared" si="7"/>
        <v>64325002.539999999</v>
      </c>
      <c r="U32" s="195">
        <f t="shared" si="7"/>
        <v>91069.330000000002</v>
      </c>
      <c r="V32" s="195">
        <f t="shared" si="7"/>
        <v>0</v>
      </c>
      <c r="W32" s="195">
        <f t="shared" si="7"/>
        <v>135112848.58000001</v>
      </c>
      <c r="X32" s="76" t="b">
        <f>ROUND(+W32,2)=ROUND(K32,2)</f>
        <v>1</v>
      </c>
      <c r="Y32" s="196"/>
    </row>
    <row r="33" spans="1:23" s="76" customFormat="1" ht="15" customHeight="1">
      <c r="A33" s="77">
        <v>19</v>
      </c>
      <c r="C33" s="150"/>
      <c r="E33" s="122"/>
      <c r="F33" s="122"/>
      <c r="G33" s="122"/>
      <c r="H33" s="122"/>
      <c r="I33" s="122"/>
      <c r="J33" s="175"/>
      <c r="K33" s="122"/>
      <c r="L33" s="39"/>
      <c r="M33" s="77"/>
      <c r="N33" s="122"/>
      <c r="O33" s="122"/>
      <c r="P33" s="122"/>
      <c r="Q33" s="122"/>
      <c r="R33" s="122"/>
      <c r="S33" s="122"/>
      <c r="T33" s="122"/>
      <c r="U33" s="122"/>
      <c r="V33" s="122"/>
      <c r="W33" s="122"/>
    </row>
    <row r="34" spans="1:24" s="76" customFormat="1" ht="15" customHeight="1">
      <c r="A34" s="77">
        <v>20</v>
      </c>
      <c r="C34" s="211" t="s">
        <v>495</v>
      </c>
      <c r="E34" s="118">
        <v>0</v>
      </c>
      <c r="F34" s="118">
        <v>0</v>
      </c>
      <c r="G34" s="39">
        <f>+E34+F34</f>
        <v>0</v>
      </c>
      <c r="H34" s="118">
        <v>0</v>
      </c>
      <c r="I34" s="39">
        <f>+G34+H34</f>
        <v>0</v>
      </c>
      <c r="J34" s="175">
        <v>1</v>
      </c>
      <c r="K34" s="149">
        <f>+I34*J34</f>
        <v>0</v>
      </c>
      <c r="L34" s="39"/>
      <c r="M34" s="77"/>
      <c r="N34" s="118">
        <v>0</v>
      </c>
      <c r="O34" s="118">
        <v>0</v>
      </c>
      <c r="P34" s="118">
        <v>0</v>
      </c>
      <c r="Q34" s="118">
        <f t="shared" si="8" ref="Q34:Q36">SUM(N34:P34)</f>
        <v>0</v>
      </c>
      <c r="R34" s="118">
        <v>0</v>
      </c>
      <c r="S34" s="118">
        <v>0</v>
      </c>
      <c r="T34" s="118">
        <f>SUM(R34:S34)</f>
        <v>0</v>
      </c>
      <c r="U34" s="118">
        <v>0</v>
      </c>
      <c r="V34" s="118">
        <v>0</v>
      </c>
      <c r="W34" s="19">
        <f>+Q34+T34+U34+V34</f>
        <v>0</v>
      </c>
      <c r="X34" s="76" t="b">
        <f>+W34=K34</f>
        <v>1</v>
      </c>
    </row>
    <row r="35" spans="1:24" s="76" customFormat="1" ht="15" customHeight="1">
      <c r="A35" s="77">
        <v>21</v>
      </c>
      <c r="C35" s="211" t="s">
        <v>496</v>
      </c>
      <c r="E35" s="118">
        <v>0</v>
      </c>
      <c r="F35" s="118">
        <v>0</v>
      </c>
      <c r="G35" s="39">
        <f>+E35+F35</f>
        <v>0</v>
      </c>
      <c r="H35" s="118">
        <v>0</v>
      </c>
      <c r="I35" s="39">
        <f>+G35+H35</f>
        <v>0</v>
      </c>
      <c r="J35" s="175">
        <v>1</v>
      </c>
      <c r="K35" s="149">
        <f>+I35*J35</f>
        <v>0</v>
      </c>
      <c r="L35" s="39"/>
      <c r="M35" s="77"/>
      <c r="N35" s="118">
        <v>0</v>
      </c>
      <c r="O35" s="118">
        <v>0</v>
      </c>
      <c r="P35" s="118">
        <v>0</v>
      </c>
      <c r="Q35" s="118">
        <f t="shared" si="8"/>
        <v>0</v>
      </c>
      <c r="R35" s="118">
        <v>0</v>
      </c>
      <c r="S35" s="118">
        <v>0</v>
      </c>
      <c r="T35" s="118">
        <f t="shared" si="9" ref="T35:T36">SUM(R35:S35)</f>
        <v>0</v>
      </c>
      <c r="U35" s="118">
        <v>0</v>
      </c>
      <c r="V35" s="118">
        <v>0</v>
      </c>
      <c r="W35" s="19">
        <f t="shared" si="10" ref="W35:W36">+Q35+T35+U35+V35</f>
        <v>0</v>
      </c>
      <c r="X35" s="76" t="b">
        <f>+W35=K35</f>
        <v>1</v>
      </c>
    </row>
    <row r="36" spans="1:24" s="76" customFormat="1" ht="15" customHeight="1">
      <c r="A36" s="77">
        <v>22</v>
      </c>
      <c r="C36" s="211" t="s">
        <v>497</v>
      </c>
      <c r="E36" s="118">
        <v>0</v>
      </c>
      <c r="F36" s="118">
        <v>0</v>
      </c>
      <c r="G36" s="39">
        <f>+E36+F36</f>
        <v>0</v>
      </c>
      <c r="H36" s="118">
        <v>0</v>
      </c>
      <c r="I36" s="39">
        <f>+G36+H36</f>
        <v>0</v>
      </c>
      <c r="J36" s="175">
        <v>1</v>
      </c>
      <c r="K36" s="149">
        <f>+I36*J36</f>
        <v>0</v>
      </c>
      <c r="L36" s="39"/>
      <c r="M36" s="77"/>
      <c r="N36" s="118">
        <v>0</v>
      </c>
      <c r="O36" s="118">
        <v>0</v>
      </c>
      <c r="P36" s="118">
        <v>0</v>
      </c>
      <c r="Q36" s="118">
        <f t="shared" si="8"/>
        <v>0</v>
      </c>
      <c r="R36" s="118">
        <v>0</v>
      </c>
      <c r="S36" s="118">
        <v>0</v>
      </c>
      <c r="T36" s="118">
        <f t="shared" si="9"/>
        <v>0</v>
      </c>
      <c r="U36" s="118">
        <v>0</v>
      </c>
      <c r="V36" s="118">
        <v>0</v>
      </c>
      <c r="W36" s="19">
        <f t="shared" si="10"/>
        <v>0</v>
      </c>
      <c r="X36" s="76" t="b">
        <f>+W36=K36</f>
        <v>1</v>
      </c>
    </row>
    <row r="37" spans="1:23" s="76" customFormat="1" ht="15" customHeight="1">
      <c r="A37" s="77">
        <v>23</v>
      </c>
      <c r="C37" s="150"/>
      <c r="E37" s="122"/>
      <c r="F37" s="122"/>
      <c r="G37" s="122"/>
      <c r="H37" s="122"/>
      <c r="I37" s="122"/>
      <c r="J37" s="175"/>
      <c r="K37" s="122"/>
      <c r="L37" s="39"/>
      <c r="M37" s="77"/>
      <c r="N37" s="122"/>
      <c r="O37" s="122"/>
      <c r="P37" s="122"/>
      <c r="Q37" s="122"/>
      <c r="R37" s="122"/>
      <c r="S37" s="122"/>
      <c r="T37" s="122"/>
      <c r="U37" s="122"/>
      <c r="V37" s="122"/>
      <c r="W37" s="122"/>
    </row>
    <row r="38" spans="1:23" s="76" customFormat="1" ht="15" customHeight="1">
      <c r="A38" s="77">
        <v>24</v>
      </c>
      <c r="B38" s="76" t="s">
        <v>2</v>
      </c>
      <c r="C38" s="96" t="s">
        <v>17</v>
      </c>
      <c r="D38" s="39"/>
      <c r="E38" s="125"/>
      <c r="F38" s="127"/>
      <c r="G38" s="127"/>
      <c r="H38" s="127"/>
      <c r="I38" s="127"/>
      <c r="J38" s="175"/>
      <c r="K38" s="128"/>
      <c r="L38" s="39"/>
      <c r="M38" s="77"/>
      <c r="N38" s="127"/>
      <c r="O38" s="127"/>
      <c r="P38" s="127"/>
      <c r="Q38" s="127"/>
      <c r="R38" s="127"/>
      <c r="S38" s="127"/>
      <c r="T38" s="127"/>
      <c r="U38" s="127"/>
      <c r="V38" s="127"/>
      <c r="W38" s="126"/>
    </row>
    <row r="39" spans="1:24" s="76" customFormat="1" ht="15" customHeight="1">
      <c r="A39" s="77">
        <v>25</v>
      </c>
      <c r="C39" s="148" t="str">
        <f>+C19</f>
        <v>Balance at December 31, 2020</v>
      </c>
      <c r="E39" s="190">
        <v>17248228.91</v>
      </c>
      <c r="F39" s="190">
        <v>0</v>
      </c>
      <c r="G39" s="190">
        <f>+E39+F39</f>
        <v>17248228.91</v>
      </c>
      <c r="H39" s="190">
        <v>0</v>
      </c>
      <c r="I39" s="190">
        <f>+G39+H39</f>
        <v>17248228.91</v>
      </c>
      <c r="J39" s="175">
        <v>1</v>
      </c>
      <c r="K39" s="190">
        <f t="shared" si="11" ref="K39:K51">+I39*J39</f>
        <v>17248228.91</v>
      </c>
      <c r="L39" s="190"/>
      <c r="M39" s="77" t="s">
        <v>235</v>
      </c>
      <c r="N39" s="190">
        <v>5916186.7000000002</v>
      </c>
      <c r="O39" s="190">
        <v>0</v>
      </c>
      <c r="P39" s="190">
        <v>0</v>
      </c>
      <c r="Q39" s="190">
        <f t="shared" si="12" ref="Q39:Q51">SUM(N39:P39)</f>
        <v>5916186.7000000002</v>
      </c>
      <c r="R39" s="190">
        <v>11315997.93</v>
      </c>
      <c r="S39" s="190">
        <v>0</v>
      </c>
      <c r="T39" s="190">
        <f t="shared" si="13" ref="T39:T51">SUM(R39:S39)</f>
        <v>11315997.93</v>
      </c>
      <c r="U39" s="190">
        <v>16044.280000000001</v>
      </c>
      <c r="V39" s="190">
        <v>0</v>
      </c>
      <c r="W39" s="190">
        <f t="shared" si="14" ref="W39:W51">+Q39+T39+U39+V39</f>
        <v>17248228.91</v>
      </c>
      <c r="X39" s="76" t="b">
        <f t="shared" si="15" ref="X39:X52">+W39=K39</f>
        <v>1</v>
      </c>
    </row>
    <row r="40" spans="1:24" s="76" customFormat="1" ht="15" customHeight="1">
      <c r="A40" s="77">
        <v>26</v>
      </c>
      <c r="C40" s="148" t="str">
        <f t="shared" si="16" ref="C40:C51">+C20</f>
        <v>Balance at January 31, 2021</v>
      </c>
      <c r="D40" s="39"/>
      <c r="E40" s="118">
        <v>16924343.149999999</v>
      </c>
      <c r="F40" s="39">
        <v>0</v>
      </c>
      <c r="G40" s="39">
        <f t="shared" si="17" ref="G40:G51">+E40+F40</f>
        <v>16924343.149999999</v>
      </c>
      <c r="H40" s="118">
        <v>0</v>
      </c>
      <c r="I40" s="39">
        <f t="shared" si="18" ref="I40:I51">+G40+H40</f>
        <v>16924343.149999999</v>
      </c>
      <c r="J40" s="175">
        <v>1</v>
      </c>
      <c r="K40" s="149">
        <f t="shared" si="11"/>
        <v>16924343.149999999</v>
      </c>
      <c r="L40" s="39"/>
      <c r="M40" s="77" t="s">
        <v>235</v>
      </c>
      <c r="N40" s="118">
        <v>6173651.0099999998</v>
      </c>
      <c r="O40" s="118">
        <v>0</v>
      </c>
      <c r="P40" s="118">
        <v>0</v>
      </c>
      <c r="Q40" s="118">
        <f t="shared" si="12"/>
        <v>6173651.0099999998</v>
      </c>
      <c r="R40" s="118">
        <v>10735089.140000001</v>
      </c>
      <c r="S40" s="118">
        <v>0</v>
      </c>
      <c r="T40" s="118">
        <f t="shared" si="13"/>
        <v>10735089.140000001</v>
      </c>
      <c r="U40" s="118">
        <v>15603</v>
      </c>
      <c r="V40" s="118">
        <v>0</v>
      </c>
      <c r="W40" s="19">
        <f t="shared" si="14"/>
        <v>16924343.149999999</v>
      </c>
      <c r="X40" s="76" t="b">
        <f t="shared" si="15"/>
        <v>1</v>
      </c>
    </row>
    <row r="41" spans="1:24" s="76" customFormat="1" ht="15" customHeight="1">
      <c r="A41" s="77">
        <v>27</v>
      </c>
      <c r="C41" s="148" t="str">
        <f t="shared" si="16"/>
        <v>Balance at February 28, 2021</v>
      </c>
      <c r="D41" s="39"/>
      <c r="E41" s="118">
        <v>17517181.48</v>
      </c>
      <c r="F41" s="39">
        <v>0</v>
      </c>
      <c r="G41" s="39">
        <f t="shared" si="17"/>
        <v>17517181.48</v>
      </c>
      <c r="H41" s="118">
        <v>0</v>
      </c>
      <c r="I41" s="39">
        <f t="shared" si="18"/>
        <v>17517181.48</v>
      </c>
      <c r="J41" s="175">
        <v>1</v>
      </c>
      <c r="K41" s="149">
        <f t="shared" si="11"/>
        <v>17517181.48</v>
      </c>
      <c r="L41" s="39"/>
      <c r="M41" s="77" t="s">
        <v>235</v>
      </c>
      <c r="N41" s="118">
        <v>6171389.4000000004</v>
      </c>
      <c r="O41" s="118">
        <v>0</v>
      </c>
      <c r="P41" s="118">
        <v>0</v>
      </c>
      <c r="Q41" s="118">
        <f t="shared" si="12"/>
        <v>6171389.4000000004</v>
      </c>
      <c r="R41" s="118">
        <v>11332236.529999999</v>
      </c>
      <c r="S41" s="118">
        <v>0</v>
      </c>
      <c r="T41" s="118">
        <f t="shared" si="13"/>
        <v>11332236.529999999</v>
      </c>
      <c r="U41" s="118">
        <v>13555.549999999999</v>
      </c>
      <c r="V41" s="118">
        <v>0</v>
      </c>
      <c r="W41" s="19">
        <f t="shared" si="14"/>
        <v>17517181.48</v>
      </c>
      <c r="X41" s="76" t="b">
        <f t="shared" si="15"/>
        <v>1</v>
      </c>
    </row>
    <row r="42" spans="1:24" s="76" customFormat="1" ht="15" customHeight="1">
      <c r="A42" s="77">
        <v>28</v>
      </c>
      <c r="C42" s="148" t="str">
        <f t="shared" si="16"/>
        <v>Balance at March 31, 2021</v>
      </c>
      <c r="D42" s="39"/>
      <c r="E42" s="118">
        <v>15873440.1</v>
      </c>
      <c r="F42" s="39">
        <v>0</v>
      </c>
      <c r="G42" s="39">
        <f t="shared" si="17"/>
        <v>15873440.1</v>
      </c>
      <c r="H42" s="118">
        <v>0</v>
      </c>
      <c r="I42" s="39">
        <f t="shared" si="18"/>
        <v>15873440.1</v>
      </c>
      <c r="J42" s="175">
        <v>1</v>
      </c>
      <c r="K42" s="149">
        <f t="shared" si="11"/>
        <v>15873440.1</v>
      </c>
      <c r="L42" s="39"/>
      <c r="M42" s="77" t="s">
        <v>235</v>
      </c>
      <c r="N42" s="118">
        <v>5961363.0800000001</v>
      </c>
      <c r="O42" s="118">
        <v>0</v>
      </c>
      <c r="P42" s="118">
        <v>0</v>
      </c>
      <c r="Q42" s="118">
        <f t="shared" si="12"/>
        <v>5961363.0800000001</v>
      </c>
      <c r="R42" s="118">
        <v>9897615.3900000006</v>
      </c>
      <c r="S42" s="118">
        <v>0</v>
      </c>
      <c r="T42" s="118">
        <f t="shared" si="13"/>
        <v>9897615.3900000006</v>
      </c>
      <c r="U42" s="118">
        <v>14461.629999999999</v>
      </c>
      <c r="V42" s="118">
        <v>0</v>
      </c>
      <c r="W42" s="19">
        <f t="shared" si="14"/>
        <v>15873440.100000002</v>
      </c>
      <c r="X42" s="76" t="b">
        <f t="shared" si="15"/>
        <v>1</v>
      </c>
    </row>
    <row r="43" spans="1:24" s="76" customFormat="1" ht="15" customHeight="1">
      <c r="A43" s="77">
        <v>29</v>
      </c>
      <c r="C43" s="148" t="str">
        <f t="shared" si="16"/>
        <v>Balance at April 30, 2021</v>
      </c>
      <c r="D43" s="39"/>
      <c r="E43" s="118">
        <v>15810483.44</v>
      </c>
      <c r="F43" s="39">
        <v>0</v>
      </c>
      <c r="G43" s="39">
        <f t="shared" si="17"/>
        <v>15810483.44</v>
      </c>
      <c r="H43" s="118">
        <v>0</v>
      </c>
      <c r="I43" s="39">
        <f t="shared" si="18"/>
        <v>15810483.44</v>
      </c>
      <c r="J43" s="175">
        <v>1</v>
      </c>
      <c r="K43" s="149">
        <f t="shared" si="11"/>
        <v>15810483.44</v>
      </c>
      <c r="L43" s="39"/>
      <c r="M43" s="77" t="s">
        <v>235</v>
      </c>
      <c r="N43" s="118">
        <v>5761282.29</v>
      </c>
      <c r="O43" s="118">
        <v>0</v>
      </c>
      <c r="P43" s="118">
        <v>0</v>
      </c>
      <c r="Q43" s="118">
        <f t="shared" si="12"/>
        <v>5761282.29</v>
      </c>
      <c r="R43" s="118">
        <v>10034181</v>
      </c>
      <c r="S43" s="118">
        <v>0</v>
      </c>
      <c r="T43" s="118">
        <f t="shared" si="13"/>
        <v>10034181</v>
      </c>
      <c r="U43" s="118">
        <v>15020.15</v>
      </c>
      <c r="V43" s="118">
        <v>0</v>
      </c>
      <c r="W43" s="19">
        <f t="shared" si="14"/>
        <v>15810483.44</v>
      </c>
      <c r="X43" s="76" t="b">
        <f t="shared" si="15"/>
        <v>1</v>
      </c>
    </row>
    <row r="44" spans="1:24" s="76" customFormat="1" ht="15" customHeight="1">
      <c r="A44" s="77">
        <v>30</v>
      </c>
      <c r="C44" s="148" t="str">
        <f t="shared" si="16"/>
        <v>Balance at May 31, 2021</v>
      </c>
      <c r="D44" s="39"/>
      <c r="E44" s="118">
        <v>15691295.130000001</v>
      </c>
      <c r="F44" s="39">
        <v>0</v>
      </c>
      <c r="G44" s="39">
        <f t="shared" si="17"/>
        <v>15691295.130000001</v>
      </c>
      <c r="H44" s="118">
        <v>0</v>
      </c>
      <c r="I44" s="39">
        <f t="shared" si="18"/>
        <v>15691295.130000001</v>
      </c>
      <c r="J44" s="175">
        <v>1</v>
      </c>
      <c r="K44" s="149">
        <f t="shared" si="11"/>
        <v>15691295.130000001</v>
      </c>
      <c r="L44" s="39"/>
      <c r="M44" s="77" t="s">
        <v>235</v>
      </c>
      <c r="N44" s="118">
        <v>6114536.6100000003</v>
      </c>
      <c r="O44" s="118">
        <v>0</v>
      </c>
      <c r="P44" s="118">
        <v>0</v>
      </c>
      <c r="Q44" s="118">
        <f t="shared" si="12"/>
        <v>6114536.6100000003</v>
      </c>
      <c r="R44" s="118">
        <v>9562605.5899999999</v>
      </c>
      <c r="S44" s="118">
        <v>0</v>
      </c>
      <c r="T44" s="118">
        <f t="shared" si="13"/>
        <v>9562605.5899999999</v>
      </c>
      <c r="U44" s="118">
        <v>14152.93</v>
      </c>
      <c r="V44" s="118">
        <v>0</v>
      </c>
      <c r="W44" s="19">
        <f t="shared" si="14"/>
        <v>15691295.129999999</v>
      </c>
      <c r="X44" s="76" t="b">
        <f t="shared" si="15"/>
        <v>1</v>
      </c>
    </row>
    <row r="45" spans="1:24" s="76" customFormat="1" ht="15" customHeight="1">
      <c r="A45" s="77">
        <v>31</v>
      </c>
      <c r="C45" s="148" t="str">
        <f t="shared" si="16"/>
        <v>Balance at June 30, 2021</v>
      </c>
      <c r="D45" s="39"/>
      <c r="E45" s="118">
        <v>16298416.98</v>
      </c>
      <c r="F45" s="39">
        <v>0</v>
      </c>
      <c r="G45" s="39">
        <f t="shared" si="17"/>
        <v>16298416.98</v>
      </c>
      <c r="H45" s="118">
        <v>0</v>
      </c>
      <c r="I45" s="39">
        <f t="shared" si="18"/>
        <v>16298416.98</v>
      </c>
      <c r="J45" s="175">
        <v>1</v>
      </c>
      <c r="K45" s="149">
        <f t="shared" si="11"/>
        <v>16298416.98</v>
      </c>
      <c r="L45" s="39"/>
      <c r="M45" s="77" t="s">
        <v>235</v>
      </c>
      <c r="N45" s="118">
        <v>6894633.2699999996</v>
      </c>
      <c r="O45" s="118">
        <v>0</v>
      </c>
      <c r="P45" s="118">
        <v>0</v>
      </c>
      <c r="Q45" s="118">
        <f t="shared" si="12"/>
        <v>6894633.2699999996</v>
      </c>
      <c r="R45" s="118">
        <v>9390571.3399999999</v>
      </c>
      <c r="S45" s="118">
        <v>0</v>
      </c>
      <c r="T45" s="118">
        <f t="shared" si="13"/>
        <v>9390571.3399999999</v>
      </c>
      <c r="U45" s="118">
        <v>13212.370000000001</v>
      </c>
      <c r="V45" s="118">
        <v>0</v>
      </c>
      <c r="W45" s="19">
        <f t="shared" si="14"/>
        <v>16298416.979999999</v>
      </c>
      <c r="X45" s="76" t="b">
        <f t="shared" si="15"/>
        <v>1</v>
      </c>
    </row>
    <row r="46" spans="1:24" s="76" customFormat="1" ht="15" customHeight="1">
      <c r="A46" s="77">
        <v>32</v>
      </c>
      <c r="C46" s="148" t="str">
        <f t="shared" si="16"/>
        <v>Balance at July 31, 2021</v>
      </c>
      <c r="D46" s="39"/>
      <c r="E46" s="118">
        <v>16561179.58</v>
      </c>
      <c r="F46" s="39">
        <v>0</v>
      </c>
      <c r="G46" s="39">
        <f t="shared" si="17"/>
        <v>16561179.58</v>
      </c>
      <c r="H46" s="118">
        <v>0</v>
      </c>
      <c r="I46" s="39">
        <f t="shared" si="18"/>
        <v>16561179.58</v>
      </c>
      <c r="J46" s="175">
        <v>1</v>
      </c>
      <c r="K46" s="149">
        <f t="shared" si="11"/>
        <v>16561179.58</v>
      </c>
      <c r="L46" s="39"/>
      <c r="M46" s="77" t="s">
        <v>235</v>
      </c>
      <c r="N46" s="118">
        <v>7270990.9100000001</v>
      </c>
      <c r="O46" s="118">
        <v>0</v>
      </c>
      <c r="P46" s="118">
        <v>0</v>
      </c>
      <c r="Q46" s="118">
        <f t="shared" si="12"/>
        <v>7270990.9100000001</v>
      </c>
      <c r="R46" s="118">
        <v>9278073.6199999992</v>
      </c>
      <c r="S46" s="118">
        <v>0</v>
      </c>
      <c r="T46" s="118">
        <f t="shared" si="13"/>
        <v>9278073.6199999992</v>
      </c>
      <c r="U46" s="118">
        <v>12115.049999999999</v>
      </c>
      <c r="V46" s="118">
        <v>0</v>
      </c>
      <c r="W46" s="19">
        <f t="shared" si="14"/>
        <v>16561179.58</v>
      </c>
      <c r="X46" s="76" t="b">
        <f t="shared" si="15"/>
        <v>1</v>
      </c>
    </row>
    <row r="47" spans="1:24" s="76" customFormat="1" ht="15" customHeight="1">
      <c r="A47" s="77">
        <v>33</v>
      </c>
      <c r="C47" s="148" t="str">
        <f t="shared" si="16"/>
        <v>Balance at August 31, 2021</v>
      </c>
      <c r="D47" s="39"/>
      <c r="E47" s="118">
        <v>17010217.73</v>
      </c>
      <c r="F47" s="39">
        <v>0</v>
      </c>
      <c r="G47" s="39">
        <f t="shared" si="17"/>
        <v>17010217.73</v>
      </c>
      <c r="H47" s="118">
        <v>0</v>
      </c>
      <c r="I47" s="39">
        <f t="shared" si="18"/>
        <v>17010217.73</v>
      </c>
      <c r="J47" s="175">
        <v>1</v>
      </c>
      <c r="K47" s="149">
        <f t="shared" si="11"/>
        <v>17010217.73</v>
      </c>
      <c r="L47" s="39"/>
      <c r="M47" s="77" t="s">
        <v>235</v>
      </c>
      <c r="N47" s="118">
        <v>7040684.6900000004</v>
      </c>
      <c r="O47" s="118">
        <v>0</v>
      </c>
      <c r="P47" s="118">
        <v>0</v>
      </c>
      <c r="Q47" s="118">
        <f t="shared" si="12"/>
        <v>7040684.6900000004</v>
      </c>
      <c r="R47" s="118">
        <v>9957013.2400000002</v>
      </c>
      <c r="S47" s="118">
        <v>0</v>
      </c>
      <c r="T47" s="118">
        <f t="shared" si="13"/>
        <v>9957013.2400000002</v>
      </c>
      <c r="U47" s="118">
        <v>12519.799999999999</v>
      </c>
      <c r="V47" s="118">
        <v>0</v>
      </c>
      <c r="W47" s="19">
        <f t="shared" si="14"/>
        <v>17010217.73</v>
      </c>
      <c r="X47" s="76" t="b">
        <f t="shared" si="15"/>
        <v>1</v>
      </c>
    </row>
    <row r="48" spans="1:24" s="76" customFormat="1" ht="15" customHeight="1">
      <c r="A48" s="77">
        <v>34</v>
      </c>
      <c r="C48" s="148" t="str">
        <f t="shared" si="16"/>
        <v>Balance at September 30, 2021</v>
      </c>
      <c r="D48" s="39"/>
      <c r="E48" s="118">
        <v>17297600.469999999</v>
      </c>
      <c r="F48" s="39">
        <v>0</v>
      </c>
      <c r="G48" s="39">
        <f t="shared" si="17"/>
        <v>17297600.469999999</v>
      </c>
      <c r="H48" s="118">
        <v>0</v>
      </c>
      <c r="I48" s="39">
        <f t="shared" si="18"/>
        <v>17297600.469999999</v>
      </c>
      <c r="J48" s="175">
        <v>1</v>
      </c>
      <c r="K48" s="149">
        <f t="shared" si="11"/>
        <v>17297600.469999999</v>
      </c>
      <c r="L48" s="39"/>
      <c r="M48" s="77" t="s">
        <v>235</v>
      </c>
      <c r="N48" s="118">
        <v>7106273.0999999996</v>
      </c>
      <c r="O48" s="118">
        <v>0</v>
      </c>
      <c r="P48" s="118">
        <v>0</v>
      </c>
      <c r="Q48" s="118">
        <f t="shared" si="12"/>
        <v>7106273.0999999996</v>
      </c>
      <c r="R48" s="118">
        <v>10179130.42</v>
      </c>
      <c r="S48" s="118">
        <v>0</v>
      </c>
      <c r="T48" s="118">
        <f t="shared" si="13"/>
        <v>10179130.42</v>
      </c>
      <c r="U48" s="118">
        <v>12196.950000000001</v>
      </c>
      <c r="V48" s="118">
        <v>0</v>
      </c>
      <c r="W48" s="19">
        <f t="shared" si="14"/>
        <v>17297600.469999999</v>
      </c>
      <c r="X48" s="76" t="b">
        <f t="shared" si="15"/>
        <v>1</v>
      </c>
    </row>
    <row r="49" spans="1:24" s="76" customFormat="1" ht="15" customHeight="1">
      <c r="A49" s="77">
        <v>35</v>
      </c>
      <c r="C49" s="148" t="str">
        <f t="shared" si="16"/>
        <v>Balance at October 31, 2021</v>
      </c>
      <c r="D49" s="39"/>
      <c r="E49" s="118">
        <v>17084585.609999999</v>
      </c>
      <c r="F49" s="39">
        <v>0</v>
      </c>
      <c r="G49" s="39">
        <f t="shared" si="17"/>
        <v>17084585.609999999</v>
      </c>
      <c r="H49" s="118">
        <v>0</v>
      </c>
      <c r="I49" s="39">
        <f t="shared" si="18"/>
        <v>17084585.609999999</v>
      </c>
      <c r="J49" s="175">
        <v>1</v>
      </c>
      <c r="K49" s="149">
        <f t="shared" si="11"/>
        <v>17084585.609999999</v>
      </c>
      <c r="L49" s="39"/>
      <c r="M49" s="77" t="s">
        <v>235</v>
      </c>
      <c r="N49" s="118">
        <v>6865542.3899999997</v>
      </c>
      <c r="O49" s="118">
        <v>0</v>
      </c>
      <c r="P49" s="118">
        <v>0</v>
      </c>
      <c r="Q49" s="118">
        <f t="shared" si="12"/>
        <v>6865542.3899999997</v>
      </c>
      <c r="R49" s="118">
        <v>10207076.470000001</v>
      </c>
      <c r="S49" s="118">
        <v>0</v>
      </c>
      <c r="T49" s="118">
        <f t="shared" si="13"/>
        <v>10207076.470000001</v>
      </c>
      <c r="U49" s="118">
        <v>11966.75</v>
      </c>
      <c r="V49" s="118">
        <v>0</v>
      </c>
      <c r="W49" s="19">
        <f t="shared" si="14"/>
        <v>17084585.609999999</v>
      </c>
      <c r="X49" s="76" t="b">
        <f t="shared" si="15"/>
        <v>1</v>
      </c>
    </row>
    <row r="50" spans="1:24" s="76" customFormat="1" ht="15" customHeight="1">
      <c r="A50" s="77">
        <v>36</v>
      </c>
      <c r="C50" s="148" t="str">
        <f t="shared" si="16"/>
        <v>Balance at November 30, 2021</v>
      </c>
      <c r="D50" s="39"/>
      <c r="E50" s="118">
        <v>17367919.260000002</v>
      </c>
      <c r="F50" s="39">
        <v>0</v>
      </c>
      <c r="G50" s="39">
        <f t="shared" si="17"/>
        <v>17367919.260000002</v>
      </c>
      <c r="H50" s="118">
        <v>0</v>
      </c>
      <c r="I50" s="39">
        <f t="shared" si="18"/>
        <v>17367919.260000002</v>
      </c>
      <c r="J50" s="175">
        <v>1</v>
      </c>
      <c r="K50" s="149">
        <f t="shared" si="11"/>
        <v>17367919.260000002</v>
      </c>
      <c r="L50" s="39"/>
      <c r="M50" s="77" t="s">
        <v>235</v>
      </c>
      <c r="N50" s="118">
        <v>7227231.54</v>
      </c>
      <c r="O50" s="118">
        <v>0</v>
      </c>
      <c r="P50" s="118">
        <v>0</v>
      </c>
      <c r="Q50" s="118">
        <f t="shared" si="12"/>
        <v>7227231.54</v>
      </c>
      <c r="R50" s="118">
        <v>10125625.73</v>
      </c>
      <c r="S50" s="118">
        <v>0</v>
      </c>
      <c r="T50" s="118">
        <f t="shared" si="13"/>
        <v>10125625.73</v>
      </c>
      <c r="U50" s="118">
        <v>15061.99</v>
      </c>
      <c r="V50" s="118">
        <v>0</v>
      </c>
      <c r="W50" s="19">
        <f t="shared" si="14"/>
        <v>17367919.259999998</v>
      </c>
      <c r="X50" s="76" t="b">
        <f t="shared" si="15"/>
        <v>1</v>
      </c>
    </row>
    <row r="51" spans="1:24" s="76" customFormat="1" ht="15" customHeight="1">
      <c r="A51" s="77">
        <v>37</v>
      </c>
      <c r="C51" s="148" t="str">
        <f t="shared" si="16"/>
        <v>Balance at December 31, 2021</v>
      </c>
      <c r="D51" s="39"/>
      <c r="E51" s="118">
        <v>19351707.780000001</v>
      </c>
      <c r="F51" s="39">
        <v>0</v>
      </c>
      <c r="G51" s="39">
        <f t="shared" si="17"/>
        <v>19351707.780000001</v>
      </c>
      <c r="H51" s="118">
        <v>0</v>
      </c>
      <c r="I51" s="39">
        <f t="shared" si="18"/>
        <v>19351707.780000001</v>
      </c>
      <c r="J51" s="175">
        <v>1</v>
      </c>
      <c r="K51" s="149">
        <f t="shared" si="11"/>
        <v>19351707.780000001</v>
      </c>
      <c r="L51" s="39"/>
      <c r="M51" s="77" t="s">
        <v>235</v>
      </c>
      <c r="N51" s="118">
        <v>6591328.2999999998</v>
      </c>
      <c r="O51" s="118">
        <v>0</v>
      </c>
      <c r="P51" s="118">
        <v>0</v>
      </c>
      <c r="Q51" s="118">
        <f t="shared" si="12"/>
        <v>6591328.2999999998</v>
      </c>
      <c r="R51" s="118">
        <v>12735007.93</v>
      </c>
      <c r="S51" s="118">
        <v>0</v>
      </c>
      <c r="T51" s="118">
        <f t="shared" si="13"/>
        <v>12735007.93</v>
      </c>
      <c r="U51" s="118">
        <v>25371.549999999999</v>
      </c>
      <c r="V51" s="118">
        <v>0</v>
      </c>
      <c r="W51" s="19">
        <f t="shared" si="14"/>
        <v>19351707.780000001</v>
      </c>
      <c r="X51" s="76" t="b">
        <f t="shared" si="15"/>
        <v>1</v>
      </c>
    </row>
    <row r="52" spans="1:24" s="76" customFormat="1" ht="15" customHeight="1">
      <c r="A52" s="77">
        <v>38</v>
      </c>
      <c r="C52" s="150" t="str">
        <f>CONCATENATE("13-Month Average ",C38)</f>
        <v>13-Month Average Stores Expense Undistributed</v>
      </c>
      <c r="E52" s="195">
        <f>ROUND(SUM(E39:E51)/13,2)</f>
        <v>16925892.280000001</v>
      </c>
      <c r="F52" s="195">
        <f>ROUND(SUM(F39:F51)/13,2)</f>
        <v>0</v>
      </c>
      <c r="G52" s="195">
        <f>ROUND(SUM(G39:G51)/13,2)</f>
        <v>16925892.280000001</v>
      </c>
      <c r="H52" s="195">
        <f>ROUND(SUM(H39:H51)/13,2)</f>
        <v>0</v>
      </c>
      <c r="I52" s="195">
        <f>ROUND(SUM(I39:I51)/13,2)</f>
        <v>16925892.280000001</v>
      </c>
      <c r="J52" s="195"/>
      <c r="K52" s="195">
        <f>ROUND(SUM(K39:K51)/13,2)</f>
        <v>16925892.280000001</v>
      </c>
      <c r="L52" s="195"/>
      <c r="M52" s="195"/>
      <c r="N52" s="195">
        <f t="shared" si="19" ref="N52:W52">ROUND(SUM(N39:N51)/13,2)</f>
        <v>6545776.4100000001</v>
      </c>
      <c r="O52" s="195">
        <f t="shared" si="19"/>
        <v>0</v>
      </c>
      <c r="P52" s="195">
        <f t="shared" si="19"/>
        <v>0</v>
      </c>
      <c r="Q52" s="195">
        <f t="shared" si="19"/>
        <v>6545776.4100000001</v>
      </c>
      <c r="R52" s="195">
        <f t="shared" si="19"/>
        <v>10365401.869999999</v>
      </c>
      <c r="S52" s="195">
        <f t="shared" si="19"/>
        <v>0</v>
      </c>
      <c r="T52" s="195">
        <f t="shared" si="19"/>
        <v>10365401.869999999</v>
      </c>
      <c r="U52" s="195">
        <f t="shared" si="19"/>
        <v>14714</v>
      </c>
      <c r="V52" s="195">
        <f t="shared" si="19"/>
        <v>0</v>
      </c>
      <c r="W52" s="195">
        <f t="shared" si="19"/>
        <v>16925892.280000001</v>
      </c>
      <c r="X52" s="76" t="b">
        <f t="shared" si="15"/>
        <v>1</v>
      </c>
    </row>
    <row r="53" spans="1:23" s="76" customFormat="1" ht="15" customHeight="1">
      <c r="A53" s="77">
        <v>39</v>
      </c>
      <c r="D53" s="39"/>
      <c r="E53" s="39"/>
      <c r="F53" s="39"/>
      <c r="G53" s="39"/>
      <c r="H53" s="39"/>
      <c r="I53" s="39"/>
      <c r="J53" s="178"/>
      <c r="K53" s="77"/>
      <c r="L53" s="39"/>
      <c r="M53" s="77"/>
      <c r="N53" s="39"/>
      <c r="O53" s="39"/>
      <c r="P53" s="39"/>
      <c r="Q53" s="39"/>
      <c r="R53" s="19"/>
      <c r="S53" s="19"/>
      <c r="T53" s="19"/>
      <c r="U53" s="19"/>
      <c r="V53" s="39"/>
      <c r="W53" s="19"/>
    </row>
    <row r="54" spans="1:24" s="76" customFormat="1" ht="15" customHeight="1">
      <c r="A54" s="77">
        <v>40</v>
      </c>
      <c r="C54" s="148" t="str">
        <f>+C34</f>
        <v>Balance at January 31, 2022</v>
      </c>
      <c r="D54" s="39"/>
      <c r="E54" s="118">
        <v>0</v>
      </c>
      <c r="F54" s="39">
        <v>0</v>
      </c>
      <c r="G54" s="39">
        <f>+E54+F54</f>
        <v>0</v>
      </c>
      <c r="H54" s="39">
        <v>0</v>
      </c>
      <c r="I54" s="39">
        <f>+G54+H54</f>
        <v>0</v>
      </c>
      <c r="J54" s="175">
        <v>1</v>
      </c>
      <c r="K54" s="149">
        <f>+I54*J54</f>
        <v>0</v>
      </c>
      <c r="L54" s="39"/>
      <c r="M54" s="77"/>
      <c r="N54" s="39">
        <v>0</v>
      </c>
      <c r="O54" s="39">
        <v>0</v>
      </c>
      <c r="P54" s="39">
        <v>0</v>
      </c>
      <c r="Q54" s="39">
        <f>SUM(N54:P54)</f>
        <v>0</v>
      </c>
      <c r="R54" s="39">
        <v>0</v>
      </c>
      <c r="S54" s="39">
        <v>0</v>
      </c>
      <c r="T54" s="39">
        <f t="shared" si="20" ref="T54:T56">SUM(R54:S54)</f>
        <v>0</v>
      </c>
      <c r="U54" s="39">
        <v>0</v>
      </c>
      <c r="V54" s="39">
        <v>0</v>
      </c>
      <c r="W54" s="19">
        <f t="shared" si="21" ref="W54:W56">+Q54+T54+U54+V54</f>
        <v>0</v>
      </c>
      <c r="X54" s="76" t="b">
        <f>+W54=K54</f>
        <v>1</v>
      </c>
    </row>
    <row r="55" spans="1:24" s="76" customFormat="1" ht="15" customHeight="1">
      <c r="A55" s="77">
        <v>41</v>
      </c>
      <c r="C55" s="148" t="str">
        <f>+C35</f>
        <v>Balance at February 28, 2022</v>
      </c>
      <c r="D55" s="39"/>
      <c r="E55" s="118">
        <v>0</v>
      </c>
      <c r="F55" s="39">
        <v>0</v>
      </c>
      <c r="G55" s="39">
        <f>+E55+F55</f>
        <v>0</v>
      </c>
      <c r="H55" s="39">
        <v>0</v>
      </c>
      <c r="I55" s="39">
        <f>+G55+H55</f>
        <v>0</v>
      </c>
      <c r="J55" s="175">
        <v>1</v>
      </c>
      <c r="K55" s="149">
        <f>+I55*J55</f>
        <v>0</v>
      </c>
      <c r="L55" s="39"/>
      <c r="M55" s="77"/>
      <c r="N55" s="39">
        <v>0</v>
      </c>
      <c r="O55" s="39">
        <v>0</v>
      </c>
      <c r="P55" s="39">
        <v>0</v>
      </c>
      <c r="Q55" s="39">
        <f>SUM(N55:P55)</f>
        <v>0</v>
      </c>
      <c r="R55" s="39">
        <v>0</v>
      </c>
      <c r="S55" s="39">
        <v>0</v>
      </c>
      <c r="T55" s="39">
        <f t="shared" si="20"/>
        <v>0</v>
      </c>
      <c r="U55" s="39">
        <v>0</v>
      </c>
      <c r="V55" s="39">
        <v>0</v>
      </c>
      <c r="W55" s="19">
        <f t="shared" si="21"/>
        <v>0</v>
      </c>
      <c r="X55" s="76" t="b">
        <f>+W55=K55</f>
        <v>1</v>
      </c>
    </row>
    <row r="56" spans="1:24" s="76" customFormat="1" ht="15" customHeight="1">
      <c r="A56" s="77">
        <v>42</v>
      </c>
      <c r="C56" s="148" t="str">
        <f>+C36</f>
        <v>Balance at March 31, 2022</v>
      </c>
      <c r="D56" s="39"/>
      <c r="E56" s="118">
        <v>0</v>
      </c>
      <c r="F56" s="39">
        <v>0</v>
      </c>
      <c r="G56" s="39">
        <f>+E56+F56</f>
        <v>0</v>
      </c>
      <c r="H56" s="39">
        <v>0</v>
      </c>
      <c r="I56" s="39">
        <f>+G56+H56</f>
        <v>0</v>
      </c>
      <c r="J56" s="175">
        <v>1</v>
      </c>
      <c r="K56" s="149">
        <f>+I56*J56</f>
        <v>0</v>
      </c>
      <c r="L56" s="39"/>
      <c r="M56" s="77"/>
      <c r="N56" s="39">
        <v>0</v>
      </c>
      <c r="O56" s="39">
        <v>0</v>
      </c>
      <c r="P56" s="39">
        <v>0</v>
      </c>
      <c r="Q56" s="39">
        <f>SUM(N56:P56)</f>
        <v>0</v>
      </c>
      <c r="R56" s="39">
        <v>0</v>
      </c>
      <c r="S56" s="39">
        <v>0</v>
      </c>
      <c r="T56" s="39">
        <f t="shared" si="20"/>
        <v>0</v>
      </c>
      <c r="U56" s="39">
        <v>0</v>
      </c>
      <c r="V56" s="39">
        <v>0</v>
      </c>
      <c r="W56" s="19">
        <f t="shared" si="21"/>
        <v>0</v>
      </c>
      <c r="X56" s="76" t="b">
        <f>+W56=K56</f>
        <v>1</v>
      </c>
    </row>
    <row r="57" spans="1:23" s="76" customFormat="1" ht="15" customHeight="1">
      <c r="A57" s="77">
        <v>43</v>
      </c>
      <c r="D57" s="39"/>
      <c r="E57" s="39"/>
      <c r="F57" s="39"/>
      <c r="G57" s="39"/>
      <c r="H57" s="39"/>
      <c r="I57" s="39"/>
      <c r="J57" s="178"/>
      <c r="K57" s="77"/>
      <c r="L57" s="39"/>
      <c r="M57" s="77"/>
      <c r="N57" s="39"/>
      <c r="O57" s="39"/>
      <c r="P57" s="39"/>
      <c r="Q57" s="39"/>
      <c r="R57" s="19"/>
      <c r="S57" s="19"/>
      <c r="T57" s="19"/>
      <c r="U57" s="19"/>
      <c r="V57" s="39"/>
      <c r="W57" s="19"/>
    </row>
    <row r="58" spans="1:24" s="80" customFormat="1" ht="15" customHeight="1">
      <c r="A58" s="77">
        <v>44</v>
      </c>
      <c r="C58" s="90" t="s">
        <v>40</v>
      </c>
      <c r="D58" s="87"/>
      <c r="E58" s="189">
        <f>+E52+E32</f>
        <v>152229453.16</v>
      </c>
      <c r="F58" s="189">
        <f>+F52+F32</f>
        <v>0</v>
      </c>
      <c r="G58" s="189">
        <f>+G52+G32</f>
        <v>152229453.16</v>
      </c>
      <c r="H58" s="189">
        <f>+H52+H32</f>
        <v>-190712.29000000001</v>
      </c>
      <c r="I58" s="189">
        <f>+I52+I32</f>
        <v>152038740.86000001</v>
      </c>
      <c r="J58" s="189"/>
      <c r="K58" s="189">
        <f>+K52+K32</f>
        <v>152038740.86000001</v>
      </c>
      <c r="L58" s="189"/>
      <c r="M58" s="189"/>
      <c r="N58" s="189">
        <f t="shared" si="22" ref="N58:W58">+N52+N32</f>
        <v>77242553.11999999</v>
      </c>
      <c r="O58" s="189">
        <f t="shared" si="22"/>
        <v>0</v>
      </c>
      <c r="P58" s="189">
        <f t="shared" si="23" ref="P58">+P52+P32</f>
        <v>0</v>
      </c>
      <c r="Q58" s="189">
        <f t="shared" si="22"/>
        <v>77242553.11999999</v>
      </c>
      <c r="R58" s="189">
        <f t="shared" si="22"/>
        <v>74690404.409999996</v>
      </c>
      <c r="S58" s="189">
        <f t="shared" si="22"/>
        <v>0</v>
      </c>
      <c r="T58" s="189">
        <f t="shared" si="22"/>
        <v>74690404.409999996</v>
      </c>
      <c r="U58" s="189">
        <f t="shared" si="22"/>
        <v>105783.33</v>
      </c>
      <c r="V58" s="189">
        <f t="shared" si="24" ref="V58">+V52+V32</f>
        <v>0</v>
      </c>
      <c r="W58" s="189">
        <f t="shared" si="22"/>
        <v>152038740.86000001</v>
      </c>
      <c r="X58" s="76" t="b">
        <f>+W58=K58</f>
        <v>1</v>
      </c>
    </row>
    <row r="59" spans="1:23" s="76" customFormat="1" ht="15" customHeight="1">
      <c r="A59" s="77">
        <v>45</v>
      </c>
      <c r="C59" s="91"/>
      <c r="D59" s="39"/>
      <c r="E59" s="189"/>
      <c r="F59" s="189"/>
      <c r="G59" s="189"/>
      <c r="H59" s="189"/>
      <c r="I59" s="189"/>
      <c r="J59" s="189"/>
      <c r="K59" s="189"/>
      <c r="L59" s="189"/>
      <c r="M59" s="189"/>
      <c r="N59" s="189"/>
      <c r="O59" s="189"/>
      <c r="P59" s="189"/>
      <c r="Q59" s="189"/>
      <c r="R59" s="189"/>
      <c r="S59" s="189"/>
      <c r="T59" s="189"/>
      <c r="U59" s="189"/>
      <c r="V59" s="189"/>
      <c r="W59" s="189"/>
    </row>
    <row r="60" spans="1:24" s="76" customFormat="1" ht="15" customHeight="1">
      <c r="A60" s="77">
        <v>46</v>
      </c>
      <c r="B60" s="80" t="s">
        <v>142</v>
      </c>
      <c r="D60" s="86" t="s">
        <v>164</v>
      </c>
      <c r="E60" s="189">
        <f>E58</f>
        <v>152229453.16</v>
      </c>
      <c r="F60" s="189">
        <f>F58</f>
        <v>0</v>
      </c>
      <c r="G60" s="189">
        <f>G58</f>
        <v>152229453.16</v>
      </c>
      <c r="H60" s="189">
        <f>+I60-G60</f>
        <v>-190712.29999998212</v>
      </c>
      <c r="I60" s="189">
        <f>+I32+I52</f>
        <v>152038740.86000001</v>
      </c>
      <c r="J60" s="189"/>
      <c r="K60" s="189">
        <f>+K32+K52</f>
        <v>152038740.86000001</v>
      </c>
      <c r="L60" s="189"/>
      <c r="M60" s="189"/>
      <c r="N60" s="189">
        <f t="shared" si="25" ref="N60:W60">+N32+N52</f>
        <v>77242553.11999999</v>
      </c>
      <c r="O60" s="189">
        <f t="shared" si="25"/>
        <v>0</v>
      </c>
      <c r="P60" s="189">
        <f t="shared" si="26" ref="P60">+P32+P52</f>
        <v>0</v>
      </c>
      <c r="Q60" s="189">
        <f t="shared" si="25"/>
        <v>77242553.11999999</v>
      </c>
      <c r="R60" s="189">
        <f t="shared" si="25"/>
        <v>74690404.409999996</v>
      </c>
      <c r="S60" s="189">
        <f t="shared" si="25"/>
        <v>0</v>
      </c>
      <c r="T60" s="189">
        <f t="shared" si="25"/>
        <v>74690404.409999996</v>
      </c>
      <c r="U60" s="189">
        <f t="shared" si="25"/>
        <v>105783.33</v>
      </c>
      <c r="V60" s="189">
        <f t="shared" si="27" ref="V60">+V32+V52</f>
        <v>0</v>
      </c>
      <c r="W60" s="189">
        <f t="shared" si="25"/>
        <v>152038740.86000001</v>
      </c>
      <c r="X60" s="76" t="b">
        <f>+W60=K60</f>
        <v>1</v>
      </c>
    </row>
    <row r="61" spans="1:23" s="76" customFormat="1" ht="12.75" customHeight="1">
      <c r="A61" s="77"/>
      <c r="D61" s="39"/>
      <c r="E61" s="39"/>
      <c r="F61" s="39"/>
      <c r="G61" s="39"/>
      <c r="H61" s="39"/>
      <c r="I61" s="39"/>
      <c r="J61" s="39"/>
      <c r="K61" s="77"/>
      <c r="L61" s="39"/>
      <c r="M61" s="77"/>
      <c r="N61" s="39"/>
      <c r="O61" s="39"/>
      <c r="P61" s="39"/>
      <c r="Q61" s="39"/>
      <c r="R61" s="92"/>
      <c r="S61" s="92"/>
      <c r="T61" s="92"/>
      <c r="U61" s="92"/>
      <c r="V61" s="92"/>
      <c r="W61" s="92"/>
    </row>
    <row r="62" spans="3:23" s="80" customFormat="1" ht="12.75" customHeight="1">
      <c r="C62" s="90"/>
      <c r="D62" s="87"/>
      <c r="E62" s="87"/>
      <c r="F62" s="87"/>
      <c r="G62" s="87"/>
      <c r="H62" s="87"/>
      <c r="I62" s="87"/>
      <c r="J62" s="87"/>
      <c r="K62" s="8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  <c r="W62" s="87"/>
    </row>
    <row r="63" spans="4:22" s="76" customFormat="1" ht="12.75" customHeight="1">
      <c r="D63" s="39"/>
      <c r="E63" s="39"/>
      <c r="F63" s="39"/>
      <c r="G63" s="39"/>
      <c r="H63" s="39"/>
      <c r="I63" s="39"/>
      <c r="J63" s="39"/>
      <c r="K63" s="77"/>
      <c r="L63" s="39"/>
      <c r="M63" s="77"/>
      <c r="N63" s="39"/>
      <c r="O63" s="39"/>
      <c r="P63" s="39"/>
      <c r="Q63" s="39"/>
      <c r="R63" s="39"/>
      <c r="S63" s="39"/>
      <c r="T63" s="39"/>
      <c r="U63" s="39"/>
      <c r="V63" s="39"/>
    </row>
    <row r="64" spans="2:22" s="80" customFormat="1" ht="12.75" customHeight="1">
      <c r="B64" s="93"/>
      <c r="D64" s="86"/>
      <c r="E64" s="87"/>
      <c r="F64" s="87"/>
      <c r="G64" s="87"/>
      <c r="H64" s="87"/>
      <c r="I64" s="87"/>
      <c r="J64" s="87"/>
      <c r="K64" s="8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</row>
    <row r="65" spans="2:23" s="76" customFormat="1" ht="12.75" customHeight="1">
      <c r="B65" s="93"/>
      <c r="D65" s="39"/>
      <c r="E65" s="39"/>
      <c r="F65" s="39"/>
      <c r="G65" s="39"/>
      <c r="H65" s="39"/>
      <c r="I65" s="39"/>
      <c r="J65" s="39"/>
      <c r="K65" s="77"/>
      <c r="L65" s="39"/>
      <c r="M65" s="81"/>
      <c r="N65" s="39"/>
      <c r="O65" s="39"/>
      <c r="P65" s="39"/>
      <c r="Q65" s="39"/>
      <c r="R65" s="92"/>
      <c r="S65" s="92"/>
      <c r="T65" s="92"/>
      <c r="U65" s="92"/>
      <c r="V65" s="92"/>
      <c r="W65" s="92"/>
    </row>
    <row r="66" spans="2:22" s="76" customFormat="1" ht="12.75" customHeight="1">
      <c r="B66" s="93"/>
      <c r="D66" s="39"/>
      <c r="E66" s="39"/>
      <c r="F66" s="39"/>
      <c r="G66" s="39"/>
      <c r="H66" s="39"/>
      <c r="I66" s="39"/>
      <c r="J66" s="39"/>
      <c r="K66" s="77"/>
      <c r="L66" s="39"/>
      <c r="M66" s="77"/>
      <c r="N66" s="39"/>
      <c r="O66" s="39"/>
      <c r="P66" s="39"/>
      <c r="Q66" s="39"/>
      <c r="R66" s="39"/>
      <c r="S66" s="39"/>
      <c r="T66" s="39"/>
      <c r="U66" s="39"/>
      <c r="V66" s="39"/>
    </row>
    <row r="67" spans="3:23" s="76" customFormat="1" ht="12.75" customHeight="1">
      <c r="C67" s="148"/>
      <c r="D67" s="39"/>
      <c r="E67" s="39"/>
      <c r="F67" s="39"/>
      <c r="G67" s="39"/>
      <c r="H67" s="39"/>
      <c r="I67" s="39"/>
      <c r="J67" s="39"/>
      <c r="K67" s="77"/>
      <c r="L67" s="39"/>
      <c r="M67" s="81"/>
      <c r="N67" s="39"/>
      <c r="O67" s="39"/>
      <c r="P67" s="39"/>
      <c r="Q67" s="39"/>
      <c r="R67" s="92"/>
      <c r="S67" s="92"/>
      <c r="T67" s="92"/>
      <c r="U67" s="92"/>
      <c r="V67" s="92"/>
      <c r="W67" s="92"/>
    </row>
    <row r="68" spans="3:23" s="76" customFormat="1" ht="12.75" customHeight="1">
      <c r="C68" s="148"/>
      <c r="D68" s="39"/>
      <c r="E68" s="39"/>
      <c r="F68" s="39"/>
      <c r="G68" s="39"/>
      <c r="H68" s="39"/>
      <c r="I68" s="39"/>
      <c r="J68" s="39"/>
      <c r="K68" s="77"/>
      <c r="L68" s="39"/>
      <c r="M68" s="81"/>
      <c r="N68" s="39"/>
      <c r="O68" s="39"/>
      <c r="P68" s="39"/>
      <c r="Q68" s="39"/>
      <c r="R68" s="92"/>
      <c r="S68" s="92"/>
      <c r="T68" s="92"/>
      <c r="U68" s="92"/>
      <c r="V68" s="92"/>
      <c r="W68" s="92"/>
    </row>
    <row r="69" spans="3:23" s="76" customFormat="1" ht="12.75" customHeight="1">
      <c r="C69" s="148"/>
      <c r="D69" s="39"/>
      <c r="E69" s="39"/>
      <c r="F69" s="39"/>
      <c r="G69" s="39"/>
      <c r="H69" s="39"/>
      <c r="I69" s="39"/>
      <c r="J69" s="39"/>
      <c r="K69" s="77"/>
      <c r="L69" s="39"/>
      <c r="M69" s="77"/>
      <c r="N69" s="39"/>
      <c r="O69" s="39"/>
      <c r="P69" s="39"/>
      <c r="Q69" s="39"/>
      <c r="R69" s="92"/>
      <c r="S69" s="92"/>
      <c r="T69" s="92"/>
      <c r="U69" s="92"/>
      <c r="V69" s="92"/>
      <c r="W69" s="92"/>
    </row>
    <row r="70" spans="3:23" s="76" customFormat="1" ht="12.75" customHeight="1">
      <c r="C70" s="148"/>
      <c r="D70" s="3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3:23" s="76" customFormat="1" ht="12.75" customHeight="1">
      <c r="C71" s="148"/>
      <c r="D71" s="39"/>
      <c r="E71" s="39"/>
      <c r="F71" s="39"/>
      <c r="G71" s="39"/>
      <c r="H71" s="39"/>
      <c r="I71" s="39"/>
      <c r="J71" s="39"/>
      <c r="K71" s="77"/>
      <c r="L71" s="39"/>
      <c r="M71" s="81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3:23" s="80" customFormat="1" ht="12.75" customHeight="1">
      <c r="C72" s="148"/>
      <c r="D72" s="87"/>
      <c r="E72" s="87"/>
      <c r="F72" s="87"/>
      <c r="G72" s="87"/>
      <c r="H72" s="87"/>
      <c r="I72" s="87"/>
      <c r="J72" s="87"/>
      <c r="K72" s="88"/>
      <c r="L72" s="87"/>
      <c r="M72" s="95"/>
      <c r="N72" s="87"/>
      <c r="O72" s="87"/>
      <c r="P72" s="87"/>
      <c r="Q72" s="87"/>
      <c r="R72" s="87"/>
      <c r="S72" s="87"/>
      <c r="T72" s="87"/>
      <c r="U72" s="87"/>
      <c r="V72" s="87"/>
      <c r="W72" s="87"/>
    </row>
    <row r="73" spans="3:23" s="76" customFormat="1" ht="12.75" customHeight="1">
      <c r="C73" s="94"/>
      <c r="D73" s="39"/>
      <c r="E73" s="39"/>
      <c r="F73" s="39"/>
      <c r="G73" s="39"/>
      <c r="H73" s="39"/>
      <c r="I73" s="39"/>
      <c r="J73" s="39"/>
      <c r="K73" s="77"/>
      <c r="L73" s="39"/>
      <c r="M73" s="81"/>
      <c r="N73" s="39"/>
      <c r="O73" s="39"/>
      <c r="P73" s="39"/>
      <c r="Q73" s="39"/>
      <c r="R73" s="92"/>
      <c r="S73" s="92"/>
      <c r="T73" s="92"/>
      <c r="U73" s="92"/>
      <c r="V73" s="92"/>
      <c r="W73" s="92"/>
    </row>
    <row r="74" spans="3:23" s="76" customFormat="1" ht="12.75" customHeight="1">
      <c r="C74" s="91"/>
      <c r="D74" s="39"/>
      <c r="E74" s="39"/>
      <c r="F74" s="39"/>
      <c r="G74" s="39"/>
      <c r="H74" s="39"/>
      <c r="I74" s="39"/>
      <c r="J74" s="39"/>
      <c r="K74" s="77"/>
      <c r="L74" s="39"/>
      <c r="M74" s="77"/>
      <c r="N74" s="39"/>
      <c r="O74" s="39"/>
      <c r="P74" s="39"/>
      <c r="Q74" s="39"/>
      <c r="R74" s="92"/>
      <c r="S74" s="92"/>
      <c r="T74" s="92"/>
      <c r="U74" s="92"/>
      <c r="V74" s="92"/>
      <c r="W74" s="92"/>
    </row>
    <row r="75" spans="3:23" s="76" customFormat="1" ht="12.75" customHeight="1">
      <c r="C75" s="91"/>
      <c r="D75" s="3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4:23" s="76" customFormat="1" ht="12.75" customHeight="1">
      <c r="D76" s="39"/>
      <c r="E76" s="39"/>
      <c r="F76" s="39"/>
      <c r="G76" s="39"/>
      <c r="H76" s="39"/>
      <c r="I76" s="39"/>
      <c r="J76" s="39"/>
      <c r="K76" s="77"/>
      <c r="L76" s="39"/>
      <c r="M76" s="77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3:23" s="80" customFormat="1" ht="12.75" customHeight="1">
      <c r="C77" s="90"/>
      <c r="D77" s="87"/>
      <c r="E77" s="87"/>
      <c r="F77" s="87"/>
      <c r="G77" s="87"/>
      <c r="H77" s="87"/>
      <c r="I77" s="87"/>
      <c r="J77" s="87"/>
      <c r="K77" s="88"/>
      <c r="L77" s="87"/>
      <c r="M77" s="88"/>
      <c r="N77" s="87"/>
      <c r="O77" s="87"/>
      <c r="P77" s="87"/>
      <c r="Q77" s="87"/>
      <c r="R77" s="87"/>
      <c r="S77" s="87"/>
      <c r="T77" s="87"/>
      <c r="U77" s="87"/>
      <c r="V77" s="87"/>
      <c r="W77" s="87"/>
    </row>
    <row r="78" spans="3:23" s="76" customFormat="1" ht="12.75" customHeight="1">
      <c r="C78" s="90"/>
      <c r="D78" s="39"/>
      <c r="E78" s="39"/>
      <c r="F78" s="39"/>
      <c r="G78" s="39"/>
      <c r="H78" s="39"/>
      <c r="I78" s="39"/>
      <c r="J78" s="39"/>
      <c r="K78" s="77"/>
      <c r="L78" s="39"/>
      <c r="M78" s="77"/>
      <c r="N78" s="39"/>
      <c r="O78" s="39"/>
      <c r="P78" s="39"/>
      <c r="Q78" s="39"/>
      <c r="R78" s="39"/>
      <c r="S78" s="39"/>
      <c r="T78" s="39"/>
      <c r="U78" s="39"/>
      <c r="V78" s="39"/>
      <c r="W78" s="39"/>
    </row>
    <row r="79" spans="3:23" s="76" customFormat="1" ht="12.75" customHeight="1">
      <c r="C79" s="90"/>
      <c r="D79" s="39"/>
      <c r="E79" s="39"/>
      <c r="F79" s="39"/>
      <c r="G79" s="39"/>
      <c r="H79" s="39"/>
      <c r="I79" s="39"/>
      <c r="J79" s="39"/>
      <c r="K79" s="77"/>
      <c r="L79" s="39"/>
      <c r="M79" s="77"/>
      <c r="N79" s="39"/>
      <c r="O79" s="39"/>
      <c r="P79" s="39"/>
      <c r="Q79" s="39"/>
      <c r="R79" s="39"/>
      <c r="S79" s="39"/>
      <c r="T79" s="39"/>
      <c r="U79" s="39"/>
      <c r="V79" s="39"/>
      <c r="W79" s="39"/>
    </row>
    <row r="80" spans="4:22" s="76" customFormat="1" ht="12.75" customHeight="1">
      <c r="D80" s="39"/>
      <c r="E80" s="39"/>
      <c r="F80" s="39"/>
      <c r="G80" s="39"/>
      <c r="H80" s="39"/>
      <c r="I80" s="39"/>
      <c r="J80" s="39"/>
      <c r="K80" s="77"/>
      <c r="L80" s="39"/>
      <c r="M80" s="77"/>
      <c r="N80" s="39"/>
      <c r="O80" s="39"/>
      <c r="P80" s="39"/>
      <c r="Q80" s="39"/>
      <c r="R80" s="39"/>
      <c r="S80" s="39"/>
      <c r="T80" s="39"/>
      <c r="U80" s="39"/>
      <c r="V80" s="39"/>
    </row>
    <row r="81" spans="2:22" s="80" customFormat="1" ht="12.75" customHeight="1">
      <c r="B81" s="96"/>
      <c r="D81" s="87"/>
      <c r="E81" s="87"/>
      <c r="F81" s="87"/>
      <c r="G81" s="87"/>
      <c r="H81" s="87"/>
      <c r="I81" s="87"/>
      <c r="J81" s="87"/>
      <c r="K81" s="88"/>
      <c r="L81" s="87"/>
      <c r="M81" s="88"/>
      <c r="N81" s="87"/>
      <c r="O81" s="87"/>
      <c r="P81" s="87"/>
      <c r="Q81" s="87"/>
      <c r="R81" s="87"/>
      <c r="S81" s="87"/>
      <c r="T81" s="87"/>
      <c r="U81" s="87"/>
      <c r="V81" s="87"/>
    </row>
    <row r="82" spans="5:23" s="76" customFormat="1" ht="12.75" customHeight="1">
      <c r="E82" s="39"/>
      <c r="F82" s="39"/>
      <c r="G82" s="39"/>
      <c r="H82" s="39"/>
      <c r="I82" s="39"/>
      <c r="J82" s="39"/>
      <c r="K82" s="77"/>
      <c r="L82" s="39"/>
      <c r="M82" s="77"/>
      <c r="N82" s="39"/>
      <c r="O82" s="39"/>
      <c r="P82" s="39"/>
      <c r="Q82" s="39"/>
      <c r="R82" s="92"/>
      <c r="S82" s="92"/>
      <c r="T82" s="92"/>
      <c r="U82" s="92"/>
      <c r="V82" s="92"/>
      <c r="W82" s="92"/>
    </row>
    <row r="83" spans="4:22" s="76" customFormat="1" ht="12.75" customHeight="1">
      <c r="D83" s="39"/>
      <c r="E83" s="39"/>
      <c r="F83" s="39"/>
      <c r="G83" s="39"/>
      <c r="H83" s="39"/>
      <c r="I83" s="39"/>
      <c r="J83" s="39"/>
      <c r="K83" s="77"/>
      <c r="L83" s="39"/>
      <c r="M83" s="77"/>
      <c r="N83" s="39"/>
      <c r="O83" s="39"/>
      <c r="P83" s="39"/>
      <c r="Q83" s="39"/>
      <c r="R83" s="39"/>
      <c r="S83" s="39"/>
      <c r="T83" s="39"/>
      <c r="U83" s="39"/>
      <c r="V83" s="39"/>
    </row>
    <row r="84" spans="4:23" s="76" customFormat="1" ht="12.75" customHeight="1">
      <c r="D84" s="87"/>
      <c r="E84" s="39"/>
      <c r="F84" s="39"/>
      <c r="G84" s="39"/>
      <c r="H84" s="39"/>
      <c r="I84" s="39"/>
      <c r="J84" s="39"/>
      <c r="K84" s="77"/>
      <c r="L84" s="39"/>
      <c r="M84" s="77"/>
      <c r="N84" s="39"/>
      <c r="O84" s="39"/>
      <c r="P84" s="39"/>
      <c r="Q84" s="39"/>
      <c r="R84" s="19"/>
      <c r="S84" s="19"/>
      <c r="T84" s="19"/>
      <c r="U84" s="19"/>
      <c r="V84" s="19"/>
      <c r="W84" s="19"/>
    </row>
    <row r="85" spans="4:23" s="76" customFormat="1" ht="12.75" customHeight="1">
      <c r="D85" s="39"/>
      <c r="E85" s="39"/>
      <c r="F85" s="39"/>
      <c r="G85" s="39"/>
      <c r="H85" s="39"/>
      <c r="I85" s="39"/>
      <c r="J85" s="39"/>
      <c r="K85" s="77"/>
      <c r="L85" s="39"/>
      <c r="M85" s="77"/>
      <c r="N85" s="39"/>
      <c r="O85" s="39"/>
      <c r="P85" s="39"/>
      <c r="Q85" s="39"/>
      <c r="R85" s="19"/>
      <c r="S85" s="19"/>
      <c r="T85" s="19"/>
      <c r="U85" s="19"/>
      <c r="V85" s="19"/>
      <c r="W85" s="19"/>
    </row>
    <row r="86" spans="3:23" s="80" customFormat="1" ht="12.75" customHeight="1">
      <c r="C86" s="90"/>
      <c r="D86" s="87"/>
      <c r="E86" s="87"/>
      <c r="F86" s="87"/>
      <c r="G86" s="87"/>
      <c r="H86" s="87"/>
      <c r="I86" s="87"/>
      <c r="J86" s="87"/>
      <c r="K86" s="88"/>
      <c r="L86" s="87"/>
      <c r="M86" s="88"/>
      <c r="N86" s="87"/>
      <c r="O86" s="87"/>
      <c r="P86" s="87"/>
      <c r="Q86" s="87"/>
      <c r="R86" s="87"/>
      <c r="S86" s="87"/>
      <c r="T86" s="87"/>
      <c r="U86" s="87"/>
      <c r="V86" s="87"/>
      <c r="W86" s="87"/>
    </row>
    <row r="87" spans="4:22" s="76" customFormat="1" ht="12.75" customHeight="1">
      <c r="D87" s="39"/>
      <c r="E87" s="39"/>
      <c r="F87" s="39"/>
      <c r="G87" s="39"/>
      <c r="H87" s="39"/>
      <c r="I87" s="39"/>
      <c r="J87" s="39"/>
      <c r="K87" s="77"/>
      <c r="L87" s="39"/>
      <c r="M87" s="77"/>
      <c r="N87" s="39"/>
      <c r="O87" s="39"/>
      <c r="P87" s="39"/>
      <c r="Q87" s="39"/>
      <c r="R87" s="39"/>
      <c r="S87" s="39"/>
      <c r="T87" s="39"/>
      <c r="U87" s="39"/>
      <c r="V87" s="39"/>
    </row>
    <row r="88" spans="3:22" s="80" customFormat="1" ht="12.75" customHeight="1">
      <c r="C88" s="96"/>
      <c r="D88" s="87"/>
      <c r="E88" s="87"/>
      <c r="F88" s="97"/>
      <c r="G88" s="87"/>
      <c r="H88" s="87"/>
      <c r="I88" s="87"/>
      <c r="J88" s="87"/>
      <c r="K88" s="88"/>
      <c r="L88" s="87"/>
      <c r="M88" s="98"/>
      <c r="N88" s="87"/>
      <c r="O88" s="87"/>
      <c r="P88" s="87"/>
      <c r="Q88" s="87"/>
      <c r="R88" s="87"/>
      <c r="S88" s="87"/>
      <c r="T88" s="87"/>
      <c r="U88" s="87"/>
      <c r="V88" s="87"/>
    </row>
    <row r="89" spans="4:23" s="76" customFormat="1" ht="12.75" customHeight="1">
      <c r="D89" s="99"/>
      <c r="E89" s="39"/>
      <c r="F89" s="39"/>
      <c r="G89" s="39"/>
      <c r="H89" s="39"/>
      <c r="I89" s="39"/>
      <c r="J89" s="39"/>
      <c r="K89" s="77"/>
      <c r="L89" s="39"/>
      <c r="M89" s="77"/>
      <c r="N89" s="39"/>
      <c r="O89" s="39"/>
      <c r="P89" s="39"/>
      <c r="Q89" s="39"/>
      <c r="R89" s="92"/>
      <c r="S89" s="92"/>
      <c r="T89" s="92"/>
      <c r="U89" s="92"/>
      <c r="V89" s="92"/>
      <c r="W89" s="92"/>
    </row>
    <row r="90" spans="4:23" s="76" customFormat="1" ht="12.75" customHeight="1">
      <c r="D90" s="99"/>
      <c r="E90" s="39"/>
      <c r="F90" s="39"/>
      <c r="G90" s="39"/>
      <c r="H90" s="39"/>
      <c r="I90" s="39"/>
      <c r="J90" s="39"/>
      <c r="K90" s="77"/>
      <c r="L90" s="39"/>
      <c r="M90" s="77"/>
      <c r="N90" s="39"/>
      <c r="O90" s="39"/>
      <c r="P90" s="39"/>
      <c r="Q90" s="39"/>
      <c r="R90" s="92"/>
      <c r="S90" s="92"/>
      <c r="T90" s="92"/>
      <c r="U90" s="92"/>
      <c r="V90" s="92"/>
      <c r="W90" s="92"/>
    </row>
    <row r="91" spans="4:23" s="76" customFormat="1" ht="12.75" customHeight="1">
      <c r="D91" s="99"/>
      <c r="E91" s="39"/>
      <c r="F91" s="39"/>
      <c r="G91" s="39"/>
      <c r="H91" s="39"/>
      <c r="I91" s="39"/>
      <c r="J91" s="39"/>
      <c r="K91" s="77"/>
      <c r="L91" s="39"/>
      <c r="M91" s="77"/>
      <c r="N91" s="39"/>
      <c r="O91" s="39"/>
      <c r="P91" s="39"/>
      <c r="Q91" s="39"/>
      <c r="R91" s="92"/>
      <c r="S91" s="92"/>
      <c r="T91" s="92"/>
      <c r="U91" s="92"/>
      <c r="V91" s="92"/>
      <c r="W91" s="92"/>
    </row>
    <row r="92" spans="4:23" s="76" customFormat="1" ht="12.75" customHeight="1">
      <c r="D92" s="99"/>
      <c r="E92" s="39"/>
      <c r="F92" s="39"/>
      <c r="G92" s="39"/>
      <c r="H92" s="39"/>
      <c r="I92" s="39"/>
      <c r="J92" s="39"/>
      <c r="K92" s="77"/>
      <c r="L92" s="39"/>
      <c r="M92" s="77"/>
      <c r="N92" s="39"/>
      <c r="O92" s="39"/>
      <c r="P92" s="39"/>
      <c r="Q92" s="39"/>
      <c r="R92" s="92"/>
      <c r="S92" s="92"/>
      <c r="T92" s="92"/>
      <c r="U92" s="92"/>
      <c r="V92" s="92"/>
      <c r="W92" s="92"/>
    </row>
    <row r="93" spans="4:23" s="76" customFormat="1" ht="12.75" customHeight="1">
      <c r="D93" s="99"/>
      <c r="E93" s="39"/>
      <c r="F93" s="39"/>
      <c r="G93" s="39"/>
      <c r="H93" s="39"/>
      <c r="I93" s="39"/>
      <c r="J93" s="39"/>
      <c r="K93" s="77"/>
      <c r="L93" s="39"/>
      <c r="M93" s="77"/>
      <c r="N93" s="39"/>
      <c r="O93" s="39"/>
      <c r="P93" s="39"/>
      <c r="Q93" s="39"/>
      <c r="R93" s="92"/>
      <c r="S93" s="92"/>
      <c r="T93" s="92"/>
      <c r="U93" s="92"/>
      <c r="V93" s="92"/>
      <c r="W93" s="92"/>
    </row>
    <row r="94" spans="4:23" s="76" customFormat="1" ht="12.75" customHeight="1">
      <c r="D94" s="99"/>
      <c r="E94" s="39"/>
      <c r="F94" s="39"/>
      <c r="G94" s="39"/>
      <c r="H94" s="39"/>
      <c r="I94" s="39"/>
      <c r="J94" s="39"/>
      <c r="K94" s="77"/>
      <c r="L94" s="39"/>
      <c r="M94" s="77"/>
      <c r="N94" s="39"/>
      <c r="O94" s="39"/>
      <c r="P94" s="39"/>
      <c r="Q94" s="39"/>
      <c r="R94" s="92"/>
      <c r="S94" s="92"/>
      <c r="T94" s="92"/>
      <c r="U94" s="92"/>
      <c r="V94" s="92"/>
      <c r="W94" s="92"/>
    </row>
    <row r="95" spans="4:23" s="76" customFormat="1" ht="12.75" customHeight="1">
      <c r="D95" s="99"/>
      <c r="E95" s="39"/>
      <c r="F95" s="39"/>
      <c r="G95" s="39"/>
      <c r="H95" s="39"/>
      <c r="I95" s="39"/>
      <c r="J95" s="39"/>
      <c r="K95" s="77"/>
      <c r="L95" s="39"/>
      <c r="M95" s="77"/>
      <c r="N95" s="39"/>
      <c r="O95" s="39"/>
      <c r="P95" s="39"/>
      <c r="Q95" s="39"/>
      <c r="R95" s="19"/>
      <c r="S95" s="19"/>
      <c r="T95" s="19"/>
      <c r="U95" s="19"/>
      <c r="V95" s="19"/>
      <c r="W95" s="19"/>
    </row>
    <row r="96" spans="4:23" s="76" customFormat="1" ht="12.75" customHeight="1">
      <c r="D96" s="99"/>
      <c r="E96" s="39"/>
      <c r="F96" s="39"/>
      <c r="G96" s="39"/>
      <c r="H96" s="39"/>
      <c r="I96" s="39"/>
      <c r="J96" s="39"/>
      <c r="K96" s="77"/>
      <c r="L96" s="39"/>
      <c r="M96" s="77"/>
      <c r="N96" s="39"/>
      <c r="O96" s="39"/>
      <c r="P96" s="39"/>
      <c r="Q96" s="39"/>
      <c r="R96" s="92"/>
      <c r="S96" s="92"/>
      <c r="T96" s="92"/>
      <c r="U96" s="92"/>
      <c r="V96" s="92"/>
      <c r="W96" s="92"/>
    </row>
    <row r="97" spans="4:23" s="76" customFormat="1" ht="12.75" customHeight="1">
      <c r="D97" s="99"/>
      <c r="E97" s="39"/>
      <c r="F97" s="39"/>
      <c r="G97" s="39"/>
      <c r="H97" s="39"/>
      <c r="I97" s="39"/>
      <c r="J97" s="39"/>
      <c r="K97" s="77"/>
      <c r="L97" s="39"/>
      <c r="M97" s="77"/>
      <c r="N97" s="39"/>
      <c r="O97" s="39"/>
      <c r="P97" s="39"/>
      <c r="Q97" s="39"/>
      <c r="R97" s="92"/>
      <c r="S97" s="92"/>
      <c r="T97" s="92"/>
      <c r="U97" s="92"/>
      <c r="V97" s="92"/>
      <c r="W97" s="92"/>
    </row>
    <row r="98" spans="4:23" s="76" customFormat="1" ht="12.75" customHeight="1">
      <c r="D98" s="99"/>
      <c r="E98" s="39"/>
      <c r="F98" s="39"/>
      <c r="G98" s="39"/>
      <c r="H98" s="39"/>
      <c r="I98" s="39"/>
      <c r="J98" s="39"/>
      <c r="K98" s="77"/>
      <c r="L98" s="39"/>
      <c r="M98" s="77"/>
      <c r="N98" s="39"/>
      <c r="O98" s="39"/>
      <c r="P98" s="39"/>
      <c r="Q98" s="39"/>
      <c r="R98" s="92"/>
      <c r="S98" s="92"/>
      <c r="T98" s="92"/>
      <c r="U98" s="92"/>
      <c r="V98" s="92"/>
      <c r="W98" s="92"/>
    </row>
    <row r="99" spans="3:24" s="80" customFormat="1" ht="12.75" customHeight="1">
      <c r="C99" s="90"/>
      <c r="D99" s="97"/>
      <c r="E99" s="87"/>
      <c r="F99" s="87"/>
      <c r="G99" s="87"/>
      <c r="H99" s="87"/>
      <c r="I99" s="87"/>
      <c r="J99" s="87"/>
      <c r="K99" s="98"/>
      <c r="L99" s="87"/>
      <c r="M99" s="88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76"/>
    </row>
    <row r="100" spans="3:22" s="76" customFormat="1" ht="12.75" customHeight="1">
      <c r="C100" s="91"/>
      <c r="D100" s="99"/>
      <c r="E100" s="39"/>
      <c r="F100" s="39"/>
      <c r="G100" s="39"/>
      <c r="H100" s="39"/>
      <c r="I100" s="39"/>
      <c r="J100" s="39"/>
      <c r="K100" s="100"/>
      <c r="L100" s="39"/>
      <c r="M100" s="77"/>
      <c r="N100" s="39"/>
      <c r="O100" s="39"/>
      <c r="P100" s="39"/>
      <c r="Q100" s="39"/>
      <c r="R100" s="39"/>
      <c r="S100" s="39"/>
      <c r="T100" s="39"/>
      <c r="U100" s="39"/>
      <c r="V100" s="39"/>
    </row>
    <row r="101" spans="2:24" s="80" customFormat="1" ht="12.75" customHeight="1">
      <c r="B101" s="101"/>
      <c r="D101" s="97"/>
      <c r="E101" s="87"/>
      <c r="F101" s="87"/>
      <c r="G101" s="87"/>
      <c r="H101" s="87"/>
      <c r="I101" s="87"/>
      <c r="J101" s="87"/>
      <c r="K101" s="98"/>
      <c r="L101" s="87"/>
      <c r="M101" s="88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76"/>
    </row>
    <row r="102" spans="3:23" s="76" customFormat="1" ht="12.75" customHeight="1">
      <c r="C102" s="90"/>
      <c r="D102" s="99"/>
      <c r="E102" s="39"/>
      <c r="F102" s="39"/>
      <c r="G102" s="39"/>
      <c r="H102" s="39"/>
      <c r="I102" s="39"/>
      <c r="J102" s="39"/>
      <c r="K102" s="100"/>
      <c r="L102" s="39"/>
      <c r="M102" s="88"/>
      <c r="N102" s="39"/>
      <c r="O102" s="39"/>
      <c r="P102" s="39"/>
      <c r="Q102" s="39"/>
      <c r="R102" s="39"/>
      <c r="S102" s="39"/>
      <c r="T102" s="39"/>
      <c r="U102" s="39"/>
      <c r="V102" s="39"/>
      <c r="W102" s="39"/>
    </row>
    <row r="103" spans="3:23" s="80" customFormat="1" ht="12.75" customHeight="1">
      <c r="C103" s="90"/>
      <c r="D103" s="87"/>
      <c r="E103" s="87"/>
      <c r="F103" s="87"/>
      <c r="G103" s="87"/>
      <c r="H103" s="87"/>
      <c r="I103" s="87"/>
      <c r="J103" s="87"/>
      <c r="K103" s="98"/>
      <c r="L103" s="87"/>
      <c r="M103" s="88"/>
      <c r="N103" s="87"/>
      <c r="O103" s="87"/>
      <c r="P103" s="87"/>
      <c r="Q103" s="87"/>
      <c r="R103" s="87"/>
      <c r="S103" s="87"/>
      <c r="T103" s="87"/>
      <c r="U103" s="87"/>
      <c r="V103" s="87"/>
      <c r="W103" s="87"/>
    </row>
    <row r="104" spans="3:22" s="80" customFormat="1" ht="12.75" customHeight="1">
      <c r="C104" s="90"/>
      <c r="D104" s="97"/>
      <c r="E104" s="87"/>
      <c r="F104" s="87"/>
      <c r="G104" s="87"/>
      <c r="H104" s="87"/>
      <c r="I104" s="87"/>
      <c r="J104" s="87"/>
      <c r="K104" s="98"/>
      <c r="L104" s="87"/>
      <c r="M104" s="88"/>
      <c r="N104" s="87"/>
      <c r="O104" s="87"/>
      <c r="P104" s="87"/>
      <c r="Q104" s="87"/>
      <c r="R104" s="87"/>
      <c r="S104" s="87"/>
      <c r="T104" s="87"/>
      <c r="U104" s="87"/>
      <c r="V104" s="87"/>
    </row>
    <row r="105" spans="3:23" s="80" customFormat="1" ht="12.75" customHeight="1">
      <c r="C105" s="90"/>
      <c r="D105" s="87"/>
      <c r="E105" s="87"/>
      <c r="F105" s="87"/>
      <c r="G105" s="87"/>
      <c r="H105" s="87"/>
      <c r="I105" s="87"/>
      <c r="J105" s="87"/>
      <c r="K105" s="98"/>
      <c r="L105" s="87"/>
      <c r="M105" s="88"/>
      <c r="N105" s="87"/>
      <c r="O105" s="87"/>
      <c r="P105" s="87"/>
      <c r="Q105" s="87"/>
      <c r="R105" s="102"/>
      <c r="S105" s="102"/>
      <c r="T105" s="102"/>
      <c r="U105" s="102"/>
      <c r="V105" s="102"/>
      <c r="W105" s="102"/>
    </row>
    <row r="106" spans="3:22" s="80" customFormat="1" ht="12.75" customHeight="1">
      <c r="C106" s="90"/>
      <c r="D106" s="97"/>
      <c r="E106" s="87"/>
      <c r="F106" s="87"/>
      <c r="G106" s="87"/>
      <c r="H106" s="87"/>
      <c r="I106" s="87"/>
      <c r="J106" s="87"/>
      <c r="K106" s="98"/>
      <c r="L106" s="87"/>
      <c r="M106" s="88"/>
      <c r="N106" s="87"/>
      <c r="O106" s="87"/>
      <c r="P106" s="87"/>
      <c r="Q106" s="87"/>
      <c r="R106" s="87"/>
      <c r="S106" s="87"/>
      <c r="T106" s="87"/>
      <c r="U106" s="87"/>
      <c r="V106" s="87"/>
    </row>
    <row r="107" spans="2:23" s="80" customFormat="1" ht="12.75" customHeight="1">
      <c r="B107" s="85"/>
      <c r="C107" s="90"/>
      <c r="D107" s="97"/>
      <c r="E107" s="87"/>
      <c r="F107" s="87"/>
      <c r="G107" s="87"/>
      <c r="H107" s="87"/>
      <c r="I107" s="87"/>
      <c r="J107" s="87"/>
      <c r="K107" s="98"/>
      <c r="L107" s="87"/>
      <c r="M107" s="88"/>
      <c r="N107" s="87"/>
      <c r="O107" s="87"/>
      <c r="P107" s="87"/>
      <c r="Q107" s="87"/>
      <c r="R107" s="87"/>
      <c r="S107" s="87"/>
      <c r="T107" s="87"/>
      <c r="U107" s="87"/>
      <c r="V107" s="87"/>
      <c r="W107" s="87"/>
    </row>
    <row r="108" spans="3:22" s="76" customFormat="1" ht="12.75" customHeight="1">
      <c r="C108" s="90"/>
      <c r="D108" s="99"/>
      <c r="E108" s="39"/>
      <c r="F108" s="39"/>
      <c r="G108" s="39"/>
      <c r="H108" s="39"/>
      <c r="I108" s="39"/>
      <c r="J108" s="39"/>
      <c r="K108" s="100"/>
      <c r="L108" s="39"/>
      <c r="M108" s="88"/>
      <c r="N108" s="39"/>
      <c r="O108" s="39"/>
      <c r="P108" s="39"/>
      <c r="Q108" s="39"/>
      <c r="R108" s="39"/>
      <c r="S108" s="39"/>
      <c r="T108" s="39"/>
      <c r="U108" s="39"/>
      <c r="V108" s="39"/>
    </row>
    <row r="109" spans="3:23" s="76" customFormat="1" ht="12.75" customHeight="1">
      <c r="C109" s="90"/>
      <c r="D109" s="99"/>
      <c r="E109" s="39"/>
      <c r="F109" s="39"/>
      <c r="G109" s="39"/>
      <c r="H109" s="39"/>
      <c r="I109" s="39"/>
      <c r="J109" s="39"/>
      <c r="K109" s="77"/>
      <c r="L109" s="39"/>
      <c r="M109" s="77"/>
      <c r="N109" s="39"/>
      <c r="O109" s="39"/>
      <c r="P109" s="39"/>
      <c r="Q109" s="39"/>
      <c r="R109" s="92"/>
      <c r="S109" s="92"/>
      <c r="T109" s="92"/>
      <c r="U109" s="92"/>
      <c r="V109" s="92"/>
      <c r="W109" s="92"/>
    </row>
    <row r="110" spans="3:23" s="76" customFormat="1" ht="12.75" customHeight="1">
      <c r="C110" s="90"/>
      <c r="D110" s="99"/>
      <c r="E110" s="39"/>
      <c r="F110" s="39"/>
      <c r="G110" s="39"/>
      <c r="H110" s="39"/>
      <c r="I110" s="39"/>
      <c r="J110" s="39"/>
      <c r="K110" s="77"/>
      <c r="L110" s="39"/>
      <c r="M110" s="77"/>
      <c r="N110" s="39"/>
      <c r="O110" s="39"/>
      <c r="P110" s="39"/>
      <c r="Q110" s="39"/>
      <c r="R110" s="92"/>
      <c r="S110" s="92"/>
      <c r="T110" s="92"/>
      <c r="U110" s="92"/>
      <c r="V110" s="92"/>
      <c r="W110" s="92"/>
    </row>
    <row r="111" spans="3:22" s="76" customFormat="1" ht="12.75" customHeight="1">
      <c r="C111" s="90"/>
      <c r="D111" s="99"/>
      <c r="E111" s="39"/>
      <c r="F111" s="39"/>
      <c r="G111" s="39"/>
      <c r="H111" s="39"/>
      <c r="I111" s="39"/>
      <c r="J111" s="39"/>
      <c r="K111" s="100"/>
      <c r="L111" s="39"/>
      <c r="M111" s="88"/>
      <c r="N111" s="39"/>
      <c r="O111" s="39"/>
      <c r="P111" s="39"/>
      <c r="Q111" s="39"/>
      <c r="R111" s="39"/>
      <c r="S111" s="39"/>
      <c r="T111" s="39"/>
      <c r="U111" s="39"/>
      <c r="V111" s="39"/>
    </row>
    <row r="112" spans="3:23" s="76" customFormat="1" ht="12.75" customHeight="1">
      <c r="C112" s="103"/>
      <c r="D112" s="99"/>
      <c r="E112" s="39"/>
      <c r="F112" s="39"/>
      <c r="G112" s="39"/>
      <c r="H112" s="39"/>
      <c r="I112" s="39"/>
      <c r="J112" s="39"/>
      <c r="K112" s="77"/>
      <c r="L112" s="39"/>
      <c r="M112" s="77"/>
      <c r="N112" s="39"/>
      <c r="O112" s="39"/>
      <c r="P112" s="39"/>
      <c r="Q112" s="39"/>
      <c r="R112" s="92"/>
      <c r="S112" s="92"/>
      <c r="T112" s="92"/>
      <c r="U112" s="92"/>
      <c r="V112" s="92"/>
      <c r="W112" s="92"/>
    </row>
    <row r="113" spans="3:23" s="76" customFormat="1" ht="12.75" customHeight="1">
      <c r="C113" s="104"/>
      <c r="D113" s="99"/>
      <c r="E113" s="39"/>
      <c r="F113" s="39"/>
      <c r="G113" s="39"/>
      <c r="H113" s="39"/>
      <c r="K113" s="77"/>
      <c r="L113" s="39"/>
      <c r="M113" s="77"/>
      <c r="N113" s="39"/>
      <c r="O113" s="39"/>
      <c r="P113" s="39"/>
      <c r="Q113" s="39"/>
      <c r="R113" s="92"/>
      <c r="S113" s="92"/>
      <c r="T113" s="92"/>
      <c r="U113" s="92"/>
      <c r="V113" s="92"/>
      <c r="W113" s="92"/>
    </row>
    <row r="114" spans="11:13" s="76" customFormat="1" ht="12.75" customHeight="1">
      <c r="K114" s="77"/>
      <c r="M114" s="77"/>
    </row>
    <row r="115" spans="11:13" s="76" customFormat="1" ht="12.75" customHeight="1">
      <c r="K115" s="77"/>
      <c r="M115" s="77"/>
    </row>
    <row r="116" spans="5:23" s="76" customFormat="1" ht="12.75" customHeight="1">
      <c r="E116" s="129"/>
      <c r="K116" s="77"/>
      <c r="M116" s="77"/>
      <c r="N116" s="129"/>
      <c r="O116" s="129"/>
      <c r="P116" s="129"/>
      <c r="Q116" s="129"/>
      <c r="R116" s="129"/>
      <c r="S116" s="129"/>
      <c r="T116" s="129"/>
      <c r="U116" s="129"/>
      <c r="V116" s="129"/>
      <c r="W116" s="129"/>
    </row>
    <row r="117" spans="11:13" s="76" customFormat="1" ht="12.75" customHeight="1">
      <c r="K117" s="77"/>
      <c r="M117" s="77"/>
    </row>
    <row r="118" spans="11:13" s="76" customFormat="1" ht="12.75" customHeight="1">
      <c r="K118" s="77"/>
      <c r="M118" s="77"/>
    </row>
    <row r="119" spans="11:13" s="76" customFormat="1" ht="12.75" customHeight="1">
      <c r="K119" s="77"/>
      <c r="M119" s="77"/>
    </row>
    <row r="120" spans="11:13" s="76" customFormat="1" ht="12.75" customHeight="1">
      <c r="K120" s="77"/>
      <c r="M120" s="77"/>
    </row>
    <row r="121" spans="11:13" s="76" customFormat="1" ht="12.75" customHeight="1">
      <c r="K121" s="77"/>
      <c r="M121" s="77"/>
    </row>
    <row r="122" spans="11:13" s="76" customFormat="1" ht="12.75" customHeight="1">
      <c r="K122" s="77"/>
      <c r="M122" s="77"/>
    </row>
    <row r="123" spans="11:13" s="76" customFormat="1" ht="12.75" customHeight="1">
      <c r="K123" s="77"/>
      <c r="M123" s="77"/>
    </row>
    <row r="124" spans="11:13" s="76" customFormat="1" ht="12.75" customHeight="1">
      <c r="K124" s="77"/>
      <c r="M124" s="77"/>
    </row>
    <row r="125" spans="11:13" s="76" customFormat="1" ht="12.75" customHeight="1">
      <c r="K125" s="77"/>
      <c r="M125" s="77"/>
    </row>
    <row r="126" spans="11:13" s="76" customFormat="1" ht="12.75" customHeight="1">
      <c r="K126" s="77"/>
      <c r="M126" s="77"/>
    </row>
    <row r="127" spans="11:13" s="76" customFormat="1" ht="12.75" customHeight="1">
      <c r="K127" s="77"/>
      <c r="M127" s="77"/>
    </row>
    <row r="128" spans="11:13" s="76" customFormat="1" ht="12.75" customHeight="1">
      <c r="K128" s="77"/>
      <c r="M128" s="77"/>
    </row>
    <row r="129" spans="11:13" s="76" customFormat="1" ht="12.75" customHeight="1">
      <c r="K129" s="77"/>
      <c r="M129" s="77"/>
    </row>
    <row r="130" spans="11:13" s="76" customFormat="1" ht="12.75" customHeight="1">
      <c r="K130" s="77"/>
      <c r="M130" s="77"/>
    </row>
    <row r="131" spans="11:13" s="76" customFormat="1" ht="12.75" customHeight="1">
      <c r="K131" s="77"/>
      <c r="M131" s="77"/>
    </row>
    <row r="132" spans="11:13" s="76" customFormat="1" ht="12.75" customHeight="1">
      <c r="K132" s="77"/>
      <c r="M132" s="77"/>
    </row>
    <row r="133" spans="11:13" s="76" customFormat="1" ht="12.75" customHeight="1">
      <c r="K133" s="77"/>
      <c r="M133" s="77"/>
    </row>
    <row r="134" spans="11:13" s="76" customFormat="1" ht="12.75" customHeight="1">
      <c r="K134" s="77"/>
      <c r="M134" s="77"/>
    </row>
    <row r="135" spans="11:13" s="76" customFormat="1" ht="12.75" customHeight="1">
      <c r="K135" s="77"/>
      <c r="M135" s="77"/>
    </row>
    <row r="136" spans="11:13" s="76" customFormat="1" ht="12.75" customHeight="1">
      <c r="K136" s="77"/>
      <c r="M136" s="77"/>
    </row>
    <row r="137" spans="11:13" s="76" customFormat="1" ht="12.75" customHeight="1">
      <c r="K137" s="77"/>
      <c r="M137" s="77"/>
    </row>
    <row r="138" spans="11:13" s="76" customFormat="1" ht="12.75" customHeight="1">
      <c r="K138" s="77"/>
      <c r="M138" s="77"/>
    </row>
    <row r="139" spans="11:13" s="76" customFormat="1" ht="12.75" customHeight="1">
      <c r="K139" s="77"/>
      <c r="M139" s="77"/>
    </row>
    <row r="140" spans="11:13" s="76" customFormat="1" ht="12.75" customHeight="1">
      <c r="K140" s="77"/>
      <c r="M140" s="77"/>
    </row>
    <row r="141" spans="11:13" s="76" customFormat="1" ht="12.75" customHeight="1">
      <c r="K141" s="77"/>
      <c r="M141" s="77"/>
    </row>
    <row r="142" spans="11:13" s="76" customFormat="1" ht="12.75" customHeight="1">
      <c r="K142" s="77"/>
      <c r="M142" s="77"/>
    </row>
    <row r="143" spans="11:13" s="76" customFormat="1" ht="12.75" customHeight="1">
      <c r="K143" s="77"/>
      <c r="M143" s="77"/>
    </row>
    <row r="144" spans="11:13" s="76" customFormat="1" ht="12.75" customHeight="1">
      <c r="K144" s="77"/>
      <c r="M144" s="77"/>
    </row>
    <row r="145" spans="11:13" s="76" customFormat="1" ht="12.75" customHeight="1">
      <c r="K145" s="77"/>
      <c r="M145" s="77"/>
    </row>
    <row r="146" spans="11:13" s="76" customFormat="1" ht="12.75" customHeight="1">
      <c r="K146" s="77"/>
      <c r="M146" s="77"/>
    </row>
    <row r="147" spans="11:13" s="76" customFormat="1" ht="12.75" customHeight="1">
      <c r="K147" s="77"/>
      <c r="M147" s="77"/>
    </row>
    <row r="148" spans="11:13" s="76" customFormat="1" ht="12.75" customHeight="1">
      <c r="K148" s="77"/>
      <c r="M148" s="77"/>
    </row>
    <row r="149" spans="11:13" s="76" customFormat="1" ht="12.75" customHeight="1">
      <c r="K149" s="77"/>
      <c r="M149" s="77"/>
    </row>
    <row r="150" spans="11:13" s="76" customFormat="1" ht="12.75" customHeight="1">
      <c r="K150" s="77"/>
      <c r="M150" s="77"/>
    </row>
    <row r="151" spans="11:13" s="76" customFormat="1" ht="12.75" customHeight="1">
      <c r="K151" s="77"/>
      <c r="M151" s="77"/>
    </row>
    <row r="152" spans="11:13" s="76" customFormat="1" ht="12.75" customHeight="1">
      <c r="K152" s="77"/>
      <c r="M152" s="77"/>
    </row>
    <row r="153" spans="11:13" s="76" customFormat="1" ht="12.75" customHeight="1">
      <c r="K153" s="77"/>
      <c r="M153" s="77"/>
    </row>
    <row r="154" spans="11:13" s="76" customFormat="1" ht="12.75" customHeight="1">
      <c r="K154" s="77"/>
      <c r="M154" s="77"/>
    </row>
    <row r="155" spans="11:13" s="76" customFormat="1" ht="12.75" customHeight="1">
      <c r="K155" s="77"/>
      <c r="M155" s="77"/>
    </row>
    <row r="156" spans="11:13" s="76" customFormat="1" ht="12.75" customHeight="1">
      <c r="K156" s="77"/>
      <c r="M156" s="77"/>
    </row>
    <row r="157" spans="11:13" s="76" customFormat="1" ht="12.75" customHeight="1">
      <c r="K157" s="77"/>
      <c r="M157" s="77"/>
    </row>
    <row r="158" spans="11:13" s="76" customFormat="1" ht="12.75" customHeight="1">
      <c r="K158" s="77"/>
      <c r="M158" s="77"/>
    </row>
    <row r="159" spans="11:13" s="76" customFormat="1" ht="12.75" customHeight="1">
      <c r="K159" s="77"/>
      <c r="M159" s="77"/>
    </row>
    <row r="160" spans="11:13" s="76" customFormat="1" ht="12.75" customHeight="1">
      <c r="K160" s="77"/>
      <c r="M160" s="77"/>
    </row>
    <row r="161" spans="11:13" s="76" customFormat="1" ht="12.75" customHeight="1">
      <c r="K161" s="77"/>
      <c r="M161" s="77"/>
    </row>
    <row r="162" spans="11:13" s="76" customFormat="1" ht="12.75" customHeight="1">
      <c r="K162" s="77"/>
      <c r="M162" s="77"/>
    </row>
    <row r="163" spans="11:13" s="76" customFormat="1" ht="12.75" customHeight="1">
      <c r="K163" s="77"/>
      <c r="M163" s="77"/>
    </row>
    <row r="164" spans="11:13" s="76" customFormat="1" ht="12.75" customHeight="1">
      <c r="K164" s="77"/>
      <c r="M164" s="77"/>
    </row>
    <row r="165" spans="11:13" s="76" customFormat="1" ht="12.75" customHeight="1">
      <c r="K165" s="77"/>
      <c r="M165" s="77"/>
    </row>
    <row r="166" spans="11:13" s="76" customFormat="1" ht="12.75" customHeight="1">
      <c r="K166" s="77"/>
      <c r="M166" s="77"/>
    </row>
    <row r="167" spans="11:13" s="76" customFormat="1" ht="12.75" customHeight="1">
      <c r="K167" s="77"/>
      <c r="M167" s="77"/>
    </row>
    <row r="168" spans="11:13" s="76" customFormat="1" ht="12.75" customHeight="1">
      <c r="K168" s="77"/>
      <c r="M168" s="77"/>
    </row>
    <row r="169" spans="11:13" s="76" customFormat="1" ht="12.75" customHeight="1">
      <c r="K169" s="77"/>
      <c r="M169" s="77"/>
    </row>
    <row r="170" spans="11:13" s="76" customFormat="1" ht="12.75" customHeight="1">
      <c r="K170" s="77"/>
      <c r="M170" s="77"/>
    </row>
    <row r="171" spans="11:13" s="76" customFormat="1" ht="12.75" customHeight="1">
      <c r="K171" s="77"/>
      <c r="M171" s="77"/>
    </row>
    <row r="172" spans="11:13" s="76" customFormat="1" ht="12.75" customHeight="1">
      <c r="K172" s="77"/>
      <c r="M172" s="77"/>
    </row>
    <row r="173" spans="11:13" s="76" customFormat="1" ht="12.75" customHeight="1">
      <c r="K173" s="77"/>
      <c r="M173" s="77"/>
    </row>
    <row r="174" spans="11:13" s="76" customFormat="1" ht="12.75" customHeight="1">
      <c r="K174" s="77"/>
      <c r="M174" s="77"/>
    </row>
    <row r="175" spans="11:13" s="76" customFormat="1" ht="12.75" customHeight="1">
      <c r="K175" s="77"/>
      <c r="M175" s="77"/>
    </row>
    <row r="176" spans="11:13" s="76" customFormat="1" ht="12.75" customHeight="1">
      <c r="K176" s="77"/>
      <c r="M176" s="77"/>
    </row>
    <row r="177" spans="11:13" s="76" customFormat="1" ht="12.75" customHeight="1">
      <c r="K177" s="77"/>
      <c r="M177" s="77"/>
    </row>
    <row r="178" spans="11:13" s="76" customFormat="1" ht="12.75" customHeight="1">
      <c r="K178" s="77"/>
      <c r="M178" s="77"/>
    </row>
    <row r="179" spans="11:13" s="76" customFormat="1" ht="12.75" customHeight="1">
      <c r="K179" s="77"/>
      <c r="M179" s="77"/>
    </row>
    <row r="180" spans="11:13" s="76" customFormat="1" ht="12.75" customHeight="1">
      <c r="K180" s="77"/>
      <c r="M180" s="77"/>
    </row>
    <row r="181" spans="11:13" s="76" customFormat="1" ht="12.75" customHeight="1">
      <c r="K181" s="77"/>
      <c r="M181" s="77"/>
    </row>
    <row r="182" spans="11:13" s="76" customFormat="1" ht="12.75" customHeight="1">
      <c r="K182" s="77"/>
      <c r="M182" s="77"/>
    </row>
    <row r="183" spans="11:13" s="76" customFormat="1" ht="12.75" customHeight="1">
      <c r="K183" s="77"/>
      <c r="M183" s="77"/>
    </row>
    <row r="184" spans="11:13" s="76" customFormat="1" ht="12.75" customHeight="1">
      <c r="K184" s="77"/>
      <c r="M184" s="77"/>
    </row>
    <row r="185" spans="11:13" s="76" customFormat="1" ht="12.75" customHeight="1">
      <c r="K185" s="77"/>
      <c r="M185" s="77"/>
    </row>
    <row r="186" spans="11:13" s="76" customFormat="1" ht="12.75" customHeight="1">
      <c r="K186" s="77"/>
      <c r="M186" s="77"/>
    </row>
    <row r="187" spans="11:13" s="76" customFormat="1" ht="12.75" customHeight="1">
      <c r="K187" s="77"/>
      <c r="M187" s="77"/>
    </row>
    <row r="188" spans="11:13" s="76" customFormat="1" ht="12.75" customHeight="1">
      <c r="K188" s="77"/>
      <c r="M188" s="77"/>
    </row>
    <row r="189" spans="11:13" s="76" customFormat="1" ht="12.75" customHeight="1">
      <c r="K189" s="77"/>
      <c r="M189" s="77"/>
    </row>
    <row r="190" spans="11:13" s="76" customFormat="1" ht="12.75" customHeight="1">
      <c r="K190" s="77"/>
      <c r="M190" s="77"/>
    </row>
  </sheetData>
  <printOptions horizontalCentered="1"/>
  <pageMargins left="0.5" right="0.5" top="3" bottom="0.5" header="1.5" footer="0.5"/>
  <pageSetup fitToHeight="0" fitToWidth="2" orientation="landscape" pageOrder="overThenDown" scale="53" r:id="rId1"/>
  <headerFooter alignWithMargins="0">
    <oddHeader>&amp;C&amp;B
2022 RATE CASE
ONCOR ELECTRIC DELIVERY COMPANY LLC
II-B-8   MATERIALS AND SUPPLIES
TEST YEAR ENDING DECEMBER 31, 2021
SPONSOR: A. THENMADATHIL&amp;R&amp;"Arial,Bold"Schedule &amp;A
Page &amp;P of &amp;N</oddHeader>
  </headerFooter>
  <rowBreaks count="1" manualBreakCount="1">
    <brk id="37" max="18" man="1"/>
  </rowBreaks>
  <colBreaks count="1" manualBreakCount="1">
    <brk id="11" min="14" max="59" man="1"/>
  </colBreak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8">
    <tabColor rgb="FFFF0000"/>
  </sheetPr>
  <dimension ref="A1:X150"/>
  <sheetViews>
    <sheetView workbookViewId="0" topLeftCell="A1">
      <pane xSplit="4" ySplit="13" topLeftCell="E14" activePane="bottomRight" state="frozen"/>
      <selection pane="topLeft" activeCell="F16" sqref="F16"/>
      <selection pane="bottomLeft" activeCell="F16" sqref="F16"/>
      <selection pane="topRight" activeCell="F16" sqref="F16"/>
      <selection pane="bottomRight" activeCell="E14" sqref="E14"/>
    </sheetView>
  </sheetViews>
  <sheetFormatPr defaultColWidth="9.14428571428571" defaultRowHeight="12.75"/>
  <cols>
    <col min="1" max="1" width="5.71428571428571" style="76" customWidth="1"/>
    <col min="2" max="2" width="8.71428571428571" style="78" customWidth="1"/>
    <col min="3" max="3" width="46.5714285714286" style="78" customWidth="1"/>
    <col min="4" max="4" width="10.5714285714286" style="78" customWidth="1"/>
    <col min="5" max="5" width="13.4285714285714" style="78" bestFit="1" customWidth="1"/>
    <col min="6" max="6" width="17" style="78" bestFit="1" customWidth="1"/>
    <col min="7" max="7" width="12.7142857142857" style="78" customWidth="1"/>
    <col min="8" max="8" width="13.2857142857143" style="78" bestFit="1" customWidth="1"/>
    <col min="9" max="9" width="13.5714285714286" style="78" bestFit="1" customWidth="1"/>
    <col min="10" max="10" width="10.2857142857143" style="78" bestFit="1" customWidth="1"/>
    <col min="11" max="11" width="13.5714285714286" style="82" bestFit="1" customWidth="1"/>
    <col min="12" max="12" width="3.28571428571429" style="78" bestFit="1" customWidth="1"/>
    <col min="13" max="13" width="8.42857142857143" style="82" bestFit="1" customWidth="1"/>
    <col min="14" max="22" width="12.7142857142857" style="78" customWidth="1"/>
    <col min="23" max="23" width="13.4285714285714" style="78" bestFit="1" customWidth="1"/>
    <col min="24" max="16384" width="9.14285714285714" style="78"/>
  </cols>
  <sheetData>
    <row r="1" spans="1:1" ht="12.75">
      <c r="A1" s="80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Sponsors'!$A$21,'[4]Schedule Sponsors'!$B$21)</f>
        <v>II-B-9   CASH WORKING CAPITAL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Sponsors'!$D$21)</f>
        <v>SPONSOR: A. THENMADATHIL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2:23" ht="12.75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2:23" s="76" customFormat="1" ht="12.75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13" s="76" customFormat="1" ht="12.75">
      <c r="A15" s="77">
        <v>1</v>
      </c>
      <c r="B15" s="85" t="s">
        <v>101</v>
      </c>
      <c r="K15" s="77"/>
      <c r="M15" s="77"/>
    </row>
    <row r="16" spans="1:22" s="80" customFormat="1" ht="12.75">
      <c r="A16" s="77">
        <v>2</v>
      </c>
      <c r="B16" s="96" t="s">
        <v>106</v>
      </c>
      <c r="D16" s="86" t="s">
        <v>165</v>
      </c>
      <c r="E16" s="190"/>
      <c r="F16" s="87"/>
      <c r="G16" s="87"/>
      <c r="H16" s="87"/>
      <c r="I16" s="87"/>
      <c r="J16" s="87"/>
      <c r="K16" s="88"/>
      <c r="L16" s="87"/>
      <c r="M16" s="88"/>
      <c r="N16" s="87"/>
      <c r="O16" s="87"/>
      <c r="P16" s="87"/>
      <c r="Q16" s="87"/>
      <c r="R16" s="87"/>
      <c r="S16" s="87"/>
      <c r="T16" s="87"/>
      <c r="U16" s="87"/>
      <c r="V16" s="87"/>
    </row>
    <row r="17" spans="1:24" s="76" customFormat="1" ht="12.75">
      <c r="A17" s="77">
        <v>3</v>
      </c>
      <c r="C17" s="76" t="s">
        <v>116</v>
      </c>
      <c r="E17" s="190">
        <f>+'[1]Lead Lag'!I67</f>
        <v>-73484424</v>
      </c>
      <c r="F17" s="190">
        <v>0</v>
      </c>
      <c r="G17" s="190">
        <f>+E17+F17</f>
        <v>-73484424</v>
      </c>
      <c r="H17" s="190">
        <v>0</v>
      </c>
      <c r="I17" s="190">
        <f>+G17+H17</f>
        <v>-73484424</v>
      </c>
      <c r="J17" s="175">
        <v>1</v>
      </c>
      <c r="K17" s="190">
        <f>ROUND(+I17*J17,2)</f>
        <v>-73484424</v>
      </c>
      <c r="L17" s="39"/>
      <c r="M17" s="344" t="s">
        <v>426</v>
      </c>
      <c r="N17" s="190">
        <f>+'[1]Lead Lag'!K67</f>
        <v>-48361434.050000004</v>
      </c>
      <c r="O17" s="190">
        <f>+'[1]Lead Lag'!L67</f>
        <v>-8174427.4699999997</v>
      </c>
      <c r="P17" s="190">
        <f>+'[1]Lead Lag'!M67</f>
        <v>0</v>
      </c>
      <c r="Q17" s="190">
        <f>SUM(N17:P17)</f>
        <v>-56535861.520000003</v>
      </c>
      <c r="R17" s="190">
        <f>+'[1]Lead Lag'!O67</f>
        <v>-16695371.95999999</v>
      </c>
      <c r="S17" s="190">
        <f>+'[1]Lead Lag'!P67</f>
        <v>-668468.91000000003</v>
      </c>
      <c r="T17" s="190">
        <f>SUM(R17:S17)</f>
        <v>-17363840.86999999</v>
      </c>
      <c r="U17" s="190">
        <f>+'[1]Lead Lag'!R67</f>
        <v>273938.61000000028</v>
      </c>
      <c r="V17" s="190">
        <f>+'[1]Lead Lag'!S67</f>
        <v>141339.77999998356</v>
      </c>
      <c r="W17" s="190">
        <f>+Q17+T17+U17+V17</f>
        <v>-73484424</v>
      </c>
      <c r="X17" s="76" t="b">
        <f>ROUND(+W17,2)=ROUND(K17,2)</f>
        <v>1</v>
      </c>
    </row>
    <row r="18" spans="1:23" s="76" customFormat="1" ht="12.75">
      <c r="A18" s="77">
        <v>4</v>
      </c>
      <c r="E18" s="160"/>
      <c r="F18" s="160"/>
      <c r="G18" s="160"/>
      <c r="H18" s="160"/>
      <c r="I18" s="160"/>
      <c r="J18" s="39"/>
      <c r="K18" s="160"/>
      <c r="L18" s="39"/>
      <c r="M18" s="77"/>
      <c r="N18" s="160"/>
      <c r="O18" s="160"/>
      <c r="P18" s="160"/>
      <c r="Q18" s="160"/>
      <c r="R18" s="160"/>
      <c r="S18" s="160"/>
      <c r="T18" s="160"/>
      <c r="U18" s="160"/>
      <c r="V18" s="160"/>
      <c r="W18" s="160"/>
    </row>
    <row r="19" spans="1:24" s="76" customFormat="1" ht="12.75">
      <c r="A19" s="77">
        <v>5</v>
      </c>
      <c r="C19" s="90" t="s">
        <v>40</v>
      </c>
      <c r="D19" s="39"/>
      <c r="E19" s="189">
        <f>E17</f>
        <v>-73484424</v>
      </c>
      <c r="F19" s="189">
        <f>F17</f>
        <v>0</v>
      </c>
      <c r="G19" s="189">
        <f>G17</f>
        <v>-73484424</v>
      </c>
      <c r="H19" s="189">
        <f>H17</f>
        <v>0</v>
      </c>
      <c r="I19" s="189">
        <f>I17</f>
        <v>-73484424</v>
      </c>
      <c r="J19" s="189"/>
      <c r="K19" s="189">
        <f>K17</f>
        <v>-73484424</v>
      </c>
      <c r="L19" s="189"/>
      <c r="M19" s="189"/>
      <c r="N19" s="189">
        <f t="shared" si="0" ref="N19:W19">N17</f>
        <v>-48361434.050000004</v>
      </c>
      <c r="O19" s="189">
        <f t="shared" si="1" ref="O19">O17</f>
        <v>-8174427.4699999997</v>
      </c>
      <c r="P19" s="189">
        <f t="shared" si="2" ref="P19">P17</f>
        <v>0</v>
      </c>
      <c r="Q19" s="189">
        <f>Q17</f>
        <v>-56535861.520000003</v>
      </c>
      <c r="R19" s="189">
        <f t="shared" si="0"/>
        <v>-16695371.95999999</v>
      </c>
      <c r="S19" s="189">
        <f t="shared" si="3" ref="S19:T19">S17</f>
        <v>-668468.91000000003</v>
      </c>
      <c r="T19" s="189">
        <f t="shared" si="3"/>
        <v>-17363840.86999999</v>
      </c>
      <c r="U19" s="189">
        <f t="shared" si="0"/>
        <v>273938.61000000028</v>
      </c>
      <c r="V19" s="189">
        <f t="shared" si="4" ref="V19">V17</f>
        <v>141339.77999998356</v>
      </c>
      <c r="W19" s="189">
        <f t="shared" si="0"/>
        <v>-73484424</v>
      </c>
      <c r="X19" s="76" t="b">
        <f>ROUND(+W19,2)=ROUND(K19,2)</f>
        <v>1</v>
      </c>
    </row>
    <row r="20" spans="1:23" s="76" customFormat="1" ht="12.75">
      <c r="A20" s="77">
        <v>6</v>
      </c>
      <c r="C20" s="91"/>
      <c r="D20" s="39"/>
      <c r="E20" s="189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189"/>
      <c r="U20" s="189"/>
      <c r="V20" s="189"/>
      <c r="W20" s="189"/>
    </row>
    <row r="21" spans="1:24" s="76" customFormat="1" ht="12.75">
      <c r="A21" s="77">
        <v>7</v>
      </c>
      <c r="B21" s="80" t="s">
        <v>143</v>
      </c>
      <c r="D21" s="86" t="s">
        <v>165</v>
      </c>
      <c r="E21" s="189">
        <f>E19</f>
        <v>-73484424</v>
      </c>
      <c r="F21" s="189">
        <f>F19</f>
        <v>0</v>
      </c>
      <c r="G21" s="189">
        <f>G19</f>
        <v>-73484424</v>
      </c>
      <c r="H21" s="189">
        <f>H19</f>
        <v>0</v>
      </c>
      <c r="I21" s="189">
        <f>I19</f>
        <v>-73484424</v>
      </c>
      <c r="J21" s="189"/>
      <c r="K21" s="189">
        <f>K19</f>
        <v>-73484424</v>
      </c>
      <c r="L21" s="189"/>
      <c r="M21" s="189"/>
      <c r="N21" s="189">
        <f t="shared" si="5" ref="N21:W21">N19</f>
        <v>-48361434.050000004</v>
      </c>
      <c r="O21" s="189">
        <f t="shared" si="6" ref="O21">O19</f>
        <v>-8174427.4699999997</v>
      </c>
      <c r="P21" s="189">
        <f t="shared" si="7" ref="P21">P19</f>
        <v>0</v>
      </c>
      <c r="Q21" s="189">
        <f>Q19</f>
        <v>-56535861.520000003</v>
      </c>
      <c r="R21" s="189">
        <f t="shared" si="5"/>
        <v>-16695371.95999999</v>
      </c>
      <c r="S21" s="189">
        <f t="shared" si="8" ref="S21:T21">S19</f>
        <v>-668468.91000000003</v>
      </c>
      <c r="T21" s="189">
        <f t="shared" si="8"/>
        <v>-17363840.86999999</v>
      </c>
      <c r="U21" s="189">
        <f t="shared" si="5"/>
        <v>273938.61000000028</v>
      </c>
      <c r="V21" s="189">
        <f t="shared" si="9" ref="V21">V19</f>
        <v>141339.77999998356</v>
      </c>
      <c r="W21" s="189">
        <f t="shared" si="5"/>
        <v>-73484424</v>
      </c>
      <c r="X21" s="76" t="b">
        <f>ROUND(+W21,2)=ROUND(K21,2)</f>
        <v>1</v>
      </c>
    </row>
    <row r="22" spans="1:23" s="76" customFormat="1" ht="12.75">
      <c r="A22" s="77">
        <v>8</v>
      </c>
      <c r="D22" s="39"/>
      <c r="E22" s="189"/>
      <c r="F22" s="189"/>
      <c r="G22" s="189"/>
      <c r="H22" s="189"/>
      <c r="I22" s="189"/>
      <c r="J22" s="189"/>
      <c r="K22" s="189"/>
      <c r="L22" s="189"/>
      <c r="M22" s="189"/>
      <c r="N22" s="189"/>
      <c r="O22" s="189"/>
      <c r="P22" s="189"/>
      <c r="Q22" s="189"/>
      <c r="R22" s="189"/>
      <c r="S22" s="189"/>
      <c r="T22" s="189"/>
      <c r="U22" s="189"/>
      <c r="V22" s="189"/>
      <c r="W22" s="189"/>
    </row>
    <row r="23" spans="1:24" s="80" customFormat="1" ht="12.75">
      <c r="A23" s="77">
        <v>9</v>
      </c>
      <c r="B23" s="80" t="s">
        <v>145</v>
      </c>
      <c r="C23" s="90"/>
      <c r="D23" s="86" t="s">
        <v>166</v>
      </c>
      <c r="E23" s="189">
        <f>+E21+'II-B-8'!E60</f>
        <v>78745029.159999996</v>
      </c>
      <c r="F23" s="189">
        <f>+F21+'II-B-8'!F60</f>
        <v>0</v>
      </c>
      <c r="G23" s="189">
        <f>+G21+'II-B-8'!G60</f>
        <v>78745029.159999996</v>
      </c>
      <c r="H23" s="189">
        <f>+H21+'II-B-8'!H60</f>
        <v>-190712.29999998212</v>
      </c>
      <c r="I23" s="189">
        <f>+I21+'II-B-8'!I60</f>
        <v>78554316.860000014</v>
      </c>
      <c r="J23" s="189"/>
      <c r="K23" s="189">
        <f>+K21+'II-B-8'!K60</f>
        <v>78554316.860000014</v>
      </c>
      <c r="L23" s="189"/>
      <c r="M23" s="189"/>
      <c r="N23" s="189">
        <f>+N21+'II-B-8'!N60</f>
        <v>28881119.069999985</v>
      </c>
      <c r="O23" s="189">
        <f>+O21+'II-B-8'!O60</f>
        <v>-8174427.4699999997</v>
      </c>
      <c r="P23" s="189">
        <f>+P21+'II-B-8'!P60</f>
        <v>0</v>
      </c>
      <c r="Q23" s="189">
        <f>+Q21+'II-B-8'!Q60</f>
        <v>20706691.599999987</v>
      </c>
      <c r="R23" s="189">
        <f>+R21+'II-B-8'!R60</f>
        <v>57995032.450000003</v>
      </c>
      <c r="S23" s="189">
        <f>+S21+'II-B-8'!S60</f>
        <v>-668468.91000000003</v>
      </c>
      <c r="T23" s="189">
        <f>+T21+'II-B-8'!T60</f>
        <v>57326563.540000007</v>
      </c>
      <c r="U23" s="189">
        <f>+U21+'II-B-8'!U60</f>
        <v>379721.94000000029</v>
      </c>
      <c r="V23" s="189">
        <f>+V21+'II-B-8'!V60</f>
        <v>141339.77999998356</v>
      </c>
      <c r="W23" s="189">
        <f>+W21+'II-B-8'!W60</f>
        <v>78554316.860000014</v>
      </c>
      <c r="X23" s="76" t="b">
        <f>ROUND(+W23,2)=ROUND(K23,2)</f>
        <v>1</v>
      </c>
    </row>
    <row r="24" spans="4:22" s="76" customFormat="1" ht="13.5" customHeight="1">
      <c r="D24" s="39"/>
      <c r="E24" s="39"/>
      <c r="F24" s="39"/>
      <c r="G24" s="39"/>
      <c r="H24" s="39"/>
      <c r="I24" s="39"/>
      <c r="J24" s="39"/>
      <c r="K24" s="77"/>
      <c r="L24" s="39"/>
      <c r="M24" s="77"/>
      <c r="N24" s="39"/>
      <c r="O24" s="39"/>
      <c r="P24" s="39"/>
      <c r="Q24" s="39"/>
      <c r="R24" s="39"/>
      <c r="S24" s="39"/>
      <c r="T24" s="39"/>
      <c r="U24" s="39"/>
      <c r="V24" s="39"/>
    </row>
    <row r="25" spans="2:22" s="80" customFormat="1" ht="12.75">
      <c r="B25" s="93"/>
      <c r="D25" s="86"/>
      <c r="E25" s="87"/>
      <c r="F25" s="87"/>
      <c r="G25" s="87"/>
      <c r="H25" s="87"/>
      <c r="I25" s="87"/>
      <c r="J25" s="87"/>
      <c r="K25" s="88"/>
      <c r="L25" s="87"/>
      <c r="M25" s="88"/>
      <c r="N25" s="87"/>
      <c r="O25" s="87"/>
      <c r="P25" s="87"/>
      <c r="Q25" s="87"/>
      <c r="R25" s="87"/>
      <c r="S25" s="87"/>
      <c r="T25" s="87"/>
      <c r="U25" s="87"/>
      <c r="V25" s="87"/>
    </row>
    <row r="26" spans="2:23" s="76" customFormat="1" ht="12.75">
      <c r="B26" s="93"/>
      <c r="D26" s="39"/>
      <c r="E26" s="39"/>
      <c r="F26" s="39"/>
      <c r="G26" s="39"/>
      <c r="H26" s="39"/>
      <c r="I26" s="39"/>
      <c r="J26" s="39"/>
      <c r="K26" s="77"/>
      <c r="L26" s="39"/>
      <c r="M26" s="81"/>
      <c r="N26" s="39"/>
      <c r="O26" s="39"/>
      <c r="P26" s="39"/>
      <c r="Q26" s="39"/>
      <c r="R26" s="92"/>
      <c r="S26" s="92"/>
      <c r="T26" s="92"/>
      <c r="U26" s="92"/>
      <c r="V26" s="92"/>
      <c r="W26" s="92"/>
    </row>
    <row r="27" spans="2:22" s="76" customFormat="1" ht="12.75">
      <c r="B27" s="93"/>
      <c r="D27" s="39"/>
      <c r="E27" s="87"/>
      <c r="F27" s="39"/>
      <c r="G27" s="39"/>
      <c r="H27" s="39"/>
      <c r="I27" s="39"/>
      <c r="J27" s="39"/>
      <c r="K27" s="77"/>
      <c r="L27" s="39"/>
      <c r="M27" s="77"/>
      <c r="N27" s="39"/>
      <c r="O27" s="39"/>
      <c r="P27" s="39"/>
      <c r="Q27" s="39"/>
      <c r="R27" s="39"/>
      <c r="S27" s="39"/>
      <c r="T27" s="39"/>
      <c r="U27" s="39"/>
      <c r="V27" s="39"/>
    </row>
    <row r="28" spans="3:23" s="76" customFormat="1" ht="12.75">
      <c r="C28" s="94"/>
      <c r="D28" s="39"/>
      <c r="E28" s="39"/>
      <c r="F28" s="39"/>
      <c r="G28" s="39"/>
      <c r="H28" s="39"/>
      <c r="I28" s="39"/>
      <c r="J28" s="39"/>
      <c r="K28" s="77"/>
      <c r="L28" s="39"/>
      <c r="M28" s="81"/>
      <c r="N28" s="39"/>
      <c r="O28" s="39"/>
      <c r="P28" s="39"/>
      <c r="Q28" s="39"/>
      <c r="R28" s="92"/>
      <c r="S28" s="92"/>
      <c r="T28" s="92"/>
      <c r="U28" s="92"/>
      <c r="V28" s="92"/>
      <c r="W28" s="92"/>
    </row>
    <row r="29" spans="3:23" s="76" customFormat="1" ht="12.75">
      <c r="C29" s="94"/>
      <c r="D29" s="39"/>
      <c r="E29" s="39"/>
      <c r="F29" s="39"/>
      <c r="G29" s="39"/>
      <c r="H29" s="39"/>
      <c r="I29" s="39"/>
      <c r="J29" s="39"/>
      <c r="K29" s="77"/>
      <c r="L29" s="39"/>
      <c r="M29" s="81"/>
      <c r="N29" s="39"/>
      <c r="O29" s="39"/>
      <c r="P29" s="39"/>
      <c r="Q29" s="39"/>
      <c r="R29" s="92"/>
      <c r="S29" s="92"/>
      <c r="T29" s="92"/>
      <c r="U29" s="92"/>
      <c r="V29" s="92"/>
      <c r="W29" s="92"/>
    </row>
    <row r="30" spans="3:23" s="76" customFormat="1" ht="12.75">
      <c r="C30" s="94"/>
      <c r="D30" s="39"/>
      <c r="E30" s="39"/>
      <c r="F30" s="39"/>
      <c r="G30" s="39"/>
      <c r="H30" s="39"/>
      <c r="I30" s="39"/>
      <c r="J30" s="39"/>
      <c r="K30" s="77"/>
      <c r="L30" s="39"/>
      <c r="M30" s="77"/>
      <c r="N30" s="39"/>
      <c r="O30" s="39"/>
      <c r="P30" s="39"/>
      <c r="Q30" s="39"/>
      <c r="R30" s="92"/>
      <c r="S30" s="92"/>
      <c r="T30" s="92"/>
      <c r="U30" s="92"/>
      <c r="V30" s="92"/>
      <c r="W30" s="92"/>
    </row>
    <row r="31" spans="3:23" s="76" customFormat="1" ht="12.75">
      <c r="C31" s="94"/>
      <c r="D31" s="39"/>
      <c r="E31" s="39"/>
      <c r="F31" s="39"/>
      <c r="G31" s="39"/>
      <c r="H31" s="39"/>
      <c r="I31" s="39"/>
      <c r="J31" s="39"/>
      <c r="K31" s="77"/>
      <c r="L31" s="39"/>
      <c r="M31" s="77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3:23" s="76" customFormat="1" ht="12.75">
      <c r="C32" s="94"/>
      <c r="D32" s="39"/>
      <c r="E32" s="39"/>
      <c r="F32" s="39"/>
      <c r="G32" s="39"/>
      <c r="H32" s="39"/>
      <c r="I32" s="39"/>
      <c r="J32" s="39"/>
      <c r="K32" s="77"/>
      <c r="L32" s="39"/>
      <c r="M32" s="81"/>
      <c r="N32" s="39"/>
      <c r="O32" s="39"/>
      <c r="P32" s="39"/>
      <c r="Q32" s="39"/>
      <c r="R32" s="92"/>
      <c r="S32" s="92"/>
      <c r="T32" s="92"/>
      <c r="U32" s="92"/>
      <c r="V32" s="92"/>
      <c r="W32" s="92"/>
    </row>
    <row r="33" spans="3:23" s="80" customFormat="1" ht="12.75">
      <c r="C33" s="90"/>
      <c r="D33" s="87"/>
      <c r="E33" s="87"/>
      <c r="F33" s="87"/>
      <c r="G33" s="87"/>
      <c r="H33" s="87"/>
      <c r="I33" s="87"/>
      <c r="J33" s="87"/>
      <c r="K33" s="88"/>
      <c r="L33" s="87"/>
      <c r="M33" s="95"/>
      <c r="N33" s="87"/>
      <c r="O33" s="87"/>
      <c r="P33" s="87"/>
      <c r="Q33" s="87"/>
      <c r="R33" s="87"/>
      <c r="S33" s="87"/>
      <c r="T33" s="87"/>
      <c r="U33" s="87"/>
      <c r="V33" s="87"/>
      <c r="W33" s="87"/>
    </row>
    <row r="34" spans="3:23" s="76" customFormat="1" ht="12.75">
      <c r="C34" s="94"/>
      <c r="D34" s="39"/>
      <c r="E34" s="39"/>
      <c r="F34" s="39"/>
      <c r="G34" s="39"/>
      <c r="H34" s="39"/>
      <c r="I34" s="39"/>
      <c r="J34" s="39"/>
      <c r="K34" s="77"/>
      <c r="L34" s="39"/>
      <c r="M34" s="81"/>
      <c r="N34" s="39"/>
      <c r="O34" s="39"/>
      <c r="P34" s="39"/>
      <c r="Q34" s="39"/>
      <c r="R34" s="92"/>
      <c r="S34" s="92"/>
      <c r="T34" s="92"/>
      <c r="U34" s="92"/>
      <c r="V34" s="92"/>
      <c r="W34" s="92"/>
    </row>
    <row r="35" spans="3:23" s="76" customFormat="1" ht="12.75">
      <c r="C35" s="91"/>
      <c r="D35" s="39"/>
      <c r="E35" s="39"/>
      <c r="F35" s="39"/>
      <c r="G35" s="39"/>
      <c r="H35" s="39"/>
      <c r="I35" s="39"/>
      <c r="J35" s="39"/>
      <c r="K35" s="77"/>
      <c r="L35" s="39"/>
      <c r="M35" s="77"/>
      <c r="N35" s="39"/>
      <c r="O35" s="39"/>
      <c r="P35" s="39"/>
      <c r="Q35" s="39"/>
      <c r="R35" s="92"/>
      <c r="S35" s="92"/>
      <c r="T35" s="92"/>
      <c r="U35" s="92"/>
      <c r="V35" s="92"/>
      <c r="W35" s="92"/>
    </row>
    <row r="36" spans="3:23" s="76" customFormat="1" ht="12.75">
      <c r="C36" s="91"/>
      <c r="D36" s="39"/>
      <c r="E36" s="39"/>
      <c r="F36" s="39"/>
      <c r="G36" s="39"/>
      <c r="H36" s="39"/>
      <c r="I36" s="39"/>
      <c r="J36" s="39"/>
      <c r="K36" s="77"/>
      <c r="L36" s="39"/>
      <c r="M36" s="77"/>
      <c r="N36" s="39"/>
      <c r="O36" s="39"/>
      <c r="P36" s="39"/>
      <c r="Q36" s="39"/>
      <c r="R36" s="92"/>
      <c r="S36" s="92"/>
      <c r="T36" s="92"/>
      <c r="U36" s="92"/>
      <c r="V36" s="92"/>
      <c r="W36" s="92"/>
    </row>
    <row r="37" spans="4:23" s="76" customFormat="1" ht="12.75">
      <c r="D37" s="39"/>
      <c r="E37" s="39"/>
      <c r="F37" s="39"/>
      <c r="G37" s="39"/>
      <c r="H37" s="39"/>
      <c r="I37" s="39"/>
      <c r="J37" s="39"/>
      <c r="K37" s="77"/>
      <c r="L37" s="39"/>
      <c r="M37" s="77"/>
      <c r="N37" s="39"/>
      <c r="O37" s="39"/>
      <c r="P37" s="39"/>
      <c r="Q37" s="39"/>
      <c r="R37" s="92"/>
      <c r="S37" s="92"/>
      <c r="T37" s="92"/>
      <c r="U37" s="92"/>
      <c r="V37" s="92"/>
      <c r="W37" s="92"/>
    </row>
    <row r="38" spans="3:23" s="80" customFormat="1" ht="12.75">
      <c r="C38" s="90"/>
      <c r="D38" s="87"/>
      <c r="E38" s="87"/>
      <c r="F38" s="87"/>
      <c r="G38" s="87"/>
      <c r="H38" s="87"/>
      <c r="I38" s="87"/>
      <c r="J38" s="87"/>
      <c r="K38" s="88"/>
      <c r="L38" s="87"/>
      <c r="M38" s="88"/>
      <c r="N38" s="87"/>
      <c r="O38" s="87"/>
      <c r="P38" s="87"/>
      <c r="Q38" s="87"/>
      <c r="R38" s="87"/>
      <c r="S38" s="87"/>
      <c r="T38" s="87"/>
      <c r="U38" s="87"/>
      <c r="V38" s="87"/>
      <c r="W38" s="87"/>
    </row>
    <row r="39" spans="3:23" s="76" customFormat="1" ht="12.75">
      <c r="C39" s="90"/>
      <c r="D39" s="39"/>
      <c r="E39" s="39"/>
      <c r="F39" s="39"/>
      <c r="G39" s="39"/>
      <c r="H39" s="39"/>
      <c r="I39" s="39"/>
      <c r="J39" s="39"/>
      <c r="K39" s="77"/>
      <c r="L39" s="39"/>
      <c r="M39" s="77"/>
      <c r="N39" s="39"/>
      <c r="O39" s="39"/>
      <c r="P39" s="39"/>
      <c r="Q39" s="39"/>
      <c r="R39" s="39"/>
      <c r="S39" s="39"/>
      <c r="T39" s="39"/>
      <c r="U39" s="39"/>
      <c r="V39" s="39"/>
      <c r="W39" s="39"/>
    </row>
    <row r="40" spans="3:23" s="76" customFormat="1" ht="12.75">
      <c r="C40" s="90"/>
      <c r="D40" s="39"/>
      <c r="E40" s="39"/>
      <c r="F40" s="39"/>
      <c r="G40" s="39"/>
      <c r="H40" s="39"/>
      <c r="I40" s="39"/>
      <c r="J40" s="39"/>
      <c r="K40" s="77"/>
      <c r="L40" s="39"/>
      <c r="M40" s="77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4:22" s="76" customFormat="1" ht="12.75"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39"/>
      <c r="S41" s="39"/>
      <c r="T41" s="39"/>
      <c r="U41" s="39"/>
      <c r="V41" s="39"/>
    </row>
    <row r="42" spans="2:22" s="80" customFormat="1" ht="12.75">
      <c r="B42" s="96"/>
      <c r="D42" s="87"/>
      <c r="E42" s="87"/>
      <c r="F42" s="87"/>
      <c r="G42" s="87"/>
      <c r="H42" s="87"/>
      <c r="I42" s="87"/>
      <c r="J42" s="87"/>
      <c r="K42" s="88"/>
      <c r="L42" s="87"/>
      <c r="M42" s="88"/>
      <c r="N42" s="87"/>
      <c r="O42" s="87"/>
      <c r="P42" s="87"/>
      <c r="Q42" s="87"/>
      <c r="R42" s="87"/>
      <c r="S42" s="87"/>
      <c r="T42" s="87"/>
      <c r="U42" s="87"/>
      <c r="V42" s="87"/>
    </row>
    <row r="43" spans="5:23" s="76" customFormat="1" ht="12.75"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92"/>
      <c r="S43" s="92"/>
      <c r="T43" s="92"/>
      <c r="U43" s="92"/>
      <c r="V43" s="92"/>
      <c r="W43" s="92"/>
    </row>
    <row r="44" spans="4:22" s="76" customFormat="1" ht="12.75">
      <c r="D44" s="39"/>
      <c r="E44" s="39"/>
      <c r="F44" s="39"/>
      <c r="G44" s="39"/>
      <c r="H44" s="39"/>
      <c r="I44" s="39"/>
      <c r="J44" s="39"/>
      <c r="K44" s="77"/>
      <c r="L44" s="39"/>
      <c r="M44" s="77"/>
      <c r="N44" s="39"/>
      <c r="O44" s="39"/>
      <c r="P44" s="39"/>
      <c r="Q44" s="39"/>
      <c r="R44" s="39"/>
      <c r="S44" s="39"/>
      <c r="T44" s="39"/>
      <c r="U44" s="39"/>
      <c r="V44" s="39"/>
    </row>
    <row r="48" spans="4:22" s="76" customFormat="1" ht="12.75">
      <c r="D48" s="3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39"/>
      <c r="S48" s="39"/>
      <c r="T48" s="39"/>
      <c r="U48" s="39"/>
      <c r="V48" s="39"/>
    </row>
    <row r="49" spans="3:22" s="80" customFormat="1" ht="12.75">
      <c r="C49" s="96"/>
      <c r="D49" s="87"/>
      <c r="E49" s="87"/>
      <c r="F49" s="97"/>
      <c r="G49" s="87"/>
      <c r="H49" s="87"/>
      <c r="I49" s="87"/>
      <c r="J49" s="87"/>
      <c r="K49" s="88"/>
      <c r="L49" s="87"/>
      <c r="M49" s="98"/>
      <c r="N49" s="87"/>
      <c r="O49" s="87"/>
      <c r="P49" s="87"/>
      <c r="Q49" s="87"/>
      <c r="R49" s="87"/>
      <c r="S49" s="87"/>
      <c r="T49" s="87"/>
      <c r="U49" s="87"/>
      <c r="V49" s="87"/>
    </row>
    <row r="50" spans="4:23" s="76" customFormat="1" ht="12.75">
      <c r="D50" s="99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92"/>
      <c r="S50" s="92"/>
      <c r="T50" s="92"/>
      <c r="U50" s="92"/>
      <c r="V50" s="92"/>
      <c r="W50" s="92"/>
    </row>
    <row r="51" spans="4:23" s="76" customFormat="1" ht="12.75">
      <c r="D51" s="9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92"/>
      <c r="S51" s="92"/>
      <c r="T51" s="92"/>
      <c r="U51" s="92"/>
      <c r="V51" s="92"/>
      <c r="W51" s="92"/>
    </row>
    <row r="52" spans="4:23" s="76" customFormat="1" ht="12.75">
      <c r="D52" s="9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92"/>
      <c r="S52" s="92"/>
      <c r="T52" s="92"/>
      <c r="U52" s="92"/>
      <c r="V52" s="92"/>
      <c r="W52" s="92"/>
    </row>
    <row r="53" spans="4:23" s="76" customFormat="1" ht="12.75">
      <c r="D53" s="9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92"/>
      <c r="S53" s="92"/>
      <c r="T53" s="92"/>
      <c r="U53" s="92"/>
      <c r="V53" s="92"/>
      <c r="W53" s="92"/>
    </row>
    <row r="54" spans="4:23" s="76" customFormat="1" ht="12.75">
      <c r="D54" s="99"/>
      <c r="E54" s="39"/>
      <c r="F54" s="39"/>
      <c r="G54" s="39"/>
      <c r="H54" s="39"/>
      <c r="I54" s="39"/>
      <c r="J54" s="39"/>
      <c r="K54" s="77"/>
      <c r="L54" s="39"/>
      <c r="M54" s="77"/>
      <c r="N54" s="39"/>
      <c r="O54" s="39"/>
      <c r="P54" s="39"/>
      <c r="Q54" s="39"/>
      <c r="R54" s="92"/>
      <c r="S54" s="92"/>
      <c r="T54" s="92"/>
      <c r="U54" s="92"/>
      <c r="V54" s="92"/>
      <c r="W54" s="92"/>
    </row>
    <row r="55" spans="4:23" s="76" customFormat="1" ht="12.75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4:23" s="76" customFormat="1" ht="12.75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19"/>
      <c r="S56" s="19"/>
      <c r="T56" s="19"/>
      <c r="U56" s="19"/>
      <c r="V56" s="19"/>
      <c r="W56" s="19"/>
    </row>
    <row r="57" spans="4:23" s="76" customFormat="1" ht="12.75">
      <c r="D57" s="99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92"/>
      <c r="S57" s="92"/>
      <c r="T57" s="92"/>
      <c r="U57" s="92"/>
      <c r="V57" s="92"/>
      <c r="W57" s="92"/>
    </row>
    <row r="58" spans="4:23" s="76" customFormat="1" ht="12.75">
      <c r="D58" s="9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92"/>
      <c r="S58" s="92"/>
      <c r="T58" s="92"/>
      <c r="U58" s="92"/>
      <c r="V58" s="92"/>
      <c r="W58" s="92"/>
    </row>
    <row r="59" spans="4:23" s="76" customFormat="1" ht="12.75">
      <c r="D59" s="99"/>
      <c r="E59" s="39"/>
      <c r="F59" s="39"/>
      <c r="G59" s="39"/>
      <c r="H59" s="39"/>
      <c r="I59" s="39"/>
      <c r="J59" s="39"/>
      <c r="K59" s="77"/>
      <c r="L59" s="39"/>
      <c r="M59" s="77"/>
      <c r="N59" s="39"/>
      <c r="O59" s="39"/>
      <c r="P59" s="39"/>
      <c r="Q59" s="39"/>
      <c r="R59" s="92"/>
      <c r="S59" s="92"/>
      <c r="T59" s="92"/>
      <c r="U59" s="92"/>
      <c r="V59" s="92"/>
      <c r="W59" s="92"/>
    </row>
    <row r="60" spans="3:24" s="80" customFormat="1" ht="12.75">
      <c r="C60" s="90"/>
      <c r="D60" s="97"/>
      <c r="E60" s="87"/>
      <c r="F60" s="87"/>
      <c r="G60" s="87"/>
      <c r="H60" s="87"/>
      <c r="I60" s="87"/>
      <c r="J60" s="87"/>
      <c r="K60" s="98"/>
      <c r="L60" s="87"/>
      <c r="M60" s="88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76"/>
    </row>
    <row r="61" spans="3:22" s="76" customFormat="1" ht="12.75">
      <c r="C61" s="91"/>
      <c r="D61" s="99"/>
      <c r="E61" s="39"/>
      <c r="F61" s="39"/>
      <c r="G61" s="39"/>
      <c r="H61" s="39"/>
      <c r="I61" s="39"/>
      <c r="J61" s="39"/>
      <c r="K61" s="100"/>
      <c r="L61" s="39"/>
      <c r="M61" s="77"/>
      <c r="N61" s="39"/>
      <c r="O61" s="39"/>
      <c r="P61" s="39"/>
      <c r="Q61" s="39"/>
      <c r="R61" s="39"/>
      <c r="S61" s="39"/>
      <c r="T61" s="39"/>
      <c r="U61" s="39"/>
      <c r="V61" s="39"/>
    </row>
    <row r="62" spans="2:24" s="80" customFormat="1" ht="12.75">
      <c r="B62" s="101"/>
      <c r="D62" s="97"/>
      <c r="E62" s="87"/>
      <c r="F62" s="87"/>
      <c r="G62" s="87"/>
      <c r="H62" s="87"/>
      <c r="I62" s="87"/>
      <c r="J62" s="87"/>
      <c r="K62" s="98"/>
      <c r="L62" s="87"/>
      <c r="M62" s="88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76"/>
    </row>
    <row r="63" spans="3:23" s="76" customFormat="1" ht="12.75">
      <c r="C63" s="90"/>
      <c r="D63" s="99"/>
      <c r="E63" s="39"/>
      <c r="F63" s="39"/>
      <c r="G63" s="39"/>
      <c r="H63" s="39"/>
      <c r="I63" s="39"/>
      <c r="J63" s="39"/>
      <c r="K63" s="100"/>
      <c r="L63" s="39"/>
      <c r="M63" s="88"/>
      <c r="N63" s="39"/>
      <c r="O63" s="39"/>
      <c r="P63" s="39"/>
      <c r="Q63" s="39"/>
      <c r="R63" s="39"/>
      <c r="S63" s="39"/>
      <c r="T63" s="39"/>
      <c r="U63" s="39"/>
      <c r="V63" s="39"/>
      <c r="W63" s="39"/>
    </row>
    <row r="64" spans="3:23" s="80" customFormat="1" ht="12.75">
      <c r="C64" s="90"/>
      <c r="D64" s="87"/>
      <c r="E64" s="87"/>
      <c r="F64" s="87"/>
      <c r="G64" s="87"/>
      <c r="H64" s="87"/>
      <c r="I64" s="87"/>
      <c r="J64" s="87"/>
      <c r="K64" s="98"/>
      <c r="L64" s="87"/>
      <c r="M64" s="88"/>
      <c r="N64" s="87"/>
      <c r="O64" s="87"/>
      <c r="P64" s="87"/>
      <c r="Q64" s="87"/>
      <c r="R64" s="87"/>
      <c r="S64" s="87"/>
      <c r="T64" s="87"/>
      <c r="U64" s="87"/>
      <c r="V64" s="87"/>
      <c r="W64" s="87"/>
    </row>
    <row r="65" spans="3:22" s="80" customFormat="1" ht="12.75">
      <c r="C65" s="90"/>
      <c r="D65" s="97"/>
      <c r="E65" s="87"/>
      <c r="F65" s="87"/>
      <c r="G65" s="87"/>
      <c r="H65" s="87"/>
      <c r="I65" s="87"/>
      <c r="J65" s="87"/>
      <c r="K65" s="98"/>
      <c r="L65" s="87"/>
      <c r="M65" s="88"/>
      <c r="N65" s="87"/>
      <c r="O65" s="87"/>
      <c r="P65" s="87"/>
      <c r="Q65" s="87"/>
      <c r="R65" s="87"/>
      <c r="S65" s="87"/>
      <c r="T65" s="87"/>
      <c r="U65" s="87"/>
      <c r="V65" s="87"/>
    </row>
    <row r="66" spans="3:23" s="80" customFormat="1" ht="12.75">
      <c r="C66" s="90"/>
      <c r="D66" s="87"/>
      <c r="E66" s="87"/>
      <c r="F66" s="87"/>
      <c r="G66" s="87"/>
      <c r="H66" s="87"/>
      <c r="I66" s="87"/>
      <c r="J66" s="87"/>
      <c r="K66" s="98"/>
      <c r="L66" s="87"/>
      <c r="M66" s="88"/>
      <c r="N66" s="87"/>
      <c r="O66" s="87"/>
      <c r="P66" s="87"/>
      <c r="Q66" s="87"/>
      <c r="R66" s="102"/>
      <c r="S66" s="102"/>
      <c r="T66" s="102"/>
      <c r="U66" s="102"/>
      <c r="V66" s="102"/>
      <c r="W66" s="102"/>
    </row>
    <row r="67" spans="3:22" s="80" customFormat="1" ht="12.75">
      <c r="C67" s="90"/>
      <c r="D67" s="97"/>
      <c r="E67" s="87"/>
      <c r="F67" s="87"/>
      <c r="G67" s="87"/>
      <c r="H67" s="87"/>
      <c r="I67" s="87"/>
      <c r="J67" s="87"/>
      <c r="K67" s="98"/>
      <c r="L67" s="87"/>
      <c r="M67" s="88"/>
      <c r="N67" s="87"/>
      <c r="O67" s="87"/>
      <c r="P67" s="87"/>
      <c r="Q67" s="87"/>
      <c r="R67" s="87"/>
      <c r="S67" s="87"/>
      <c r="T67" s="87"/>
      <c r="U67" s="87"/>
      <c r="V67" s="87"/>
    </row>
    <row r="68" spans="2:23" s="80" customFormat="1" ht="12.75">
      <c r="B68" s="85"/>
      <c r="C68" s="90"/>
      <c r="D68" s="97"/>
      <c r="E68" s="87"/>
      <c r="F68" s="87"/>
      <c r="G68" s="87"/>
      <c r="H68" s="87"/>
      <c r="I68" s="87"/>
      <c r="J68" s="87"/>
      <c r="K68" s="98"/>
      <c r="L68" s="87"/>
      <c r="M68" s="88"/>
      <c r="N68" s="87"/>
      <c r="O68" s="87"/>
      <c r="P68" s="87"/>
      <c r="Q68" s="87"/>
      <c r="R68" s="87"/>
      <c r="S68" s="87"/>
      <c r="T68" s="87"/>
      <c r="U68" s="87"/>
      <c r="V68" s="87"/>
      <c r="W68" s="87"/>
    </row>
    <row r="69" spans="3:22" s="76" customFormat="1" ht="12.75">
      <c r="C69" s="90"/>
      <c r="D69" s="99"/>
      <c r="E69" s="39"/>
      <c r="F69" s="39"/>
      <c r="G69" s="39"/>
      <c r="H69" s="39"/>
      <c r="I69" s="39"/>
      <c r="J69" s="39"/>
      <c r="K69" s="100"/>
      <c r="L69" s="39"/>
      <c r="M69" s="88"/>
      <c r="N69" s="39"/>
      <c r="O69" s="39"/>
      <c r="P69" s="39"/>
      <c r="Q69" s="39"/>
      <c r="R69" s="39"/>
      <c r="S69" s="39"/>
      <c r="T69" s="39"/>
      <c r="U69" s="39"/>
      <c r="V69" s="39"/>
    </row>
    <row r="70" spans="3:23" s="76" customFormat="1" ht="12.75">
      <c r="C70" s="90"/>
      <c r="D70" s="9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3:23" s="76" customFormat="1" ht="12.75">
      <c r="C71" s="90"/>
      <c r="D71" s="99"/>
      <c r="E71" s="39"/>
      <c r="F71" s="39"/>
      <c r="G71" s="39"/>
      <c r="H71" s="39"/>
      <c r="I71" s="39"/>
      <c r="J71" s="39"/>
      <c r="K71" s="77"/>
      <c r="L71" s="39"/>
      <c r="M71" s="77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3:22" s="76" customFormat="1" ht="12.75">
      <c r="C72" s="90"/>
      <c r="D72" s="99"/>
      <c r="E72" s="39"/>
      <c r="F72" s="39"/>
      <c r="G72" s="39"/>
      <c r="H72" s="39"/>
      <c r="I72" s="39"/>
      <c r="J72" s="39"/>
      <c r="K72" s="100"/>
      <c r="L72" s="39"/>
      <c r="M72" s="88"/>
      <c r="N72" s="39"/>
      <c r="O72" s="39"/>
      <c r="P72" s="39"/>
      <c r="Q72" s="39"/>
      <c r="R72" s="39"/>
      <c r="S72" s="39"/>
      <c r="T72" s="39"/>
      <c r="U72" s="39"/>
      <c r="V72" s="39"/>
    </row>
    <row r="73" spans="3:23" s="76" customFormat="1" ht="12.75">
      <c r="C73" s="103"/>
      <c r="D73" s="99"/>
      <c r="E73" s="39"/>
      <c r="F73" s="39"/>
      <c r="G73" s="39"/>
      <c r="H73" s="39"/>
      <c r="I73" s="39"/>
      <c r="J73" s="39"/>
      <c r="K73" s="77"/>
      <c r="L73" s="39"/>
      <c r="M73" s="77"/>
      <c r="N73" s="39"/>
      <c r="O73" s="39"/>
      <c r="P73" s="39"/>
      <c r="Q73" s="39"/>
      <c r="R73" s="92"/>
      <c r="S73" s="92"/>
      <c r="T73" s="92"/>
      <c r="U73" s="92"/>
      <c r="V73" s="92"/>
      <c r="W73" s="92"/>
    </row>
    <row r="74" spans="3:23" s="76" customFormat="1" ht="12.75">
      <c r="C74" s="104"/>
      <c r="D74" s="99"/>
      <c r="E74" s="39"/>
      <c r="F74" s="39"/>
      <c r="G74" s="39"/>
      <c r="H74" s="39"/>
      <c r="I74" s="39"/>
      <c r="J74" s="39"/>
      <c r="K74" s="77"/>
      <c r="L74" s="39"/>
      <c r="M74" s="77"/>
      <c r="N74" s="39"/>
      <c r="O74" s="39"/>
      <c r="P74" s="39"/>
      <c r="Q74" s="39"/>
      <c r="R74" s="92"/>
      <c r="S74" s="92"/>
      <c r="T74" s="92"/>
      <c r="U74" s="92"/>
      <c r="V74" s="92"/>
      <c r="W74" s="92"/>
    </row>
    <row r="75" spans="4:23" s="76" customFormat="1" ht="12.75">
      <c r="D75" s="9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11:13" s="76" customFormat="1" ht="12.75">
      <c r="K76" s="77"/>
      <c r="M76" s="77"/>
    </row>
    <row r="77" spans="11:13" s="76" customFormat="1" ht="12.75">
      <c r="K77" s="77"/>
      <c r="M77" s="77"/>
    </row>
    <row r="78" spans="11:13" s="76" customFormat="1" ht="12.75">
      <c r="K78" s="77"/>
      <c r="M78" s="77"/>
    </row>
    <row r="79" spans="11:13" s="76" customFormat="1" ht="12.75">
      <c r="K79" s="77"/>
      <c r="M79" s="77"/>
    </row>
    <row r="80" spans="11:13" s="76" customFormat="1" ht="12.75">
      <c r="K80" s="77"/>
      <c r="M80" s="77"/>
    </row>
    <row r="81" spans="11:13" s="76" customFormat="1" ht="12.75">
      <c r="K81" s="77"/>
      <c r="M81" s="77"/>
    </row>
    <row r="82" spans="11:13" s="76" customFormat="1" ht="12.75">
      <c r="K82" s="77"/>
      <c r="M82" s="77"/>
    </row>
    <row r="83" spans="11:13" s="76" customFormat="1" ht="12.75">
      <c r="K83" s="77"/>
      <c r="M83" s="77"/>
    </row>
    <row r="84" spans="11:13" s="76" customFormat="1" ht="12.75">
      <c r="K84" s="77"/>
      <c r="M84" s="77"/>
    </row>
    <row r="85" spans="11:13" s="76" customFormat="1" ht="12.75">
      <c r="K85" s="77"/>
      <c r="M85" s="77"/>
    </row>
    <row r="86" spans="11:13" s="76" customFormat="1" ht="12.75">
      <c r="K86" s="77"/>
      <c r="M86" s="77"/>
    </row>
    <row r="87" spans="11:13" s="76" customFormat="1" ht="12.75">
      <c r="K87" s="77"/>
      <c r="M87" s="77"/>
    </row>
    <row r="88" spans="11:13" s="76" customFormat="1" ht="12.75">
      <c r="K88" s="77"/>
      <c r="M88" s="77"/>
    </row>
    <row r="89" spans="11:13" s="76" customFormat="1" ht="12.75">
      <c r="K89" s="77"/>
      <c r="M89" s="77"/>
    </row>
    <row r="90" spans="11:13" s="76" customFormat="1" ht="12.75">
      <c r="K90" s="77"/>
      <c r="M90" s="77"/>
    </row>
    <row r="91" spans="11:13" s="76" customFormat="1" ht="12.75">
      <c r="K91" s="77"/>
      <c r="M91" s="77"/>
    </row>
    <row r="92" spans="11:13" s="76" customFormat="1" ht="12.75">
      <c r="K92" s="77"/>
      <c r="M92" s="77"/>
    </row>
    <row r="93" spans="11:13" s="76" customFormat="1" ht="12.75">
      <c r="K93" s="77"/>
      <c r="M93" s="77"/>
    </row>
    <row r="94" spans="11:13" s="76" customFormat="1" ht="12.75">
      <c r="K94" s="77"/>
      <c r="M94" s="77"/>
    </row>
    <row r="95" spans="11:13" s="76" customFormat="1" ht="12.75">
      <c r="K95" s="77"/>
      <c r="M95" s="77"/>
    </row>
    <row r="96" spans="11:13" s="76" customFormat="1" ht="12.75">
      <c r="K96" s="77"/>
      <c r="M96" s="77"/>
    </row>
    <row r="97" spans="11:13" s="76" customFormat="1" ht="12.75">
      <c r="K97" s="77"/>
      <c r="M97" s="77"/>
    </row>
    <row r="98" spans="11:13" s="76" customFormat="1" ht="12.75">
      <c r="K98" s="77"/>
      <c r="M98" s="77"/>
    </row>
    <row r="99" spans="11:13" s="76" customFormat="1" ht="12.75">
      <c r="K99" s="77"/>
      <c r="M99" s="77"/>
    </row>
    <row r="100" spans="11:13" s="76" customFormat="1" ht="12.75">
      <c r="K100" s="77"/>
      <c r="M100" s="77"/>
    </row>
    <row r="101" spans="11:13" s="76" customFormat="1" ht="12.75">
      <c r="K101" s="77"/>
      <c r="M101" s="77"/>
    </row>
    <row r="102" spans="11:13" s="76" customFormat="1" ht="12.75">
      <c r="K102" s="77"/>
      <c r="M102" s="77"/>
    </row>
    <row r="103" spans="11:13" s="76" customFormat="1" ht="12.75">
      <c r="K103" s="77"/>
      <c r="M103" s="77"/>
    </row>
    <row r="104" spans="11:13" s="76" customFormat="1" ht="12.75">
      <c r="K104" s="77"/>
      <c r="M104" s="77"/>
    </row>
    <row r="105" spans="11:13" s="76" customFormat="1" ht="12.75">
      <c r="K105" s="77"/>
      <c r="M105" s="77"/>
    </row>
    <row r="106" spans="11:13" s="76" customFormat="1" ht="12.75">
      <c r="K106" s="77"/>
      <c r="M106" s="77"/>
    </row>
    <row r="107" spans="11:13" s="76" customFormat="1" ht="12.75">
      <c r="K107" s="77"/>
      <c r="M107" s="77"/>
    </row>
    <row r="108" spans="11:13" s="76" customFormat="1" ht="12.75">
      <c r="K108" s="77"/>
      <c r="M108" s="77"/>
    </row>
    <row r="109" spans="11:13" s="76" customFormat="1" ht="12.75">
      <c r="K109" s="77"/>
      <c r="M109" s="77"/>
    </row>
    <row r="110" spans="11:13" s="76" customFormat="1" ht="12.75">
      <c r="K110" s="77"/>
      <c r="M110" s="77"/>
    </row>
    <row r="111" spans="11:13" s="76" customFormat="1" ht="12.75">
      <c r="K111" s="77"/>
      <c r="M111" s="77"/>
    </row>
    <row r="112" spans="11:13" s="76" customFormat="1" ht="12.75">
      <c r="K112" s="77"/>
      <c r="M112" s="77"/>
    </row>
    <row r="113" spans="11:13" s="76" customFormat="1" ht="12.75">
      <c r="K113" s="77"/>
      <c r="M113" s="77"/>
    </row>
    <row r="114" spans="11:13" s="76" customFormat="1" ht="12.75">
      <c r="K114" s="77"/>
      <c r="M114" s="77"/>
    </row>
    <row r="115" spans="11:13" s="76" customFormat="1" ht="12.75">
      <c r="K115" s="77"/>
      <c r="M115" s="77"/>
    </row>
    <row r="116" spans="11:13" s="76" customFormat="1" ht="12.75">
      <c r="K116" s="77"/>
      <c r="M116" s="77"/>
    </row>
    <row r="117" spans="11:13" s="76" customFormat="1" ht="12.75">
      <c r="K117" s="77"/>
      <c r="M117" s="77"/>
    </row>
    <row r="118" spans="11:13" s="76" customFormat="1" ht="12.75">
      <c r="K118" s="77"/>
      <c r="M118" s="77"/>
    </row>
    <row r="119" spans="11:13" s="76" customFormat="1" ht="12.75">
      <c r="K119" s="77"/>
      <c r="M119" s="77"/>
    </row>
    <row r="120" spans="11:13" s="76" customFormat="1" ht="12.75">
      <c r="K120" s="77"/>
      <c r="M120" s="77"/>
    </row>
    <row r="121" spans="11:13" s="76" customFormat="1" ht="12.75">
      <c r="K121" s="77"/>
      <c r="M121" s="77"/>
    </row>
    <row r="122" spans="11:13" s="76" customFormat="1" ht="12.75">
      <c r="K122" s="77"/>
      <c r="M122" s="77"/>
    </row>
    <row r="123" spans="11:13" s="76" customFormat="1" ht="12.75">
      <c r="K123" s="77"/>
      <c r="M123" s="77"/>
    </row>
    <row r="124" spans="11:13" s="76" customFormat="1" ht="12.75">
      <c r="K124" s="77"/>
      <c r="M124" s="77"/>
    </row>
    <row r="125" spans="11:13" s="76" customFormat="1" ht="12.75">
      <c r="K125" s="77"/>
      <c r="M125" s="77"/>
    </row>
    <row r="126" spans="11:13" s="76" customFormat="1" ht="12.75">
      <c r="K126" s="77"/>
      <c r="M126" s="77"/>
    </row>
    <row r="127" spans="11:13" s="76" customFormat="1" ht="12.75">
      <c r="K127" s="77"/>
      <c r="M127" s="77"/>
    </row>
    <row r="128" spans="11:13" s="76" customFormat="1" ht="12.75">
      <c r="K128" s="77"/>
      <c r="M128" s="77"/>
    </row>
    <row r="129" spans="11:13" s="76" customFormat="1" ht="12.75">
      <c r="K129" s="77"/>
      <c r="M129" s="77"/>
    </row>
    <row r="130" spans="11:13" s="76" customFormat="1" ht="12.75">
      <c r="K130" s="77"/>
      <c r="M130" s="77"/>
    </row>
    <row r="131" spans="11:13" s="76" customFormat="1" ht="12.75">
      <c r="K131" s="77"/>
      <c r="M131" s="77"/>
    </row>
    <row r="132" spans="11:13" s="76" customFormat="1" ht="12.75">
      <c r="K132" s="77"/>
      <c r="M132" s="77"/>
    </row>
    <row r="133" spans="11:13" s="76" customFormat="1" ht="12.75">
      <c r="K133" s="77"/>
      <c r="M133" s="77"/>
    </row>
    <row r="134" spans="11:13" s="76" customFormat="1" ht="12.75">
      <c r="K134" s="77"/>
      <c r="M134" s="77"/>
    </row>
    <row r="135" spans="11:13" s="76" customFormat="1" ht="12.75">
      <c r="K135" s="77"/>
      <c r="M135" s="77"/>
    </row>
    <row r="136" spans="11:13" s="76" customFormat="1" ht="12.75">
      <c r="K136" s="77"/>
      <c r="M136" s="77"/>
    </row>
    <row r="137" spans="11:13" s="76" customFormat="1" ht="12.75">
      <c r="K137" s="77"/>
      <c r="M137" s="77"/>
    </row>
    <row r="138" spans="11:13" s="76" customFormat="1" ht="12.75">
      <c r="K138" s="77"/>
      <c r="M138" s="77"/>
    </row>
    <row r="139" spans="11:13" s="76" customFormat="1" ht="12.75">
      <c r="K139" s="77"/>
      <c r="M139" s="77"/>
    </row>
    <row r="140" spans="11:13" s="76" customFormat="1" ht="12.75">
      <c r="K140" s="77"/>
      <c r="M140" s="77"/>
    </row>
    <row r="141" spans="11:13" s="76" customFormat="1" ht="12.75">
      <c r="K141" s="77"/>
      <c r="M141" s="77"/>
    </row>
    <row r="142" spans="11:13" s="76" customFormat="1" ht="12.75">
      <c r="K142" s="77"/>
      <c r="M142" s="77"/>
    </row>
    <row r="143" spans="11:13" s="76" customFormat="1" ht="12.75">
      <c r="K143" s="77"/>
      <c r="M143" s="77"/>
    </row>
    <row r="144" spans="11:13" s="76" customFormat="1" ht="12.75">
      <c r="K144" s="77"/>
      <c r="M144" s="77"/>
    </row>
    <row r="145" spans="11:13" s="76" customFormat="1" ht="12.75">
      <c r="K145" s="77"/>
      <c r="M145" s="77"/>
    </row>
    <row r="146" spans="11:13" s="76" customFormat="1" ht="12.75">
      <c r="K146" s="77"/>
      <c r="M146" s="77"/>
    </row>
    <row r="147" spans="11:13" s="76" customFormat="1" ht="12.75">
      <c r="K147" s="77"/>
      <c r="M147" s="77"/>
    </row>
    <row r="148" spans="11:13" s="76" customFormat="1" ht="12.75">
      <c r="K148" s="77"/>
      <c r="M148" s="77"/>
    </row>
    <row r="149" spans="11:13" s="76" customFormat="1" ht="12.75">
      <c r="K149" s="77"/>
      <c r="M149" s="77"/>
    </row>
    <row r="150" spans="11:13" s="76" customFormat="1" ht="12.75">
      <c r="K150" s="77"/>
      <c r="M150" s="77"/>
    </row>
  </sheetData>
  <printOptions horizontalCentered="1"/>
  <pageMargins left="0.5" right="0.5" top="3" bottom="0.5" header="1.5" footer="0.5"/>
  <pageSetup fitToHeight="0" fitToWidth="2" orientation="landscape" pageOrder="overThenDown" scale="60" r:id="rId1"/>
  <headerFooter alignWithMargins="0">
    <oddHeader>&amp;C&amp;B
2022 RATE CASE
ONCOR ELECTRIC DELIVERY COMPANY LLC
II-B-9   CASH WORKING CAPITAL
TEST YEAR ENDING DECEMBER 31, 2021
SPONSOR: A. THENMADATHIL&amp;R&amp;"Arial,Bold"Schedule &amp;A
Page &amp;P of &amp;N</oddHeader>
  </headerFooter>
  <colBreaks count="1" manualBreakCount="1">
    <brk id="10" min="14" max="22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9">
    <tabColor rgb="FFFF0000"/>
  </sheetPr>
  <dimension ref="A1:Y163"/>
  <sheetViews>
    <sheetView zoomScale="85" zoomScaleNormal="85" workbookViewId="0" topLeftCell="A1">
      <pane xSplit="4" ySplit="13" topLeftCell="E14" activePane="bottomRight" state="frozen"/>
      <selection pane="topLeft" activeCell="F16" sqref="F16"/>
      <selection pane="bottomLeft" activeCell="F16" sqref="F16"/>
      <selection pane="topRight" activeCell="F16" sqref="F16"/>
      <selection pane="bottomRight" activeCell="C37" sqref="C37"/>
    </sheetView>
  </sheetViews>
  <sheetFormatPr defaultColWidth="9.14428571428571" defaultRowHeight="12.75" customHeight="1"/>
  <cols>
    <col min="1" max="1" width="5.71428571428571" style="76" customWidth="1"/>
    <col min="2" max="2" width="16.1428571428571" style="78" customWidth="1"/>
    <col min="3" max="3" width="46.5714285714286" style="78" customWidth="1"/>
    <col min="4" max="4" width="10.5714285714286" style="78" customWidth="1"/>
    <col min="5" max="5" width="13.7142857142857" style="78" bestFit="1" customWidth="1"/>
    <col min="6" max="6" width="17.4285714285714" style="78" bestFit="1" customWidth="1"/>
    <col min="7" max="7" width="13.7142857142857" style="78" bestFit="1" customWidth="1"/>
    <col min="8" max="8" width="16.2857142857143" style="78" bestFit="1" customWidth="1"/>
    <col min="9" max="9" width="17" style="78" bestFit="1" customWidth="1"/>
    <col min="10" max="10" width="10.5714285714286" style="78" bestFit="1" customWidth="1"/>
    <col min="11" max="11" width="17" style="82" bestFit="1" customWidth="1"/>
    <col min="12" max="12" width="3.28571428571429" style="78" bestFit="1" customWidth="1"/>
    <col min="13" max="13" width="10" style="82" bestFit="1" customWidth="1"/>
    <col min="14" max="14" width="13.4285714285714" style="78" bestFit="1" customWidth="1"/>
    <col min="15" max="16" width="12.7142857142857" style="78" customWidth="1"/>
    <col min="17" max="17" width="13.4285714285714" style="78" bestFit="1" customWidth="1"/>
    <col min="18" max="18" width="13.7142857142857" style="78" bestFit="1" customWidth="1"/>
    <col min="19" max="20" width="13.7142857142857" style="78" customWidth="1"/>
    <col min="21" max="21" width="14.8571428571429" style="78" bestFit="1" customWidth="1"/>
    <col min="22" max="22" width="12.2857142857143" style="78" customWidth="1"/>
    <col min="23" max="23" width="14.1428571428571" style="78" bestFit="1" customWidth="1"/>
    <col min="24" max="16384" width="9.14285714285714" style="78"/>
  </cols>
  <sheetData>
    <row r="1" spans="1:1" ht="12.75" customHeight="1">
      <c r="A1" s="80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Sponsors'!$A$22,'[4]Schedule Sponsors'!$B$22)</f>
        <v>II-B-10  PREPAYMENTS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Sponsors'!$D$22)</f>
        <v>SPONSOR: A. THENMADATHIL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2:23" ht="12.75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2:23" s="76" customFormat="1" ht="12.75" customHeight="1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2" s="80" customFormat="1" ht="15" customHeight="1">
      <c r="A15" s="77">
        <v>1</v>
      </c>
      <c r="B15" s="85" t="s">
        <v>101</v>
      </c>
      <c r="D15" s="86"/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2" s="76" customFormat="1" ht="15" customHeight="1">
      <c r="A16" s="77">
        <v>2</v>
      </c>
      <c r="B16" s="96" t="s">
        <v>106</v>
      </c>
      <c r="C16" s="90"/>
      <c r="D16" s="39"/>
      <c r="E16" s="39"/>
      <c r="F16" s="39"/>
      <c r="G16" s="39"/>
      <c r="H16" s="39"/>
      <c r="I16" s="39"/>
      <c r="J16" s="39"/>
      <c r="K16" s="77"/>
      <c r="L16" s="39"/>
      <c r="M16" s="77"/>
      <c r="N16" s="39"/>
      <c r="O16" s="39"/>
      <c r="P16" s="39"/>
      <c r="Q16" s="39"/>
      <c r="R16" s="39"/>
      <c r="S16" s="39"/>
      <c r="T16" s="39"/>
      <c r="U16" s="39"/>
      <c r="V16" s="39"/>
    </row>
    <row r="17" spans="1:22" s="80" customFormat="1" ht="15" customHeight="1">
      <c r="A17" s="77">
        <v>3</v>
      </c>
      <c r="B17" s="80" t="s">
        <v>107</v>
      </c>
      <c r="D17" s="86" t="s">
        <v>167</v>
      </c>
      <c r="E17" s="87"/>
      <c r="F17" s="97"/>
      <c r="G17" s="87"/>
      <c r="H17" s="87"/>
      <c r="I17" s="87"/>
      <c r="J17" s="87"/>
      <c r="K17" s="88"/>
      <c r="L17" s="87"/>
      <c r="M17" s="98"/>
      <c r="N17" s="152"/>
      <c r="O17" s="152"/>
      <c r="P17" s="152"/>
      <c r="Q17" s="152"/>
      <c r="R17" s="152"/>
      <c r="S17" s="152"/>
      <c r="T17" s="152"/>
      <c r="U17" s="152"/>
      <c r="V17" s="152"/>
    </row>
    <row r="18" spans="1:23" s="76" customFormat="1" ht="15" customHeight="1">
      <c r="A18" s="77">
        <v>4</v>
      </c>
      <c r="B18" s="76" t="s">
        <v>18</v>
      </c>
      <c r="C18" s="76" t="s">
        <v>107</v>
      </c>
      <c r="D18" s="99"/>
      <c r="E18" s="118"/>
      <c r="F18" s="39"/>
      <c r="G18" s="39"/>
      <c r="H18" s="39"/>
      <c r="I18" s="39"/>
      <c r="J18" s="123"/>
      <c r="K18" s="124"/>
      <c r="L18" s="39"/>
      <c r="M18" s="77"/>
      <c r="N18" s="372"/>
      <c r="O18" s="39"/>
      <c r="P18" s="39"/>
      <c r="Q18" s="39"/>
      <c r="R18" s="372"/>
      <c r="S18" s="39"/>
      <c r="T18" s="39"/>
      <c r="U18" s="39"/>
      <c r="V18" s="39"/>
      <c r="W18" s="92"/>
    </row>
    <row r="19" spans="1:25" s="76" customFormat="1" ht="15" customHeight="1">
      <c r="A19" s="77">
        <v>5</v>
      </c>
      <c r="C19" s="148" t="str">
        <f>+'II-B-8'!C19</f>
        <v>Balance at December 31, 2020</v>
      </c>
      <c r="D19" s="99"/>
      <c r="E19" s="190">
        <v>103150062.99</v>
      </c>
      <c r="F19" s="190">
        <v>-171813.48000000001</v>
      </c>
      <c r="G19" s="190">
        <f>+E19+F19</f>
        <v>102978249.50999999</v>
      </c>
      <c r="H19" s="190">
        <v>0</v>
      </c>
      <c r="I19" s="190">
        <f>+G19+H19</f>
        <v>102978249.50999999</v>
      </c>
      <c r="J19" s="175">
        <v>1</v>
      </c>
      <c r="K19" s="190">
        <f>+I19*J19</f>
        <v>102978249.50999999</v>
      </c>
      <c r="L19" s="39"/>
      <c r="M19" s="77" t="s">
        <v>234</v>
      </c>
      <c r="N19" s="190">
        <v>10589103.09</v>
      </c>
      <c r="O19" s="190">
        <v>0</v>
      </c>
      <c r="P19" s="190">
        <v>0</v>
      </c>
      <c r="Q19" s="190">
        <f>SUM(N19:P19)</f>
        <v>10589103.09</v>
      </c>
      <c r="R19" s="190">
        <v>88967502.989999995</v>
      </c>
      <c r="S19" s="190">
        <v>0</v>
      </c>
      <c r="T19" s="190">
        <f>SUM(R19:S19)</f>
        <v>88967502.989999995</v>
      </c>
      <c r="U19" s="190">
        <v>3288676.4199999999</v>
      </c>
      <c r="V19" s="190">
        <f>+K19-Q19-T19-U19</f>
        <v>132967.00999999233</v>
      </c>
      <c r="W19" s="190">
        <f>+Q19+T19+U19+V19</f>
        <v>102978249.50999999</v>
      </c>
      <c r="X19" s="76" t="b">
        <f>ROUND(+W19,0)=ROUND(K19,0)</f>
        <v>1</v>
      </c>
      <c r="Y19" s="173"/>
    </row>
    <row r="20" spans="1:25" s="76" customFormat="1" ht="15" customHeight="1">
      <c r="A20" s="77">
        <v>6</v>
      </c>
      <c r="C20" s="148" t="str">
        <f>+'II-B-8'!C20</f>
        <v>Balance at January 31, 2021</v>
      </c>
      <c r="D20" s="99"/>
      <c r="E20" s="118">
        <v>114869801.86</v>
      </c>
      <c r="F20" s="118">
        <v>-215829.01999999999</v>
      </c>
      <c r="G20" s="39">
        <f t="shared" si="0" ref="G20:G31">+E20+F20</f>
        <v>114653972.84</v>
      </c>
      <c r="H20" s="118">
        <v>0</v>
      </c>
      <c r="I20" s="39">
        <f t="shared" si="1" ref="I20:I31">+G20+H20</f>
        <v>114653972.84</v>
      </c>
      <c r="J20" s="175">
        <v>1</v>
      </c>
      <c r="K20" s="166">
        <f t="shared" si="2" ref="K20:K31">+I20*J20</f>
        <v>114653972.84</v>
      </c>
      <c r="L20" s="39"/>
      <c r="M20" s="77" t="s">
        <v>234</v>
      </c>
      <c r="N20" s="118">
        <v>9910812.0099999998</v>
      </c>
      <c r="O20" s="118">
        <v>0</v>
      </c>
      <c r="P20" s="118">
        <v>0</v>
      </c>
      <c r="Q20" s="118">
        <f t="shared" si="3" ref="Q20:Q31">SUM(N20:P20)</f>
        <v>9910812.0099999998</v>
      </c>
      <c r="R20" s="118">
        <v>101113481.75</v>
      </c>
      <c r="S20" s="118">
        <v>0</v>
      </c>
      <c r="T20" s="118">
        <f t="shared" si="4" ref="T20:T31">SUM(R20:S20)</f>
        <v>101113481.75</v>
      </c>
      <c r="U20" s="118">
        <v>3488618.0699999998</v>
      </c>
      <c r="V20" s="118">
        <f t="shared" si="5" ref="V20:V31">+K20-Q20-T20-U20</f>
        <v>141061.00999999838</v>
      </c>
      <c r="W20" s="151">
        <f t="shared" si="6" ref="W20:W31">+Q20+T20+U20+V20</f>
        <v>114653972.84</v>
      </c>
      <c r="X20" s="76" t="b">
        <f t="shared" si="7" ref="X20:X32">ROUND(+W20,2)=ROUND(K20,2)</f>
        <v>1</v>
      </c>
      <c r="Y20" s="173"/>
    </row>
    <row r="21" spans="1:25" s="76" customFormat="1" ht="15" customHeight="1">
      <c r="A21" s="77">
        <v>7</v>
      </c>
      <c r="C21" s="148" t="str">
        <f>+'II-B-8'!C21</f>
        <v>Balance at February 28, 2021</v>
      </c>
      <c r="D21" s="99"/>
      <c r="E21" s="118">
        <v>119993100.63</v>
      </c>
      <c r="F21" s="118">
        <v>-172344.56</v>
      </c>
      <c r="G21" s="39">
        <f t="shared" si="0"/>
        <v>119820756.06999999</v>
      </c>
      <c r="H21" s="118">
        <v>0</v>
      </c>
      <c r="I21" s="39">
        <f t="shared" si="1"/>
        <v>119820756.06999999</v>
      </c>
      <c r="J21" s="175">
        <v>1</v>
      </c>
      <c r="K21" s="166">
        <f t="shared" si="2"/>
        <v>119820756.06999999</v>
      </c>
      <c r="L21" s="39"/>
      <c r="M21" s="77" t="s">
        <v>234</v>
      </c>
      <c r="N21" s="118">
        <v>8852720.5500000007</v>
      </c>
      <c r="O21" s="118">
        <v>0</v>
      </c>
      <c r="P21" s="118">
        <v>0</v>
      </c>
      <c r="Q21" s="118">
        <f t="shared" si="3"/>
        <v>8852720.5500000007</v>
      </c>
      <c r="R21" s="118">
        <v>107761793.75</v>
      </c>
      <c r="S21" s="118">
        <v>0</v>
      </c>
      <c r="T21" s="118">
        <f t="shared" si="4"/>
        <v>107761793.75</v>
      </c>
      <c r="U21" s="118">
        <v>3081628.71</v>
      </c>
      <c r="V21" s="118">
        <f t="shared" si="5"/>
        <v>124613.05999999587</v>
      </c>
      <c r="W21" s="151">
        <f t="shared" si="6"/>
        <v>119820756.06999999</v>
      </c>
      <c r="X21" s="76" t="b">
        <f t="shared" si="7"/>
        <v>1</v>
      </c>
      <c r="Y21" s="173"/>
    </row>
    <row r="22" spans="1:25" s="76" customFormat="1" ht="15" customHeight="1">
      <c r="A22" s="77">
        <v>8</v>
      </c>
      <c r="C22" s="148" t="str">
        <f>+'II-B-8'!C22</f>
        <v>Balance at March 31, 2021</v>
      </c>
      <c r="D22" s="99"/>
      <c r="E22" s="118">
        <v>102796592.59999999</v>
      </c>
      <c r="F22" s="118">
        <v>-128860.11</v>
      </c>
      <c r="G22" s="39">
        <f t="shared" si="0"/>
        <v>102667732.49</v>
      </c>
      <c r="H22" s="118">
        <v>0</v>
      </c>
      <c r="I22" s="39">
        <f t="shared" si="1"/>
        <v>102667732.49</v>
      </c>
      <c r="J22" s="175">
        <v>1</v>
      </c>
      <c r="K22" s="166">
        <f t="shared" si="2"/>
        <v>102667732.49</v>
      </c>
      <c r="L22" s="39"/>
      <c r="M22" s="77" t="s">
        <v>234</v>
      </c>
      <c r="N22" s="118">
        <v>7655081.96</v>
      </c>
      <c r="O22" s="118">
        <v>0</v>
      </c>
      <c r="P22" s="118">
        <v>0</v>
      </c>
      <c r="Q22" s="118">
        <f t="shared" si="3"/>
        <v>7655081.96</v>
      </c>
      <c r="R22" s="118">
        <v>92094303.569999993</v>
      </c>
      <c r="S22" s="118">
        <v>0</v>
      </c>
      <c r="T22" s="118">
        <f t="shared" si="4"/>
        <v>92094303.569999993</v>
      </c>
      <c r="U22" s="118">
        <v>2804920.3300000001</v>
      </c>
      <c r="V22" s="118">
        <f t="shared" si="5"/>
        <v>113426.63000000827</v>
      </c>
      <c r="W22" s="151">
        <f t="shared" si="6"/>
        <v>102667732.49</v>
      </c>
      <c r="X22" s="76" t="b">
        <f t="shared" si="7"/>
        <v>1</v>
      </c>
      <c r="Y22" s="173"/>
    </row>
    <row r="23" spans="1:25" s="76" customFormat="1" ht="15" customHeight="1">
      <c r="A23" s="77">
        <v>9</v>
      </c>
      <c r="C23" s="148" t="str">
        <f>+'II-B-8'!C23</f>
        <v>Balance at April 30, 2021</v>
      </c>
      <c r="D23" s="99"/>
      <c r="E23" s="118">
        <v>114396635.16</v>
      </c>
      <c r="F23" s="118">
        <v>-85375.660000000003</v>
      </c>
      <c r="G23" s="39">
        <f t="shared" si="0"/>
        <v>114311259.5</v>
      </c>
      <c r="H23" s="118">
        <v>0</v>
      </c>
      <c r="I23" s="39">
        <f t="shared" si="1"/>
        <v>114311259.5</v>
      </c>
      <c r="J23" s="175">
        <v>1</v>
      </c>
      <c r="K23" s="166">
        <f t="shared" si="2"/>
        <v>114311259.5</v>
      </c>
      <c r="L23" s="39"/>
      <c r="M23" s="77" t="s">
        <v>234</v>
      </c>
      <c r="N23" s="118">
        <v>6727200.8899999997</v>
      </c>
      <c r="O23" s="118">
        <v>0</v>
      </c>
      <c r="P23" s="118">
        <v>0</v>
      </c>
      <c r="Q23" s="118">
        <f t="shared" si="3"/>
        <v>6727200.8899999997</v>
      </c>
      <c r="R23" s="118">
        <v>104744634.45</v>
      </c>
      <c r="S23" s="118">
        <v>0</v>
      </c>
      <c r="T23" s="118">
        <f t="shared" si="4"/>
        <v>104744634.45</v>
      </c>
      <c r="U23" s="118">
        <v>2729068.2400000002</v>
      </c>
      <c r="V23" s="118">
        <f t="shared" si="5"/>
        <v>110355.9199999962</v>
      </c>
      <c r="W23" s="151">
        <f t="shared" si="6"/>
        <v>114311259.5</v>
      </c>
      <c r="X23" s="76" t="b">
        <f t="shared" si="7"/>
        <v>1</v>
      </c>
      <c r="Y23" s="173"/>
    </row>
    <row r="24" spans="1:25" s="76" customFormat="1" ht="15" customHeight="1">
      <c r="A24" s="77">
        <v>10</v>
      </c>
      <c r="C24" s="148" t="str">
        <f>+'II-B-8'!C24</f>
        <v>Balance at May 31, 2021</v>
      </c>
      <c r="D24" s="99"/>
      <c r="E24" s="118">
        <v>111566767.41</v>
      </c>
      <c r="F24" s="118">
        <v>-129391.2</v>
      </c>
      <c r="G24" s="39">
        <f t="shared" si="0"/>
        <v>111437376.20999999</v>
      </c>
      <c r="H24" s="118">
        <v>0</v>
      </c>
      <c r="I24" s="39">
        <f t="shared" si="1"/>
        <v>111437376.20999999</v>
      </c>
      <c r="J24" s="175">
        <v>1</v>
      </c>
      <c r="K24" s="166">
        <f t="shared" si="2"/>
        <v>111437376.20999999</v>
      </c>
      <c r="L24" s="39"/>
      <c r="M24" s="77" t="s">
        <v>234</v>
      </c>
      <c r="N24" s="118">
        <v>6424009.4400000004</v>
      </c>
      <c r="O24" s="118">
        <v>0</v>
      </c>
      <c r="P24" s="118">
        <v>0</v>
      </c>
      <c r="Q24" s="118">
        <f t="shared" si="3"/>
        <v>6424009.4400000004</v>
      </c>
      <c r="R24" s="118">
        <v>101600895.86</v>
      </c>
      <c r="S24" s="118">
        <v>0</v>
      </c>
      <c r="T24" s="118">
        <f t="shared" si="4"/>
        <v>101600895.86</v>
      </c>
      <c r="U24" s="118">
        <v>2953216.7000000002</v>
      </c>
      <c r="V24" s="118">
        <f t="shared" si="5"/>
        <v>459254.20999999624</v>
      </c>
      <c r="W24" s="151">
        <f t="shared" si="6"/>
        <v>111437376.20999999</v>
      </c>
      <c r="X24" s="76" t="b">
        <f t="shared" si="7"/>
        <v>1</v>
      </c>
      <c r="Y24" s="173"/>
    </row>
    <row r="25" spans="1:25" s="76" customFormat="1" ht="15" customHeight="1">
      <c r="A25" s="77">
        <v>11</v>
      </c>
      <c r="C25" s="148" t="str">
        <f>+'II-B-8'!C25</f>
        <v>Balance at June 30, 2021</v>
      </c>
      <c r="D25" s="99"/>
      <c r="E25" s="118">
        <v>105196842.95</v>
      </c>
      <c r="F25" s="118">
        <v>-85906.740000000005</v>
      </c>
      <c r="G25" s="39">
        <f t="shared" si="0"/>
        <v>105110936.21000001</v>
      </c>
      <c r="H25" s="118">
        <v>0</v>
      </c>
      <c r="I25" s="39">
        <f t="shared" si="1"/>
        <v>105110936.21000001</v>
      </c>
      <c r="J25" s="175">
        <v>1</v>
      </c>
      <c r="K25" s="166">
        <f t="shared" si="2"/>
        <v>105110936.21000001</v>
      </c>
      <c r="L25" s="39"/>
      <c r="M25" s="77" t="s">
        <v>234</v>
      </c>
      <c r="N25" s="118">
        <v>9256910.8699999992</v>
      </c>
      <c r="O25" s="118">
        <v>0</v>
      </c>
      <c r="P25" s="118">
        <v>0</v>
      </c>
      <c r="Q25" s="118">
        <f t="shared" si="3"/>
        <v>9256910.8699999992</v>
      </c>
      <c r="R25" s="118">
        <v>92579303.829999998</v>
      </c>
      <c r="S25" s="118">
        <v>0</v>
      </c>
      <c r="T25" s="118">
        <f t="shared" si="4"/>
        <v>92579303.829999998</v>
      </c>
      <c r="U25" s="118">
        <v>2850501.3599999999</v>
      </c>
      <c r="V25" s="118">
        <f t="shared" si="5"/>
        <v>424220.15000000549</v>
      </c>
      <c r="W25" s="151">
        <f t="shared" si="6"/>
        <v>105110936.21000001</v>
      </c>
      <c r="X25" s="76" t="b">
        <f t="shared" si="7"/>
        <v>1</v>
      </c>
      <c r="Y25" s="173"/>
    </row>
    <row r="26" spans="1:25" s="76" customFormat="1" ht="15" customHeight="1">
      <c r="A26" s="77">
        <v>12</v>
      </c>
      <c r="C26" s="148" t="str">
        <f>+'II-B-8'!C26</f>
        <v>Balance at July 31, 2021</v>
      </c>
      <c r="D26" s="99"/>
      <c r="E26" s="118">
        <v>120869237.7</v>
      </c>
      <c r="F26" s="118">
        <v>-42422.279999999999</v>
      </c>
      <c r="G26" s="39">
        <f t="shared" si="0"/>
        <v>120826815.42</v>
      </c>
      <c r="H26" s="118">
        <v>0</v>
      </c>
      <c r="I26" s="39">
        <f t="shared" si="1"/>
        <v>120826815.42</v>
      </c>
      <c r="J26" s="175">
        <v>1</v>
      </c>
      <c r="K26" s="166">
        <f t="shared" si="2"/>
        <v>120826815.42</v>
      </c>
      <c r="L26" s="39"/>
      <c r="M26" s="77" t="s">
        <v>234</v>
      </c>
      <c r="N26" s="118">
        <v>10293489.119999999</v>
      </c>
      <c r="O26" s="118">
        <v>0</v>
      </c>
      <c r="P26" s="118">
        <v>0</v>
      </c>
      <c r="Q26" s="118">
        <f t="shared" si="3"/>
        <v>10293489.119999999</v>
      </c>
      <c r="R26" s="118">
        <v>104475555.94</v>
      </c>
      <c r="S26" s="118">
        <v>0</v>
      </c>
      <c r="T26" s="118">
        <f t="shared" si="4"/>
        <v>104475555.94</v>
      </c>
      <c r="U26" s="118">
        <v>3816680.2799999998</v>
      </c>
      <c r="V26" s="118">
        <f t="shared" si="5"/>
        <v>2241090.0799999996</v>
      </c>
      <c r="W26" s="151">
        <f t="shared" si="6"/>
        <v>120826815.42</v>
      </c>
      <c r="X26" s="76" t="b">
        <f t="shared" si="7"/>
        <v>1</v>
      </c>
      <c r="Y26" s="173"/>
    </row>
    <row r="27" spans="1:25" s="76" customFormat="1" ht="15" customHeight="1">
      <c r="A27" s="77">
        <v>13</v>
      </c>
      <c r="C27" s="148" t="str">
        <f>+'II-B-8'!C27</f>
        <v>Balance at August 31, 2021</v>
      </c>
      <c r="D27" s="99"/>
      <c r="E27" s="118">
        <v>128254352.16</v>
      </c>
      <c r="F27" s="118">
        <v>-86437.820000000007</v>
      </c>
      <c r="G27" s="39">
        <f t="shared" si="0"/>
        <v>128167914.34</v>
      </c>
      <c r="H27" s="118">
        <v>0</v>
      </c>
      <c r="I27" s="39">
        <f t="shared" si="1"/>
        <v>128167914.34</v>
      </c>
      <c r="J27" s="175">
        <v>1</v>
      </c>
      <c r="K27" s="166">
        <f t="shared" si="2"/>
        <v>128167914.34</v>
      </c>
      <c r="L27" s="39"/>
      <c r="M27" s="77" t="s">
        <v>234</v>
      </c>
      <c r="N27" s="118">
        <v>14467164.699999999</v>
      </c>
      <c r="O27" s="118">
        <v>0</v>
      </c>
      <c r="P27" s="118">
        <v>0</v>
      </c>
      <c r="Q27" s="118">
        <f t="shared" si="3"/>
        <v>14467164.699999999</v>
      </c>
      <c r="R27" s="118">
        <v>107496905.5</v>
      </c>
      <c r="S27" s="118">
        <v>0</v>
      </c>
      <c r="T27" s="118">
        <f t="shared" si="4"/>
        <v>107496905.5</v>
      </c>
      <c r="U27" s="118">
        <v>4144784.3599999999</v>
      </c>
      <c r="V27" s="118">
        <f t="shared" si="5"/>
        <v>2059059.7800000007</v>
      </c>
      <c r="W27" s="151">
        <f t="shared" si="6"/>
        <v>128167914.34</v>
      </c>
      <c r="X27" s="76" t="b">
        <f t="shared" si="7"/>
        <v>1</v>
      </c>
      <c r="Y27" s="173"/>
    </row>
    <row r="28" spans="1:25" s="76" customFormat="1" ht="15" customHeight="1">
      <c r="A28" s="77">
        <v>14</v>
      </c>
      <c r="C28" s="148" t="str">
        <f>+'II-B-8'!C28</f>
        <v>Balance at September 30, 2021</v>
      </c>
      <c r="D28" s="99"/>
      <c r="E28" s="118">
        <v>112531378.06</v>
      </c>
      <c r="F28" s="118">
        <v>-42953.370000000003</v>
      </c>
      <c r="G28" s="39">
        <f t="shared" si="0"/>
        <v>112488424.69</v>
      </c>
      <c r="H28" s="118">
        <v>0</v>
      </c>
      <c r="I28" s="39">
        <f t="shared" si="1"/>
        <v>112488424.69</v>
      </c>
      <c r="J28" s="175">
        <v>1</v>
      </c>
      <c r="K28" s="166">
        <f t="shared" si="2"/>
        <v>112488424.69</v>
      </c>
      <c r="L28" s="39"/>
      <c r="M28" s="77" t="s">
        <v>234</v>
      </c>
      <c r="N28" s="118">
        <v>13737709.470000001</v>
      </c>
      <c r="O28" s="118">
        <v>0</v>
      </c>
      <c r="P28" s="118">
        <v>0</v>
      </c>
      <c r="Q28" s="118">
        <f t="shared" si="3"/>
        <v>13737709.470000001</v>
      </c>
      <c r="R28" s="118">
        <v>92723064.920000002</v>
      </c>
      <c r="S28" s="118">
        <v>0</v>
      </c>
      <c r="T28" s="118">
        <f t="shared" si="4"/>
        <v>92723064.920000002</v>
      </c>
      <c r="U28" s="118">
        <v>4163172.8300000001</v>
      </c>
      <c r="V28" s="118">
        <f t="shared" si="5"/>
        <v>1864477.469999997</v>
      </c>
      <c r="W28" s="151">
        <f t="shared" si="6"/>
        <v>112488424.69</v>
      </c>
      <c r="X28" s="76" t="b">
        <f t="shared" si="7"/>
        <v>1</v>
      </c>
      <c r="Y28" s="173"/>
    </row>
    <row r="29" spans="1:25" s="76" customFormat="1" ht="15" customHeight="1">
      <c r="A29" s="77">
        <v>15</v>
      </c>
      <c r="C29" s="148" t="str">
        <f>+'II-B-8'!C29</f>
        <v>Balance at October 31, 2021</v>
      </c>
      <c r="D29" s="99"/>
      <c r="E29" s="118">
        <v>128455182.16</v>
      </c>
      <c r="F29" s="118">
        <v>-86968.910000000003</v>
      </c>
      <c r="G29" s="39">
        <f t="shared" si="0"/>
        <v>128368213.25</v>
      </c>
      <c r="H29" s="118">
        <v>0</v>
      </c>
      <c r="I29" s="39">
        <f t="shared" si="1"/>
        <v>128368213.25</v>
      </c>
      <c r="J29" s="175">
        <v>1</v>
      </c>
      <c r="K29" s="166">
        <f t="shared" si="2"/>
        <v>128368213.25</v>
      </c>
      <c r="L29" s="39"/>
      <c r="M29" s="77" t="s">
        <v>234</v>
      </c>
      <c r="N29" s="118">
        <v>13839749.57</v>
      </c>
      <c r="O29" s="118">
        <v>0</v>
      </c>
      <c r="P29" s="118">
        <v>0</v>
      </c>
      <c r="Q29" s="118">
        <f t="shared" si="3"/>
        <v>13839749.57</v>
      </c>
      <c r="R29" s="118">
        <v>108487143.62000001</v>
      </c>
      <c r="S29" s="118">
        <v>0</v>
      </c>
      <c r="T29" s="118">
        <f t="shared" si="4"/>
        <v>108487143.62000001</v>
      </c>
      <c r="U29" s="118">
        <v>4364046.1200000001</v>
      </c>
      <c r="V29" s="118">
        <f t="shared" si="5"/>
        <v>1677273.9400000023</v>
      </c>
      <c r="W29" s="151">
        <f t="shared" si="6"/>
        <v>128368213.25</v>
      </c>
      <c r="X29" s="76" t="b">
        <f t="shared" si="7"/>
        <v>1</v>
      </c>
      <c r="Y29" s="173"/>
    </row>
    <row r="30" spans="1:25" s="76" customFormat="1" ht="15" customHeight="1">
      <c r="A30" s="77">
        <v>16</v>
      </c>
      <c r="C30" s="148" t="str">
        <f>+'II-B-8'!C30</f>
        <v>Balance at November 30, 2021</v>
      </c>
      <c r="D30" s="99"/>
      <c r="E30" s="118">
        <v>126497321.87000001</v>
      </c>
      <c r="F30" s="118">
        <v>-43484.449999999997</v>
      </c>
      <c r="G30" s="39">
        <f t="shared" si="0"/>
        <v>126453837.42</v>
      </c>
      <c r="H30" s="118">
        <v>0</v>
      </c>
      <c r="I30" s="39">
        <f t="shared" si="1"/>
        <v>126453837.42</v>
      </c>
      <c r="J30" s="175">
        <v>1</v>
      </c>
      <c r="K30" s="166">
        <f t="shared" si="2"/>
        <v>126453837.42</v>
      </c>
      <c r="L30" s="39"/>
      <c r="M30" s="77" t="s">
        <v>234</v>
      </c>
      <c r="N30" s="118">
        <v>13364362.98</v>
      </c>
      <c r="O30" s="118">
        <v>0</v>
      </c>
      <c r="P30" s="118">
        <v>0</v>
      </c>
      <c r="Q30" s="118">
        <f t="shared" si="3"/>
        <v>13364362.98</v>
      </c>
      <c r="R30" s="118">
        <v>107513423.87000001</v>
      </c>
      <c r="S30" s="118">
        <v>0</v>
      </c>
      <c r="T30" s="118">
        <f t="shared" si="4"/>
        <v>107513423.87000001</v>
      </c>
      <c r="U30" s="118">
        <v>4104588.0899999999</v>
      </c>
      <c r="V30" s="118">
        <f t="shared" si="5"/>
        <v>1471462.479999993</v>
      </c>
      <c r="W30" s="151">
        <f t="shared" si="6"/>
        <v>126453837.42</v>
      </c>
      <c r="X30" s="76" t="b">
        <f t="shared" si="7"/>
        <v>1</v>
      </c>
      <c r="Y30" s="173"/>
    </row>
    <row r="31" spans="1:25" s="76" customFormat="1" ht="15" customHeight="1">
      <c r="A31" s="77">
        <v>17</v>
      </c>
      <c r="C31" s="148" t="str">
        <f>+'II-B-8'!C31</f>
        <v>Balance at December 31, 2021</v>
      </c>
      <c r="D31" s="99"/>
      <c r="E31" s="118">
        <v>109858757.14</v>
      </c>
      <c r="F31" s="118">
        <v>-150095</v>
      </c>
      <c r="G31" s="39">
        <f t="shared" si="0"/>
        <v>109708662.14</v>
      </c>
      <c r="H31" s="118">
        <v>0</v>
      </c>
      <c r="I31" s="39">
        <f t="shared" si="1"/>
        <v>109708662.14</v>
      </c>
      <c r="J31" s="175">
        <v>1</v>
      </c>
      <c r="K31" s="166">
        <f t="shared" si="2"/>
        <v>109708662.14</v>
      </c>
      <c r="L31" s="39"/>
      <c r="M31" s="77" t="s">
        <v>234</v>
      </c>
      <c r="N31" s="118">
        <v>12379089.869999999</v>
      </c>
      <c r="O31" s="118">
        <v>0</v>
      </c>
      <c r="P31" s="118">
        <v>0</v>
      </c>
      <c r="Q31" s="118">
        <f t="shared" si="3"/>
        <v>12379089.869999999</v>
      </c>
      <c r="R31" s="118">
        <v>92023725.890000001</v>
      </c>
      <c r="S31" s="118">
        <v>0</v>
      </c>
      <c r="T31" s="118">
        <f t="shared" si="4"/>
        <v>92023725.890000001</v>
      </c>
      <c r="U31" s="118">
        <v>4032617.71</v>
      </c>
      <c r="V31" s="118">
        <f t="shared" si="5"/>
        <v>1273228.6699999953</v>
      </c>
      <c r="W31" s="151">
        <f t="shared" si="6"/>
        <v>109708662.14</v>
      </c>
      <c r="X31" s="76" t="b">
        <f t="shared" si="7"/>
        <v>1</v>
      </c>
      <c r="Y31" s="173"/>
    </row>
    <row r="32" spans="1:25" s="76" customFormat="1" ht="15" customHeight="1">
      <c r="A32" s="77">
        <v>18</v>
      </c>
      <c r="C32" s="80" t="s">
        <v>246</v>
      </c>
      <c r="D32" s="99"/>
      <c r="E32" s="195">
        <f>AVERAGE(E19:E31)</f>
        <v>115264310.2069231</v>
      </c>
      <c r="F32" s="195">
        <f>AVERAGE(F19:F31)</f>
        <v>-110914.04615384617</v>
      </c>
      <c r="G32" s="195">
        <f>AVERAGE(G19:G31)</f>
        <v>115153396.16076924</v>
      </c>
      <c r="H32" s="195">
        <f>AVERAGE(H19:H31)</f>
        <v>0</v>
      </c>
      <c r="I32" s="195">
        <f>AVERAGE(I19:I31)</f>
        <v>115153396.16076924</v>
      </c>
      <c r="J32" s="195"/>
      <c r="K32" s="195">
        <f>AVERAGE(K19:K31)</f>
        <v>115153396.16076924</v>
      </c>
      <c r="L32" s="195"/>
      <c r="M32" s="195"/>
      <c r="N32" s="195">
        <f t="shared" si="8" ref="N32:W32">AVERAGE(N19:N31)</f>
        <v>10576723.424615383</v>
      </c>
      <c r="O32" s="195">
        <f t="shared" si="8"/>
        <v>0</v>
      </c>
      <c r="P32" s="195">
        <f t="shared" si="9" ref="P32">AVERAGE(P19:P31)</f>
        <v>0</v>
      </c>
      <c r="Q32" s="195">
        <f>AVERAGE(Q19:Q31)</f>
        <v>10576723.424615383</v>
      </c>
      <c r="R32" s="195">
        <f t="shared" si="8"/>
        <v>100121671.99538463</v>
      </c>
      <c r="S32" s="195">
        <f t="shared" si="8"/>
        <v>0</v>
      </c>
      <c r="T32" s="195">
        <f t="shared" si="8"/>
        <v>100121671.99538463</v>
      </c>
      <c r="U32" s="195">
        <f t="shared" si="8"/>
        <v>3524809.17076923</v>
      </c>
      <c r="V32" s="195">
        <f t="shared" si="10" ref="V32">AVERAGE(V19:V31)</f>
        <v>930191.56999999855</v>
      </c>
      <c r="W32" s="195">
        <f t="shared" si="8"/>
        <v>115153396.16076924</v>
      </c>
      <c r="X32" s="76" t="b">
        <f t="shared" si="7"/>
        <v>1</v>
      </c>
      <c r="Y32" s="173"/>
    </row>
    <row r="33" spans="1:23" s="76" customFormat="1" ht="15" customHeight="1">
      <c r="A33" s="77">
        <v>19</v>
      </c>
      <c r="D33" s="99"/>
      <c r="E33" s="118"/>
      <c r="F33" s="39"/>
      <c r="G33" s="39"/>
      <c r="H33" s="39"/>
      <c r="I33" s="39"/>
      <c r="J33" s="175"/>
      <c r="K33" s="124"/>
      <c r="L33" s="39"/>
      <c r="M33" s="77"/>
      <c r="N33" s="39"/>
      <c r="O33" s="39"/>
      <c r="P33" s="39"/>
      <c r="Q33" s="39"/>
      <c r="R33" s="39"/>
      <c r="S33" s="39"/>
      <c r="T33" s="39"/>
      <c r="U33" s="39"/>
      <c r="V33" s="39"/>
      <c r="W33" s="92"/>
    </row>
    <row r="34" spans="1:24" s="80" customFormat="1" ht="15" customHeight="1">
      <c r="A34" s="77">
        <v>20</v>
      </c>
      <c r="C34" s="90"/>
      <c r="D34" s="97"/>
      <c r="E34" s="87"/>
      <c r="F34" s="87"/>
      <c r="G34" s="87"/>
      <c r="H34" s="87"/>
      <c r="I34" s="87"/>
      <c r="J34" s="179"/>
      <c r="K34" s="87"/>
      <c r="L34" s="87"/>
      <c r="M34" s="88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76"/>
    </row>
    <row r="35" spans="1:25" s="80" customFormat="1" ht="15" customHeight="1">
      <c r="A35" s="77">
        <v>21</v>
      </c>
      <c r="B35" s="101" t="s">
        <v>146</v>
      </c>
      <c r="D35" s="86" t="s">
        <v>167</v>
      </c>
      <c r="E35" s="189">
        <f>E32</f>
        <v>115264310.2069231</v>
      </c>
      <c r="F35" s="189">
        <f t="shared" si="11" ref="F35:W35">F32</f>
        <v>-110914.04615384617</v>
      </c>
      <c r="G35" s="189">
        <f t="shared" si="11"/>
        <v>115153396.16076924</v>
      </c>
      <c r="H35" s="189">
        <f t="shared" si="11"/>
        <v>0</v>
      </c>
      <c r="I35" s="189">
        <f t="shared" si="11"/>
        <v>115153396.16076924</v>
      </c>
      <c r="J35" s="189"/>
      <c r="K35" s="189">
        <f t="shared" si="11"/>
        <v>115153396.16076924</v>
      </c>
      <c r="L35" s="189"/>
      <c r="M35" s="189"/>
      <c r="N35" s="189">
        <f t="shared" si="11"/>
        <v>10576723.424615383</v>
      </c>
      <c r="O35" s="189">
        <f t="shared" si="11"/>
        <v>0</v>
      </c>
      <c r="P35" s="189">
        <f t="shared" si="12" ref="P35">P32</f>
        <v>0</v>
      </c>
      <c r="Q35" s="189">
        <f>Q32</f>
        <v>10576723.424615383</v>
      </c>
      <c r="R35" s="189">
        <f t="shared" si="11"/>
        <v>100121671.99538463</v>
      </c>
      <c r="S35" s="189">
        <f t="shared" si="11"/>
        <v>0</v>
      </c>
      <c r="T35" s="189">
        <f t="shared" si="11"/>
        <v>100121671.99538463</v>
      </c>
      <c r="U35" s="189">
        <f t="shared" si="11"/>
        <v>3524809.17076923</v>
      </c>
      <c r="V35" s="189">
        <f t="shared" si="13" ref="V35">V32</f>
        <v>930191.56999999855</v>
      </c>
      <c r="W35" s="189">
        <f t="shared" si="11"/>
        <v>115153396.16076924</v>
      </c>
      <c r="X35" s="76" t="b">
        <f>ROUND(+W35,2)=ROUND(K35,2)</f>
        <v>1</v>
      </c>
      <c r="Y35" s="173"/>
    </row>
    <row r="36" spans="1:23" s="76" customFormat="1" ht="15" customHeight="1">
      <c r="A36" s="77">
        <v>22</v>
      </c>
      <c r="C36" s="91"/>
      <c r="D36" s="99"/>
      <c r="E36" s="39"/>
      <c r="F36" s="39"/>
      <c r="G36" s="39"/>
      <c r="H36" s="39"/>
      <c r="I36" s="39"/>
      <c r="J36" s="178"/>
      <c r="K36" s="39"/>
      <c r="L36" s="39"/>
      <c r="M36" s="77"/>
      <c r="N36" s="39"/>
      <c r="O36" s="39"/>
      <c r="P36" s="39"/>
      <c r="Q36" s="39"/>
      <c r="R36" s="39"/>
      <c r="S36" s="39"/>
      <c r="T36" s="39"/>
      <c r="U36" s="39"/>
      <c r="V36" s="39"/>
      <c r="W36" s="39"/>
    </row>
    <row r="37" spans="1:25" s="76" customFormat="1" ht="15" customHeight="1">
      <c r="A37" s="77">
        <v>23</v>
      </c>
      <c r="C37" s="148" t="str">
        <f>+'II-B-8'!C54</f>
        <v>Balance at January 31, 2022</v>
      </c>
      <c r="D37" s="99"/>
      <c r="E37" s="190">
        <v>0</v>
      </c>
      <c r="F37" s="190">
        <v>0</v>
      </c>
      <c r="G37" s="190">
        <f>+E37+F37</f>
        <v>0</v>
      </c>
      <c r="H37" s="190">
        <v>0</v>
      </c>
      <c r="I37" s="190">
        <f>+G37+H37</f>
        <v>0</v>
      </c>
      <c r="J37" s="175">
        <v>1</v>
      </c>
      <c r="K37" s="190">
        <f>+I37*J37</f>
        <v>0</v>
      </c>
      <c r="L37" s="39"/>
      <c r="M37" s="77" t="s">
        <v>234</v>
      </c>
      <c r="N37" s="190">
        <v>0</v>
      </c>
      <c r="O37" s="190">
        <v>0</v>
      </c>
      <c r="P37" s="190">
        <v>0</v>
      </c>
      <c r="Q37" s="190">
        <f>SUM(N37:O37)</f>
        <v>0</v>
      </c>
      <c r="R37" s="190">
        <v>0</v>
      </c>
      <c r="S37" s="190">
        <v>0</v>
      </c>
      <c r="T37" s="190">
        <f t="shared" si="14" ref="T37:T39">SUM(R37:S37)</f>
        <v>0</v>
      </c>
      <c r="U37" s="190">
        <v>0</v>
      </c>
      <c r="V37" s="190"/>
      <c r="W37" s="190">
        <f t="shared" si="15" ref="W37:W39">+Q37+T37+U37+V37</f>
        <v>0</v>
      </c>
      <c r="X37" s="76" t="b">
        <f>ROUND(+W37,2)=ROUND(K37,2)</f>
        <v>1</v>
      </c>
      <c r="Y37" s="173"/>
    </row>
    <row r="38" spans="1:24" s="76" customFormat="1" ht="15" customHeight="1">
      <c r="A38" s="77">
        <v>24</v>
      </c>
      <c r="C38" s="148" t="str">
        <f>+'II-B-8'!C55</f>
        <v>Balance at February 28, 2022</v>
      </c>
      <c r="D38" s="99"/>
      <c r="E38" s="118">
        <v>0</v>
      </c>
      <c r="F38" s="39">
        <v>0</v>
      </c>
      <c r="G38" s="39">
        <f>+E38+F38</f>
        <v>0</v>
      </c>
      <c r="H38" s="118">
        <v>0</v>
      </c>
      <c r="I38" s="39">
        <f>+G38+H38</f>
        <v>0</v>
      </c>
      <c r="J38" s="175">
        <v>1</v>
      </c>
      <c r="K38" s="166">
        <f>+I38*J38</f>
        <v>0</v>
      </c>
      <c r="L38" s="39"/>
      <c r="M38" s="77" t="s">
        <v>234</v>
      </c>
      <c r="N38" s="118">
        <v>0</v>
      </c>
      <c r="O38" s="118">
        <v>0</v>
      </c>
      <c r="P38" s="118">
        <v>0</v>
      </c>
      <c r="Q38" s="118">
        <f>SUM(N38:O38)</f>
        <v>0</v>
      </c>
      <c r="R38" s="118">
        <v>0</v>
      </c>
      <c r="S38" s="118">
        <v>0</v>
      </c>
      <c r="T38" s="118">
        <f t="shared" si="14"/>
        <v>0</v>
      </c>
      <c r="U38" s="118">
        <v>0</v>
      </c>
      <c r="V38" s="118"/>
      <c r="W38" s="151">
        <f t="shared" si="15"/>
        <v>0</v>
      </c>
      <c r="X38" s="76" t="b">
        <f>ROUND(+W38,2)=ROUND(K38,2)</f>
        <v>1</v>
      </c>
    </row>
    <row r="39" spans="1:24" s="76" customFormat="1" ht="15" customHeight="1">
      <c r="A39" s="77">
        <v>25</v>
      </c>
      <c r="C39" s="148" t="str">
        <f>+'II-B-8'!C56</f>
        <v>Balance at March 31, 2022</v>
      </c>
      <c r="D39" s="99"/>
      <c r="E39" s="118">
        <v>0</v>
      </c>
      <c r="F39" s="39">
        <v>0</v>
      </c>
      <c r="G39" s="39">
        <f>+E39+F39</f>
        <v>0</v>
      </c>
      <c r="H39" s="118">
        <v>0</v>
      </c>
      <c r="I39" s="39">
        <f>+G39+H39</f>
        <v>0</v>
      </c>
      <c r="J39" s="175">
        <v>1</v>
      </c>
      <c r="K39" s="166">
        <f>+I39*J39</f>
        <v>0</v>
      </c>
      <c r="L39" s="39"/>
      <c r="M39" s="77" t="s">
        <v>234</v>
      </c>
      <c r="N39" s="118">
        <v>0</v>
      </c>
      <c r="O39" s="118">
        <v>0</v>
      </c>
      <c r="P39" s="118">
        <v>0</v>
      </c>
      <c r="Q39" s="118">
        <f>SUM(N39:O39)</f>
        <v>0</v>
      </c>
      <c r="R39" s="118">
        <v>0</v>
      </c>
      <c r="S39" s="118">
        <v>0</v>
      </c>
      <c r="T39" s="118">
        <f t="shared" si="14"/>
        <v>0</v>
      </c>
      <c r="U39" s="118">
        <v>0</v>
      </c>
      <c r="V39" s="118"/>
      <c r="W39" s="151">
        <f t="shared" si="15"/>
        <v>0</v>
      </c>
      <c r="X39" s="76" t="b">
        <f>ROUND(+W39,2)=ROUND(K39,2)</f>
        <v>1</v>
      </c>
    </row>
    <row r="40" spans="1:23" s="76" customFormat="1" ht="15" customHeight="1">
      <c r="A40" s="77">
        <v>29</v>
      </c>
      <c r="C40" s="91"/>
      <c r="D40" s="99"/>
      <c r="E40" s="39"/>
      <c r="F40" s="39"/>
      <c r="G40" s="39"/>
      <c r="H40" s="39"/>
      <c r="I40" s="39"/>
      <c r="J40" s="178"/>
      <c r="K40" s="39"/>
      <c r="L40" s="39"/>
      <c r="M40" s="77"/>
      <c r="N40" s="39"/>
      <c r="O40" s="39"/>
      <c r="P40" s="39"/>
      <c r="Q40" s="39"/>
      <c r="R40" s="39"/>
      <c r="S40" s="39"/>
      <c r="T40" s="39"/>
      <c r="U40" s="39"/>
      <c r="V40" s="39"/>
      <c r="W40" s="39"/>
    </row>
    <row r="41" spans="1:25" s="80" customFormat="1" ht="15" customHeight="1">
      <c r="A41" s="77">
        <v>30</v>
      </c>
      <c r="B41" s="101" t="s">
        <v>434</v>
      </c>
      <c r="D41" s="86" t="s">
        <v>168</v>
      </c>
      <c r="E41" s="189">
        <f>+'II-B-8'!E60+'II-B-9'!E21+'II-B-10'!E35</f>
        <v>194009339.36692309</v>
      </c>
      <c r="F41" s="189">
        <f>+'II-B-8'!F60+'II-B-9'!F21+'II-B-10'!F35</f>
        <v>-110914.04615384617</v>
      </c>
      <c r="G41" s="189">
        <f>+'II-B-8'!G60+'II-B-9'!G21+'II-B-10'!G35</f>
        <v>193898425.32076925</v>
      </c>
      <c r="H41" s="189">
        <f>+'II-B-8'!H60+'II-B-9'!H21+'II-B-10'!H35</f>
        <v>-190712.29999998212</v>
      </c>
      <c r="I41" s="189">
        <f>+'II-B-8'!I60+'II-B-9'!I21+'II-B-10'!I35</f>
        <v>193707713.02076924</v>
      </c>
      <c r="J41" s="189"/>
      <c r="K41" s="189">
        <f>+'II-B-8'!K60+'II-B-9'!K21+'II-B-10'!K35</f>
        <v>193707713.02076924</v>
      </c>
      <c r="L41" s="189"/>
      <c r="M41" s="189"/>
      <c r="N41" s="189">
        <f>+'II-B-8'!N60+'II-B-9'!N21+'II-B-10'!N35</f>
        <v>39457842.494615369</v>
      </c>
      <c r="O41" s="189">
        <f>+'II-B-8'!O60+'II-B-9'!O21+'II-B-10'!O35</f>
        <v>-8174427.4699999997</v>
      </c>
      <c r="P41" s="189">
        <f>+'II-B-8'!P60+'II-B-9'!P21+'II-B-10'!P35</f>
        <v>0</v>
      </c>
      <c r="Q41" s="189">
        <f>+'II-B-8'!Q60+'II-B-9'!Q21+'II-B-10'!Q35</f>
        <v>31283415.02461537</v>
      </c>
      <c r="R41" s="189">
        <f>+'II-B-8'!R60+'II-B-9'!R21+'II-B-10'!R35</f>
        <v>158116704.44538462</v>
      </c>
      <c r="S41" s="189">
        <f>+'II-B-8'!S60+'II-B-9'!S21+'II-B-10'!S35</f>
        <v>-668468.91000000003</v>
      </c>
      <c r="T41" s="189">
        <f>+'II-B-8'!T60+'II-B-9'!T21+'II-B-10'!T35</f>
        <v>157448235.53538466</v>
      </c>
      <c r="U41" s="189">
        <f>+'II-B-8'!U60+'II-B-9'!U21+'II-B-10'!U35</f>
        <v>3904531.1107692304</v>
      </c>
      <c r="V41" s="189">
        <f>+'II-B-8'!V60+'II-B-9'!V21+'II-B-10'!V35</f>
        <v>1071531.3499999822</v>
      </c>
      <c r="W41" s="189">
        <f>+'II-B-8'!W60+'II-B-9'!W21+'II-B-10'!W35</f>
        <v>193707713.02076924</v>
      </c>
      <c r="X41" s="76" t="b">
        <f>ROUND(+W41,2)=ROUND(K41,2)</f>
        <v>1</v>
      </c>
      <c r="Y41" s="173"/>
    </row>
    <row r="42" spans="1:23" s="76" customFormat="1" ht="15" customHeight="1">
      <c r="A42" s="77">
        <v>31</v>
      </c>
      <c r="B42" s="93"/>
      <c r="D42" s="39"/>
      <c r="E42" s="39"/>
      <c r="F42" s="39"/>
      <c r="G42" s="39"/>
      <c r="H42" s="39"/>
      <c r="I42" s="39"/>
      <c r="J42" s="39"/>
      <c r="K42" s="77"/>
      <c r="L42" s="39"/>
      <c r="M42" s="81"/>
      <c r="N42" s="39"/>
      <c r="O42" s="39"/>
      <c r="P42" s="39"/>
      <c r="Q42" s="39"/>
      <c r="R42" s="92"/>
      <c r="S42" s="92"/>
      <c r="T42" s="92"/>
      <c r="U42" s="92"/>
      <c r="V42" s="92"/>
      <c r="W42" s="92"/>
    </row>
    <row r="43" spans="1:22" s="76" customFormat="1" ht="15" customHeight="1">
      <c r="A43" s="77">
        <v>32</v>
      </c>
      <c r="B43" s="93"/>
      <c r="C43" s="131"/>
      <c r="D43" s="39"/>
      <c r="E43" s="39"/>
      <c r="F43" s="39"/>
      <c r="G43" s="39"/>
      <c r="H43" s="39"/>
      <c r="I43" s="39"/>
      <c r="J43" s="39"/>
      <c r="K43" s="77"/>
      <c r="L43" s="39"/>
      <c r="M43" s="77"/>
      <c r="N43" s="39"/>
      <c r="O43" s="39"/>
      <c r="P43" s="39"/>
      <c r="Q43" s="39"/>
      <c r="R43" s="39"/>
      <c r="S43" s="39"/>
      <c r="T43" s="39"/>
      <c r="U43" s="39"/>
      <c r="V43" s="39"/>
    </row>
    <row r="44" spans="1:23" s="76" customFormat="1" ht="15" customHeight="1">
      <c r="A44" s="77">
        <v>33</v>
      </c>
      <c r="D44" s="39"/>
      <c r="E44" s="39"/>
      <c r="F44" s="39"/>
      <c r="G44" s="39"/>
      <c r="H44" s="39"/>
      <c r="I44" s="39"/>
      <c r="J44" s="39"/>
      <c r="K44" s="77"/>
      <c r="L44" s="39"/>
      <c r="M44" s="81"/>
      <c r="N44" s="39"/>
      <c r="O44" s="39"/>
      <c r="P44" s="39"/>
      <c r="Q44" s="39"/>
      <c r="R44" s="92"/>
      <c r="S44" s="92"/>
      <c r="T44" s="92"/>
      <c r="U44" s="92"/>
      <c r="V44" s="92"/>
      <c r="W44" s="92"/>
    </row>
    <row r="45" spans="3:23" s="80" customFormat="1" ht="12.75" customHeight="1">
      <c r="C45" s="90"/>
      <c r="D45" s="87"/>
      <c r="E45" s="87"/>
      <c r="F45" s="87"/>
      <c r="G45" s="87"/>
      <c r="H45" s="87"/>
      <c r="I45" s="87"/>
      <c r="J45" s="87"/>
      <c r="K45" s="88"/>
      <c r="L45" s="87"/>
      <c r="M45" s="95"/>
      <c r="N45" s="87"/>
      <c r="O45" s="87"/>
      <c r="P45" s="87"/>
      <c r="Q45" s="87"/>
      <c r="R45" s="87"/>
      <c r="S45" s="87"/>
      <c r="T45" s="87"/>
      <c r="U45" s="87"/>
      <c r="V45" s="87"/>
      <c r="W45" s="87"/>
    </row>
    <row r="46" spans="3:23" s="76" customFormat="1" ht="12.75" customHeight="1">
      <c r="C46" s="148"/>
      <c r="D46" s="39"/>
      <c r="E46" s="39"/>
      <c r="F46" s="39"/>
      <c r="G46" s="39"/>
      <c r="H46" s="39"/>
      <c r="I46" s="39"/>
      <c r="J46" s="39"/>
      <c r="K46" s="77"/>
      <c r="L46" s="39"/>
      <c r="M46" s="81"/>
      <c r="N46" s="39"/>
      <c r="O46" s="39"/>
      <c r="P46" s="39"/>
      <c r="Q46" s="39"/>
      <c r="R46" s="92"/>
      <c r="S46" s="92"/>
      <c r="T46" s="92"/>
      <c r="U46" s="92"/>
      <c r="V46" s="92"/>
      <c r="W46" s="92"/>
    </row>
    <row r="47" spans="3:23" s="76" customFormat="1" ht="12.75" customHeight="1">
      <c r="C47" s="148"/>
      <c r="D47" s="39"/>
      <c r="E47" s="39"/>
      <c r="F47" s="39"/>
      <c r="G47" s="39"/>
      <c r="H47" s="39"/>
      <c r="I47" s="39"/>
      <c r="J47" s="39"/>
      <c r="K47" s="77"/>
      <c r="L47" s="39"/>
      <c r="M47" s="77"/>
      <c r="N47" s="39"/>
      <c r="O47" s="39"/>
      <c r="P47" s="39"/>
      <c r="Q47" s="39"/>
      <c r="R47" s="92"/>
      <c r="S47" s="92"/>
      <c r="T47" s="92"/>
      <c r="U47" s="92"/>
      <c r="V47" s="92"/>
      <c r="W47" s="92"/>
    </row>
    <row r="48" spans="3:23" s="76" customFormat="1" ht="12.75" customHeight="1">
      <c r="C48" s="148"/>
      <c r="D48" s="39"/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92"/>
      <c r="S48" s="92"/>
      <c r="T48" s="92"/>
      <c r="U48" s="92"/>
      <c r="V48" s="92"/>
      <c r="W48" s="92"/>
    </row>
    <row r="49" spans="3:23" s="76" customFormat="1" ht="12.75" customHeight="1">
      <c r="C49" s="148"/>
      <c r="D49" s="39"/>
      <c r="E49" s="39"/>
      <c r="F49" s="39"/>
      <c r="G49" s="39"/>
      <c r="H49" s="39"/>
      <c r="I49" s="39"/>
      <c r="J49" s="39"/>
      <c r="K49" s="77"/>
      <c r="L49" s="39"/>
      <c r="M49" s="77"/>
      <c r="N49" s="39"/>
      <c r="O49" s="39"/>
      <c r="P49" s="39"/>
      <c r="Q49" s="39"/>
      <c r="R49" s="92"/>
      <c r="S49" s="92"/>
      <c r="T49" s="92"/>
      <c r="U49" s="92"/>
      <c r="V49" s="92"/>
      <c r="W49" s="92"/>
    </row>
    <row r="50" spans="3:23" s="80" customFormat="1" ht="12.75" customHeight="1">
      <c r="C50" s="148"/>
      <c r="D50" s="87"/>
      <c r="E50" s="87"/>
      <c r="F50" s="87"/>
      <c r="G50" s="87"/>
      <c r="H50" s="87"/>
      <c r="I50" s="87"/>
      <c r="J50" s="87"/>
      <c r="K50" s="88"/>
      <c r="L50" s="87"/>
      <c r="M50" s="88"/>
      <c r="N50" s="87"/>
      <c r="O50" s="87"/>
      <c r="P50" s="87"/>
      <c r="Q50" s="87"/>
      <c r="R50" s="87"/>
      <c r="S50" s="87"/>
      <c r="T50" s="87"/>
      <c r="U50" s="87"/>
      <c r="V50" s="87"/>
      <c r="W50" s="87"/>
    </row>
    <row r="51" spans="3:23" s="76" customFormat="1" ht="12.75" customHeight="1">
      <c r="C51" s="148"/>
      <c r="D51" s="3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39"/>
      <c r="S51" s="39"/>
      <c r="T51" s="39"/>
      <c r="U51" s="39"/>
      <c r="V51" s="39"/>
      <c r="W51" s="39"/>
    </row>
    <row r="52" spans="3:23" s="76" customFormat="1" ht="12.75" customHeight="1">
      <c r="C52" s="148"/>
      <c r="D52" s="39"/>
      <c r="E52" s="39"/>
      <c r="F52" s="39"/>
      <c r="G52" s="39"/>
      <c r="H52" s="39"/>
      <c r="I52" s="39"/>
      <c r="J52" s="39"/>
      <c r="K52" s="77"/>
      <c r="L52" s="39"/>
      <c r="M52" s="77"/>
      <c r="N52" s="39"/>
      <c r="O52" s="39"/>
      <c r="P52" s="39"/>
      <c r="Q52" s="39"/>
      <c r="R52" s="39"/>
      <c r="S52" s="39"/>
      <c r="T52" s="39"/>
      <c r="U52" s="39"/>
      <c r="V52" s="39"/>
      <c r="W52" s="39"/>
    </row>
    <row r="53" spans="4:22" s="76" customFormat="1" ht="12.75" customHeight="1">
      <c r="D53" s="3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39"/>
      <c r="S53" s="39"/>
      <c r="T53" s="39"/>
      <c r="U53" s="39"/>
      <c r="V53" s="39"/>
    </row>
    <row r="54" spans="2:22" s="80" customFormat="1" ht="12.75" customHeight="1">
      <c r="B54" s="96"/>
      <c r="D54" s="87"/>
      <c r="E54" s="87"/>
      <c r="F54" s="87"/>
      <c r="G54" s="87"/>
      <c r="H54" s="87"/>
      <c r="I54" s="87"/>
      <c r="J54" s="87"/>
      <c r="K54" s="88"/>
      <c r="L54" s="87"/>
      <c r="M54" s="88"/>
      <c r="N54" s="87"/>
      <c r="O54" s="87"/>
      <c r="P54" s="87"/>
      <c r="Q54" s="87"/>
      <c r="R54" s="87"/>
      <c r="S54" s="87"/>
      <c r="T54" s="87"/>
      <c r="U54" s="87"/>
      <c r="V54" s="87"/>
    </row>
    <row r="55" spans="5:23" s="76" customFormat="1" ht="12.75" customHeight="1"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4:22" s="76" customFormat="1" ht="12.75" customHeight="1">
      <c r="D56" s="3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39"/>
      <c r="S56" s="39"/>
      <c r="T56" s="39"/>
      <c r="U56" s="39"/>
      <c r="V56" s="39"/>
    </row>
    <row r="57" spans="4:23" s="76" customFormat="1" ht="12.75" customHeight="1">
      <c r="D57" s="87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19"/>
      <c r="S57" s="19"/>
      <c r="T57" s="19"/>
      <c r="U57" s="19"/>
      <c r="V57" s="19"/>
      <c r="W57" s="19"/>
    </row>
    <row r="58" spans="4:23" s="76" customFormat="1" ht="12.75" customHeight="1">
      <c r="D58" s="3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19"/>
      <c r="S58" s="19"/>
      <c r="T58" s="19"/>
      <c r="U58" s="19"/>
      <c r="V58" s="19"/>
      <c r="W58" s="19"/>
    </row>
    <row r="59" spans="3:23" s="80" customFormat="1" ht="12.75" customHeight="1">
      <c r="C59" s="90"/>
      <c r="D59" s="87"/>
      <c r="E59" s="87"/>
      <c r="F59" s="87"/>
      <c r="G59" s="87"/>
      <c r="H59" s="87"/>
      <c r="I59" s="87"/>
      <c r="J59" s="87"/>
      <c r="K59" s="88"/>
      <c r="L59" s="87"/>
      <c r="M59" s="88"/>
      <c r="N59" s="87"/>
      <c r="O59" s="87"/>
      <c r="P59" s="87"/>
      <c r="Q59" s="87"/>
      <c r="R59" s="87"/>
      <c r="S59" s="87"/>
      <c r="T59" s="87"/>
      <c r="U59" s="87"/>
      <c r="V59" s="87"/>
      <c r="W59" s="87"/>
    </row>
    <row r="60" spans="4:22" s="76" customFormat="1" ht="12.75" customHeight="1">
      <c r="D60" s="39"/>
      <c r="E60" s="39"/>
      <c r="F60" s="39"/>
      <c r="G60" s="39"/>
      <c r="H60" s="39"/>
      <c r="I60" s="39"/>
      <c r="J60" s="39"/>
      <c r="K60" s="77"/>
      <c r="L60" s="39"/>
      <c r="M60" s="77"/>
      <c r="N60" s="39"/>
      <c r="O60" s="39"/>
      <c r="P60" s="39"/>
      <c r="Q60" s="39"/>
      <c r="R60" s="39"/>
      <c r="S60" s="39"/>
      <c r="T60" s="39"/>
      <c r="U60" s="39"/>
      <c r="V60" s="39"/>
    </row>
    <row r="61" spans="3:22" s="80" customFormat="1" ht="12.75" customHeight="1">
      <c r="C61" s="96"/>
      <c r="D61" s="87"/>
      <c r="E61" s="87"/>
      <c r="F61" s="97"/>
      <c r="G61" s="87"/>
      <c r="H61" s="87"/>
      <c r="I61" s="87"/>
      <c r="J61" s="87"/>
      <c r="K61" s="88"/>
      <c r="L61" s="87"/>
      <c r="M61" s="98"/>
      <c r="N61" s="87"/>
      <c r="O61" s="87"/>
      <c r="P61" s="87"/>
      <c r="Q61" s="87"/>
      <c r="R61" s="87"/>
      <c r="S61" s="87"/>
      <c r="T61" s="87"/>
      <c r="U61" s="87"/>
      <c r="V61" s="87"/>
    </row>
    <row r="62" spans="4:23" s="76" customFormat="1" ht="12.75" customHeight="1">
      <c r="D62" s="99"/>
      <c r="E62" s="39"/>
      <c r="F62" s="39"/>
      <c r="G62" s="39"/>
      <c r="H62" s="39"/>
      <c r="I62" s="39"/>
      <c r="J62" s="39"/>
      <c r="K62" s="77"/>
      <c r="L62" s="39"/>
      <c r="M62" s="77"/>
      <c r="N62" s="39"/>
      <c r="O62" s="39"/>
      <c r="P62" s="39"/>
      <c r="Q62" s="39"/>
      <c r="R62" s="92"/>
      <c r="S62" s="92"/>
      <c r="T62" s="92"/>
      <c r="U62" s="92"/>
      <c r="V62" s="92"/>
      <c r="W62" s="92"/>
    </row>
    <row r="63" spans="4:23" s="76" customFormat="1" ht="12.75" customHeight="1">
      <c r="D63" s="99"/>
      <c r="E63" s="39"/>
      <c r="F63" s="39"/>
      <c r="G63" s="39"/>
      <c r="H63" s="39"/>
      <c r="I63" s="39"/>
      <c r="J63" s="39"/>
      <c r="K63" s="77"/>
      <c r="L63" s="39"/>
      <c r="M63" s="77"/>
      <c r="N63" s="39"/>
      <c r="O63" s="39"/>
      <c r="P63" s="39"/>
      <c r="Q63" s="39"/>
      <c r="R63" s="92"/>
      <c r="S63" s="92"/>
      <c r="T63" s="92"/>
      <c r="U63" s="92"/>
      <c r="V63" s="92"/>
      <c r="W63" s="92"/>
    </row>
    <row r="64" spans="4:23" s="76" customFormat="1" ht="12.75" customHeight="1">
      <c r="D64" s="99"/>
      <c r="E64" s="39"/>
      <c r="F64" s="39"/>
      <c r="G64" s="39"/>
      <c r="H64" s="39"/>
      <c r="I64" s="39"/>
      <c r="J64" s="39"/>
      <c r="K64" s="77"/>
      <c r="L64" s="39"/>
      <c r="M64" s="77"/>
      <c r="N64" s="39"/>
      <c r="O64" s="39"/>
      <c r="P64" s="39"/>
      <c r="Q64" s="39"/>
      <c r="R64" s="92"/>
      <c r="S64" s="92"/>
      <c r="T64" s="92"/>
      <c r="U64" s="92"/>
      <c r="V64" s="92"/>
      <c r="W64" s="92"/>
    </row>
    <row r="65" spans="4:23" s="76" customFormat="1" ht="12.75" customHeight="1">
      <c r="D65" s="99"/>
      <c r="E65" s="39"/>
      <c r="F65" s="39"/>
      <c r="G65" s="39"/>
      <c r="H65" s="39"/>
      <c r="I65" s="39"/>
      <c r="J65" s="39"/>
      <c r="K65" s="77"/>
      <c r="L65" s="39"/>
      <c r="M65" s="77"/>
      <c r="N65" s="39"/>
      <c r="O65" s="39"/>
      <c r="P65" s="39"/>
      <c r="Q65" s="39"/>
      <c r="R65" s="92"/>
      <c r="S65" s="92"/>
      <c r="T65" s="92"/>
      <c r="U65" s="92"/>
      <c r="V65" s="92"/>
      <c r="W65" s="92"/>
    </row>
    <row r="66" spans="4:23" s="76" customFormat="1" ht="12.75" customHeight="1">
      <c r="D66" s="99"/>
      <c r="E66" s="39"/>
      <c r="F66" s="39"/>
      <c r="G66" s="39"/>
      <c r="H66" s="39"/>
      <c r="I66" s="39"/>
      <c r="J66" s="39"/>
      <c r="K66" s="77"/>
      <c r="L66" s="39"/>
      <c r="M66" s="77"/>
      <c r="N66" s="39"/>
      <c r="O66" s="39"/>
      <c r="P66" s="39"/>
      <c r="Q66" s="39"/>
      <c r="R66" s="92"/>
      <c r="S66" s="92"/>
      <c r="T66" s="92"/>
      <c r="U66" s="92"/>
      <c r="V66" s="92"/>
      <c r="W66" s="92"/>
    </row>
    <row r="67" spans="4:23" s="76" customFormat="1" ht="12.75" customHeight="1">
      <c r="D67" s="99"/>
      <c r="E67" s="39"/>
      <c r="F67" s="39"/>
      <c r="G67" s="39"/>
      <c r="H67" s="39"/>
      <c r="I67" s="39"/>
      <c r="J67" s="39"/>
      <c r="K67" s="77"/>
      <c r="L67" s="39"/>
      <c r="M67" s="77"/>
      <c r="N67" s="39"/>
      <c r="O67" s="39"/>
      <c r="P67" s="39"/>
      <c r="Q67" s="39"/>
      <c r="R67" s="92"/>
      <c r="S67" s="92"/>
      <c r="T67" s="92"/>
      <c r="U67" s="92"/>
      <c r="V67" s="92"/>
      <c r="W67" s="92"/>
    </row>
    <row r="68" spans="4:23" s="76" customFormat="1" ht="12.75" customHeight="1">
      <c r="D68" s="99"/>
      <c r="E68" s="39"/>
      <c r="F68" s="39"/>
      <c r="G68" s="39"/>
      <c r="H68" s="39"/>
      <c r="I68" s="39"/>
      <c r="J68" s="39"/>
      <c r="K68" s="77"/>
      <c r="L68" s="39"/>
      <c r="M68" s="77"/>
      <c r="N68" s="39"/>
      <c r="O68" s="39"/>
      <c r="P68" s="39"/>
      <c r="Q68" s="39"/>
      <c r="R68" s="19"/>
      <c r="S68" s="19"/>
      <c r="T68" s="19"/>
      <c r="U68" s="19"/>
      <c r="V68" s="19"/>
      <c r="W68" s="19"/>
    </row>
    <row r="69" spans="4:23" s="76" customFormat="1" ht="12.75" customHeight="1">
      <c r="D69" s="99"/>
      <c r="E69" s="39"/>
      <c r="F69" s="39"/>
      <c r="G69" s="39"/>
      <c r="H69" s="39"/>
      <c r="I69" s="39"/>
      <c r="J69" s="39"/>
      <c r="K69" s="77"/>
      <c r="L69" s="39"/>
      <c r="M69" s="77"/>
      <c r="N69" s="39"/>
      <c r="O69" s="39"/>
      <c r="P69" s="39"/>
      <c r="Q69" s="39"/>
      <c r="R69" s="92"/>
      <c r="S69" s="92"/>
      <c r="T69" s="92"/>
      <c r="U69" s="92"/>
      <c r="V69" s="92"/>
      <c r="W69" s="92"/>
    </row>
    <row r="70" spans="4:23" s="76" customFormat="1" ht="12.75" customHeight="1">
      <c r="D70" s="99"/>
      <c r="E70" s="39"/>
      <c r="F70" s="39"/>
      <c r="G70" s="39"/>
      <c r="H70" s="39"/>
      <c r="I70" s="39"/>
      <c r="J70" s="39"/>
      <c r="K70" s="77"/>
      <c r="L70" s="39"/>
      <c r="M70" s="77"/>
      <c r="N70" s="39"/>
      <c r="O70" s="39"/>
      <c r="P70" s="39"/>
      <c r="Q70" s="39"/>
      <c r="R70" s="92"/>
      <c r="S70" s="92"/>
      <c r="T70" s="92"/>
      <c r="U70" s="92"/>
      <c r="V70" s="92"/>
      <c r="W70" s="92"/>
    </row>
    <row r="71" spans="4:23" s="76" customFormat="1" ht="12.75" customHeight="1">
      <c r="D71" s="99"/>
      <c r="E71" s="39"/>
      <c r="F71" s="39"/>
      <c r="G71" s="39"/>
      <c r="H71" s="39"/>
      <c r="I71" s="39"/>
      <c r="J71" s="39"/>
      <c r="K71" s="77"/>
      <c r="L71" s="39"/>
      <c r="M71" s="77"/>
      <c r="N71" s="39"/>
      <c r="O71" s="39"/>
      <c r="P71" s="39"/>
      <c r="Q71" s="39"/>
      <c r="R71" s="92"/>
      <c r="S71" s="92"/>
      <c r="T71" s="92"/>
      <c r="U71" s="92"/>
      <c r="V71" s="92"/>
      <c r="W71" s="92"/>
    </row>
    <row r="72" spans="3:24" s="80" customFormat="1" ht="12.75" customHeight="1">
      <c r="C72" s="90"/>
      <c r="D72" s="97"/>
      <c r="E72" s="87"/>
      <c r="F72" s="87"/>
      <c r="G72" s="87"/>
      <c r="H72" s="87"/>
      <c r="I72" s="87"/>
      <c r="J72" s="87"/>
      <c r="K72" s="98"/>
      <c r="L72" s="87"/>
      <c r="M72" s="88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76"/>
    </row>
    <row r="73" spans="3:22" s="76" customFormat="1" ht="12.75" customHeight="1">
      <c r="C73" s="91"/>
      <c r="D73" s="99"/>
      <c r="E73" s="39"/>
      <c r="F73" s="39"/>
      <c r="G73" s="39"/>
      <c r="H73" s="39"/>
      <c r="I73" s="39"/>
      <c r="J73" s="39"/>
      <c r="K73" s="100"/>
      <c r="L73" s="39"/>
      <c r="M73" s="77"/>
      <c r="N73" s="39"/>
      <c r="O73" s="39"/>
      <c r="P73" s="39"/>
      <c r="Q73" s="39"/>
      <c r="R73" s="39"/>
      <c r="S73" s="39"/>
      <c r="T73" s="39"/>
      <c r="U73" s="39"/>
      <c r="V73" s="39"/>
    </row>
    <row r="74" spans="2:24" s="80" customFormat="1" ht="12.75" customHeight="1">
      <c r="B74" s="101"/>
      <c r="D74" s="97"/>
      <c r="E74" s="87"/>
      <c r="F74" s="87"/>
      <c r="G74" s="87"/>
      <c r="H74" s="87"/>
      <c r="I74" s="87"/>
      <c r="J74" s="87"/>
      <c r="K74" s="98"/>
      <c r="L74" s="87"/>
      <c r="M74" s="88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76"/>
    </row>
    <row r="75" spans="3:23" s="76" customFormat="1" ht="12.75" customHeight="1">
      <c r="C75" s="90"/>
      <c r="D75" s="99"/>
      <c r="E75" s="39"/>
      <c r="F75" s="39"/>
      <c r="G75" s="39"/>
      <c r="H75" s="39"/>
      <c r="I75" s="39"/>
      <c r="J75" s="39"/>
      <c r="K75" s="100"/>
      <c r="L75" s="39"/>
      <c r="M75" s="88"/>
      <c r="N75" s="39"/>
      <c r="O75" s="39"/>
      <c r="P75" s="39"/>
      <c r="Q75" s="39"/>
      <c r="R75" s="39"/>
      <c r="S75" s="39"/>
      <c r="T75" s="39"/>
      <c r="U75" s="39"/>
      <c r="V75" s="39"/>
      <c r="W75" s="39"/>
    </row>
    <row r="76" spans="3:23" s="80" customFormat="1" ht="12.75" customHeight="1">
      <c r="C76" s="90"/>
      <c r="D76" s="87"/>
      <c r="E76" s="87"/>
      <c r="F76" s="87"/>
      <c r="G76" s="87"/>
      <c r="H76" s="87"/>
      <c r="I76" s="87"/>
      <c r="J76" s="87"/>
      <c r="K76" s="98"/>
      <c r="L76" s="87"/>
      <c r="M76" s="88"/>
      <c r="N76" s="87"/>
      <c r="O76" s="87"/>
      <c r="P76" s="87"/>
      <c r="Q76" s="87"/>
      <c r="R76" s="87"/>
      <c r="S76" s="87"/>
      <c r="T76" s="87"/>
      <c r="U76" s="87"/>
      <c r="V76" s="87"/>
      <c r="W76" s="87"/>
    </row>
    <row r="77" spans="3:22" s="80" customFormat="1" ht="12.75" customHeight="1">
      <c r="C77" s="90"/>
      <c r="D77" s="97"/>
      <c r="E77" s="87"/>
      <c r="F77" s="87"/>
      <c r="G77" s="87"/>
      <c r="H77" s="87"/>
      <c r="I77" s="87"/>
      <c r="J77" s="87"/>
      <c r="K77" s="98"/>
      <c r="L77" s="87"/>
      <c r="M77" s="88"/>
      <c r="N77" s="87"/>
      <c r="O77" s="87"/>
      <c r="P77" s="87"/>
      <c r="Q77" s="87"/>
      <c r="R77" s="87"/>
      <c r="S77" s="87"/>
      <c r="T77" s="87"/>
      <c r="U77" s="87"/>
      <c r="V77" s="87"/>
    </row>
    <row r="78" spans="3:23" s="80" customFormat="1" ht="12.75" customHeight="1">
      <c r="C78" s="90"/>
      <c r="D78" s="87"/>
      <c r="E78" s="87"/>
      <c r="F78" s="87"/>
      <c r="G78" s="87"/>
      <c r="H78" s="87"/>
      <c r="I78" s="87"/>
      <c r="J78" s="87"/>
      <c r="K78" s="98"/>
      <c r="L78" s="87"/>
      <c r="M78" s="88"/>
      <c r="N78" s="87"/>
      <c r="O78" s="87"/>
      <c r="P78" s="87"/>
      <c r="Q78" s="87"/>
      <c r="R78" s="102"/>
      <c r="S78" s="102"/>
      <c r="T78" s="102"/>
      <c r="U78" s="102"/>
      <c r="V78" s="102"/>
      <c r="W78" s="102"/>
    </row>
    <row r="79" spans="3:22" s="80" customFormat="1" ht="12.75" customHeight="1">
      <c r="C79" s="90"/>
      <c r="D79" s="97"/>
      <c r="E79" s="87"/>
      <c r="F79" s="87"/>
      <c r="G79" s="87"/>
      <c r="H79" s="87"/>
      <c r="I79" s="87"/>
      <c r="J79" s="87"/>
      <c r="K79" s="98"/>
      <c r="L79" s="87"/>
      <c r="M79" s="88"/>
      <c r="N79" s="87"/>
      <c r="O79" s="87"/>
      <c r="P79" s="87"/>
      <c r="Q79" s="87"/>
      <c r="R79" s="87"/>
      <c r="S79" s="87"/>
      <c r="T79" s="87"/>
      <c r="U79" s="87"/>
      <c r="V79" s="87"/>
    </row>
    <row r="80" spans="2:23" s="80" customFormat="1" ht="12.75" customHeight="1">
      <c r="B80" s="85"/>
      <c r="C80" s="90"/>
      <c r="D80" s="97"/>
      <c r="E80" s="87"/>
      <c r="F80" s="87"/>
      <c r="G80" s="87"/>
      <c r="H80" s="87"/>
      <c r="I80" s="87"/>
      <c r="J80" s="87"/>
      <c r="K80" s="98"/>
      <c r="L80" s="87"/>
      <c r="M80" s="88"/>
      <c r="N80" s="87"/>
      <c r="O80" s="87"/>
      <c r="P80" s="87"/>
      <c r="Q80" s="87"/>
      <c r="R80" s="87"/>
      <c r="S80" s="87"/>
      <c r="T80" s="87"/>
      <c r="U80" s="87"/>
      <c r="V80" s="87"/>
      <c r="W80" s="87"/>
    </row>
    <row r="81" spans="3:22" s="76" customFormat="1" ht="12.75" customHeight="1">
      <c r="C81" s="90"/>
      <c r="D81" s="99"/>
      <c r="E81" s="39"/>
      <c r="F81" s="39"/>
      <c r="G81" s="39"/>
      <c r="H81" s="39"/>
      <c r="I81" s="39"/>
      <c r="J81" s="39"/>
      <c r="K81" s="100"/>
      <c r="L81" s="39"/>
      <c r="M81" s="88"/>
      <c r="N81" s="39"/>
      <c r="O81" s="39"/>
      <c r="P81" s="39"/>
      <c r="Q81" s="39"/>
      <c r="R81" s="39"/>
      <c r="S81" s="39"/>
      <c r="T81" s="39"/>
      <c r="U81" s="39"/>
      <c r="V81" s="39"/>
    </row>
    <row r="82" spans="3:23" s="76" customFormat="1" ht="12.75" customHeight="1">
      <c r="C82" s="90"/>
      <c r="D82" s="99"/>
      <c r="E82" s="39"/>
      <c r="F82" s="39"/>
      <c r="G82" s="39"/>
      <c r="H82" s="39"/>
      <c r="I82" s="39"/>
      <c r="J82" s="39"/>
      <c r="K82" s="77"/>
      <c r="L82" s="39"/>
      <c r="M82" s="77"/>
      <c r="N82" s="39"/>
      <c r="O82" s="39"/>
      <c r="P82" s="39"/>
      <c r="Q82" s="39"/>
      <c r="R82" s="92"/>
      <c r="S82" s="92"/>
      <c r="T82" s="92"/>
      <c r="U82" s="92"/>
      <c r="V82" s="92"/>
      <c r="W82" s="92"/>
    </row>
    <row r="83" spans="3:23" s="76" customFormat="1" ht="12.75" customHeight="1">
      <c r="C83" s="90"/>
      <c r="D83" s="99"/>
      <c r="E83" s="39"/>
      <c r="F83" s="39"/>
      <c r="G83" s="39"/>
      <c r="H83" s="39"/>
      <c r="I83" s="39"/>
      <c r="J83" s="39"/>
      <c r="K83" s="77"/>
      <c r="L83" s="39"/>
      <c r="M83" s="77"/>
      <c r="N83" s="39"/>
      <c r="O83" s="39"/>
      <c r="P83" s="39"/>
      <c r="Q83" s="39"/>
      <c r="R83" s="92"/>
      <c r="S83" s="92"/>
      <c r="T83" s="92"/>
      <c r="U83" s="92"/>
      <c r="V83" s="92"/>
      <c r="W83" s="92"/>
    </row>
    <row r="84" spans="3:22" s="76" customFormat="1" ht="12.75" customHeight="1">
      <c r="C84" s="90"/>
      <c r="D84" s="99"/>
      <c r="E84" s="39"/>
      <c r="F84" s="39"/>
      <c r="G84" s="39"/>
      <c r="H84" s="39"/>
      <c r="I84" s="39"/>
      <c r="J84" s="39"/>
      <c r="K84" s="100"/>
      <c r="L84" s="39"/>
      <c r="M84" s="88"/>
      <c r="N84" s="39"/>
      <c r="O84" s="39"/>
      <c r="P84" s="39"/>
      <c r="Q84" s="39"/>
      <c r="R84" s="39"/>
      <c r="S84" s="39"/>
      <c r="T84" s="39"/>
      <c r="U84" s="39"/>
      <c r="V84" s="39"/>
    </row>
    <row r="85" spans="3:23" s="76" customFormat="1" ht="12.75" customHeight="1">
      <c r="C85" s="103"/>
      <c r="D85" s="99"/>
      <c r="E85" s="39"/>
      <c r="F85" s="39"/>
      <c r="G85" s="39"/>
      <c r="H85" s="39"/>
      <c r="I85" s="39"/>
      <c r="J85" s="39"/>
      <c r="K85" s="77"/>
      <c r="L85" s="39"/>
      <c r="M85" s="77"/>
      <c r="N85" s="39"/>
      <c r="O85" s="39"/>
      <c r="P85" s="39"/>
      <c r="Q85" s="39"/>
      <c r="R85" s="92"/>
      <c r="S85" s="92"/>
      <c r="T85" s="92"/>
      <c r="U85" s="92"/>
      <c r="V85" s="92"/>
      <c r="W85" s="92"/>
    </row>
    <row r="86" spans="3:23" s="76" customFormat="1" ht="12.75" customHeight="1">
      <c r="C86" s="104"/>
      <c r="D86" s="99"/>
      <c r="E86" s="39"/>
      <c r="F86" s="39"/>
      <c r="G86" s="39"/>
      <c r="H86" s="39"/>
      <c r="I86" s="39"/>
      <c r="J86" s="39"/>
      <c r="K86" s="77"/>
      <c r="L86" s="39"/>
      <c r="M86" s="77"/>
      <c r="N86" s="39"/>
      <c r="O86" s="39"/>
      <c r="P86" s="39"/>
      <c r="Q86" s="39"/>
      <c r="R86" s="92"/>
      <c r="S86" s="92"/>
      <c r="T86" s="92"/>
      <c r="U86" s="92"/>
      <c r="V86" s="92"/>
      <c r="W86" s="92"/>
    </row>
    <row r="87" spans="11:13" s="76" customFormat="1" ht="12.75" customHeight="1">
      <c r="K87" s="77"/>
      <c r="M87" s="77"/>
    </row>
    <row r="88" spans="11:13" s="76" customFormat="1" ht="12.75" customHeight="1">
      <c r="K88" s="77"/>
      <c r="M88" s="77"/>
    </row>
    <row r="89" spans="11:13" s="76" customFormat="1" ht="12.75" customHeight="1">
      <c r="K89" s="77"/>
      <c r="M89" s="77"/>
    </row>
    <row r="90" spans="11:13" s="76" customFormat="1" ht="12.75" customHeight="1">
      <c r="K90" s="77"/>
      <c r="M90" s="77"/>
    </row>
    <row r="91" spans="11:13" s="76" customFormat="1" ht="12.75" customHeight="1">
      <c r="K91" s="77"/>
      <c r="M91" s="77"/>
    </row>
    <row r="92" spans="11:13" s="76" customFormat="1" ht="12.75" customHeight="1">
      <c r="K92" s="77"/>
      <c r="M92" s="77"/>
    </row>
    <row r="93" spans="11:13" s="76" customFormat="1" ht="12.75" customHeight="1">
      <c r="K93" s="77"/>
      <c r="M93" s="77"/>
    </row>
    <row r="94" spans="11:13" s="76" customFormat="1" ht="12.75" customHeight="1">
      <c r="K94" s="77"/>
      <c r="M94" s="77"/>
    </row>
    <row r="95" spans="11:13" s="76" customFormat="1" ht="12.75" customHeight="1">
      <c r="K95" s="77"/>
      <c r="M95" s="77"/>
    </row>
    <row r="96" spans="11:13" s="76" customFormat="1" ht="12.75" customHeight="1">
      <c r="K96" s="77"/>
      <c r="M96" s="77"/>
    </row>
    <row r="97" spans="11:13" s="76" customFormat="1" ht="12.75" customHeight="1">
      <c r="K97" s="77"/>
      <c r="M97" s="77"/>
    </row>
    <row r="98" spans="11:13" s="76" customFormat="1" ht="12.75" customHeight="1">
      <c r="K98" s="77"/>
      <c r="M98" s="77"/>
    </row>
    <row r="99" spans="11:13" s="76" customFormat="1" ht="12.75" customHeight="1">
      <c r="K99" s="77"/>
      <c r="M99" s="77"/>
    </row>
    <row r="100" spans="11:13" s="76" customFormat="1" ht="12.75" customHeight="1">
      <c r="K100" s="77"/>
      <c r="M100" s="77"/>
    </row>
    <row r="101" spans="11:13" s="76" customFormat="1" ht="12.75" customHeight="1">
      <c r="K101" s="77"/>
      <c r="M101" s="77"/>
    </row>
    <row r="102" spans="11:13" s="76" customFormat="1" ht="12.75" customHeight="1">
      <c r="K102" s="77"/>
      <c r="M102" s="77"/>
    </row>
    <row r="103" spans="11:13" s="76" customFormat="1" ht="12.75" customHeight="1">
      <c r="K103" s="77"/>
      <c r="M103" s="77"/>
    </row>
    <row r="104" spans="11:13" s="76" customFormat="1" ht="12.75" customHeight="1">
      <c r="K104" s="77"/>
      <c r="M104" s="77"/>
    </row>
    <row r="105" spans="11:13" s="76" customFormat="1" ht="12.75" customHeight="1">
      <c r="K105" s="77"/>
      <c r="M105" s="77"/>
    </row>
    <row r="106" spans="11:13" s="76" customFormat="1" ht="12.75" customHeight="1">
      <c r="K106" s="77"/>
      <c r="M106" s="77"/>
    </row>
    <row r="107" spans="11:13" s="76" customFormat="1" ht="12.75" customHeight="1">
      <c r="K107" s="77"/>
      <c r="M107" s="77"/>
    </row>
    <row r="108" spans="11:13" s="76" customFormat="1" ht="12.75" customHeight="1">
      <c r="K108" s="77"/>
      <c r="M108" s="77"/>
    </row>
    <row r="109" spans="11:13" s="76" customFormat="1" ht="12.75" customHeight="1">
      <c r="K109" s="77"/>
      <c r="M109" s="77"/>
    </row>
    <row r="110" spans="11:13" s="76" customFormat="1" ht="12.75" customHeight="1">
      <c r="K110" s="77"/>
      <c r="M110" s="77"/>
    </row>
    <row r="111" spans="11:13" s="76" customFormat="1" ht="12.75" customHeight="1">
      <c r="K111" s="77"/>
      <c r="M111" s="77"/>
    </row>
    <row r="112" spans="11:13" s="76" customFormat="1" ht="12.75" customHeight="1">
      <c r="K112" s="77"/>
      <c r="M112" s="77"/>
    </row>
    <row r="113" spans="11:13" s="76" customFormat="1" ht="12.75" customHeight="1">
      <c r="K113" s="77"/>
      <c r="M113" s="77"/>
    </row>
    <row r="114" spans="11:13" s="76" customFormat="1" ht="12.75" customHeight="1">
      <c r="K114" s="77"/>
      <c r="M114" s="77"/>
    </row>
    <row r="115" spans="11:13" s="76" customFormat="1" ht="12.75" customHeight="1">
      <c r="K115" s="77"/>
      <c r="M115" s="77"/>
    </row>
    <row r="116" spans="11:13" s="76" customFormat="1" ht="12.75" customHeight="1">
      <c r="K116" s="77"/>
      <c r="M116" s="77"/>
    </row>
    <row r="117" spans="11:13" s="76" customFormat="1" ht="12.75" customHeight="1">
      <c r="K117" s="77"/>
      <c r="M117" s="77"/>
    </row>
    <row r="118" spans="11:13" s="76" customFormat="1" ht="12.75" customHeight="1">
      <c r="K118" s="77"/>
      <c r="M118" s="77"/>
    </row>
    <row r="119" spans="11:13" s="76" customFormat="1" ht="12.75" customHeight="1">
      <c r="K119" s="77"/>
      <c r="M119" s="77"/>
    </row>
    <row r="120" spans="11:13" s="76" customFormat="1" ht="12.75" customHeight="1">
      <c r="K120" s="77"/>
      <c r="M120" s="77"/>
    </row>
    <row r="121" spans="11:13" s="76" customFormat="1" ht="12.75" customHeight="1">
      <c r="K121" s="77"/>
      <c r="M121" s="77"/>
    </row>
    <row r="122" spans="11:13" s="76" customFormat="1" ht="12.75" customHeight="1">
      <c r="K122" s="77"/>
      <c r="M122" s="77"/>
    </row>
    <row r="123" spans="11:13" s="76" customFormat="1" ht="12.75" customHeight="1">
      <c r="K123" s="77"/>
      <c r="M123" s="77"/>
    </row>
    <row r="124" spans="11:13" s="76" customFormat="1" ht="12.75" customHeight="1">
      <c r="K124" s="77"/>
      <c r="M124" s="77"/>
    </row>
    <row r="125" spans="11:13" s="76" customFormat="1" ht="12.75" customHeight="1">
      <c r="K125" s="77"/>
      <c r="M125" s="77"/>
    </row>
    <row r="126" spans="11:13" s="76" customFormat="1" ht="12.75" customHeight="1">
      <c r="K126" s="77"/>
      <c r="M126" s="77"/>
    </row>
    <row r="127" spans="11:13" s="76" customFormat="1" ht="12.75" customHeight="1">
      <c r="K127" s="77"/>
      <c r="M127" s="77"/>
    </row>
    <row r="128" spans="11:13" s="76" customFormat="1" ht="12.75" customHeight="1">
      <c r="K128" s="77"/>
      <c r="M128" s="77"/>
    </row>
    <row r="129" spans="11:13" s="76" customFormat="1" ht="12.75" customHeight="1">
      <c r="K129" s="77"/>
      <c r="M129" s="77"/>
    </row>
    <row r="130" spans="11:13" s="76" customFormat="1" ht="12.75" customHeight="1">
      <c r="K130" s="77"/>
      <c r="M130" s="77"/>
    </row>
    <row r="131" spans="11:13" s="76" customFormat="1" ht="12.75" customHeight="1">
      <c r="K131" s="77"/>
      <c r="M131" s="77"/>
    </row>
    <row r="132" spans="11:13" s="76" customFormat="1" ht="12.75" customHeight="1">
      <c r="K132" s="77"/>
      <c r="M132" s="77"/>
    </row>
    <row r="133" spans="11:13" s="76" customFormat="1" ht="12.75" customHeight="1">
      <c r="K133" s="77"/>
      <c r="M133" s="77"/>
    </row>
    <row r="134" spans="11:13" s="76" customFormat="1" ht="12.75" customHeight="1">
      <c r="K134" s="77"/>
      <c r="M134" s="77"/>
    </row>
    <row r="135" spans="11:13" s="76" customFormat="1" ht="12.75" customHeight="1">
      <c r="K135" s="77"/>
      <c r="M135" s="77"/>
    </row>
    <row r="136" spans="11:13" s="76" customFormat="1" ht="12.75" customHeight="1">
      <c r="K136" s="77"/>
      <c r="M136" s="77"/>
    </row>
    <row r="137" spans="11:13" s="76" customFormat="1" ht="12.75" customHeight="1">
      <c r="K137" s="77"/>
      <c r="M137" s="77"/>
    </row>
    <row r="138" spans="11:13" s="76" customFormat="1" ht="12.75" customHeight="1">
      <c r="K138" s="77"/>
      <c r="M138" s="77"/>
    </row>
    <row r="139" spans="11:13" s="76" customFormat="1" ht="12.75" customHeight="1">
      <c r="K139" s="77"/>
      <c r="M139" s="77"/>
    </row>
    <row r="140" spans="11:13" s="76" customFormat="1" ht="12.75" customHeight="1">
      <c r="K140" s="77"/>
      <c r="M140" s="77"/>
    </row>
    <row r="141" spans="11:13" s="76" customFormat="1" ht="12.75" customHeight="1">
      <c r="K141" s="77"/>
      <c r="M141" s="77"/>
    </row>
    <row r="142" spans="11:13" s="76" customFormat="1" ht="12.75" customHeight="1">
      <c r="K142" s="77"/>
      <c r="M142" s="77"/>
    </row>
    <row r="143" spans="11:13" s="76" customFormat="1" ht="12.75" customHeight="1">
      <c r="K143" s="77"/>
      <c r="M143" s="77"/>
    </row>
    <row r="144" spans="11:13" s="76" customFormat="1" ht="12.75" customHeight="1">
      <c r="K144" s="77"/>
      <c r="M144" s="77"/>
    </row>
    <row r="145" spans="11:13" s="76" customFormat="1" ht="12.75" customHeight="1">
      <c r="K145" s="77"/>
      <c r="M145" s="77"/>
    </row>
    <row r="146" spans="11:13" s="76" customFormat="1" ht="12.75" customHeight="1">
      <c r="K146" s="77"/>
      <c r="M146" s="77"/>
    </row>
    <row r="147" spans="11:13" s="76" customFormat="1" ht="12.75" customHeight="1">
      <c r="K147" s="77"/>
      <c r="M147" s="77"/>
    </row>
    <row r="148" spans="11:13" s="76" customFormat="1" ht="12.75" customHeight="1">
      <c r="K148" s="77"/>
      <c r="M148" s="77"/>
    </row>
    <row r="149" spans="11:13" s="76" customFormat="1" ht="12.75" customHeight="1">
      <c r="K149" s="77"/>
      <c r="M149" s="77"/>
    </row>
    <row r="150" spans="11:13" s="76" customFormat="1" ht="12.75" customHeight="1">
      <c r="K150" s="77"/>
      <c r="M150" s="77"/>
    </row>
    <row r="151" spans="11:13" s="76" customFormat="1" ht="12.75" customHeight="1">
      <c r="K151" s="77"/>
      <c r="M151" s="77"/>
    </row>
    <row r="152" spans="11:13" s="76" customFormat="1" ht="12.75" customHeight="1">
      <c r="K152" s="77"/>
      <c r="M152" s="77"/>
    </row>
    <row r="153" spans="11:13" s="76" customFormat="1" ht="12.75" customHeight="1">
      <c r="K153" s="77"/>
      <c r="M153" s="77"/>
    </row>
    <row r="154" spans="11:13" s="76" customFormat="1" ht="12.75" customHeight="1">
      <c r="K154" s="77"/>
      <c r="M154" s="77"/>
    </row>
    <row r="155" spans="11:13" s="76" customFormat="1" ht="12.75" customHeight="1">
      <c r="K155" s="77"/>
      <c r="M155" s="77"/>
    </row>
    <row r="156" spans="11:13" s="76" customFormat="1" ht="12.75" customHeight="1">
      <c r="K156" s="77"/>
      <c r="M156" s="77"/>
    </row>
    <row r="157" spans="11:13" s="76" customFormat="1" ht="12.75" customHeight="1">
      <c r="K157" s="77"/>
      <c r="M157" s="77"/>
    </row>
    <row r="158" spans="11:13" s="76" customFormat="1" ht="12.75" customHeight="1">
      <c r="K158" s="77"/>
      <c r="M158" s="77"/>
    </row>
    <row r="159" spans="11:13" s="76" customFormat="1" ht="12.75" customHeight="1">
      <c r="K159" s="77"/>
      <c r="M159" s="77"/>
    </row>
    <row r="160" spans="11:13" s="76" customFormat="1" ht="12.75" customHeight="1">
      <c r="K160" s="77"/>
      <c r="M160" s="77"/>
    </row>
    <row r="161" spans="11:13" s="76" customFormat="1" ht="12.75" customHeight="1">
      <c r="K161" s="77"/>
      <c r="M161" s="77"/>
    </row>
    <row r="162" spans="11:13" s="76" customFormat="1" ht="12.75" customHeight="1">
      <c r="K162" s="77"/>
      <c r="M162" s="77"/>
    </row>
    <row r="163" spans="11:13" s="76" customFormat="1" ht="12.75" customHeight="1">
      <c r="K163" s="77"/>
      <c r="M163" s="77"/>
    </row>
  </sheetData>
  <printOptions horizontalCentered="1"/>
  <pageMargins left="0.5" right="0.5" top="3" bottom="0.5" header="1.5" footer="0.5"/>
  <pageSetup fitToHeight="0" fitToWidth="2" orientation="landscape" pageOrder="overThenDown" scale="55" r:id="rId1"/>
  <headerFooter alignWithMargins="0">
    <oddHeader>&amp;C&amp;B
2022 RATE CASE
ONCOR ELECTRIC DELIVERY COMPANY LLC
II-B-10  PREPAYMENTS
TEST YEAR ENDING DECEMBER 31, 2021
SPONSOR: A. THENMADATHIL&amp;R&amp;"Arial,Bold"Schedule II-B-10
Page &amp;P of &amp;N</oddHeader>
  </headerFooter>
  <colBreaks count="1" manualBreakCount="1">
    <brk id="10" min="14" max="41" man="1"/>
  </colBreak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0">
    <tabColor rgb="FFFF0000"/>
  </sheetPr>
  <dimension ref="A1:X156"/>
  <sheetViews>
    <sheetView zoomScale="90" zoomScaleNormal="90" workbookViewId="0" topLeftCell="A1">
      <pane xSplit="4" ySplit="13" topLeftCell="E14" activePane="bottomRight" state="frozen"/>
      <selection pane="topLeft" activeCell="F16" sqref="F16"/>
      <selection pane="bottomLeft" activeCell="F16" sqref="F16"/>
      <selection pane="topRight" activeCell="F16" sqref="F16"/>
      <selection pane="bottomRight" activeCell="C27" sqref="C27"/>
    </sheetView>
  </sheetViews>
  <sheetFormatPr defaultColWidth="9.14428571428571" defaultRowHeight="12.75" customHeight="1"/>
  <cols>
    <col min="1" max="1" width="5.71428571428571" style="76" customWidth="1"/>
    <col min="2" max="2" width="14.1428571428571" style="78" customWidth="1"/>
    <col min="3" max="3" width="43.2857142857143" style="78" bestFit="1" customWidth="1"/>
    <col min="4" max="4" width="11.7142857142857" style="78" bestFit="1" customWidth="1"/>
    <col min="5" max="5" width="14" style="78" bestFit="1" customWidth="1"/>
    <col min="6" max="6" width="17" style="78" bestFit="1" customWidth="1"/>
    <col min="7" max="9" width="14" style="78" bestFit="1" customWidth="1"/>
    <col min="10" max="10" width="10.2857142857143" style="78" bestFit="1" customWidth="1"/>
    <col min="11" max="11" width="14" style="82" bestFit="1" customWidth="1"/>
    <col min="12" max="12" width="3.28571428571429" style="78" bestFit="1" customWidth="1"/>
    <col min="13" max="13" width="15" style="82" bestFit="1" customWidth="1"/>
    <col min="14" max="14" width="10.5714285714286" style="78" bestFit="1" customWidth="1"/>
    <col min="15" max="15" width="13.2857142857143" style="78" bestFit="1" customWidth="1"/>
    <col min="16" max="16" width="6.71428571428571" style="78" customWidth="1"/>
    <col min="17" max="17" width="13.2857142857143" style="78" bestFit="1" customWidth="1"/>
    <col min="18" max="18" width="12.8571428571429" style="78" bestFit="1" customWidth="1"/>
    <col min="19" max="19" width="7.71428571428571" style="78" customWidth="1"/>
    <col min="20" max="20" width="12.8571428571429" style="78" bestFit="1" customWidth="1"/>
    <col min="21" max="21" width="11.8571428571429" style="78" bestFit="1" customWidth="1"/>
    <col min="22" max="22" width="10.7142857142857" style="78" customWidth="1"/>
    <col min="23" max="23" width="13.4285714285714" style="78" bestFit="1" customWidth="1"/>
    <col min="24" max="16384" width="9.14285714285714" style="78"/>
  </cols>
  <sheetData>
    <row r="1" spans="1:1" ht="12.75" customHeight="1">
      <c r="A1" s="80" t="str">
        <f>+'[4]Input Data'!$A$9</f>
        <v>2022 RATE CASE</v>
      </c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106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Sponsors'!$A$23,'[4]Schedule Sponsors'!$B$23)</f>
        <v>II-B-11   OTHER RATE BASE ITEMS</v>
      </c>
      <c r="B3" s="6"/>
      <c r="D3" s="76"/>
      <c r="E3" s="76"/>
      <c r="F3" s="79"/>
      <c r="G3" s="76"/>
      <c r="H3" s="76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76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Sponsors'!$D$23)</f>
        <v>SPONSOR: A. THENMADATHIL &amp;&amp; W. ALAN LEDBETTER &amp;&amp; B. L. CLUTTER</v>
      </c>
      <c r="B5" s="6"/>
      <c r="D5" s="76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76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76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3:23" ht="12.75"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3" s="80" customFormat="1" ht="12.75">
      <c r="A10" s="13"/>
      <c r="B10" s="13"/>
      <c r="C10" s="13"/>
      <c r="D10" s="13"/>
      <c r="E10" s="13"/>
      <c r="F10" s="13"/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28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4" spans="2:23" s="76" customFormat="1" ht="12.75" customHeight="1">
      <c r="B14" s="83"/>
      <c r="C14" s="83"/>
      <c r="D14" s="83"/>
      <c r="E14" s="12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22" s="80" customFormat="1" ht="12.75">
      <c r="A15" s="77">
        <v>1</v>
      </c>
      <c r="B15" s="85" t="s">
        <v>101</v>
      </c>
      <c r="D15" s="86"/>
      <c r="E15" s="87"/>
      <c r="F15" s="87"/>
      <c r="G15" s="87"/>
      <c r="H15" s="87"/>
      <c r="I15" s="87"/>
      <c r="J15" s="87"/>
      <c r="K15" s="88"/>
      <c r="L15" s="87"/>
      <c r="M15" s="88"/>
      <c r="N15" s="87"/>
      <c r="O15" s="87"/>
      <c r="P15" s="87"/>
      <c r="Q15" s="87"/>
      <c r="R15" s="87"/>
      <c r="S15" s="87"/>
      <c r="T15" s="87"/>
      <c r="U15" s="87"/>
      <c r="V15" s="87"/>
    </row>
    <row r="16" spans="1:22" s="76" customFormat="1" ht="12.75">
      <c r="A16" s="77">
        <v>2</v>
      </c>
      <c r="B16" s="85"/>
      <c r="D16" s="39"/>
      <c r="E16" s="39"/>
      <c r="F16" s="39"/>
      <c r="G16" s="39"/>
      <c r="H16" s="39"/>
      <c r="I16" s="39"/>
      <c r="J16" s="39"/>
      <c r="K16" s="77"/>
      <c r="L16" s="39"/>
      <c r="M16" s="77"/>
      <c r="N16" s="39"/>
      <c r="O16" s="39"/>
      <c r="P16" s="39"/>
      <c r="Q16" s="39"/>
      <c r="R16" s="39"/>
      <c r="S16" s="39"/>
      <c r="T16" s="39"/>
      <c r="U16" s="39"/>
      <c r="V16" s="39"/>
    </row>
    <row r="17" spans="1:24" s="76" customFormat="1" ht="12.75">
      <c r="A17" s="77">
        <v>3</v>
      </c>
      <c r="B17" s="208" t="s">
        <v>276</v>
      </c>
      <c r="C17" s="209" t="s">
        <v>394</v>
      </c>
      <c r="D17" s="86" t="s">
        <v>433</v>
      </c>
      <c r="E17" s="190">
        <v>720667.52000000002</v>
      </c>
      <c r="F17" s="190">
        <v>0</v>
      </c>
      <c r="G17" s="190">
        <f>+E17-F17</f>
        <v>720667.52000000002</v>
      </c>
      <c r="H17" s="190">
        <v>0</v>
      </c>
      <c r="I17" s="190">
        <f>+G17+H17</f>
        <v>720667.52000000002</v>
      </c>
      <c r="J17" s="175">
        <v>1</v>
      </c>
      <c r="K17" s="190">
        <f>ROUND(+I17*J17,2)</f>
        <v>720667.52000000002</v>
      </c>
      <c r="L17" s="39"/>
      <c r="M17" s="77" t="s">
        <v>235</v>
      </c>
      <c r="N17" s="190">
        <f>+K17</f>
        <v>720667.52000000002</v>
      </c>
      <c r="O17" s="278">
        <v>0</v>
      </c>
      <c r="P17" s="278">
        <v>0</v>
      </c>
      <c r="Q17" s="278">
        <f>SUM(N17:P17)</f>
        <v>720667.52000000002</v>
      </c>
      <c r="R17" s="190">
        <v>0</v>
      </c>
      <c r="S17" s="278">
        <v>0</v>
      </c>
      <c r="T17" s="190">
        <f>SUM(R17:S17)</f>
        <v>0</v>
      </c>
      <c r="U17" s="190">
        <v>0</v>
      </c>
      <c r="V17" s="278">
        <v>0</v>
      </c>
      <c r="W17" s="279">
        <f>+Q17+T17+U17+V17</f>
        <v>720667.52000000002</v>
      </c>
      <c r="X17" s="76" t="b">
        <f>+K17=W17</f>
        <v>1</v>
      </c>
    </row>
    <row r="18" spans="1:24" s="76" customFormat="1" ht="12.75">
      <c r="A18" s="77">
        <v>4</v>
      </c>
      <c r="B18" s="208" t="s">
        <v>276</v>
      </c>
      <c r="C18" s="209" t="s">
        <v>395</v>
      </c>
      <c r="D18" s="86" t="s">
        <v>433</v>
      </c>
      <c r="E18" s="39">
        <v>-2266260.54</v>
      </c>
      <c r="F18" s="39">
        <v>0</v>
      </c>
      <c r="G18" s="39">
        <f t="shared" si="0" ref="G18:G24">+E18-F18</f>
        <v>-2266260.54</v>
      </c>
      <c r="H18" s="39">
        <v>0</v>
      </c>
      <c r="I18" s="39">
        <f t="shared" si="1" ref="I18:I24">+G18+H18</f>
        <v>-2266260.54</v>
      </c>
      <c r="J18" s="175">
        <v>1</v>
      </c>
      <c r="K18" s="252">
        <f t="shared" si="2" ref="K18:K24">ROUND(+I18*J18,2)</f>
        <v>-2266260.54</v>
      </c>
      <c r="L18" s="253"/>
      <c r="M18" s="77" t="s">
        <v>235</v>
      </c>
      <c r="N18" s="252">
        <v>0</v>
      </c>
      <c r="O18" s="252">
        <v>0</v>
      </c>
      <c r="P18" s="252">
        <v>0</v>
      </c>
      <c r="Q18" s="252">
        <f t="shared" si="3" ref="Q18:Q24">SUM(N18:P18)</f>
        <v>0</v>
      </c>
      <c r="R18" s="252">
        <f>+K18</f>
        <v>-2266260.54</v>
      </c>
      <c r="S18" s="252">
        <v>0</v>
      </c>
      <c r="T18" s="252">
        <f t="shared" si="4" ref="T18:T24">SUM(R18:S18)</f>
        <v>-2266260.54</v>
      </c>
      <c r="U18" s="252">
        <v>0</v>
      </c>
      <c r="V18" s="252">
        <v>0</v>
      </c>
      <c r="W18" s="252">
        <f t="shared" si="5" ref="W18:W24">+Q18+T18+U18+V18</f>
        <v>-2266260.54</v>
      </c>
      <c r="X18" s="76" t="b">
        <f>+K18=W18</f>
        <v>1</v>
      </c>
    </row>
    <row r="19" spans="1:24" s="76" customFormat="1" ht="12.75">
      <c r="A19" s="77">
        <v>5</v>
      </c>
      <c r="B19" s="208" t="s">
        <v>276</v>
      </c>
      <c r="C19" s="209" t="s">
        <v>396</v>
      </c>
      <c r="D19" s="86" t="s">
        <v>433</v>
      </c>
      <c r="E19" s="39">
        <v>23452667.34</v>
      </c>
      <c r="F19" s="39">
        <v>0</v>
      </c>
      <c r="G19" s="39">
        <f t="shared" si="0"/>
        <v>23452667.34</v>
      </c>
      <c r="H19" s="39">
        <v>0</v>
      </c>
      <c r="I19" s="39">
        <f t="shared" si="1"/>
        <v>23452667.34</v>
      </c>
      <c r="J19" s="175">
        <v>1</v>
      </c>
      <c r="K19" s="39">
        <f t="shared" si="6" ref="K19:K22">ROUND(+I19*J19,2)</f>
        <v>23452667.34</v>
      </c>
      <c r="L19" s="39"/>
      <c r="M19" s="77" t="s">
        <v>235</v>
      </c>
      <c r="N19" s="253">
        <v>0</v>
      </c>
      <c r="O19" s="253">
        <f>+K19</f>
        <v>23452667.34</v>
      </c>
      <c r="P19" s="253">
        <v>0</v>
      </c>
      <c r="Q19" s="253">
        <f t="shared" si="7" ref="Q19:Q22">SUM(N19:P19)</f>
        <v>23452667.34</v>
      </c>
      <c r="R19" s="253">
        <v>0</v>
      </c>
      <c r="S19" s="253">
        <v>0</v>
      </c>
      <c r="T19" s="253">
        <f t="shared" si="8" ref="T19:T22">SUM(R19:S19)</f>
        <v>0</v>
      </c>
      <c r="U19" s="253">
        <v>0</v>
      </c>
      <c r="V19" s="253">
        <v>0</v>
      </c>
      <c r="W19" s="253">
        <f t="shared" si="9" ref="W19:W22">+Q19+T19+U19+V19</f>
        <v>23452667.34</v>
      </c>
      <c r="X19" s="76" t="b">
        <f t="shared" si="10" ref="X19:X22">+K19=W19</f>
        <v>1</v>
      </c>
    </row>
    <row r="20" spans="1:24" s="76" customFormat="1" ht="12.75">
      <c r="A20" s="77">
        <v>6</v>
      </c>
      <c r="B20" s="208" t="s">
        <v>288</v>
      </c>
      <c r="C20" s="209" t="s">
        <v>289</v>
      </c>
      <c r="D20" s="86"/>
      <c r="E20" s="39">
        <v>6522877.5800000001</v>
      </c>
      <c r="F20" s="39">
        <f>+E20</f>
        <v>6522877.5800000001</v>
      </c>
      <c r="G20" s="39">
        <f t="shared" si="0"/>
        <v>0</v>
      </c>
      <c r="H20" s="39">
        <v>0</v>
      </c>
      <c r="I20" s="39">
        <f t="shared" si="1"/>
        <v>0</v>
      </c>
      <c r="J20" s="175">
        <v>1</v>
      </c>
      <c r="K20" s="39">
        <f t="shared" si="6"/>
        <v>0</v>
      </c>
      <c r="L20" s="39"/>
      <c r="M20" s="77" t="s">
        <v>235</v>
      </c>
      <c r="N20" s="253">
        <v>0</v>
      </c>
      <c r="O20" s="253">
        <v>0</v>
      </c>
      <c r="P20" s="253">
        <v>0</v>
      </c>
      <c r="Q20" s="253">
        <f t="shared" si="7"/>
        <v>0</v>
      </c>
      <c r="R20" s="253">
        <v>0</v>
      </c>
      <c r="S20" s="253">
        <v>0</v>
      </c>
      <c r="T20" s="253">
        <f t="shared" si="8"/>
        <v>0</v>
      </c>
      <c r="U20" s="253">
        <v>0</v>
      </c>
      <c r="V20" s="253">
        <v>0</v>
      </c>
      <c r="W20" s="253">
        <f t="shared" si="9"/>
        <v>0</v>
      </c>
      <c r="X20" s="76" t="b">
        <f t="shared" si="10"/>
        <v>1</v>
      </c>
    </row>
    <row r="21" spans="1:24" s="76" customFormat="1" ht="12.75">
      <c r="A21" s="77">
        <v>7</v>
      </c>
      <c r="B21" s="208" t="s">
        <v>498</v>
      </c>
      <c r="C21" s="209" t="s">
        <v>105</v>
      </c>
      <c r="D21" s="86" t="s">
        <v>433</v>
      </c>
      <c r="E21" s="39">
        <v>-43038947.859999999</v>
      </c>
      <c r="F21" s="39">
        <v>0</v>
      </c>
      <c r="G21" s="39">
        <f t="shared" si="0"/>
        <v>-43038947.859999999</v>
      </c>
      <c r="H21" s="39">
        <v>42876847.859999999</v>
      </c>
      <c r="I21" s="39">
        <f t="shared" si="1"/>
        <v>-162100</v>
      </c>
      <c r="J21" s="175">
        <v>1</v>
      </c>
      <c r="K21" s="39">
        <f t="shared" si="6"/>
        <v>-162100</v>
      </c>
      <c r="L21" s="39"/>
      <c r="M21" s="77" t="s">
        <v>235</v>
      </c>
      <c r="N21" s="253">
        <v>0</v>
      </c>
      <c r="O21" s="253">
        <v>0</v>
      </c>
      <c r="P21" s="253">
        <v>0</v>
      </c>
      <c r="Q21" s="253">
        <f t="shared" si="7"/>
        <v>0</v>
      </c>
      <c r="R21" s="253">
        <f>+K21</f>
        <v>-162100</v>
      </c>
      <c r="S21" s="253">
        <v>0</v>
      </c>
      <c r="T21" s="253">
        <f t="shared" si="8"/>
        <v>-162100</v>
      </c>
      <c r="U21" s="253">
        <v>0</v>
      </c>
      <c r="V21" s="253">
        <v>0</v>
      </c>
      <c r="W21" s="253">
        <f t="shared" si="9"/>
        <v>-162100</v>
      </c>
      <c r="X21" s="76" t="b">
        <f t="shared" si="10"/>
        <v>1</v>
      </c>
    </row>
    <row r="22" spans="1:24" s="76" customFormat="1" ht="12.75">
      <c r="A22" s="77">
        <v>8</v>
      </c>
      <c r="B22" s="208" t="s">
        <v>312</v>
      </c>
      <c r="C22" s="209" t="s">
        <v>313</v>
      </c>
      <c r="D22" s="86"/>
      <c r="E22" s="39">
        <v>-668323.90000000002</v>
      </c>
      <c r="F22" s="39">
        <v>0</v>
      </c>
      <c r="G22" s="39">
        <f t="shared" si="0"/>
        <v>-668323.90000000002</v>
      </c>
      <c r="H22" s="39">
        <v>0</v>
      </c>
      <c r="I22" s="39">
        <f t="shared" si="1"/>
        <v>-668323.90000000002</v>
      </c>
      <c r="J22" s="175">
        <v>1</v>
      </c>
      <c r="K22" s="39">
        <f t="shared" si="6"/>
        <v>-668323.90000000002</v>
      </c>
      <c r="L22" s="39"/>
      <c r="M22" s="77" t="s">
        <v>235</v>
      </c>
      <c r="N22" s="253">
        <v>0</v>
      </c>
      <c r="O22" s="253">
        <v>0</v>
      </c>
      <c r="P22" s="253">
        <v>0</v>
      </c>
      <c r="Q22" s="253">
        <f t="shared" si="7"/>
        <v>0</v>
      </c>
      <c r="R22" s="253">
        <v>0</v>
      </c>
      <c r="S22" s="253">
        <v>0</v>
      </c>
      <c r="T22" s="253">
        <f t="shared" si="8"/>
        <v>0</v>
      </c>
      <c r="U22" s="253">
        <f>+K22</f>
        <v>-668323.90000000002</v>
      </c>
      <c r="V22" s="253">
        <v>0</v>
      </c>
      <c r="W22" s="253">
        <f t="shared" si="9"/>
        <v>-668323.90000000002</v>
      </c>
      <c r="X22" s="76" t="b">
        <f t="shared" si="10"/>
        <v>1</v>
      </c>
    </row>
    <row r="23" spans="1:24" s="76" customFormat="1" ht="12.75">
      <c r="A23" s="77">
        <v>9</v>
      </c>
      <c r="E23" s="39"/>
      <c r="F23" s="39">
        <v>0</v>
      </c>
      <c r="G23" s="39">
        <f t="shared" si="0"/>
        <v>0</v>
      </c>
      <c r="H23" s="39">
        <v>0</v>
      </c>
      <c r="I23" s="39">
        <f t="shared" si="1"/>
        <v>0</v>
      </c>
      <c r="J23" s="175">
        <v>1</v>
      </c>
      <c r="K23" s="39">
        <f t="shared" si="2"/>
        <v>0</v>
      </c>
      <c r="L23" s="39"/>
      <c r="M23" s="77"/>
      <c r="N23" s="253">
        <v>0</v>
      </c>
      <c r="O23" s="253">
        <v>0</v>
      </c>
      <c r="P23" s="253">
        <v>0</v>
      </c>
      <c r="Q23" s="253">
        <f t="shared" si="3"/>
        <v>0</v>
      </c>
      <c r="R23" s="253">
        <v>0</v>
      </c>
      <c r="S23" s="253">
        <v>0</v>
      </c>
      <c r="T23" s="253">
        <f t="shared" si="4"/>
        <v>0</v>
      </c>
      <c r="U23" s="253">
        <v>0</v>
      </c>
      <c r="V23" s="253">
        <v>0</v>
      </c>
      <c r="W23" s="253">
        <f t="shared" si="5"/>
        <v>0</v>
      </c>
      <c r="X23" s="76" t="b">
        <f>+K23=W23</f>
        <v>1</v>
      </c>
    </row>
    <row r="24" spans="1:24" s="76" customFormat="1" ht="12.75">
      <c r="A24" s="77">
        <v>10</v>
      </c>
      <c r="B24" s="209"/>
      <c r="C24" s="209"/>
      <c r="E24" s="39"/>
      <c r="F24" s="39">
        <v>0</v>
      </c>
      <c r="G24" s="39">
        <f t="shared" si="0"/>
        <v>0</v>
      </c>
      <c r="H24" s="39">
        <v>0</v>
      </c>
      <c r="I24" s="39">
        <f t="shared" si="1"/>
        <v>0</v>
      </c>
      <c r="J24" s="175">
        <v>1</v>
      </c>
      <c r="K24" s="39">
        <f t="shared" si="2"/>
        <v>0</v>
      </c>
      <c r="L24" s="39"/>
      <c r="M24" s="77"/>
      <c r="N24" s="253">
        <v>0</v>
      </c>
      <c r="O24" s="253">
        <v>0</v>
      </c>
      <c r="P24" s="253">
        <v>0</v>
      </c>
      <c r="Q24" s="253">
        <f t="shared" si="3"/>
        <v>0</v>
      </c>
      <c r="R24" s="253">
        <v>0</v>
      </c>
      <c r="S24" s="253">
        <v>0</v>
      </c>
      <c r="T24" s="253">
        <f t="shared" si="4"/>
        <v>0</v>
      </c>
      <c r="U24" s="253">
        <f>+K24</f>
        <v>0</v>
      </c>
      <c r="V24" s="253">
        <v>0</v>
      </c>
      <c r="W24" s="253">
        <f t="shared" si="5"/>
        <v>0</v>
      </c>
      <c r="X24" s="76" t="b">
        <f>+K24=W24</f>
        <v>1</v>
      </c>
    </row>
    <row r="25" spans="1:23" s="76" customFormat="1" ht="12.75">
      <c r="A25" s="77">
        <v>11</v>
      </c>
      <c r="D25" s="86"/>
      <c r="E25" s="160"/>
      <c r="F25" s="160"/>
      <c r="G25" s="160"/>
      <c r="H25" s="160"/>
      <c r="I25" s="160"/>
      <c r="J25" s="39"/>
      <c r="K25" s="160"/>
      <c r="L25" s="39"/>
      <c r="M25" s="77"/>
      <c r="N25" s="160"/>
      <c r="O25" s="160"/>
      <c r="P25" s="160"/>
      <c r="Q25" s="160"/>
      <c r="R25" s="160"/>
      <c r="S25" s="160"/>
      <c r="T25" s="160"/>
      <c r="U25" s="160"/>
      <c r="V25" s="160"/>
      <c r="W25" s="160"/>
    </row>
    <row r="26" spans="1:24" s="80" customFormat="1" ht="12.75">
      <c r="A26" s="77">
        <v>12</v>
      </c>
      <c r="C26" s="90"/>
      <c r="D26" s="87" t="s">
        <v>40</v>
      </c>
      <c r="E26" s="243">
        <f>SUM(E17:E24)</f>
        <v>-15277319.860000001</v>
      </c>
      <c r="F26" s="243">
        <f t="shared" si="11" ref="F26:I26">SUM(F17:F24)</f>
        <v>6522877.5800000001</v>
      </c>
      <c r="G26" s="243">
        <f t="shared" si="11"/>
        <v>-21800197.439999998</v>
      </c>
      <c r="H26" s="243">
        <f t="shared" si="11"/>
        <v>42876847.859999999</v>
      </c>
      <c r="I26" s="243">
        <f t="shared" si="11"/>
        <v>21076650.420000002</v>
      </c>
      <c r="J26" s="244"/>
      <c r="K26" s="243">
        <f>SUM(K17:K24)</f>
        <v>21076650.420000002</v>
      </c>
      <c r="L26" s="244"/>
      <c r="M26" s="245"/>
      <c r="N26" s="243">
        <f>SUM(N17:N24)</f>
        <v>720667.52000000002</v>
      </c>
      <c r="O26" s="243">
        <f t="shared" si="12" ref="O26:W26">SUM(O17:O24)</f>
        <v>23452667.34</v>
      </c>
      <c r="P26" s="243">
        <f t="shared" si="13" ref="P26">SUM(P17:P24)</f>
        <v>0</v>
      </c>
      <c r="Q26" s="243">
        <f t="shared" si="12"/>
        <v>24173334.859999999</v>
      </c>
      <c r="R26" s="243">
        <f t="shared" si="12"/>
        <v>-2428360.54</v>
      </c>
      <c r="S26" s="243">
        <f t="shared" si="12"/>
        <v>0</v>
      </c>
      <c r="T26" s="243">
        <f t="shared" si="12"/>
        <v>-2428360.54</v>
      </c>
      <c r="U26" s="243">
        <f t="shared" si="12"/>
        <v>-668323.90000000002</v>
      </c>
      <c r="V26" s="243">
        <f t="shared" si="12"/>
        <v>0</v>
      </c>
      <c r="W26" s="243">
        <f t="shared" si="12"/>
        <v>21076650.420000002</v>
      </c>
      <c r="X26" s="76" t="b">
        <f>+K26=W26</f>
        <v>1</v>
      </c>
    </row>
    <row r="27" spans="1:23" s="76" customFormat="1" ht="13.5" customHeight="1">
      <c r="A27" s="77">
        <v>13</v>
      </c>
      <c r="D27" s="39"/>
      <c r="E27" s="246"/>
      <c r="F27" s="246"/>
      <c r="G27" s="246"/>
      <c r="H27" s="246"/>
      <c r="I27" s="246"/>
      <c r="J27" s="246"/>
      <c r="K27" s="247"/>
      <c r="L27" s="246"/>
      <c r="M27" s="247"/>
      <c r="N27" s="246"/>
      <c r="O27" s="246"/>
      <c r="P27" s="246"/>
      <c r="Q27" s="246"/>
      <c r="R27" s="246"/>
      <c r="S27" s="246"/>
      <c r="T27" s="246"/>
      <c r="U27" s="246"/>
      <c r="V27" s="246"/>
      <c r="W27" s="248"/>
    </row>
    <row r="28" spans="1:23" s="80" customFormat="1" ht="12.75">
      <c r="A28" s="77">
        <v>14</v>
      </c>
      <c r="C28" s="90"/>
      <c r="D28" s="86"/>
      <c r="E28" s="244"/>
      <c r="F28" s="244"/>
      <c r="G28" s="244"/>
      <c r="H28" s="244"/>
      <c r="I28" s="244"/>
      <c r="J28" s="244"/>
      <c r="K28" s="249"/>
      <c r="L28" s="244"/>
      <c r="M28" s="245"/>
      <c r="N28" s="244"/>
      <c r="O28" s="244"/>
      <c r="P28" s="244"/>
      <c r="Q28" s="244"/>
      <c r="R28" s="244"/>
      <c r="S28" s="244"/>
      <c r="T28" s="244"/>
      <c r="U28" s="244"/>
      <c r="V28" s="244"/>
      <c r="W28" s="244"/>
    </row>
    <row r="29" spans="1:23" s="76" customFormat="1" ht="13.5" customHeight="1">
      <c r="A29" s="77">
        <v>15</v>
      </c>
      <c r="D29" s="39"/>
      <c r="E29" s="246"/>
      <c r="F29" s="246"/>
      <c r="G29" s="246"/>
      <c r="H29" s="246"/>
      <c r="I29" s="246"/>
      <c r="J29" s="246"/>
      <c r="K29" s="247"/>
      <c r="L29" s="246"/>
      <c r="M29" s="247"/>
      <c r="N29" s="246"/>
      <c r="O29" s="246"/>
      <c r="P29" s="246"/>
      <c r="Q29" s="246"/>
      <c r="R29" s="246"/>
      <c r="S29" s="246"/>
      <c r="T29" s="246"/>
      <c r="U29" s="246"/>
      <c r="V29" s="246"/>
      <c r="W29" s="248"/>
    </row>
    <row r="30" spans="1:24" s="80" customFormat="1" ht="12.75" customHeight="1">
      <c r="A30" s="77">
        <v>16</v>
      </c>
      <c r="B30" s="101" t="s">
        <v>108</v>
      </c>
      <c r="D30" s="86" t="s">
        <v>169</v>
      </c>
      <c r="E30" s="243">
        <f>+E26</f>
        <v>-15277319.860000001</v>
      </c>
      <c r="F30" s="243">
        <f>+F26</f>
        <v>6522877.5800000001</v>
      </c>
      <c r="G30" s="243">
        <f>+G26</f>
        <v>-21800197.439999998</v>
      </c>
      <c r="H30" s="243">
        <f>+H26</f>
        <v>42876847.859999999</v>
      </c>
      <c r="I30" s="243">
        <f>+I26</f>
        <v>21076650.420000002</v>
      </c>
      <c r="J30" s="243"/>
      <c r="K30" s="243">
        <f>+K26</f>
        <v>21076650.420000002</v>
      </c>
      <c r="L30" s="243"/>
      <c r="M30" s="243"/>
      <c r="N30" s="243">
        <f>+N26</f>
        <v>720667.52000000002</v>
      </c>
      <c r="O30" s="243">
        <f t="shared" si="14" ref="O30:W30">+O26</f>
        <v>23452667.34</v>
      </c>
      <c r="P30" s="243">
        <f t="shared" si="15" ref="P30">+P26</f>
        <v>0</v>
      </c>
      <c r="Q30" s="243">
        <f t="shared" si="14"/>
        <v>24173334.859999999</v>
      </c>
      <c r="R30" s="243">
        <f t="shared" si="14"/>
        <v>-2428360.54</v>
      </c>
      <c r="S30" s="243">
        <f t="shared" si="14"/>
        <v>0</v>
      </c>
      <c r="T30" s="243">
        <f t="shared" si="14"/>
        <v>-2428360.54</v>
      </c>
      <c r="U30" s="243">
        <f t="shared" si="14"/>
        <v>-668323.90000000002</v>
      </c>
      <c r="V30" s="243">
        <f t="shared" si="14"/>
        <v>0</v>
      </c>
      <c r="W30" s="243">
        <f t="shared" si="14"/>
        <v>21076650.420000002</v>
      </c>
      <c r="X30" s="76" t="b">
        <f>+K30=W30</f>
        <v>1</v>
      </c>
    </row>
    <row r="31" spans="2:23" s="76" customFormat="1" ht="12.75" customHeight="1">
      <c r="B31" s="93"/>
      <c r="D31" s="39"/>
      <c r="E31" s="39"/>
      <c r="F31" s="39"/>
      <c r="G31" s="39"/>
      <c r="H31" s="39"/>
      <c r="I31" s="39"/>
      <c r="J31" s="39"/>
      <c r="K31" s="77"/>
      <c r="L31" s="39"/>
      <c r="M31" s="81"/>
      <c r="N31" s="39"/>
      <c r="O31" s="39"/>
      <c r="P31" s="39"/>
      <c r="Q31" s="39"/>
      <c r="R31" s="92"/>
      <c r="S31" s="92"/>
      <c r="T31" s="92"/>
      <c r="U31" s="92"/>
      <c r="V31" s="92"/>
      <c r="W31" s="92"/>
    </row>
    <row r="32" spans="2:22" s="76" customFormat="1" ht="12.75" customHeight="1">
      <c r="B32" s="93"/>
      <c r="D32" s="39"/>
      <c r="E32" s="39"/>
      <c r="F32" s="39"/>
      <c r="G32" s="39"/>
      <c r="H32" s="39"/>
      <c r="I32" s="39"/>
      <c r="J32" s="39"/>
      <c r="K32" s="77"/>
      <c r="L32" s="39"/>
      <c r="M32" s="77"/>
      <c r="N32" s="39"/>
      <c r="O32" s="39"/>
      <c r="P32" s="39"/>
      <c r="Q32" s="39"/>
      <c r="R32" s="39"/>
      <c r="S32" s="39"/>
      <c r="T32" s="39"/>
      <c r="U32" s="39"/>
      <c r="V32" s="39"/>
    </row>
    <row r="33" spans="3:23" s="76" customFormat="1" ht="12.75" customHeight="1">
      <c r="C33" s="94"/>
      <c r="D33" s="39"/>
      <c r="E33" s="39"/>
      <c r="F33" s="39"/>
      <c r="G33" s="39"/>
      <c r="H33" s="39"/>
      <c r="I33" s="39"/>
      <c r="J33" s="39"/>
      <c r="K33" s="77"/>
      <c r="L33" s="39"/>
      <c r="M33" s="81"/>
      <c r="N33" s="39"/>
      <c r="O33" s="39"/>
      <c r="P33" s="39"/>
      <c r="Q33" s="39"/>
      <c r="R33" s="92"/>
      <c r="S33" s="92"/>
      <c r="T33" s="92"/>
      <c r="U33" s="92"/>
      <c r="V33" s="92"/>
      <c r="W33" s="92"/>
    </row>
    <row r="35" spans="3:23" s="76" customFormat="1" ht="12.75" customHeight="1">
      <c r="C35" s="94"/>
      <c r="D35" s="39"/>
      <c r="E35" s="39"/>
      <c r="F35" s="39"/>
      <c r="G35" s="39"/>
      <c r="H35" s="39"/>
      <c r="I35" s="39"/>
      <c r="J35" s="39"/>
      <c r="K35" s="77"/>
      <c r="L35" s="39"/>
      <c r="M35" s="77"/>
      <c r="N35" s="39"/>
      <c r="O35" s="39"/>
      <c r="P35" s="39"/>
      <c r="Q35" s="39"/>
      <c r="R35" s="92"/>
      <c r="S35" s="92"/>
      <c r="T35" s="92"/>
      <c r="U35" s="92"/>
      <c r="V35" s="92"/>
      <c r="W35" s="92"/>
    </row>
    <row r="36" spans="3:23" s="76" customFormat="1" ht="12.75" customHeight="1">
      <c r="C36" s="94"/>
      <c r="D36" s="39"/>
      <c r="E36" s="39"/>
      <c r="F36" s="39"/>
      <c r="G36" s="39"/>
      <c r="H36" s="39"/>
      <c r="I36" s="39"/>
      <c r="J36" s="39"/>
      <c r="K36" s="77"/>
      <c r="L36" s="39"/>
      <c r="M36" s="77"/>
      <c r="N36" s="39"/>
      <c r="O36" s="39"/>
      <c r="P36" s="39"/>
      <c r="Q36" s="39"/>
      <c r="R36" s="92"/>
      <c r="S36" s="92"/>
      <c r="T36" s="92"/>
      <c r="U36" s="92"/>
      <c r="V36" s="92"/>
      <c r="W36" s="92"/>
    </row>
    <row r="37" spans="3:23" s="76" customFormat="1" ht="12.75" customHeight="1">
      <c r="C37" s="94"/>
      <c r="D37" s="39"/>
      <c r="E37" s="39"/>
      <c r="F37" s="39"/>
      <c r="G37" s="39"/>
      <c r="H37" s="39"/>
      <c r="I37" s="39"/>
      <c r="J37" s="39"/>
      <c r="K37" s="77"/>
      <c r="L37" s="39"/>
      <c r="M37" s="81"/>
      <c r="N37" s="39"/>
      <c r="O37" s="39"/>
      <c r="P37" s="39"/>
      <c r="Q37" s="39"/>
      <c r="R37" s="92"/>
      <c r="S37" s="92"/>
      <c r="T37" s="92"/>
      <c r="U37" s="92"/>
      <c r="V37" s="92"/>
      <c r="W37" s="92"/>
    </row>
    <row r="38" spans="3:23" s="80" customFormat="1" ht="12.75" customHeight="1">
      <c r="C38" s="90"/>
      <c r="D38" s="87"/>
      <c r="E38" s="87"/>
      <c r="F38" s="87"/>
      <c r="G38" s="87"/>
      <c r="H38" s="87"/>
      <c r="I38" s="87"/>
      <c r="J38" s="87"/>
      <c r="K38" s="88"/>
      <c r="L38" s="87"/>
      <c r="M38" s="95"/>
      <c r="N38" s="87"/>
      <c r="O38" s="87"/>
      <c r="P38" s="87"/>
      <c r="Q38" s="87"/>
      <c r="R38" s="87"/>
      <c r="S38" s="87"/>
      <c r="T38" s="87"/>
      <c r="U38" s="87"/>
      <c r="V38" s="87"/>
      <c r="W38" s="87"/>
    </row>
    <row r="39" spans="3:23" s="76" customFormat="1" ht="12.75" customHeight="1">
      <c r="C39" s="94"/>
      <c r="D39" s="39"/>
      <c r="E39" s="39"/>
      <c r="F39" s="39"/>
      <c r="G39" s="39"/>
      <c r="H39" s="39"/>
      <c r="I39" s="39"/>
      <c r="J39" s="39"/>
      <c r="K39" s="77"/>
      <c r="L39" s="39"/>
      <c r="M39" s="81"/>
      <c r="N39" s="39"/>
      <c r="O39" s="39"/>
      <c r="P39" s="39"/>
      <c r="Q39" s="39"/>
      <c r="R39" s="92"/>
      <c r="S39" s="92"/>
      <c r="T39" s="92"/>
      <c r="U39" s="92"/>
      <c r="V39" s="92"/>
      <c r="W39" s="92"/>
    </row>
    <row r="40" spans="3:23" s="76" customFormat="1" ht="12.75" customHeight="1">
      <c r="C40" s="91"/>
      <c r="D40" s="39"/>
      <c r="E40" s="39"/>
      <c r="F40" s="39"/>
      <c r="G40" s="39"/>
      <c r="H40" s="39"/>
      <c r="I40" s="39"/>
      <c r="J40" s="39"/>
      <c r="K40" s="77"/>
      <c r="L40" s="39"/>
      <c r="M40" s="77"/>
      <c r="N40" s="39"/>
      <c r="O40" s="39"/>
      <c r="P40" s="39"/>
      <c r="Q40" s="39"/>
      <c r="R40" s="92"/>
      <c r="S40" s="92"/>
      <c r="T40" s="92"/>
      <c r="U40" s="92"/>
      <c r="V40" s="92"/>
      <c r="W40" s="92"/>
    </row>
    <row r="41" spans="3:23" s="76" customFormat="1" ht="12.75" customHeight="1">
      <c r="C41" s="91"/>
      <c r="D41" s="39"/>
      <c r="E41" s="39"/>
      <c r="F41" s="39"/>
      <c r="G41" s="39"/>
      <c r="H41" s="39"/>
      <c r="I41" s="39"/>
      <c r="J41" s="39"/>
      <c r="K41" s="77"/>
      <c r="L41" s="39"/>
      <c r="M41" s="77"/>
      <c r="N41" s="39"/>
      <c r="O41" s="39"/>
      <c r="P41" s="39"/>
      <c r="Q41" s="39"/>
      <c r="R41" s="92"/>
      <c r="S41" s="92"/>
      <c r="T41" s="92"/>
      <c r="U41" s="92"/>
      <c r="V41" s="92"/>
      <c r="W41" s="92"/>
    </row>
    <row r="42" spans="4:23" s="76" customFormat="1" ht="12.75" customHeight="1">
      <c r="D42" s="39"/>
      <c r="E42" s="39"/>
      <c r="F42" s="39"/>
      <c r="G42" s="39"/>
      <c r="H42" s="39"/>
      <c r="I42" s="39"/>
      <c r="J42" s="39"/>
      <c r="K42" s="77"/>
      <c r="L42" s="39"/>
      <c r="M42" s="77"/>
      <c r="N42" s="39"/>
      <c r="O42" s="39"/>
      <c r="P42" s="39"/>
      <c r="Q42" s="39"/>
      <c r="R42" s="92"/>
      <c r="S42" s="92"/>
      <c r="T42" s="92"/>
      <c r="U42" s="92"/>
      <c r="V42" s="92"/>
      <c r="W42" s="92"/>
    </row>
    <row r="43" spans="3:23" s="80" customFormat="1" ht="12.75" customHeight="1">
      <c r="C43" s="90"/>
      <c r="D43" s="87"/>
      <c r="E43" s="87"/>
      <c r="F43" s="87"/>
      <c r="G43" s="87"/>
      <c r="H43" s="87"/>
      <c r="I43" s="87"/>
      <c r="J43" s="87"/>
      <c r="K43" s="88"/>
      <c r="L43" s="87"/>
      <c r="M43" s="88"/>
      <c r="N43" s="87"/>
      <c r="O43" s="87"/>
      <c r="P43" s="87"/>
      <c r="Q43" s="87"/>
      <c r="R43" s="87"/>
      <c r="S43" s="87"/>
      <c r="T43" s="87"/>
      <c r="U43" s="87"/>
      <c r="V43" s="87"/>
      <c r="W43" s="87"/>
    </row>
    <row r="44" spans="3:23" s="76" customFormat="1" ht="12.75" customHeight="1">
      <c r="C44" s="90"/>
      <c r="D44" s="39"/>
      <c r="E44" s="39"/>
      <c r="F44" s="39"/>
      <c r="G44" s="39"/>
      <c r="H44" s="39"/>
      <c r="I44" s="39"/>
      <c r="J44" s="39"/>
      <c r="K44" s="77"/>
      <c r="L44" s="39"/>
      <c r="M44" s="77"/>
      <c r="N44" s="39"/>
      <c r="O44" s="39"/>
      <c r="P44" s="39"/>
      <c r="Q44" s="39"/>
      <c r="R44" s="39"/>
      <c r="S44" s="39"/>
      <c r="T44" s="39"/>
      <c r="U44" s="39"/>
      <c r="V44" s="39"/>
      <c r="W44" s="39"/>
    </row>
    <row r="45" spans="3:23" s="76" customFormat="1" ht="12.75" customHeight="1">
      <c r="C45" s="90"/>
      <c r="D45" s="39"/>
      <c r="E45" s="39"/>
      <c r="F45" s="39"/>
      <c r="G45" s="39"/>
      <c r="H45" s="39"/>
      <c r="I45" s="39"/>
      <c r="J45" s="39"/>
      <c r="K45" s="77"/>
      <c r="L45" s="39"/>
      <c r="M45" s="77"/>
      <c r="N45" s="39"/>
      <c r="O45" s="39"/>
      <c r="P45" s="39"/>
      <c r="Q45" s="39"/>
      <c r="R45" s="39"/>
      <c r="S45" s="39"/>
      <c r="T45" s="39"/>
      <c r="U45" s="39"/>
      <c r="V45" s="39"/>
      <c r="W45" s="39"/>
    </row>
    <row r="46" spans="4:22" s="76" customFormat="1" ht="12.75" customHeight="1">
      <c r="D46" s="39"/>
      <c r="E46" s="39"/>
      <c r="F46" s="39"/>
      <c r="G46" s="39"/>
      <c r="H46" s="39"/>
      <c r="I46" s="39"/>
      <c r="J46" s="39"/>
      <c r="K46" s="77"/>
      <c r="L46" s="39"/>
      <c r="M46" s="77"/>
      <c r="N46" s="39"/>
      <c r="O46" s="39"/>
      <c r="P46" s="39"/>
      <c r="Q46" s="39"/>
      <c r="R46" s="39"/>
      <c r="S46" s="39"/>
      <c r="T46" s="39"/>
      <c r="U46" s="39"/>
      <c r="V46" s="39"/>
    </row>
    <row r="47" spans="2:22" s="80" customFormat="1" ht="12.75" customHeight="1">
      <c r="B47" s="96"/>
      <c r="D47" s="87"/>
      <c r="E47" s="87"/>
      <c r="F47" s="87"/>
      <c r="G47" s="87"/>
      <c r="H47" s="87"/>
      <c r="I47" s="87"/>
      <c r="J47" s="87"/>
      <c r="K47" s="88"/>
      <c r="L47" s="87"/>
      <c r="M47" s="88"/>
      <c r="N47" s="87"/>
      <c r="O47" s="87"/>
      <c r="P47" s="87"/>
      <c r="Q47" s="87"/>
      <c r="R47" s="87"/>
      <c r="S47" s="87"/>
      <c r="T47" s="87"/>
      <c r="U47" s="87"/>
      <c r="V47" s="87"/>
    </row>
    <row r="48" spans="5:23" s="76" customFormat="1" ht="12.75" customHeight="1">
      <c r="E48" s="39"/>
      <c r="F48" s="39"/>
      <c r="G48" s="39"/>
      <c r="H48" s="39"/>
      <c r="I48" s="39"/>
      <c r="J48" s="39"/>
      <c r="K48" s="77"/>
      <c r="L48" s="39"/>
      <c r="M48" s="77"/>
      <c r="N48" s="39"/>
      <c r="O48" s="39"/>
      <c r="P48" s="39"/>
      <c r="Q48" s="39"/>
      <c r="R48" s="92"/>
      <c r="S48" s="92"/>
      <c r="T48" s="92"/>
      <c r="U48" s="92"/>
      <c r="V48" s="92"/>
      <c r="W48" s="92"/>
    </row>
    <row r="49" spans="4:22" s="76" customFormat="1" ht="12.75" customHeight="1">
      <c r="D49" s="39"/>
      <c r="E49" s="39"/>
      <c r="F49" s="39"/>
      <c r="G49" s="39"/>
      <c r="H49" s="39"/>
      <c r="I49" s="39"/>
      <c r="J49" s="39"/>
      <c r="K49" s="77"/>
      <c r="L49" s="39"/>
      <c r="M49" s="77"/>
      <c r="N49" s="39"/>
      <c r="O49" s="39"/>
      <c r="P49" s="39"/>
      <c r="Q49" s="39"/>
      <c r="R49" s="39"/>
      <c r="S49" s="39"/>
      <c r="T49" s="39"/>
      <c r="U49" s="39"/>
      <c r="V49" s="39"/>
    </row>
    <row r="50" spans="4:23" s="76" customFormat="1" ht="12.75" customHeight="1">
      <c r="D50" s="87"/>
      <c r="E50" s="39"/>
      <c r="F50" s="39"/>
      <c r="G50" s="39"/>
      <c r="H50" s="39"/>
      <c r="I50" s="39"/>
      <c r="J50" s="39"/>
      <c r="K50" s="77"/>
      <c r="L50" s="39"/>
      <c r="M50" s="77"/>
      <c r="N50" s="39"/>
      <c r="O50" s="39"/>
      <c r="P50" s="39"/>
      <c r="Q50" s="39"/>
      <c r="R50" s="19"/>
      <c r="S50" s="19"/>
      <c r="T50" s="19"/>
      <c r="U50" s="19"/>
      <c r="V50" s="19"/>
      <c r="W50" s="19"/>
    </row>
    <row r="51" spans="4:23" s="76" customFormat="1" ht="12.75" customHeight="1">
      <c r="D51" s="39"/>
      <c r="E51" s="39"/>
      <c r="F51" s="39"/>
      <c r="G51" s="39"/>
      <c r="H51" s="39"/>
      <c r="I51" s="39"/>
      <c r="J51" s="39"/>
      <c r="K51" s="77"/>
      <c r="L51" s="39"/>
      <c r="M51" s="77"/>
      <c r="N51" s="39"/>
      <c r="O51" s="39"/>
      <c r="P51" s="39"/>
      <c r="Q51" s="39"/>
      <c r="R51" s="19"/>
      <c r="S51" s="19"/>
      <c r="T51" s="19"/>
      <c r="U51" s="19"/>
      <c r="V51" s="19"/>
      <c r="W51" s="19"/>
    </row>
    <row r="52" spans="3:23" s="80" customFormat="1" ht="12.75" customHeight="1">
      <c r="C52" s="90"/>
      <c r="D52" s="87"/>
      <c r="E52" s="87"/>
      <c r="F52" s="87"/>
      <c r="G52" s="87"/>
      <c r="H52" s="87"/>
      <c r="I52" s="87"/>
      <c r="J52" s="87"/>
      <c r="K52" s="88"/>
      <c r="L52" s="87"/>
      <c r="M52" s="88"/>
      <c r="N52" s="87"/>
      <c r="O52" s="87"/>
      <c r="P52" s="87"/>
      <c r="Q52" s="87"/>
      <c r="R52" s="87"/>
      <c r="S52" s="87"/>
      <c r="T52" s="87"/>
      <c r="U52" s="87"/>
      <c r="V52" s="87"/>
      <c r="W52" s="87"/>
    </row>
    <row r="53" spans="4:22" s="76" customFormat="1" ht="12.75" customHeight="1">
      <c r="D53" s="39"/>
      <c r="E53" s="39"/>
      <c r="F53" s="39"/>
      <c r="G53" s="39"/>
      <c r="H53" s="39"/>
      <c r="I53" s="39"/>
      <c r="J53" s="39"/>
      <c r="K53" s="77"/>
      <c r="L53" s="39"/>
      <c r="M53" s="77"/>
      <c r="N53" s="39"/>
      <c r="O53" s="39"/>
      <c r="P53" s="39"/>
      <c r="Q53" s="39"/>
      <c r="R53" s="39"/>
      <c r="S53" s="39"/>
      <c r="T53" s="39"/>
      <c r="U53" s="39"/>
      <c r="V53" s="39"/>
    </row>
    <row r="54" spans="3:22" s="80" customFormat="1" ht="12.75" customHeight="1">
      <c r="C54" s="96"/>
      <c r="D54" s="87"/>
      <c r="E54" s="87"/>
      <c r="F54" s="97"/>
      <c r="G54" s="87"/>
      <c r="H54" s="87"/>
      <c r="I54" s="87"/>
      <c r="J54" s="87"/>
      <c r="K54" s="88"/>
      <c r="L54" s="87"/>
      <c r="M54" s="98"/>
      <c r="N54" s="87"/>
      <c r="O54" s="87"/>
      <c r="P54" s="87"/>
      <c r="Q54" s="87"/>
      <c r="R54" s="87"/>
      <c r="S54" s="87"/>
      <c r="T54" s="87"/>
      <c r="U54" s="87"/>
      <c r="V54" s="87"/>
    </row>
    <row r="55" spans="4:23" s="76" customFormat="1" ht="12.75" customHeight="1">
      <c r="D55" s="99"/>
      <c r="E55" s="39"/>
      <c r="F55" s="39"/>
      <c r="G55" s="39"/>
      <c r="H55" s="39"/>
      <c r="I55" s="39"/>
      <c r="J55" s="39"/>
      <c r="K55" s="77"/>
      <c r="L55" s="39"/>
      <c r="M55" s="77"/>
      <c r="N55" s="39"/>
      <c r="O55" s="39"/>
      <c r="P55" s="39"/>
      <c r="Q55" s="39"/>
      <c r="R55" s="92"/>
      <c r="S55" s="92"/>
      <c r="T55" s="92"/>
      <c r="U55" s="92"/>
      <c r="V55" s="92"/>
      <c r="W55" s="92"/>
    </row>
    <row r="56" spans="4:23" s="76" customFormat="1" ht="12.75" customHeight="1">
      <c r="D56" s="99"/>
      <c r="E56" s="39"/>
      <c r="F56" s="39"/>
      <c r="G56" s="39"/>
      <c r="H56" s="39"/>
      <c r="I56" s="39"/>
      <c r="J56" s="39"/>
      <c r="K56" s="77"/>
      <c r="L56" s="39"/>
      <c r="M56" s="77"/>
      <c r="N56" s="39"/>
      <c r="O56" s="39"/>
      <c r="P56" s="39"/>
      <c r="Q56" s="39"/>
      <c r="R56" s="92"/>
      <c r="S56" s="92"/>
      <c r="T56" s="92"/>
      <c r="U56" s="92"/>
      <c r="V56" s="92"/>
      <c r="W56" s="92"/>
    </row>
    <row r="57" spans="4:23" s="76" customFormat="1" ht="12.75" customHeight="1">
      <c r="D57" s="99"/>
      <c r="E57" s="39"/>
      <c r="F57" s="39"/>
      <c r="G57" s="39"/>
      <c r="H57" s="39"/>
      <c r="I57" s="39"/>
      <c r="J57" s="39"/>
      <c r="K57" s="77"/>
      <c r="L57" s="39"/>
      <c r="M57" s="77"/>
      <c r="N57" s="39"/>
      <c r="O57" s="39"/>
      <c r="P57" s="39"/>
      <c r="Q57" s="39"/>
      <c r="R57" s="92"/>
      <c r="S57" s="92"/>
      <c r="T57" s="92"/>
      <c r="U57" s="92"/>
      <c r="V57" s="92"/>
      <c r="W57" s="92"/>
    </row>
    <row r="58" spans="4:23" s="76" customFormat="1" ht="12.75" customHeight="1">
      <c r="D58" s="99"/>
      <c r="E58" s="39"/>
      <c r="F58" s="39"/>
      <c r="G58" s="39"/>
      <c r="H58" s="39"/>
      <c r="I58" s="39"/>
      <c r="J58" s="39"/>
      <c r="K58" s="77"/>
      <c r="L58" s="39"/>
      <c r="M58" s="77"/>
      <c r="N58" s="39"/>
      <c r="O58" s="39"/>
      <c r="P58" s="39"/>
      <c r="Q58" s="39"/>
      <c r="R58" s="92"/>
      <c r="S58" s="92"/>
      <c r="T58" s="92"/>
      <c r="U58" s="92"/>
      <c r="V58" s="92"/>
      <c r="W58" s="92"/>
    </row>
    <row r="59" spans="4:23" s="76" customFormat="1" ht="12.75" customHeight="1">
      <c r="D59" s="99"/>
      <c r="E59" s="39"/>
      <c r="F59" s="39"/>
      <c r="G59" s="39"/>
      <c r="H59" s="39"/>
      <c r="I59" s="39"/>
      <c r="J59" s="39"/>
      <c r="K59" s="77"/>
      <c r="L59" s="39"/>
      <c r="M59" s="77"/>
      <c r="N59" s="39"/>
      <c r="O59" s="39"/>
      <c r="P59" s="39"/>
      <c r="Q59" s="39"/>
      <c r="R59" s="92"/>
      <c r="S59" s="92"/>
      <c r="T59" s="92"/>
      <c r="U59" s="92"/>
      <c r="V59" s="92"/>
      <c r="W59" s="92"/>
    </row>
    <row r="60" spans="4:23" s="76" customFormat="1" ht="12.75" customHeight="1">
      <c r="D60" s="99"/>
      <c r="E60" s="39"/>
      <c r="F60" s="39"/>
      <c r="G60" s="39"/>
      <c r="H60" s="39"/>
      <c r="I60" s="39"/>
      <c r="J60" s="39"/>
      <c r="K60" s="77"/>
      <c r="L60" s="39"/>
      <c r="M60" s="77"/>
      <c r="N60" s="39"/>
      <c r="O60" s="39"/>
      <c r="P60" s="39"/>
      <c r="Q60" s="39"/>
      <c r="R60" s="92"/>
      <c r="S60" s="92"/>
      <c r="T60" s="92"/>
      <c r="U60" s="92"/>
      <c r="V60" s="92"/>
      <c r="W60" s="92"/>
    </row>
    <row r="61" spans="4:23" s="76" customFormat="1" ht="12.75" customHeight="1">
      <c r="D61" s="99"/>
      <c r="E61" s="39"/>
      <c r="F61" s="39"/>
      <c r="G61" s="39"/>
      <c r="H61" s="39"/>
      <c r="I61" s="39"/>
      <c r="J61" s="39"/>
      <c r="K61" s="77"/>
      <c r="L61" s="39"/>
      <c r="M61" s="77"/>
      <c r="N61" s="39"/>
      <c r="O61" s="39"/>
      <c r="P61" s="39"/>
      <c r="Q61" s="39"/>
      <c r="R61" s="19"/>
      <c r="S61" s="19"/>
      <c r="T61" s="19"/>
      <c r="U61" s="19"/>
      <c r="V61" s="19"/>
      <c r="W61" s="19"/>
    </row>
    <row r="62" spans="4:23" s="76" customFormat="1" ht="12.75" customHeight="1">
      <c r="D62" s="99"/>
      <c r="E62" s="39"/>
      <c r="F62" s="39"/>
      <c r="G62" s="39"/>
      <c r="H62" s="39"/>
      <c r="I62" s="39"/>
      <c r="J62" s="39"/>
      <c r="K62" s="77"/>
      <c r="L62" s="39"/>
      <c r="M62" s="77"/>
      <c r="N62" s="39"/>
      <c r="O62" s="39"/>
      <c r="P62" s="39"/>
      <c r="Q62" s="39"/>
      <c r="R62" s="92"/>
      <c r="S62" s="92"/>
      <c r="T62" s="92"/>
      <c r="U62" s="92"/>
      <c r="V62" s="92"/>
      <c r="W62" s="92"/>
    </row>
    <row r="63" spans="4:23" s="76" customFormat="1" ht="12.75" customHeight="1">
      <c r="D63" s="99"/>
      <c r="E63" s="39"/>
      <c r="F63" s="39"/>
      <c r="G63" s="39"/>
      <c r="H63" s="39"/>
      <c r="I63" s="39"/>
      <c r="J63" s="39"/>
      <c r="K63" s="77"/>
      <c r="L63" s="39"/>
      <c r="M63" s="77"/>
      <c r="N63" s="39"/>
      <c r="O63" s="39"/>
      <c r="P63" s="39"/>
      <c r="Q63" s="39"/>
      <c r="R63" s="92"/>
      <c r="S63" s="92"/>
      <c r="T63" s="92"/>
      <c r="U63" s="92"/>
      <c r="V63" s="92"/>
      <c r="W63" s="92"/>
    </row>
    <row r="64" spans="4:23" s="76" customFormat="1" ht="12.75" customHeight="1">
      <c r="D64" s="99"/>
      <c r="E64" s="39"/>
      <c r="F64" s="39"/>
      <c r="G64" s="39"/>
      <c r="H64" s="39"/>
      <c r="I64" s="39"/>
      <c r="J64" s="39"/>
      <c r="K64" s="77"/>
      <c r="L64" s="39"/>
      <c r="M64" s="77"/>
      <c r="N64" s="39"/>
      <c r="O64" s="39"/>
      <c r="P64" s="39"/>
      <c r="Q64" s="39"/>
      <c r="R64" s="92"/>
      <c r="S64" s="92"/>
      <c r="T64" s="92"/>
      <c r="U64" s="92"/>
      <c r="V64" s="92"/>
      <c r="W64" s="92"/>
    </row>
    <row r="65" spans="3:24" s="80" customFormat="1" ht="12.75" customHeight="1">
      <c r="C65" s="90"/>
      <c r="D65" s="97"/>
      <c r="E65" s="87"/>
      <c r="F65" s="87"/>
      <c r="G65" s="87"/>
      <c r="H65" s="87"/>
      <c r="I65" s="87"/>
      <c r="J65" s="87"/>
      <c r="K65" s="98"/>
      <c r="L65" s="87"/>
      <c r="M65" s="88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76"/>
    </row>
    <row r="66" spans="3:22" s="76" customFormat="1" ht="12.75" customHeight="1">
      <c r="C66" s="91"/>
      <c r="D66" s="99"/>
      <c r="E66" s="39"/>
      <c r="F66" s="39"/>
      <c r="G66" s="39"/>
      <c r="H66" s="39"/>
      <c r="I66" s="39"/>
      <c r="J66" s="39"/>
      <c r="K66" s="100"/>
      <c r="L66" s="39"/>
      <c r="M66" s="77"/>
      <c r="N66" s="39"/>
      <c r="O66" s="39"/>
      <c r="P66" s="39"/>
      <c r="Q66" s="39"/>
      <c r="R66" s="39"/>
      <c r="S66" s="39"/>
      <c r="T66" s="39"/>
      <c r="U66" s="39"/>
      <c r="V66" s="39"/>
    </row>
    <row r="67" spans="2:24" s="80" customFormat="1" ht="12.75" customHeight="1">
      <c r="B67" s="101"/>
      <c r="D67" s="97"/>
      <c r="E67" s="87"/>
      <c r="F67" s="87"/>
      <c r="G67" s="87"/>
      <c r="H67" s="87"/>
      <c r="I67" s="87"/>
      <c r="J67" s="87"/>
      <c r="K67" s="98"/>
      <c r="L67" s="87"/>
      <c r="M67" s="88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76"/>
    </row>
    <row r="68" spans="3:23" s="76" customFormat="1" ht="12.75" customHeight="1">
      <c r="C68" s="90"/>
      <c r="D68" s="99"/>
      <c r="E68" s="39"/>
      <c r="F68" s="39"/>
      <c r="G68" s="39"/>
      <c r="H68" s="39"/>
      <c r="I68" s="39"/>
      <c r="J68" s="39"/>
      <c r="K68" s="100"/>
      <c r="L68" s="39"/>
      <c r="M68" s="88"/>
      <c r="N68" s="39"/>
      <c r="O68" s="39"/>
      <c r="P68" s="39"/>
      <c r="Q68" s="39"/>
      <c r="R68" s="39"/>
      <c r="S68" s="39"/>
      <c r="T68" s="39"/>
      <c r="U68" s="39"/>
      <c r="V68" s="39"/>
      <c r="W68" s="39"/>
    </row>
    <row r="69" spans="3:23" s="80" customFormat="1" ht="12.75" customHeight="1">
      <c r="C69" s="90"/>
      <c r="D69" s="87"/>
      <c r="E69" s="87"/>
      <c r="F69" s="87"/>
      <c r="G69" s="87"/>
      <c r="H69" s="87"/>
      <c r="I69" s="87"/>
      <c r="J69" s="87"/>
      <c r="K69" s="98"/>
      <c r="L69" s="87"/>
      <c r="M69" s="88"/>
      <c r="N69" s="87"/>
      <c r="O69" s="87"/>
      <c r="P69" s="87"/>
      <c r="Q69" s="87"/>
      <c r="R69" s="87"/>
      <c r="S69" s="87"/>
      <c r="T69" s="87"/>
      <c r="U69" s="87"/>
      <c r="V69" s="87"/>
      <c r="W69" s="87"/>
    </row>
    <row r="70" spans="3:22" s="80" customFormat="1" ht="12.75" customHeight="1">
      <c r="C70" s="90"/>
      <c r="D70" s="97"/>
      <c r="E70" s="87"/>
      <c r="F70" s="87"/>
      <c r="G70" s="87"/>
      <c r="H70" s="87"/>
      <c r="I70" s="87"/>
      <c r="J70" s="87"/>
      <c r="K70" s="98"/>
      <c r="L70" s="87"/>
      <c r="M70" s="88"/>
      <c r="N70" s="87"/>
      <c r="O70" s="87"/>
      <c r="P70" s="87"/>
      <c r="Q70" s="87"/>
      <c r="R70" s="87"/>
      <c r="S70" s="87"/>
      <c r="T70" s="87"/>
      <c r="U70" s="87"/>
      <c r="V70" s="87"/>
    </row>
    <row r="71" spans="3:23" s="80" customFormat="1" ht="12.75" customHeight="1">
      <c r="C71" s="90"/>
      <c r="D71" s="87"/>
      <c r="E71" s="87"/>
      <c r="F71" s="87"/>
      <c r="G71" s="87"/>
      <c r="H71" s="87"/>
      <c r="I71" s="87"/>
      <c r="J71" s="87"/>
      <c r="K71" s="98"/>
      <c r="L71" s="87"/>
      <c r="M71" s="88"/>
      <c r="N71" s="87"/>
      <c r="O71" s="87"/>
      <c r="P71" s="87"/>
      <c r="Q71" s="87"/>
      <c r="R71" s="102"/>
      <c r="S71" s="102"/>
      <c r="T71" s="102"/>
      <c r="U71" s="102"/>
      <c r="V71" s="102"/>
      <c r="W71" s="102"/>
    </row>
    <row r="72" spans="3:22" s="80" customFormat="1" ht="12.75" customHeight="1">
      <c r="C72" s="90"/>
      <c r="D72" s="97"/>
      <c r="E72" s="87"/>
      <c r="F72" s="87"/>
      <c r="G72" s="87"/>
      <c r="H72" s="87"/>
      <c r="I72" s="87"/>
      <c r="J72" s="87"/>
      <c r="K72" s="98"/>
      <c r="L72" s="87"/>
      <c r="M72" s="88"/>
      <c r="N72" s="87"/>
      <c r="O72" s="87"/>
      <c r="P72" s="87"/>
      <c r="Q72" s="87"/>
      <c r="R72" s="87"/>
      <c r="S72" s="87"/>
      <c r="T72" s="87"/>
      <c r="U72" s="87"/>
      <c r="V72" s="87"/>
    </row>
    <row r="73" spans="2:23" s="80" customFormat="1" ht="12.75" customHeight="1">
      <c r="B73" s="85"/>
      <c r="C73" s="90"/>
      <c r="D73" s="97"/>
      <c r="E73" s="87"/>
      <c r="F73" s="87"/>
      <c r="G73" s="87"/>
      <c r="H73" s="87"/>
      <c r="I73" s="87"/>
      <c r="J73" s="87"/>
      <c r="K73" s="98"/>
      <c r="L73" s="87"/>
      <c r="M73" s="88"/>
      <c r="N73" s="87"/>
      <c r="O73" s="87"/>
      <c r="P73" s="87"/>
      <c r="Q73" s="87"/>
      <c r="R73" s="87"/>
      <c r="S73" s="87"/>
      <c r="T73" s="87"/>
      <c r="U73" s="87"/>
      <c r="V73" s="87"/>
      <c r="W73" s="87"/>
    </row>
    <row r="74" spans="3:22" s="76" customFormat="1" ht="12.75" customHeight="1">
      <c r="C74" s="90"/>
      <c r="D74" s="99"/>
      <c r="E74" s="39"/>
      <c r="F74" s="39"/>
      <c r="G74" s="39"/>
      <c r="H74" s="39"/>
      <c r="I74" s="39"/>
      <c r="J74" s="39"/>
      <c r="K74" s="100"/>
      <c r="L74" s="39"/>
      <c r="M74" s="88"/>
      <c r="N74" s="39"/>
      <c r="O74" s="39"/>
      <c r="P74" s="39"/>
      <c r="Q74" s="39"/>
      <c r="R74" s="39"/>
      <c r="S74" s="39"/>
      <c r="T74" s="39"/>
      <c r="U74" s="39"/>
      <c r="V74" s="39"/>
    </row>
    <row r="75" spans="3:23" s="76" customFormat="1" ht="12.75" customHeight="1">
      <c r="C75" s="90"/>
      <c r="D75" s="99"/>
      <c r="E75" s="39"/>
      <c r="F75" s="39"/>
      <c r="G75" s="39"/>
      <c r="H75" s="39"/>
      <c r="I75" s="39"/>
      <c r="J75" s="39"/>
      <c r="K75" s="77"/>
      <c r="L75" s="39"/>
      <c r="M75" s="77"/>
      <c r="N75" s="39"/>
      <c r="O75" s="39"/>
      <c r="P75" s="39"/>
      <c r="Q75" s="39"/>
      <c r="R75" s="92"/>
      <c r="S75" s="92"/>
      <c r="T75" s="92"/>
      <c r="U75" s="92"/>
      <c r="V75" s="92"/>
      <c r="W75" s="92"/>
    </row>
    <row r="76" spans="3:23" s="76" customFormat="1" ht="12.75" customHeight="1">
      <c r="C76" s="90"/>
      <c r="D76" s="99"/>
      <c r="E76" s="39"/>
      <c r="F76" s="39"/>
      <c r="G76" s="39"/>
      <c r="H76" s="39"/>
      <c r="I76" s="39"/>
      <c r="J76" s="39"/>
      <c r="K76" s="77"/>
      <c r="L76" s="39"/>
      <c r="M76" s="77"/>
      <c r="N76" s="39"/>
      <c r="O76" s="39"/>
      <c r="P76" s="39"/>
      <c r="Q76" s="39"/>
      <c r="R76" s="92"/>
      <c r="S76" s="92"/>
      <c r="T76" s="92"/>
      <c r="U76" s="92"/>
      <c r="V76" s="92"/>
      <c r="W76" s="92"/>
    </row>
    <row r="77" spans="3:22" s="76" customFormat="1" ht="12.75" customHeight="1">
      <c r="C77" s="90"/>
      <c r="D77" s="99"/>
      <c r="E77" s="39"/>
      <c r="F77" s="39"/>
      <c r="G77" s="39"/>
      <c r="H77" s="39"/>
      <c r="I77" s="39"/>
      <c r="J77" s="39"/>
      <c r="K77" s="100"/>
      <c r="L77" s="39"/>
      <c r="M77" s="88"/>
      <c r="N77" s="39"/>
      <c r="O77" s="39"/>
      <c r="P77" s="39"/>
      <c r="Q77" s="39"/>
      <c r="R77" s="39"/>
      <c r="S77" s="39"/>
      <c r="T77" s="39"/>
      <c r="U77" s="39"/>
      <c r="V77" s="39"/>
    </row>
    <row r="78" spans="3:23" s="76" customFormat="1" ht="12.75" customHeight="1">
      <c r="C78" s="103"/>
      <c r="D78" s="99"/>
      <c r="E78" s="39"/>
      <c r="F78" s="39"/>
      <c r="G78" s="39"/>
      <c r="H78" s="39"/>
      <c r="I78" s="39"/>
      <c r="J78" s="39"/>
      <c r="K78" s="77"/>
      <c r="L78" s="39"/>
      <c r="M78" s="77"/>
      <c r="N78" s="39"/>
      <c r="O78" s="39"/>
      <c r="P78" s="39"/>
      <c r="Q78" s="39"/>
      <c r="R78" s="92"/>
      <c r="S78" s="92"/>
      <c r="T78" s="92"/>
      <c r="U78" s="92"/>
      <c r="V78" s="92"/>
      <c r="W78" s="92"/>
    </row>
    <row r="79" spans="3:23" s="76" customFormat="1" ht="12.75" customHeight="1">
      <c r="C79" s="104"/>
      <c r="D79" s="99"/>
      <c r="E79" s="39"/>
      <c r="F79" s="39"/>
      <c r="G79" s="39"/>
      <c r="H79" s="39"/>
      <c r="I79" s="39"/>
      <c r="J79" s="39"/>
      <c r="K79" s="77"/>
      <c r="L79" s="39"/>
      <c r="M79" s="77"/>
      <c r="N79" s="39"/>
      <c r="O79" s="39"/>
      <c r="P79" s="39"/>
      <c r="Q79" s="39"/>
      <c r="R79" s="92"/>
      <c r="S79" s="92"/>
      <c r="T79" s="92"/>
      <c r="U79" s="92"/>
      <c r="V79" s="92"/>
      <c r="W79" s="92"/>
    </row>
    <row r="80" spans="11:13" s="76" customFormat="1" ht="12.75" customHeight="1">
      <c r="K80" s="77"/>
      <c r="M80" s="77"/>
    </row>
    <row r="81" spans="11:13" s="76" customFormat="1" ht="12.75" customHeight="1">
      <c r="K81" s="77"/>
      <c r="M81" s="77"/>
    </row>
    <row r="82" spans="11:13" s="76" customFormat="1" ht="12.75" customHeight="1">
      <c r="K82" s="77"/>
      <c r="M82" s="77"/>
    </row>
    <row r="83" spans="11:13" s="76" customFormat="1" ht="12.75" customHeight="1">
      <c r="K83" s="77"/>
      <c r="M83" s="77"/>
    </row>
    <row r="84" spans="11:13" s="76" customFormat="1" ht="12.75" customHeight="1">
      <c r="K84" s="77"/>
      <c r="M84" s="77"/>
    </row>
    <row r="85" spans="11:13" s="76" customFormat="1" ht="12.75" customHeight="1">
      <c r="K85" s="77"/>
      <c r="M85" s="77"/>
    </row>
    <row r="86" spans="11:13" s="76" customFormat="1" ht="12.75" customHeight="1">
      <c r="K86" s="77"/>
      <c r="M86" s="77"/>
    </row>
    <row r="87" spans="11:13" s="76" customFormat="1" ht="12.75" customHeight="1">
      <c r="K87" s="77"/>
      <c r="M87" s="77"/>
    </row>
    <row r="88" spans="11:13" s="76" customFormat="1" ht="12.75" customHeight="1">
      <c r="K88" s="77"/>
      <c r="M88" s="77"/>
    </row>
    <row r="89" spans="11:13" s="76" customFormat="1" ht="12.75" customHeight="1">
      <c r="K89" s="77"/>
      <c r="M89" s="77"/>
    </row>
    <row r="90" spans="11:13" s="76" customFormat="1" ht="12.75" customHeight="1">
      <c r="K90" s="77"/>
      <c r="M90" s="77"/>
    </row>
    <row r="91" spans="11:13" s="76" customFormat="1" ht="12.75" customHeight="1">
      <c r="K91" s="77"/>
      <c r="M91" s="77"/>
    </row>
    <row r="92" spans="11:13" s="76" customFormat="1" ht="12.75" customHeight="1">
      <c r="K92" s="77"/>
      <c r="M92" s="77"/>
    </row>
    <row r="93" spans="11:13" s="76" customFormat="1" ht="12.75" customHeight="1">
      <c r="K93" s="77"/>
      <c r="M93" s="77"/>
    </row>
    <row r="94" spans="11:13" s="76" customFormat="1" ht="12.75" customHeight="1">
      <c r="K94" s="77"/>
      <c r="M94" s="77"/>
    </row>
    <row r="95" spans="11:13" s="76" customFormat="1" ht="12.75" customHeight="1">
      <c r="K95" s="77"/>
      <c r="M95" s="77"/>
    </row>
    <row r="96" spans="11:13" s="76" customFormat="1" ht="12.75" customHeight="1">
      <c r="K96" s="77"/>
      <c r="M96" s="77"/>
    </row>
    <row r="97" spans="11:13" s="76" customFormat="1" ht="12.75" customHeight="1">
      <c r="K97" s="77"/>
      <c r="M97" s="77"/>
    </row>
    <row r="98" spans="11:13" s="76" customFormat="1" ht="12.75" customHeight="1">
      <c r="K98" s="77"/>
      <c r="M98" s="77"/>
    </row>
    <row r="99" spans="11:13" s="76" customFormat="1" ht="12.75" customHeight="1">
      <c r="K99" s="77"/>
      <c r="M99" s="77"/>
    </row>
    <row r="100" spans="11:13" s="76" customFormat="1" ht="12.75" customHeight="1">
      <c r="K100" s="77"/>
      <c r="M100" s="77"/>
    </row>
    <row r="101" spans="11:13" s="76" customFormat="1" ht="12.75" customHeight="1">
      <c r="K101" s="77"/>
      <c r="M101" s="77"/>
    </row>
    <row r="102" spans="11:13" s="76" customFormat="1" ht="12.75" customHeight="1">
      <c r="K102" s="77"/>
      <c r="M102" s="77"/>
    </row>
    <row r="103" spans="11:13" s="76" customFormat="1" ht="12.75" customHeight="1">
      <c r="K103" s="77"/>
      <c r="M103" s="77"/>
    </row>
    <row r="104" spans="11:13" s="76" customFormat="1" ht="12.75" customHeight="1">
      <c r="K104" s="77"/>
      <c r="M104" s="77"/>
    </row>
    <row r="105" spans="11:13" s="76" customFormat="1" ht="12.75" customHeight="1">
      <c r="K105" s="77"/>
      <c r="M105" s="77"/>
    </row>
    <row r="106" spans="11:13" s="76" customFormat="1" ht="12.75" customHeight="1">
      <c r="K106" s="77"/>
      <c r="M106" s="77"/>
    </row>
    <row r="107" spans="11:13" s="76" customFormat="1" ht="12.75" customHeight="1">
      <c r="K107" s="77"/>
      <c r="M107" s="77"/>
    </row>
    <row r="108" spans="11:13" s="76" customFormat="1" ht="12.75" customHeight="1">
      <c r="K108" s="77"/>
      <c r="M108" s="77"/>
    </row>
    <row r="109" spans="11:13" s="76" customFormat="1" ht="12.75" customHeight="1">
      <c r="K109" s="77"/>
      <c r="M109" s="77"/>
    </row>
    <row r="110" spans="11:13" s="76" customFormat="1" ht="12.75" customHeight="1">
      <c r="K110" s="77"/>
      <c r="M110" s="77"/>
    </row>
    <row r="111" spans="11:13" s="76" customFormat="1" ht="12.75" customHeight="1">
      <c r="K111" s="77"/>
      <c r="M111" s="77"/>
    </row>
    <row r="112" spans="11:13" s="76" customFormat="1" ht="12.75" customHeight="1">
      <c r="K112" s="77"/>
      <c r="M112" s="77"/>
    </row>
    <row r="113" spans="11:13" s="76" customFormat="1" ht="12.75" customHeight="1">
      <c r="K113" s="77"/>
      <c r="M113" s="77"/>
    </row>
    <row r="114" spans="11:13" s="76" customFormat="1" ht="12.75" customHeight="1">
      <c r="K114" s="77"/>
      <c r="M114" s="77"/>
    </row>
    <row r="115" spans="11:13" s="76" customFormat="1" ht="12.75" customHeight="1">
      <c r="K115" s="77"/>
      <c r="M115" s="77"/>
    </row>
    <row r="116" spans="11:13" s="76" customFormat="1" ht="12.75" customHeight="1">
      <c r="K116" s="77"/>
      <c r="M116" s="77"/>
    </row>
    <row r="117" spans="11:13" s="76" customFormat="1" ht="12.75" customHeight="1">
      <c r="K117" s="77"/>
      <c r="M117" s="77"/>
    </row>
    <row r="118" spans="11:13" s="76" customFormat="1" ht="12.75" customHeight="1">
      <c r="K118" s="77"/>
      <c r="M118" s="77"/>
    </row>
    <row r="119" spans="11:13" s="76" customFormat="1" ht="12.75" customHeight="1">
      <c r="K119" s="77"/>
      <c r="M119" s="77"/>
    </row>
    <row r="120" spans="11:13" s="76" customFormat="1" ht="12.75" customHeight="1">
      <c r="K120" s="77"/>
      <c r="M120" s="77"/>
    </row>
    <row r="121" spans="11:13" s="76" customFormat="1" ht="12.75" customHeight="1">
      <c r="K121" s="77"/>
      <c r="M121" s="77"/>
    </row>
    <row r="122" spans="11:13" s="76" customFormat="1" ht="12.75" customHeight="1">
      <c r="K122" s="77"/>
      <c r="M122" s="77"/>
    </row>
    <row r="123" spans="11:13" s="76" customFormat="1" ht="12.75" customHeight="1">
      <c r="K123" s="77"/>
      <c r="M123" s="77"/>
    </row>
    <row r="124" spans="11:13" s="76" customFormat="1" ht="12.75" customHeight="1">
      <c r="K124" s="77"/>
      <c r="M124" s="77"/>
    </row>
    <row r="125" spans="11:13" s="76" customFormat="1" ht="12.75" customHeight="1">
      <c r="K125" s="77"/>
      <c r="M125" s="77"/>
    </row>
    <row r="126" spans="11:13" s="76" customFormat="1" ht="12.75" customHeight="1">
      <c r="K126" s="77"/>
      <c r="M126" s="77"/>
    </row>
    <row r="127" spans="11:13" s="76" customFormat="1" ht="12.75" customHeight="1">
      <c r="K127" s="77"/>
      <c r="M127" s="77"/>
    </row>
    <row r="128" spans="11:13" s="76" customFormat="1" ht="12.75" customHeight="1">
      <c r="K128" s="77"/>
      <c r="M128" s="77"/>
    </row>
    <row r="129" spans="11:13" s="76" customFormat="1" ht="12.75" customHeight="1">
      <c r="K129" s="77"/>
      <c r="M129" s="77"/>
    </row>
    <row r="130" spans="11:13" s="76" customFormat="1" ht="12.75" customHeight="1">
      <c r="K130" s="77"/>
      <c r="M130" s="77"/>
    </row>
    <row r="131" spans="11:13" s="76" customFormat="1" ht="12.75" customHeight="1">
      <c r="K131" s="77"/>
      <c r="M131" s="77"/>
    </row>
    <row r="132" spans="11:13" s="76" customFormat="1" ht="12.75" customHeight="1">
      <c r="K132" s="77"/>
      <c r="M132" s="77"/>
    </row>
    <row r="133" spans="11:13" s="76" customFormat="1" ht="12.75" customHeight="1">
      <c r="K133" s="77"/>
      <c r="M133" s="77"/>
    </row>
    <row r="134" spans="11:13" s="76" customFormat="1" ht="12.75" customHeight="1">
      <c r="K134" s="77"/>
      <c r="M134" s="77"/>
    </row>
    <row r="135" spans="11:13" s="76" customFormat="1" ht="12.75" customHeight="1">
      <c r="K135" s="77"/>
      <c r="M135" s="77"/>
    </row>
    <row r="136" spans="11:13" s="76" customFormat="1" ht="12.75" customHeight="1">
      <c r="K136" s="77"/>
      <c r="M136" s="77"/>
    </row>
    <row r="137" spans="11:13" s="76" customFormat="1" ht="12.75" customHeight="1">
      <c r="K137" s="77"/>
      <c r="M137" s="77"/>
    </row>
    <row r="138" spans="11:13" s="76" customFormat="1" ht="12.75" customHeight="1">
      <c r="K138" s="77"/>
      <c r="M138" s="77"/>
    </row>
    <row r="139" spans="11:13" s="76" customFormat="1" ht="12.75" customHeight="1">
      <c r="K139" s="77"/>
      <c r="M139" s="77"/>
    </row>
    <row r="140" spans="11:13" s="76" customFormat="1" ht="12.75" customHeight="1">
      <c r="K140" s="77"/>
      <c r="M140" s="77"/>
    </row>
    <row r="141" spans="11:13" s="76" customFormat="1" ht="12.75" customHeight="1">
      <c r="K141" s="77"/>
      <c r="M141" s="77"/>
    </row>
    <row r="142" spans="11:13" s="76" customFormat="1" ht="12.75" customHeight="1">
      <c r="K142" s="77"/>
      <c r="M142" s="77"/>
    </row>
    <row r="143" spans="11:13" s="76" customFormat="1" ht="12.75" customHeight="1">
      <c r="K143" s="77"/>
      <c r="M143" s="77"/>
    </row>
    <row r="144" spans="11:13" s="76" customFormat="1" ht="12.75" customHeight="1">
      <c r="K144" s="77"/>
      <c r="M144" s="77"/>
    </row>
    <row r="145" spans="11:13" s="76" customFormat="1" ht="12.75" customHeight="1">
      <c r="K145" s="77"/>
      <c r="M145" s="77"/>
    </row>
    <row r="146" spans="11:13" s="76" customFormat="1" ht="12.75" customHeight="1">
      <c r="K146" s="77"/>
      <c r="M146" s="77"/>
    </row>
    <row r="147" spans="11:13" s="76" customFormat="1" ht="12.75" customHeight="1">
      <c r="K147" s="77"/>
      <c r="M147" s="77"/>
    </row>
    <row r="148" spans="11:13" s="76" customFormat="1" ht="12.75" customHeight="1">
      <c r="K148" s="77"/>
      <c r="M148" s="77"/>
    </row>
    <row r="149" spans="11:13" s="76" customFormat="1" ht="12.75" customHeight="1">
      <c r="K149" s="77"/>
      <c r="M149" s="77"/>
    </row>
    <row r="150" spans="11:13" s="76" customFormat="1" ht="12.75" customHeight="1">
      <c r="K150" s="77"/>
      <c r="M150" s="77"/>
    </row>
    <row r="151" spans="11:13" s="76" customFormat="1" ht="12.75" customHeight="1">
      <c r="K151" s="77"/>
      <c r="M151" s="77"/>
    </row>
    <row r="152" spans="11:13" s="76" customFormat="1" ht="12.75" customHeight="1">
      <c r="K152" s="77"/>
      <c r="M152" s="77"/>
    </row>
    <row r="153" spans="11:13" s="76" customFormat="1" ht="12.75" customHeight="1">
      <c r="K153" s="77"/>
      <c r="M153" s="77"/>
    </row>
    <row r="154" spans="11:13" s="76" customFormat="1" ht="12.75" customHeight="1">
      <c r="K154" s="77"/>
      <c r="M154" s="77"/>
    </row>
    <row r="155" spans="11:13" s="76" customFormat="1" ht="12.75" customHeight="1">
      <c r="K155" s="77"/>
      <c r="M155" s="77"/>
    </row>
    <row r="156" spans="11:13" s="76" customFormat="1" ht="12.75" customHeight="1">
      <c r="K156" s="77"/>
      <c r="M156" s="77"/>
    </row>
  </sheetData>
  <printOptions horizontalCentered="1"/>
  <pageMargins left="0.5" right="0.5" top="3" bottom="0.5" header="1.5" footer="0.5"/>
  <pageSetup fitToHeight="0" fitToWidth="2" orientation="landscape" pageOrder="overThenDown" scale="60" r:id="rId1"/>
  <headerFooter alignWithMargins="0">
    <oddHeader>&amp;C&amp;B
2022 RATE CASE
ONCOR ELECTRIC DELIVERY COMPANY LLC
II-B-11   OTHER RATE BASE ITEMS
TEST YEAR ENDING DECEMBER 31, 2021
SPONSOR: A. THENMADATHIL &amp;&amp; W. ALAN LEDBETTER &amp;&amp; B. L. CLUTTER&amp;R&amp;"Arial,Bold"Schedule II-B-11
Page &amp;P of &amp;N</oddHeader>
  </headerFooter>
  <colBreaks count="1" manualBreakCount="1">
    <brk id="10" min="14" max="29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21">
    <tabColor rgb="FFFF0000"/>
    <pageSetUpPr fitToPage="1"/>
  </sheetPr>
  <dimension ref="A1:AA222"/>
  <sheetViews>
    <sheetView zoomScale="85" zoomScaleNormal="85" workbookViewId="0" topLeftCell="A1">
      <pane xSplit="3" ySplit="17" topLeftCell="D18" activePane="bottomRight" state="frozen"/>
      <selection pane="topLeft" activeCell="F16" sqref="F16"/>
      <selection pane="bottomLeft" activeCell="F16" sqref="F16"/>
      <selection pane="topRight" activeCell="F16" sqref="F16"/>
      <selection pane="bottomRight" activeCell="D18" sqref="D18"/>
    </sheetView>
  </sheetViews>
  <sheetFormatPr defaultColWidth="9.14428571428571" defaultRowHeight="12.75" customHeight="1"/>
  <cols>
    <col min="1" max="1" width="5.71428571428571" style="76" customWidth="1"/>
    <col min="2" max="2" width="19.1428571428571" style="78" customWidth="1"/>
    <col min="3" max="3" width="52.4285714285714" style="78" bestFit="1" customWidth="1"/>
    <col min="4" max="4" width="15.2857142857143" style="78" bestFit="1" customWidth="1"/>
    <col min="5" max="5" width="17.2857142857143" style="78" bestFit="1" customWidth="1"/>
    <col min="6" max="6" width="14.7142857142857" style="78" bestFit="1" customWidth="1"/>
    <col min="7" max="7" width="17.2857142857143" style="78" bestFit="1" customWidth="1"/>
    <col min="8" max="8" width="16.2857142857143" style="78" bestFit="1" customWidth="1"/>
    <col min="9" max="9" width="17.2857142857143" style="78" bestFit="1" customWidth="1"/>
    <col min="10" max="10" width="10.2857142857143" style="78" bestFit="1" customWidth="1"/>
    <col min="11" max="11" width="16.2857142857143" style="82" bestFit="1" customWidth="1"/>
    <col min="12" max="12" width="3.28571428571429" style="78" bestFit="1" customWidth="1"/>
    <col min="13" max="13" width="19" style="82" bestFit="1" customWidth="1"/>
    <col min="14" max="15" width="15.2857142857143" style="78" bestFit="1" customWidth="1"/>
    <col min="16" max="16" width="11.5714285714286" style="78" bestFit="1" customWidth="1"/>
    <col min="17" max="18" width="15.2857142857143" style="78" bestFit="1" customWidth="1"/>
    <col min="19" max="19" width="13.7142857142857" style="78" bestFit="1" customWidth="1"/>
    <col min="20" max="20" width="15.2857142857143" style="78" bestFit="1" customWidth="1"/>
    <col min="21" max="22" width="13.7142857142857" style="78" bestFit="1" customWidth="1"/>
    <col min="23" max="23" width="16.2857142857143" style="78" bestFit="1" customWidth="1"/>
    <col min="24" max="24" width="32.7142857142857" style="78" hidden="1" customWidth="1"/>
    <col min="25" max="25" width="93" style="78" hidden="1" customWidth="1"/>
    <col min="26" max="26" width="9.14285714285714" style="78"/>
    <col min="27" max="27" width="12.2857142857143" style="78" bestFit="1" customWidth="1"/>
    <col min="28" max="16384" width="9.14285714285714" style="78"/>
  </cols>
  <sheetData>
    <row r="1" spans="1:6" ht="12.75" customHeight="1">
      <c r="A1" s="80" t="str">
        <f>+'[4]Input Data'!$A$9</f>
        <v>2022 RATE CASE</v>
      </c>
      <c r="F1" s="212"/>
    </row>
    <row r="2" spans="1:23" ht="12.75">
      <c r="A2" s="10" t="str">
        <f>+'[4]Input Data'!$A$2</f>
        <v>ONCOR ELECTRIC DELIVERY COMPANY LLC</v>
      </c>
      <c r="B2" s="76"/>
      <c r="C2" s="76"/>
      <c r="D2" s="76"/>
      <c r="E2" s="76"/>
      <c r="F2" s="213"/>
      <c r="G2" s="76"/>
      <c r="H2" s="76"/>
      <c r="I2" s="76"/>
      <c r="J2" s="76"/>
      <c r="K2" s="77"/>
      <c r="L2" s="76"/>
      <c r="M2" s="77"/>
      <c r="N2" s="6"/>
      <c r="O2" s="6"/>
      <c r="P2" s="6"/>
      <c r="Q2" s="6"/>
      <c r="R2" s="76"/>
      <c r="S2" s="76"/>
      <c r="T2" s="76"/>
      <c r="U2" s="76"/>
      <c r="V2" s="76"/>
      <c r="W2" s="76"/>
    </row>
    <row r="3" spans="1:23" ht="12.75">
      <c r="A3" s="8" t="str">
        <f>CONCATENATE('[4]Schedule Sponsors'!$A$24,'[4]Schedule Sponsors'!$B$24)</f>
        <v>II-B-12   REGULATORY ASSETS</v>
      </c>
      <c r="B3" s="6"/>
      <c r="D3" s="76"/>
      <c r="E3" s="76"/>
      <c r="F3" s="79"/>
      <c r="G3" s="76"/>
      <c r="H3" s="129"/>
      <c r="I3" s="76"/>
      <c r="J3" s="76"/>
      <c r="K3" s="77"/>
      <c r="L3" s="76"/>
      <c r="M3" s="77"/>
      <c r="N3" s="69"/>
      <c r="O3" s="69"/>
      <c r="P3" s="69"/>
      <c r="Q3" s="69"/>
      <c r="R3" s="76"/>
      <c r="S3" s="76"/>
      <c r="T3" s="76"/>
      <c r="U3" s="76"/>
      <c r="V3" s="76"/>
      <c r="W3" s="76"/>
    </row>
    <row r="4" spans="1:23" ht="12.75">
      <c r="A4" s="115" t="str">
        <f>+'[4]Input Data'!$A$4</f>
        <v>TEST YEAR ENDING DECEMBER 31, 2021</v>
      </c>
      <c r="B4" s="6"/>
      <c r="D4" s="39"/>
      <c r="E4" s="76"/>
      <c r="F4" s="79"/>
      <c r="G4" s="76"/>
      <c r="H4" s="76"/>
      <c r="I4" s="76"/>
      <c r="J4" s="76"/>
      <c r="K4" s="77"/>
      <c r="L4" s="76"/>
      <c r="M4" s="77"/>
      <c r="N4" s="69"/>
      <c r="O4" s="69"/>
      <c r="P4" s="69"/>
      <c r="Q4" s="69"/>
      <c r="R4" s="76"/>
      <c r="S4" s="76"/>
      <c r="T4" s="76"/>
      <c r="U4" s="76"/>
      <c r="V4" s="76"/>
      <c r="W4" s="76"/>
    </row>
    <row r="5" spans="1:23" ht="12.75">
      <c r="A5" s="8" t="str">
        <f>CONCATENATE("SPONSOR: ",'[4]Schedule Sponsors'!$D$24)</f>
        <v>SPONSOR: W. ALAN LEDBETTER &amp;&amp; B. L. CLUTTER</v>
      </c>
      <c r="B5" s="6"/>
      <c r="D5" s="39"/>
      <c r="E5" s="76"/>
      <c r="F5" s="76"/>
      <c r="G5" s="76"/>
      <c r="H5" s="76"/>
      <c r="I5" s="76"/>
      <c r="J5" s="76"/>
      <c r="K5" s="77"/>
      <c r="L5" s="76"/>
      <c r="M5" s="77"/>
      <c r="N5" s="76"/>
      <c r="O5" s="76"/>
      <c r="P5" s="76"/>
      <c r="Q5" s="76"/>
      <c r="R5" s="76"/>
      <c r="S5" s="76"/>
      <c r="T5" s="76"/>
      <c r="U5" s="76"/>
      <c r="V5" s="76"/>
      <c r="W5" s="76"/>
    </row>
    <row r="6" spans="2:23" ht="12.75">
      <c r="B6" s="6"/>
      <c r="D6" s="39"/>
      <c r="E6" s="76"/>
      <c r="F6" s="76"/>
      <c r="G6" s="76"/>
      <c r="H6" s="76"/>
      <c r="I6" s="76"/>
      <c r="J6" s="76"/>
      <c r="K6" s="77"/>
      <c r="L6" s="76"/>
      <c r="M6" s="77"/>
      <c r="N6" s="76"/>
      <c r="O6" s="76"/>
      <c r="P6" s="76"/>
      <c r="Q6" s="76"/>
      <c r="R6" s="76"/>
      <c r="S6" s="76"/>
      <c r="T6" s="76"/>
      <c r="U6" s="76"/>
      <c r="V6" s="76"/>
      <c r="W6" s="76"/>
    </row>
    <row r="7" spans="2:23" ht="12.75">
      <c r="B7" s="6"/>
      <c r="D7" s="181"/>
      <c r="E7" s="76"/>
      <c r="F7" s="76"/>
      <c r="G7" s="76"/>
      <c r="H7" s="76"/>
      <c r="I7" s="76"/>
      <c r="J7" s="76"/>
      <c r="K7" s="77"/>
      <c r="L7" s="76"/>
      <c r="M7" s="77"/>
      <c r="N7" s="76"/>
      <c r="O7" s="76"/>
      <c r="P7" s="76"/>
      <c r="Q7" s="76"/>
      <c r="R7" s="76"/>
      <c r="S7" s="76"/>
      <c r="T7" s="76"/>
      <c r="U7" s="76"/>
      <c r="V7" s="76"/>
      <c r="W7" s="76"/>
    </row>
    <row r="8" spans="2:23" ht="12.75">
      <c r="B8" s="80"/>
      <c r="C8" s="76"/>
      <c r="D8" s="76"/>
      <c r="E8" s="76"/>
      <c r="F8" s="76"/>
      <c r="G8" s="76"/>
      <c r="H8" s="76"/>
      <c r="I8" s="76"/>
      <c r="J8" s="76"/>
      <c r="K8" s="77"/>
      <c r="L8" s="76"/>
      <c r="M8" s="77"/>
      <c r="N8" s="76"/>
      <c r="O8" s="76"/>
      <c r="P8" s="76"/>
      <c r="Q8" s="76"/>
      <c r="R8" s="76"/>
      <c r="S8" s="76"/>
      <c r="T8" s="76"/>
      <c r="U8" s="76"/>
      <c r="V8" s="76"/>
      <c r="W8" s="76"/>
    </row>
    <row r="9" spans="2:23" ht="13.5" thickBot="1">
      <c r="B9" s="76" t="s">
        <v>24</v>
      </c>
      <c r="C9" s="76"/>
      <c r="D9" s="76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1"/>
      <c r="Q9" s="81"/>
      <c r="R9" s="81"/>
      <c r="S9" s="81"/>
      <c r="T9" s="81"/>
      <c r="U9" s="81"/>
      <c r="V9" s="81"/>
      <c r="W9" s="81"/>
    </row>
    <row r="10" spans="1:25" s="80" customFormat="1" ht="12.75">
      <c r="A10" s="13"/>
      <c r="B10" s="13"/>
      <c r="C10" s="13"/>
      <c r="D10" s="13"/>
      <c r="E10" s="13"/>
      <c r="F10" s="14" t="s">
        <v>314</v>
      </c>
      <c r="G10" s="14" t="s">
        <v>19</v>
      </c>
      <c r="H10" s="14" t="str">
        <f>+'II-B'!E10</f>
        <v>Known and</v>
      </c>
      <c r="I10" s="14" t="s">
        <v>20</v>
      </c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spans="1:25" s="80" customFormat="1" ht="12.75">
      <c r="A11" s="15" t="s">
        <v>188</v>
      </c>
      <c r="B11" s="15" t="s">
        <v>26</v>
      </c>
      <c r="C11" s="15"/>
      <c r="D11" s="15" t="s">
        <v>23</v>
      </c>
      <c r="E11" s="67" t="s">
        <v>27</v>
      </c>
      <c r="F11" s="15" t="s">
        <v>315</v>
      </c>
      <c r="G11" s="15" t="s">
        <v>21</v>
      </c>
      <c r="H11" s="15" t="str">
        <f>+'II-B'!E11</f>
        <v>Measurable</v>
      </c>
      <c r="I11" s="15" t="s">
        <v>21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  <c r="X11" s="15"/>
      <c r="Y11" s="15"/>
    </row>
    <row r="12" spans="1:25" s="80" customFormat="1" ht="12.75">
      <c r="A12" s="15" t="s">
        <v>189</v>
      </c>
      <c r="B12" s="15" t="s">
        <v>128</v>
      </c>
      <c r="C12" s="15" t="s">
        <v>22</v>
      </c>
      <c r="D12" s="15" t="s">
        <v>25</v>
      </c>
      <c r="E12" s="67" t="s">
        <v>32</v>
      </c>
      <c r="F12" s="15" t="s">
        <v>33</v>
      </c>
      <c r="G12" s="15" t="s">
        <v>34</v>
      </c>
      <c r="H12" s="15" t="str">
        <f>+'II-B'!E12</f>
        <v>Adjustments</v>
      </c>
      <c r="I12" s="15" t="s">
        <v>34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  <c r="X12" s="15" t="s">
        <v>290</v>
      </c>
      <c r="Y12" s="15" t="s">
        <v>291</v>
      </c>
    </row>
    <row r="13" spans="1:25" s="80" customFormat="1" ht="13.5" thickBot="1">
      <c r="A13" s="16"/>
      <c r="B13" s="73" t="s">
        <v>173</v>
      </c>
      <c r="C13" s="73" t="s">
        <v>174</v>
      </c>
      <c r="D13" s="73" t="s">
        <v>175</v>
      </c>
      <c r="E13" s="73" t="s">
        <v>176</v>
      </c>
      <c r="F13" s="73" t="s">
        <v>177</v>
      </c>
      <c r="G13" s="73" t="s">
        <v>178</v>
      </c>
      <c r="H13" s="73" t="s">
        <v>179</v>
      </c>
      <c r="I13" s="73" t="s">
        <v>180</v>
      </c>
      <c r="J13" s="73" t="s">
        <v>181</v>
      </c>
      <c r="K13" s="73" t="s">
        <v>182</v>
      </c>
      <c r="L13" s="73" t="s">
        <v>183</v>
      </c>
      <c r="M13" s="73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  <c r="X13" s="201" t="s">
        <v>323</v>
      </c>
      <c r="Y13" s="201" t="s">
        <v>324</v>
      </c>
    </row>
    <row r="14" spans="2:23" s="76" customFormat="1" ht="12.75" customHeight="1">
      <c r="B14" s="83"/>
      <c r="C14" s="83"/>
      <c r="D14" s="83"/>
      <c r="E14" s="83"/>
      <c r="F14" s="83"/>
      <c r="G14" s="83"/>
      <c r="H14" s="83"/>
      <c r="I14" s="83"/>
      <c r="J14" s="83"/>
      <c r="K14" s="84"/>
      <c r="L14" s="83"/>
      <c r="M14" s="84"/>
      <c r="N14" s="83"/>
      <c r="O14" s="83"/>
      <c r="P14" s="83"/>
      <c r="Q14" s="83"/>
      <c r="R14" s="83"/>
      <c r="S14" s="83"/>
      <c r="T14" s="83"/>
      <c r="U14" s="83"/>
      <c r="V14" s="83"/>
      <c r="W14" s="83"/>
    </row>
    <row r="15" spans="1:13" s="76" customFormat="1" ht="12.75" customHeight="1">
      <c r="A15" s="77">
        <v>1</v>
      </c>
      <c r="B15" s="85" t="s">
        <v>101</v>
      </c>
      <c r="K15" s="77"/>
      <c r="M15" s="77"/>
    </row>
    <row r="16" spans="1:23" s="80" customFormat="1" ht="12.75">
      <c r="A16" s="77">
        <v>2</v>
      </c>
      <c r="B16" s="80" t="s">
        <v>211</v>
      </c>
      <c r="C16" s="90"/>
      <c r="D16" s="86" t="s">
        <v>170</v>
      </c>
      <c r="E16" s="87"/>
      <c r="F16" s="87"/>
      <c r="G16" s="87"/>
      <c r="H16" s="87"/>
      <c r="I16" s="87"/>
      <c r="J16" s="87"/>
      <c r="K16" s="98"/>
      <c r="L16" s="87"/>
      <c r="M16" s="88"/>
      <c r="N16" s="87"/>
      <c r="O16" s="87"/>
      <c r="P16" s="87"/>
      <c r="Q16" s="87"/>
      <c r="R16" s="102"/>
      <c r="S16" s="102"/>
      <c r="T16" s="102"/>
      <c r="U16" s="102"/>
      <c r="V16" s="102"/>
      <c r="W16" s="102"/>
    </row>
    <row r="17" spans="1:23" s="80" customFormat="1" ht="12.75">
      <c r="A17" s="77">
        <v>3</v>
      </c>
      <c r="C17" s="90"/>
      <c r="D17" s="86"/>
      <c r="E17" s="87"/>
      <c r="F17" s="87"/>
      <c r="G17" s="87"/>
      <c r="H17" s="87"/>
      <c r="I17" s="87"/>
      <c r="J17" s="87"/>
      <c r="K17" s="98"/>
      <c r="L17" s="87"/>
      <c r="M17" s="88"/>
      <c r="N17" s="87"/>
      <c r="O17" s="87"/>
      <c r="P17" s="87"/>
      <c r="Q17" s="87"/>
      <c r="R17" s="102"/>
      <c r="S17" s="102"/>
      <c r="T17" s="102"/>
      <c r="U17" s="102"/>
      <c r="V17" s="102"/>
      <c r="W17" s="102"/>
    </row>
    <row r="18" spans="1:23" s="80" customFormat="1" ht="12.75">
      <c r="A18" s="77">
        <v>4</v>
      </c>
      <c r="B18" s="80" t="s">
        <v>203</v>
      </c>
      <c r="C18" s="90"/>
      <c r="D18" s="86"/>
      <c r="E18" s="87"/>
      <c r="F18" s="87"/>
      <c r="G18" s="87"/>
      <c r="H18" s="87"/>
      <c r="I18" s="87"/>
      <c r="J18" s="87"/>
      <c r="K18" s="98"/>
      <c r="L18" s="87"/>
      <c r="M18" s="88"/>
      <c r="N18" s="87"/>
      <c r="O18" s="87"/>
      <c r="P18" s="87"/>
      <c r="Q18" s="87"/>
      <c r="R18" s="102"/>
      <c r="S18" s="102"/>
      <c r="T18" s="102"/>
      <c r="U18" s="102"/>
      <c r="V18" s="102"/>
      <c r="W18" s="102"/>
    </row>
    <row r="19" spans="1:26" s="76" customFormat="1" ht="12.75">
      <c r="A19" s="77">
        <v>5</v>
      </c>
      <c r="B19" s="343">
        <v>189</v>
      </c>
      <c r="C19" s="209" t="s">
        <v>347</v>
      </c>
      <c r="D19" s="39"/>
      <c r="E19" s="190">
        <v>19458184.879999999</v>
      </c>
      <c r="F19" s="190">
        <v>0</v>
      </c>
      <c r="G19" s="190">
        <f>+E19+F19</f>
        <v>19458184.879999999</v>
      </c>
      <c r="H19" s="190">
        <f>-G19</f>
        <v>-19458184.879999999</v>
      </c>
      <c r="I19" s="190">
        <f t="shared" si="0" ref="I19:I26">+G19+H19</f>
        <v>0</v>
      </c>
      <c r="J19" s="178">
        <v>1</v>
      </c>
      <c r="K19" s="190">
        <f t="shared" si="1" ref="K19:K28">+I19*J19</f>
        <v>0</v>
      </c>
      <c r="L19" s="190"/>
      <c r="M19" s="190"/>
      <c r="N19" s="190">
        <v>0</v>
      </c>
      <c r="O19" s="190">
        <v>0</v>
      </c>
      <c r="P19" s="190">
        <v>0</v>
      </c>
      <c r="Q19" s="190">
        <f>SUM(N19:P19)</f>
        <v>0</v>
      </c>
      <c r="R19" s="190">
        <v>0</v>
      </c>
      <c r="S19" s="190">
        <v>0</v>
      </c>
      <c r="T19" s="190">
        <f>SUM(R19:S19)</f>
        <v>0</v>
      </c>
      <c r="U19" s="190">
        <v>0</v>
      </c>
      <c r="V19" s="190">
        <v>0</v>
      </c>
      <c r="W19" s="190">
        <f>+Q19+T19+U19+V19</f>
        <v>0</v>
      </c>
      <c r="X19" s="76" t="s">
        <v>451</v>
      </c>
      <c r="Y19" s="76" t="s">
        <v>452</v>
      </c>
      <c r="Z19" s="76" t="b">
        <f>ROUND(+W19,2)=ROUND(K19,2)</f>
        <v>1</v>
      </c>
    </row>
    <row r="20" spans="1:26" s="76" customFormat="1" ht="12.75">
      <c r="A20" s="77">
        <v>6</v>
      </c>
      <c r="B20" s="344">
        <v>182</v>
      </c>
      <c r="C20" s="209" t="s">
        <v>348</v>
      </c>
      <c r="D20" s="86"/>
      <c r="E20" s="39">
        <v>1518897.72</v>
      </c>
      <c r="F20" s="39">
        <v>0</v>
      </c>
      <c r="G20" s="39">
        <f t="shared" si="2" ref="G20:G35">+E20+F20</f>
        <v>1518897.72</v>
      </c>
      <c r="H20" s="39">
        <v>0</v>
      </c>
      <c r="I20" s="39">
        <f t="shared" si="0"/>
        <v>1518897.72</v>
      </c>
      <c r="J20" s="178">
        <v>1</v>
      </c>
      <c r="K20" s="39">
        <f t="shared" si="1"/>
        <v>1518897.72</v>
      </c>
      <c r="L20" s="39"/>
      <c r="M20" s="77" t="s">
        <v>237</v>
      </c>
      <c r="N20" s="39">
        <f>+K20</f>
        <v>1518897.72</v>
      </c>
      <c r="O20" s="39">
        <v>0</v>
      </c>
      <c r="P20" s="39">
        <v>0</v>
      </c>
      <c r="Q20" s="39">
        <f t="shared" si="3" ref="Q20:Q50">SUM(N20:P20)</f>
        <v>1518897.72</v>
      </c>
      <c r="R20" s="39">
        <v>0</v>
      </c>
      <c r="S20" s="39">
        <v>0</v>
      </c>
      <c r="T20" s="39">
        <f t="shared" si="4" ref="T20:T50">SUM(R20:S20)</f>
        <v>0</v>
      </c>
      <c r="U20" s="39">
        <v>0</v>
      </c>
      <c r="V20" s="39">
        <v>0</v>
      </c>
      <c r="W20" s="129">
        <f t="shared" si="5" ref="W20:W35">+Q20+T20+U20+V20</f>
        <v>1518897.72</v>
      </c>
      <c r="X20" s="76" t="s">
        <v>453</v>
      </c>
      <c r="Y20" s="76" t="s">
        <v>295</v>
      </c>
      <c r="Z20" s="76" t="b">
        <f t="shared" si="6" ref="Z20:Z51">ROUND(+W20,2)=ROUND(K20,2)</f>
        <v>1</v>
      </c>
    </row>
    <row r="21" spans="1:26" s="76" customFormat="1" ht="12.75">
      <c r="A21" s="77">
        <v>7</v>
      </c>
      <c r="B21" s="344">
        <v>182</v>
      </c>
      <c r="C21" s="209" t="s">
        <v>445</v>
      </c>
      <c r="D21" s="86"/>
      <c r="E21" s="39">
        <v>26088</v>
      </c>
      <c r="F21" s="39">
        <v>0</v>
      </c>
      <c r="G21" s="39">
        <f t="shared" si="2"/>
        <v>26088</v>
      </c>
      <c r="H21" s="39">
        <v>0</v>
      </c>
      <c r="I21" s="39">
        <f t="shared" si="0"/>
        <v>26088</v>
      </c>
      <c r="J21" s="178">
        <v>1</v>
      </c>
      <c r="K21" s="39">
        <f t="shared" si="1"/>
        <v>26088</v>
      </c>
      <c r="L21" s="39"/>
      <c r="M21" s="77" t="s">
        <v>237</v>
      </c>
      <c r="N21" s="39">
        <v>0</v>
      </c>
      <c r="O21" s="39">
        <v>0</v>
      </c>
      <c r="P21" s="39">
        <v>0</v>
      </c>
      <c r="Q21" s="39">
        <f t="shared" si="3"/>
        <v>0</v>
      </c>
      <c r="R21" s="39">
        <f>+K21</f>
        <v>26088</v>
      </c>
      <c r="S21" s="39">
        <v>0</v>
      </c>
      <c r="T21" s="39">
        <f t="shared" si="4"/>
        <v>26088</v>
      </c>
      <c r="U21" s="39">
        <v>0</v>
      </c>
      <c r="V21" s="39">
        <v>0</v>
      </c>
      <c r="W21" s="129">
        <f t="shared" si="5"/>
        <v>26088</v>
      </c>
      <c r="X21" s="76" t="s">
        <v>454</v>
      </c>
      <c r="Y21" s="76" t="s">
        <v>295</v>
      </c>
      <c r="Z21" s="76" t="b">
        <f t="shared" si="6"/>
        <v>1</v>
      </c>
    </row>
    <row r="22" spans="1:26" s="76" customFormat="1" ht="12.75">
      <c r="A22" s="77">
        <v>8</v>
      </c>
      <c r="B22" s="77">
        <v>182</v>
      </c>
      <c r="C22" s="76" t="s">
        <v>350</v>
      </c>
      <c r="D22" s="86"/>
      <c r="E22" s="39">
        <v>34659802.689999998</v>
      </c>
      <c r="F22" s="39">
        <v>0</v>
      </c>
      <c r="G22" s="39">
        <f t="shared" si="2"/>
        <v>34659802.689999998</v>
      </c>
      <c r="H22" s="39">
        <v>-41176.370000000003</v>
      </c>
      <c r="I22" s="39">
        <f t="shared" si="0"/>
        <v>34618626.32</v>
      </c>
      <c r="J22" s="178">
        <v>1</v>
      </c>
      <c r="K22" s="39">
        <f t="shared" si="1"/>
        <v>34618626.32</v>
      </c>
      <c r="L22" s="39"/>
      <c r="M22" s="344" t="s">
        <v>491</v>
      </c>
      <c r="N22" s="39">
        <f>ROUND(+$K22*'[2]II-F Alloc_Factor'!E$18,2)</f>
        <v>3006612.8700000001</v>
      </c>
      <c r="O22" s="39">
        <f>ROUND(+$K22*'[2]II-F Alloc_Factor'!F$18,2)</f>
        <v>0</v>
      </c>
      <c r="P22" s="39">
        <f>ROUND(+$K22*'[2]II-F Alloc_Factor'!G$18,2)</f>
        <v>0</v>
      </c>
      <c r="Q22" s="39">
        <f t="shared" si="3"/>
        <v>3006612.8700000001</v>
      </c>
      <c r="R22" s="39">
        <f>ROUND(+$K22*'[2]II-F Alloc_Factor'!I$18,2)</f>
        <v>28752061.66</v>
      </c>
      <c r="S22" s="39">
        <f>ROUND(+$K22*'[2]II-F Alloc_Factor'!J$18,2)</f>
        <v>0</v>
      </c>
      <c r="T22" s="39">
        <f t="shared" si="4"/>
        <v>28752061.66</v>
      </c>
      <c r="U22" s="39">
        <f>ROUND(+$K22*'[2]II-F Alloc_Factor'!L$18,2)</f>
        <v>1579203.8999999999</v>
      </c>
      <c r="V22" s="39">
        <f>+K22-Q22-T22-U22</f>
        <v>1280747.8899999992</v>
      </c>
      <c r="W22" s="129">
        <f t="shared" si="5"/>
        <v>34618626.32</v>
      </c>
      <c r="X22" s="76" t="s">
        <v>455</v>
      </c>
      <c r="Y22" s="76" t="s">
        <v>295</v>
      </c>
      <c r="Z22" s="76" t="b">
        <f t="shared" si="6"/>
        <v>1</v>
      </c>
    </row>
    <row r="23" spans="1:26" s="76" customFormat="1" ht="12.75">
      <c r="A23" s="77">
        <v>9</v>
      </c>
      <c r="B23" s="77">
        <v>182</v>
      </c>
      <c r="C23" s="210" t="s">
        <v>243</v>
      </c>
      <c r="D23" s="86"/>
      <c r="E23" s="39">
        <v>172977830.47</v>
      </c>
      <c r="F23" s="39">
        <v>0</v>
      </c>
      <c r="G23" s="39">
        <f t="shared" si="2"/>
        <v>172977830.47</v>
      </c>
      <c r="H23" s="39">
        <v>0</v>
      </c>
      <c r="I23" s="39">
        <f t="shared" si="0"/>
        <v>172977830.47</v>
      </c>
      <c r="J23" s="178">
        <v>1</v>
      </c>
      <c r="K23" s="39">
        <f t="shared" si="1"/>
        <v>172977830.47</v>
      </c>
      <c r="L23" s="39"/>
      <c r="M23" s="344" t="s">
        <v>690</v>
      </c>
      <c r="N23" s="39">
        <f>ROUND(+$K23*0.2088,2)</f>
        <v>36117771</v>
      </c>
      <c r="O23" s="39">
        <f>ROUND(+$K23*'[2]II-F Alloc_Factor'!F$17,2)</f>
        <v>0</v>
      </c>
      <c r="P23" s="39">
        <f>ROUND(+$K23*'[2]II-F Alloc_Factor'!G$17,2)</f>
        <v>0</v>
      </c>
      <c r="Q23" s="39">
        <f t="shared" si="3"/>
        <v>36117771</v>
      </c>
      <c r="R23" s="39">
        <f>ROUND(+$K23*0.6085,2)</f>
        <v>105257009.84</v>
      </c>
      <c r="S23" s="39">
        <f>ROUND(+$K23*'[2]II-F Alloc_Factor'!J$17,2)</f>
        <v>0</v>
      </c>
      <c r="T23" s="39">
        <f t="shared" si="4"/>
        <v>105257009.84</v>
      </c>
      <c r="U23" s="39">
        <f>ROUND(+$K23*0.1457,2)</f>
        <v>25202869.899999999</v>
      </c>
      <c r="V23" s="39">
        <f>+K23-Q23-T23-U23</f>
        <v>6400179.7299999967</v>
      </c>
      <c r="W23" s="129">
        <f t="shared" si="5"/>
        <v>172977830.47</v>
      </c>
      <c r="X23" s="76" t="s">
        <v>294</v>
      </c>
      <c r="Y23" s="76" t="s">
        <v>370</v>
      </c>
      <c r="Z23" s="76" t="b">
        <f t="shared" si="6"/>
        <v>1</v>
      </c>
    </row>
    <row r="24" spans="1:26" s="76" customFormat="1" ht="12.75">
      <c r="A24" s="77">
        <v>10</v>
      </c>
      <c r="B24" s="77">
        <v>182</v>
      </c>
      <c r="C24" s="210" t="s">
        <v>242</v>
      </c>
      <c r="D24" s="86"/>
      <c r="E24" s="39">
        <v>-17440156.219999999</v>
      </c>
      <c r="F24" s="39">
        <v>0</v>
      </c>
      <c r="G24" s="39">
        <f t="shared" si="2"/>
        <v>-17440156.219999999</v>
      </c>
      <c r="H24" s="39">
        <v>0</v>
      </c>
      <c r="I24" s="39">
        <f t="shared" si="0"/>
        <v>-17440156.219999999</v>
      </c>
      <c r="J24" s="178">
        <v>1</v>
      </c>
      <c r="K24" s="39">
        <f t="shared" si="1"/>
        <v>-17440156.219999999</v>
      </c>
      <c r="L24" s="39"/>
      <c r="M24" s="77" t="s">
        <v>236</v>
      </c>
      <c r="N24" s="39">
        <f>ROUND(+$K24*'[2]II-F Alloc_Factor'!E$17,2)</f>
        <v>-3840349.6800000002</v>
      </c>
      <c r="O24" s="39">
        <f>ROUND(+$K24*'[2]II-F Alloc_Factor'!F$17,2)</f>
        <v>0</v>
      </c>
      <c r="P24" s="39">
        <f>ROUND(+$K24*'[2]II-F Alloc_Factor'!G$17,2)</f>
        <v>0</v>
      </c>
      <c r="Q24" s="39">
        <f t="shared" si="7" ref="Q24:Q25">SUM(N24:P24)</f>
        <v>-3840349.6800000002</v>
      </c>
      <c r="R24" s="39">
        <f>ROUND(+$K24*'[2]II-F Alloc_Factor'!I$17,2)</f>
        <v>-10594886.380000001</v>
      </c>
      <c r="S24" s="39">
        <f>ROUND(+$K24*'[2]II-F Alloc_Factor'!J$17,2)</f>
        <v>0</v>
      </c>
      <c r="T24" s="39">
        <f t="shared" si="8" ref="T24:T25">SUM(R24:S24)</f>
        <v>-10594886.380000001</v>
      </c>
      <c r="U24" s="39">
        <f>ROUND(+$K24*'[2]II-F Alloc_Factor'!L$17,2)</f>
        <v>-2888676.04</v>
      </c>
      <c r="V24" s="39">
        <f>+K24-Q24-T24-U24</f>
        <v>-116244.11999999825</v>
      </c>
      <c r="W24" s="129">
        <f t="shared" si="5"/>
        <v>-17440156.219999999</v>
      </c>
      <c r="X24" s="76" t="s">
        <v>294</v>
      </c>
      <c r="Y24" s="76" t="s">
        <v>456</v>
      </c>
      <c r="Z24" s="76" t="b">
        <f t="shared" si="6"/>
        <v>1</v>
      </c>
    </row>
    <row r="25" spans="1:26" s="76" customFormat="1" ht="12.75">
      <c r="A25" s="77">
        <v>11</v>
      </c>
      <c r="B25" s="77">
        <v>182</v>
      </c>
      <c r="C25" s="210" t="s">
        <v>244</v>
      </c>
      <c r="D25" s="86"/>
      <c r="E25" s="39">
        <v>18815909.739999998</v>
      </c>
      <c r="F25" s="39">
        <v>0</v>
      </c>
      <c r="G25" s="39">
        <f t="shared" si="2"/>
        <v>18815909.739999998</v>
      </c>
      <c r="H25" s="39">
        <v>0</v>
      </c>
      <c r="I25" s="39">
        <f t="shared" si="0"/>
        <v>18815909.739999998</v>
      </c>
      <c r="J25" s="178">
        <v>1</v>
      </c>
      <c r="K25" s="39">
        <f t="shared" si="1"/>
        <v>18815909.739999998</v>
      </c>
      <c r="L25" s="39"/>
      <c r="M25" s="344" t="s">
        <v>690</v>
      </c>
      <c r="N25" s="39">
        <f>ROUND(+$K25*0.2088,2)</f>
        <v>3928761.9500000002</v>
      </c>
      <c r="O25" s="39">
        <f>ROUND(+$K25*'[2]II-F Alloc_Factor'!F$17,2)</f>
        <v>0</v>
      </c>
      <c r="P25" s="39">
        <f>ROUND(+$K25*'[2]II-F Alloc_Factor'!G$17,2)</f>
        <v>0</v>
      </c>
      <c r="Q25" s="39">
        <f t="shared" si="7"/>
        <v>3928761.9500000002</v>
      </c>
      <c r="R25" s="39">
        <f>ROUND(+$K25*0.6085,2)</f>
        <v>11449481.08</v>
      </c>
      <c r="S25" s="39">
        <f>ROUND(+$K25*'[2]II-F Alloc_Factor'!J$17,2)</f>
        <v>0</v>
      </c>
      <c r="T25" s="39">
        <f t="shared" si="8"/>
        <v>11449481.08</v>
      </c>
      <c r="U25" s="39">
        <f>ROUND(+$K25*0.1457,2)</f>
        <v>2741478.0499999998</v>
      </c>
      <c r="V25" s="39">
        <f>+K25-Q25-T25-U25</f>
        <v>696188.65999999922</v>
      </c>
      <c r="W25" s="129">
        <f t="shared" si="5"/>
        <v>18815909.740000002</v>
      </c>
      <c r="X25" s="76" t="s">
        <v>294</v>
      </c>
      <c r="Y25" s="76" t="s">
        <v>370</v>
      </c>
      <c r="Z25" s="76" t="b">
        <f t="shared" si="6"/>
        <v>1</v>
      </c>
    </row>
    <row r="26" spans="1:26" s="76" customFormat="1" ht="12.75">
      <c r="A26" s="77">
        <v>12</v>
      </c>
      <c r="B26" s="77">
        <v>182</v>
      </c>
      <c r="C26" s="210" t="s">
        <v>446</v>
      </c>
      <c r="D26" s="86"/>
      <c r="E26" s="39">
        <v>328914729</v>
      </c>
      <c r="F26" s="39">
        <v>0</v>
      </c>
      <c r="G26" s="39">
        <f t="shared" si="2"/>
        <v>328914729</v>
      </c>
      <c r="H26" s="39">
        <f>-G26</f>
        <v>-328914729</v>
      </c>
      <c r="I26" s="39">
        <f t="shared" si="0"/>
        <v>0</v>
      </c>
      <c r="J26" s="178">
        <v>1</v>
      </c>
      <c r="K26" s="39">
        <f t="shared" si="1"/>
        <v>0</v>
      </c>
      <c r="L26" s="39"/>
      <c r="M26" s="77"/>
      <c r="N26" s="39">
        <v>0</v>
      </c>
      <c r="O26" s="39">
        <v>0</v>
      </c>
      <c r="P26" s="39">
        <v>0</v>
      </c>
      <c r="Q26" s="39">
        <f t="shared" si="3"/>
        <v>0</v>
      </c>
      <c r="R26" s="39">
        <v>0</v>
      </c>
      <c r="S26" s="39">
        <v>0</v>
      </c>
      <c r="T26" s="39">
        <f t="shared" si="4"/>
        <v>0</v>
      </c>
      <c r="U26" s="39">
        <v>0</v>
      </c>
      <c r="V26" s="39">
        <v>0</v>
      </c>
      <c r="W26" s="129">
        <f t="shared" si="5"/>
        <v>0</v>
      </c>
      <c r="Z26" s="76" t="b">
        <f t="shared" si="6"/>
        <v>1</v>
      </c>
    </row>
    <row r="27" spans="1:26" s="76" customFormat="1" ht="12.75">
      <c r="A27" s="77">
        <v>13</v>
      </c>
      <c r="B27" s="77">
        <v>182</v>
      </c>
      <c r="C27" s="76" t="s">
        <v>447</v>
      </c>
      <c r="D27" s="86"/>
      <c r="E27" s="39">
        <v>1968953.26</v>
      </c>
      <c r="F27" s="39">
        <v>0</v>
      </c>
      <c r="G27" s="39">
        <f t="shared" si="2"/>
        <v>1968953.26</v>
      </c>
      <c r="H27" s="39">
        <f>-G27</f>
        <v>-1968953.26</v>
      </c>
      <c r="I27" s="39">
        <f t="shared" si="9" ref="I27:I35">+G27+H27</f>
        <v>0</v>
      </c>
      <c r="J27" s="178">
        <v>1</v>
      </c>
      <c r="K27" s="39">
        <f t="shared" si="1"/>
        <v>0</v>
      </c>
      <c r="L27" s="39"/>
      <c r="M27" s="77"/>
      <c r="N27" s="39">
        <v>0</v>
      </c>
      <c r="O27" s="39">
        <v>0</v>
      </c>
      <c r="P27" s="39">
        <v>0</v>
      </c>
      <c r="Q27" s="39">
        <f t="shared" si="3"/>
        <v>0</v>
      </c>
      <c r="R27" s="39">
        <v>0</v>
      </c>
      <c r="S27" s="39">
        <v>0</v>
      </c>
      <c r="T27" s="39">
        <f t="shared" si="4"/>
        <v>0</v>
      </c>
      <c r="U27" s="39">
        <v>0</v>
      </c>
      <c r="V27" s="39">
        <v>0</v>
      </c>
      <c r="W27" s="129">
        <f t="shared" si="5"/>
        <v>0</v>
      </c>
      <c r="Y27" s="76" t="s">
        <v>457</v>
      </c>
      <c r="Z27" s="76" t="b">
        <f t="shared" si="6"/>
        <v>1</v>
      </c>
    </row>
    <row r="28" spans="1:26" s="76" customFormat="1" ht="12.75">
      <c r="A28" s="77">
        <v>14</v>
      </c>
      <c r="B28" s="77">
        <v>182</v>
      </c>
      <c r="C28" s="76" t="s">
        <v>448</v>
      </c>
      <c r="D28" s="86"/>
      <c r="E28" s="39">
        <v>114751835.44</v>
      </c>
      <c r="F28" s="39">
        <v>0</v>
      </c>
      <c r="G28" s="39">
        <f t="shared" si="2"/>
        <v>114751835.44</v>
      </c>
      <c r="H28" s="39">
        <f>-G28</f>
        <v>-114751835.44</v>
      </c>
      <c r="I28" s="39">
        <f t="shared" si="9"/>
        <v>0</v>
      </c>
      <c r="J28" s="178">
        <v>1</v>
      </c>
      <c r="K28" s="39">
        <f t="shared" si="1"/>
        <v>0</v>
      </c>
      <c r="L28" s="39"/>
      <c r="M28" s="177"/>
      <c r="N28" s="39">
        <v>0</v>
      </c>
      <c r="O28" s="39">
        <v>0</v>
      </c>
      <c r="P28" s="39">
        <v>0</v>
      </c>
      <c r="Q28" s="39">
        <f t="shared" si="3"/>
        <v>0</v>
      </c>
      <c r="R28" s="39">
        <v>0</v>
      </c>
      <c r="S28" s="39">
        <v>0</v>
      </c>
      <c r="T28" s="39">
        <f t="shared" si="4"/>
        <v>0</v>
      </c>
      <c r="U28" s="39">
        <v>0</v>
      </c>
      <c r="V28" s="39">
        <v>0</v>
      </c>
      <c r="W28" s="129">
        <f t="shared" si="5"/>
        <v>0</v>
      </c>
      <c r="Y28" s="76" t="s">
        <v>458</v>
      </c>
      <c r="Z28" s="76" t="b">
        <f t="shared" si="6"/>
        <v>1</v>
      </c>
    </row>
    <row r="29" spans="1:26" s="76" customFormat="1" ht="12.75">
      <c r="A29" s="77">
        <v>15</v>
      </c>
      <c r="B29" s="77">
        <v>186</v>
      </c>
      <c r="C29" s="209" t="s">
        <v>353</v>
      </c>
      <c r="D29" s="86"/>
      <c r="E29" s="39">
        <v>80079.689999999973</v>
      </c>
      <c r="F29" s="39">
        <v>0</v>
      </c>
      <c r="G29" s="39">
        <f t="shared" si="2"/>
        <v>80079.689999999973</v>
      </c>
      <c r="H29" s="39">
        <v>0</v>
      </c>
      <c r="I29" s="39">
        <f t="shared" si="9"/>
        <v>80079.689999999973</v>
      </c>
      <c r="J29" s="178">
        <v>1</v>
      </c>
      <c r="K29" s="39">
        <f t="shared" si="10" ref="K29:K32">+I29*J29</f>
        <v>80079.689999999973</v>
      </c>
      <c r="L29" s="39"/>
      <c r="M29" s="76" t="s">
        <v>237</v>
      </c>
      <c r="N29" s="39">
        <v>0</v>
      </c>
      <c r="O29" s="39">
        <v>0</v>
      </c>
      <c r="P29" s="39">
        <v>0</v>
      </c>
      <c r="Q29" s="39">
        <f t="shared" si="3"/>
        <v>0</v>
      </c>
      <c r="R29" s="39">
        <v>0</v>
      </c>
      <c r="S29" s="39">
        <v>0</v>
      </c>
      <c r="T29" s="39">
        <f t="shared" si="4"/>
        <v>0</v>
      </c>
      <c r="U29" s="39">
        <f>+K29</f>
        <v>80079.689999999973</v>
      </c>
      <c r="V29" s="39">
        <v>0</v>
      </c>
      <c r="W29" s="129">
        <f t="shared" si="5"/>
        <v>80079.689999999973</v>
      </c>
      <c r="X29" s="76" t="s">
        <v>296</v>
      </c>
      <c r="Y29" s="76" t="s">
        <v>371</v>
      </c>
      <c r="Z29" s="76" t="b">
        <f t="shared" si="6"/>
        <v>1</v>
      </c>
    </row>
    <row r="30" spans="1:26" s="76" customFormat="1" ht="12.75">
      <c r="A30" s="77">
        <v>16</v>
      </c>
      <c r="B30" s="77">
        <v>186</v>
      </c>
      <c r="C30" s="209" t="s">
        <v>281</v>
      </c>
      <c r="D30" s="86"/>
      <c r="E30" s="39">
        <v>23799.09</v>
      </c>
      <c r="F30" s="39">
        <v>0</v>
      </c>
      <c r="G30" s="39">
        <f t="shared" si="2"/>
        <v>23799.09</v>
      </c>
      <c r="H30" s="39">
        <f>-G30</f>
        <v>-23799.09</v>
      </c>
      <c r="I30" s="39">
        <f t="shared" si="9"/>
        <v>0</v>
      </c>
      <c r="J30" s="178">
        <v>1</v>
      </c>
      <c r="K30" s="39">
        <f t="shared" si="10"/>
        <v>0</v>
      </c>
      <c r="L30" s="39"/>
      <c r="M30" s="177"/>
      <c r="N30" s="39">
        <f>ROUND(+$K30*'[2]II-F Alloc_Factor'!E$24,2)</f>
        <v>0</v>
      </c>
      <c r="O30" s="39">
        <f>ROUND(+$K30*'[2]II-F Alloc_Factor'!F$24,2)</f>
        <v>0</v>
      </c>
      <c r="P30" s="39">
        <f>ROUND(+$K30*'[2]II-F Alloc_Factor'!G$24,2)</f>
        <v>0</v>
      </c>
      <c r="Q30" s="39">
        <f t="shared" si="3"/>
        <v>0</v>
      </c>
      <c r="R30" s="39">
        <f>ROUND(+$K30*'[2]II-F Alloc_Factor'!I$24,2)</f>
        <v>0</v>
      </c>
      <c r="S30" s="39">
        <f>ROUND(+$K30*'[2]II-F Alloc_Factor'!J$24,2)</f>
        <v>0</v>
      </c>
      <c r="T30" s="39">
        <f t="shared" si="4"/>
        <v>0</v>
      </c>
      <c r="U30" s="39">
        <f>ROUND(+$K30*'[2]II-F Alloc_Factor'!L$24,2)</f>
        <v>0</v>
      </c>
      <c r="V30" s="39">
        <f>+K30-Q30-T30-U30</f>
        <v>0</v>
      </c>
      <c r="W30" s="129">
        <f t="shared" si="5"/>
        <v>0</v>
      </c>
      <c r="X30" s="76" t="s">
        <v>297</v>
      </c>
      <c r="Y30" s="76" t="s">
        <v>459</v>
      </c>
      <c r="Z30" s="76" t="b">
        <f t="shared" si="6"/>
        <v>1</v>
      </c>
    </row>
    <row r="31" spans="1:27" s="76" customFormat="1" ht="12.75">
      <c r="A31" s="77">
        <v>17</v>
      </c>
      <c r="B31" s="77">
        <v>186</v>
      </c>
      <c r="C31" s="209" t="s">
        <v>354</v>
      </c>
      <c r="D31" s="86"/>
      <c r="E31" s="39">
        <v>178482.85000000001</v>
      </c>
      <c r="F31" s="39">
        <v>0</v>
      </c>
      <c r="G31" s="39">
        <f t="shared" si="2"/>
        <v>178482.85000000001</v>
      </c>
      <c r="H31" s="39">
        <v>0</v>
      </c>
      <c r="I31" s="39">
        <f t="shared" si="9"/>
        <v>178482.85000000001</v>
      </c>
      <c r="J31" s="178">
        <v>1</v>
      </c>
      <c r="K31" s="39">
        <f t="shared" si="11" ref="K31">+I31*J31</f>
        <v>178482.85000000001</v>
      </c>
      <c r="L31" s="39"/>
      <c r="M31" s="177" t="str">
        <f>+'[5]II-E-4.1'!$M$58</f>
        <v>Direct Assigned</v>
      </c>
      <c r="N31" s="39">
        <v>0</v>
      </c>
      <c r="O31" s="39">
        <v>0</v>
      </c>
      <c r="P31" s="39">
        <v>0</v>
      </c>
      <c r="Q31" s="39">
        <f t="shared" si="3"/>
        <v>0</v>
      </c>
      <c r="R31" s="39">
        <f>+K31</f>
        <v>178482.85000000001</v>
      </c>
      <c r="S31" s="39">
        <v>0</v>
      </c>
      <c r="T31" s="39">
        <f t="shared" si="4"/>
        <v>178482.85000000001</v>
      </c>
      <c r="U31" s="39">
        <v>0</v>
      </c>
      <c r="V31" s="39">
        <f>+'[5]II-E-4.1'!V58</f>
        <v>0</v>
      </c>
      <c r="W31" s="129">
        <f t="shared" si="5"/>
        <v>178482.85000000001</v>
      </c>
      <c r="X31" s="76" t="s">
        <v>372</v>
      </c>
      <c r="Y31" s="76" t="s">
        <v>373</v>
      </c>
      <c r="Z31" s="76" t="b">
        <f t="shared" si="6"/>
        <v>1</v>
      </c>
      <c r="AA31" s="173">
        <f>+W31-K31</f>
        <v>0</v>
      </c>
    </row>
    <row r="32" spans="1:26" s="76" customFormat="1" ht="12.75">
      <c r="A32" s="77">
        <v>18</v>
      </c>
      <c r="B32" s="77">
        <v>186</v>
      </c>
      <c r="C32" s="209" t="s">
        <v>355</v>
      </c>
      <c r="D32" s="86"/>
      <c r="E32" s="39">
        <v>304615.98999999999</v>
      </c>
      <c r="F32" s="39">
        <v>0</v>
      </c>
      <c r="G32" s="39">
        <f t="shared" si="2"/>
        <v>304615.98999999999</v>
      </c>
      <c r="H32" s="39">
        <v>0</v>
      </c>
      <c r="I32" s="39">
        <f t="shared" si="9"/>
        <v>304615.98999999999</v>
      </c>
      <c r="J32" s="178">
        <v>1</v>
      </c>
      <c r="K32" s="39">
        <f t="shared" si="10"/>
        <v>304615.98999999999</v>
      </c>
      <c r="L32" s="39"/>
      <c r="M32" s="371" t="s">
        <v>235</v>
      </c>
      <c r="N32" s="39">
        <v>0</v>
      </c>
      <c r="O32" s="39">
        <v>0</v>
      </c>
      <c r="P32" s="39">
        <v>0</v>
      </c>
      <c r="Q32" s="39">
        <f t="shared" si="12" ref="Q32:Q35">SUM(N32:P32)</f>
        <v>0</v>
      </c>
      <c r="R32" s="39">
        <f t="shared" si="13" ref="R32:R37">+K32</f>
        <v>304615.98999999999</v>
      </c>
      <c r="S32" s="39">
        <v>0</v>
      </c>
      <c r="T32" s="39">
        <f t="shared" si="14" ref="T32:T35">SUM(R32:S32)</f>
        <v>304615.98999999999</v>
      </c>
      <c r="U32" s="39">
        <v>0</v>
      </c>
      <c r="V32" s="39">
        <v>0</v>
      </c>
      <c r="W32" s="129">
        <f t="shared" si="5"/>
        <v>304615.98999999999</v>
      </c>
      <c r="X32" s="76" t="s">
        <v>298</v>
      </c>
      <c r="Y32" s="76" t="s">
        <v>460</v>
      </c>
      <c r="Z32" s="76" t="b">
        <f t="shared" si="6"/>
        <v>1</v>
      </c>
    </row>
    <row r="33" spans="1:26" s="76" customFormat="1" ht="12.75">
      <c r="A33" s="77">
        <v>19</v>
      </c>
      <c r="B33" s="77">
        <v>186</v>
      </c>
      <c r="C33" s="209" t="s">
        <v>356</v>
      </c>
      <c r="D33" s="86"/>
      <c r="E33" s="39">
        <v>167728.14000000001</v>
      </c>
      <c r="F33" s="39">
        <v>0</v>
      </c>
      <c r="G33" s="39">
        <f t="shared" si="2"/>
        <v>167728.14000000001</v>
      </c>
      <c r="H33" s="39">
        <v>0</v>
      </c>
      <c r="I33" s="39">
        <f>+G33+H33</f>
        <v>167728.14000000001</v>
      </c>
      <c r="J33" s="178">
        <v>1</v>
      </c>
      <c r="K33" s="39">
        <f t="shared" si="15" ref="K33:K35">+I33*J33</f>
        <v>167728.14000000001</v>
      </c>
      <c r="L33" s="39"/>
      <c r="M33" s="371" t="s">
        <v>235</v>
      </c>
      <c r="N33" s="39">
        <v>0</v>
      </c>
      <c r="O33" s="39">
        <v>0</v>
      </c>
      <c r="P33" s="39">
        <v>0</v>
      </c>
      <c r="Q33" s="39">
        <f t="shared" si="16" ref="Q33:Q34">SUM(N33:P33)</f>
        <v>0</v>
      </c>
      <c r="R33" s="39">
        <f t="shared" si="13"/>
        <v>167728.14000000001</v>
      </c>
      <c r="S33" s="39">
        <v>0</v>
      </c>
      <c r="T33" s="39">
        <f t="shared" si="17" ref="T33:T34">SUM(R33:S33)</f>
        <v>167728.14000000001</v>
      </c>
      <c r="U33" s="39">
        <v>0</v>
      </c>
      <c r="V33" s="39">
        <v>0</v>
      </c>
      <c r="W33" s="129">
        <f t="shared" si="5"/>
        <v>167728.14000000001</v>
      </c>
      <c r="X33" s="76" t="s">
        <v>298</v>
      </c>
      <c r="Y33" s="76" t="s">
        <v>461</v>
      </c>
      <c r="Z33" s="76" t="b">
        <f t="shared" si="6"/>
        <v>1</v>
      </c>
    </row>
    <row r="34" spans="1:26" s="76" customFormat="1" ht="12.75">
      <c r="A34" s="77">
        <v>20</v>
      </c>
      <c r="B34" s="77">
        <v>186</v>
      </c>
      <c r="C34" s="209" t="s">
        <v>449</v>
      </c>
      <c r="D34" s="86"/>
      <c r="E34" s="39">
        <v>215521.45999999999</v>
      </c>
      <c r="F34" s="39">
        <v>0</v>
      </c>
      <c r="G34" s="39">
        <f t="shared" si="2"/>
        <v>215521.45999999999</v>
      </c>
      <c r="H34" s="39">
        <v>0</v>
      </c>
      <c r="I34" s="39">
        <f t="shared" si="9"/>
        <v>215521.45999999999</v>
      </c>
      <c r="J34" s="178">
        <v>1</v>
      </c>
      <c r="K34" s="39">
        <f t="shared" si="15"/>
        <v>215521.45999999999</v>
      </c>
      <c r="L34" s="39"/>
      <c r="M34" s="371" t="s">
        <v>235</v>
      </c>
      <c r="N34" s="39">
        <v>0</v>
      </c>
      <c r="O34" s="39">
        <v>0</v>
      </c>
      <c r="P34" s="39">
        <v>0</v>
      </c>
      <c r="Q34" s="39">
        <f t="shared" si="16"/>
        <v>0</v>
      </c>
      <c r="R34" s="39">
        <f t="shared" si="13"/>
        <v>215521.45999999999</v>
      </c>
      <c r="S34" s="39">
        <v>0</v>
      </c>
      <c r="T34" s="39">
        <f t="shared" si="17"/>
        <v>215521.45999999999</v>
      </c>
      <c r="U34" s="39">
        <v>0</v>
      </c>
      <c r="V34" s="39">
        <v>0</v>
      </c>
      <c r="W34" s="129">
        <f t="shared" si="5"/>
        <v>215521.45999999999</v>
      </c>
      <c r="X34" s="76" t="s">
        <v>298</v>
      </c>
      <c r="Y34" s="76" t="s">
        <v>462</v>
      </c>
      <c r="Z34" s="76" t="b">
        <f t="shared" si="6"/>
        <v>1</v>
      </c>
    </row>
    <row r="35" spans="1:26" s="76" customFormat="1" ht="12.75">
      <c r="A35" s="77">
        <v>21</v>
      </c>
      <c r="B35" s="77">
        <v>186</v>
      </c>
      <c r="C35" s="209" t="s">
        <v>357</v>
      </c>
      <c r="D35" s="86"/>
      <c r="E35" s="39">
        <v>586172.70000000007</v>
      </c>
      <c r="F35" s="39">
        <v>0</v>
      </c>
      <c r="G35" s="39">
        <f t="shared" si="2"/>
        <v>586172.70000000007</v>
      </c>
      <c r="H35" s="39">
        <v>0</v>
      </c>
      <c r="I35" s="39">
        <f t="shared" si="9"/>
        <v>586172.70000000007</v>
      </c>
      <c r="J35" s="178">
        <v>1</v>
      </c>
      <c r="K35" s="39">
        <f t="shared" si="15"/>
        <v>586172.70000000007</v>
      </c>
      <c r="L35" s="39"/>
      <c r="M35" s="371" t="s">
        <v>235</v>
      </c>
      <c r="N35" s="39">
        <v>0</v>
      </c>
      <c r="O35" s="39">
        <f>ROUND(+$K35*'[2]II-F Alloc_Factor'!F$42,2)</f>
        <v>0</v>
      </c>
      <c r="P35" s="39">
        <f>ROUND(+$K35*'[2]II-F Alloc_Factor'!G$42,2)</f>
        <v>0</v>
      </c>
      <c r="Q35" s="39">
        <f t="shared" si="12"/>
        <v>0</v>
      </c>
      <c r="R35" s="39">
        <f t="shared" si="13"/>
        <v>586172.70000000007</v>
      </c>
      <c r="S35" s="39">
        <f>ROUND(+$K35*'[2]II-F Alloc_Factor'!J$42,2)</f>
        <v>0</v>
      </c>
      <c r="T35" s="39">
        <f t="shared" si="14"/>
        <v>586172.70000000007</v>
      </c>
      <c r="U35" s="39">
        <v>0</v>
      </c>
      <c r="V35" s="39">
        <v>0</v>
      </c>
      <c r="W35" s="129">
        <f t="shared" si="5"/>
        <v>586172.70000000007</v>
      </c>
      <c r="X35" s="76" t="s">
        <v>298</v>
      </c>
      <c r="Y35" s="76" t="s">
        <v>463</v>
      </c>
      <c r="Z35" s="76" t="b">
        <f t="shared" si="6"/>
        <v>1</v>
      </c>
    </row>
    <row r="36" spans="1:26" s="76" customFormat="1" ht="12.75">
      <c r="A36" s="77">
        <v>22</v>
      </c>
      <c r="B36" s="77">
        <v>186</v>
      </c>
      <c r="C36" s="209" t="s">
        <v>358</v>
      </c>
      <c r="D36" s="86"/>
      <c r="E36" s="39">
        <v>334785.03000000003</v>
      </c>
      <c r="F36" s="39">
        <v>0</v>
      </c>
      <c r="G36" s="39">
        <f t="shared" si="18" ref="G36:G50">+E36+F36</f>
        <v>334785.03000000003</v>
      </c>
      <c r="H36" s="39">
        <v>0</v>
      </c>
      <c r="I36" s="39">
        <f t="shared" si="19" ref="I36:I50">+G36+H36</f>
        <v>334785.03000000003</v>
      </c>
      <c r="J36" s="178">
        <v>1</v>
      </c>
      <c r="K36" s="39">
        <f t="shared" si="20" ref="K36:K50">+I36*J36</f>
        <v>334785.03000000003</v>
      </c>
      <c r="L36" s="39"/>
      <c r="M36" s="371" t="s">
        <v>235</v>
      </c>
      <c r="N36" s="39">
        <v>0</v>
      </c>
      <c r="O36" s="39">
        <f>ROUND(+$K36*'[2]II-F Alloc_Factor'!F$42,2)</f>
        <v>0</v>
      </c>
      <c r="P36" s="39">
        <f>ROUND(+$K36*'[2]II-F Alloc_Factor'!G$42,2)</f>
        <v>0</v>
      </c>
      <c r="Q36" s="39">
        <f t="shared" si="21" ref="Q36:Q37">SUM(N36:P36)</f>
        <v>0</v>
      </c>
      <c r="R36" s="39">
        <f t="shared" si="13"/>
        <v>334785.03000000003</v>
      </c>
      <c r="S36" s="39">
        <f>ROUND(+$K36*'[2]II-F Alloc_Factor'!J$42,2)</f>
        <v>0</v>
      </c>
      <c r="T36" s="39">
        <f t="shared" si="22" ref="T36:T37">SUM(R36:S36)</f>
        <v>334785.03000000003</v>
      </c>
      <c r="U36" s="39">
        <v>0</v>
      </c>
      <c r="V36" s="39">
        <v>0</v>
      </c>
      <c r="W36" s="129">
        <f t="shared" si="23" ref="W36:W50">+Q36+T36+U36+V36</f>
        <v>334785.03000000003</v>
      </c>
      <c r="X36" s="76" t="s">
        <v>298</v>
      </c>
      <c r="Y36" s="76" t="s">
        <v>464</v>
      </c>
      <c r="Z36" s="76" t="b">
        <f t="shared" si="6"/>
        <v>1</v>
      </c>
    </row>
    <row r="37" spans="1:26" s="76" customFormat="1" ht="12.75">
      <c r="A37" s="77">
        <v>23</v>
      </c>
      <c r="B37" s="77">
        <v>186</v>
      </c>
      <c r="C37" s="209" t="s">
        <v>450</v>
      </c>
      <c r="D37" s="86"/>
      <c r="E37" s="39">
        <v>3421289.8900000006</v>
      </c>
      <c r="F37" s="39">
        <v>0</v>
      </c>
      <c r="G37" s="39">
        <f t="shared" si="18"/>
        <v>3421289.8900000006</v>
      </c>
      <c r="H37" s="39">
        <f>+I37-G37</f>
        <v>3278710.1099999994</v>
      </c>
      <c r="I37" s="39">
        <f>+'[5]II-E-4.5'!$M$48</f>
        <v>6700000</v>
      </c>
      <c r="J37" s="178">
        <v>1</v>
      </c>
      <c r="K37" s="39">
        <f t="shared" si="20"/>
        <v>6700000</v>
      </c>
      <c r="L37" s="39"/>
      <c r="M37" s="371" t="s">
        <v>235</v>
      </c>
      <c r="N37" s="39">
        <v>0</v>
      </c>
      <c r="O37" s="39">
        <f>ROUND(+$K37*'[2]II-F Alloc_Factor'!F$42,2)</f>
        <v>0</v>
      </c>
      <c r="P37" s="39">
        <f>ROUND(+$K37*'[2]II-F Alloc_Factor'!G$42,2)</f>
        <v>0</v>
      </c>
      <c r="Q37" s="39">
        <f t="shared" si="21"/>
        <v>0</v>
      </c>
      <c r="R37" s="39">
        <f t="shared" si="13"/>
        <v>6700000</v>
      </c>
      <c r="S37" s="39">
        <f>ROUND(+$K37*'[2]II-F Alloc_Factor'!J$42,2)</f>
        <v>0</v>
      </c>
      <c r="T37" s="39">
        <f t="shared" si="22"/>
        <v>6700000</v>
      </c>
      <c r="U37" s="39">
        <v>0</v>
      </c>
      <c r="V37" s="39">
        <v>0</v>
      </c>
      <c r="W37" s="129">
        <f t="shared" si="23"/>
        <v>6700000</v>
      </c>
      <c r="X37" s="76" t="s">
        <v>298</v>
      </c>
      <c r="Y37" s="76" t="s">
        <v>295</v>
      </c>
      <c r="Z37" s="76" t="b">
        <f t="shared" si="6"/>
        <v>1</v>
      </c>
    </row>
    <row r="38" spans="1:26" s="76" customFormat="1" ht="12.75">
      <c r="A38" s="77">
        <v>24</v>
      </c>
      <c r="B38" s="77">
        <v>182</v>
      </c>
      <c r="C38" s="209" t="s">
        <v>360</v>
      </c>
      <c r="D38" s="86"/>
      <c r="E38" s="39">
        <v>75267069.370000005</v>
      </c>
      <c r="F38" s="39">
        <v>0</v>
      </c>
      <c r="G38" s="39">
        <f t="shared" si="18"/>
        <v>75267069.370000005</v>
      </c>
      <c r="H38" s="39">
        <v>0</v>
      </c>
      <c r="I38" s="39">
        <f t="shared" si="19"/>
        <v>75267069.370000005</v>
      </c>
      <c r="J38" s="178">
        <v>1</v>
      </c>
      <c r="K38" s="39">
        <f t="shared" si="20"/>
        <v>75267069.370000005</v>
      </c>
      <c r="L38" s="39"/>
      <c r="M38" s="177" t="s">
        <v>237</v>
      </c>
      <c r="N38" s="39">
        <v>0</v>
      </c>
      <c r="O38" s="39">
        <v>0</v>
      </c>
      <c r="P38" s="39">
        <v>0</v>
      </c>
      <c r="Q38" s="39">
        <f t="shared" si="3"/>
        <v>0</v>
      </c>
      <c r="R38" s="39">
        <f>+K38</f>
        <v>75267069.370000005</v>
      </c>
      <c r="S38" s="39">
        <v>0</v>
      </c>
      <c r="T38" s="39">
        <f t="shared" si="4"/>
        <v>75267069.370000005</v>
      </c>
      <c r="U38" s="39">
        <v>0</v>
      </c>
      <c r="V38" s="39">
        <v>0</v>
      </c>
      <c r="W38" s="129">
        <f t="shared" si="23"/>
        <v>75267069.370000005</v>
      </c>
      <c r="X38" s="76" t="s">
        <v>465</v>
      </c>
      <c r="Y38" s="76" t="s">
        <v>295</v>
      </c>
      <c r="Z38" s="76" t="b">
        <f t="shared" si="6"/>
        <v>1</v>
      </c>
    </row>
    <row r="39" spans="1:26" s="76" customFormat="1" ht="12.75">
      <c r="A39" s="77">
        <v>25</v>
      </c>
      <c r="B39" s="77">
        <v>182</v>
      </c>
      <c r="C39" s="209" t="s">
        <v>361</v>
      </c>
      <c r="D39" s="86"/>
      <c r="E39" s="39">
        <v>627362.98999999999</v>
      </c>
      <c r="F39" s="39">
        <v>0</v>
      </c>
      <c r="G39" s="39">
        <f t="shared" si="18"/>
        <v>627362.98999999999</v>
      </c>
      <c r="H39" s="39">
        <v>0</v>
      </c>
      <c r="I39" s="39">
        <f t="shared" si="19"/>
        <v>627362.98999999999</v>
      </c>
      <c r="J39" s="178">
        <v>1</v>
      </c>
      <c r="K39" s="39">
        <f t="shared" si="20"/>
        <v>627362.98999999999</v>
      </c>
      <c r="L39" s="39"/>
      <c r="M39" s="177" t="s">
        <v>237</v>
      </c>
      <c r="N39" s="39">
        <v>0</v>
      </c>
      <c r="O39" s="39">
        <v>0</v>
      </c>
      <c r="P39" s="39">
        <v>0</v>
      </c>
      <c r="Q39" s="39">
        <f t="shared" si="3"/>
        <v>0</v>
      </c>
      <c r="R39" s="39">
        <f>+K39</f>
        <v>627362.98999999999</v>
      </c>
      <c r="S39" s="39">
        <v>0</v>
      </c>
      <c r="T39" s="39">
        <f t="shared" si="4"/>
        <v>627362.98999999999</v>
      </c>
      <c r="U39" s="39">
        <v>0</v>
      </c>
      <c r="V39" s="39">
        <v>0</v>
      </c>
      <c r="W39" s="129">
        <f t="shared" si="23"/>
        <v>627362.98999999999</v>
      </c>
      <c r="X39" s="76" t="s">
        <v>466</v>
      </c>
      <c r="Y39" s="76" t="s">
        <v>467</v>
      </c>
      <c r="Z39" s="76" t="b">
        <f t="shared" si="6"/>
        <v>1</v>
      </c>
    </row>
    <row r="40" spans="1:26" s="76" customFormat="1" ht="12.75">
      <c r="A40" s="77">
        <v>26</v>
      </c>
      <c r="B40" s="77">
        <v>182</v>
      </c>
      <c r="C40" s="209" t="s">
        <v>362</v>
      </c>
      <c r="D40" s="86"/>
      <c r="E40" s="39">
        <v>2602847.4199999999</v>
      </c>
      <c r="F40" s="39">
        <v>0</v>
      </c>
      <c r="G40" s="39">
        <f t="shared" si="18"/>
        <v>2602847.4199999999</v>
      </c>
      <c r="H40" s="39">
        <v>0</v>
      </c>
      <c r="I40" s="39">
        <f t="shared" si="19"/>
        <v>2602847.4199999999</v>
      </c>
      <c r="J40" s="178">
        <v>1</v>
      </c>
      <c r="K40" s="39">
        <f t="shared" si="20"/>
        <v>2602847.4199999999</v>
      </c>
      <c r="L40" s="39"/>
      <c r="M40" s="177" t="s">
        <v>237</v>
      </c>
      <c r="N40" s="39">
        <v>0</v>
      </c>
      <c r="O40" s="39">
        <v>1716330.0800000001</v>
      </c>
      <c r="P40" s="39">
        <v>0</v>
      </c>
      <c r="Q40" s="39">
        <f t="shared" si="3"/>
        <v>1716330.0800000001</v>
      </c>
      <c r="R40" s="39">
        <v>0</v>
      </c>
      <c r="S40" s="39">
        <f>+K40-Q40</f>
        <v>886517.33999999985</v>
      </c>
      <c r="T40" s="39">
        <f t="shared" si="4"/>
        <v>886517.33999999985</v>
      </c>
      <c r="U40" s="39">
        <v>0</v>
      </c>
      <c r="V40" s="39">
        <v>0</v>
      </c>
      <c r="W40" s="129">
        <f t="shared" si="23"/>
        <v>2602847.4199999999</v>
      </c>
      <c r="X40" s="76" t="s">
        <v>468</v>
      </c>
      <c r="Y40" s="76" t="s">
        <v>295</v>
      </c>
      <c r="Z40" s="76" t="b">
        <f t="shared" si="6"/>
        <v>1</v>
      </c>
    </row>
    <row r="41" spans="1:26" s="76" customFormat="1" ht="12.75">
      <c r="A41" s="77">
        <v>27</v>
      </c>
      <c r="B41" s="77">
        <v>182</v>
      </c>
      <c r="C41" s="209" t="s">
        <v>363</v>
      </c>
      <c r="D41" s="86"/>
      <c r="E41" s="39">
        <v>7547565.1299999999</v>
      </c>
      <c r="F41" s="39">
        <v>0</v>
      </c>
      <c r="G41" s="39">
        <f t="shared" si="18"/>
        <v>7547565.1299999999</v>
      </c>
      <c r="H41" s="39">
        <v>-34164.940000000002</v>
      </c>
      <c r="I41" s="39">
        <f t="shared" si="19"/>
        <v>7513400.1899999995</v>
      </c>
      <c r="J41" s="178">
        <v>1</v>
      </c>
      <c r="K41" s="39">
        <f t="shared" si="20"/>
        <v>7513400.1899999995</v>
      </c>
      <c r="L41" s="39"/>
      <c r="M41" s="177" t="s">
        <v>237</v>
      </c>
      <c r="N41" s="39">
        <v>6343989.4100000001</v>
      </c>
      <c r="O41" s="39">
        <v>556203</v>
      </c>
      <c r="P41" s="39">
        <v>0</v>
      </c>
      <c r="Q41" s="39">
        <f t="shared" si="3"/>
        <v>6900192.4100000001</v>
      </c>
      <c r="R41" s="39">
        <f>+K41-Q41</f>
        <v>613207.77999999933</v>
      </c>
      <c r="S41" s="39">
        <v>0</v>
      </c>
      <c r="T41" s="39">
        <f t="shared" si="4"/>
        <v>613207.77999999933</v>
      </c>
      <c r="U41" s="39">
        <v>0</v>
      </c>
      <c r="V41" s="39">
        <v>0</v>
      </c>
      <c r="W41" s="129">
        <f t="shared" si="23"/>
        <v>7513400.1899999995</v>
      </c>
      <c r="X41" s="76" t="s">
        <v>469</v>
      </c>
      <c r="Y41" s="76" t="s">
        <v>295</v>
      </c>
      <c r="Z41" s="76" t="b">
        <f t="shared" si="6"/>
        <v>1</v>
      </c>
    </row>
    <row r="42" spans="1:26" s="76" customFormat="1" ht="12.75">
      <c r="A42" s="77">
        <v>28</v>
      </c>
      <c r="B42" s="77">
        <v>182</v>
      </c>
      <c r="C42" s="209" t="s">
        <v>280</v>
      </c>
      <c r="D42" s="86"/>
      <c r="E42" s="39">
        <v>8889387</v>
      </c>
      <c r="F42" s="39">
        <v>0</v>
      </c>
      <c r="G42" s="39">
        <f t="shared" si="18"/>
        <v>8889387</v>
      </c>
      <c r="H42" s="39">
        <f>+'[3]II-D-2.2a'!$D$41</f>
        <v>-530633.01000000001</v>
      </c>
      <c r="I42" s="39">
        <f t="shared" si="19"/>
        <v>8358753.9900000002</v>
      </c>
      <c r="J42" s="178">
        <v>1</v>
      </c>
      <c r="K42" s="39">
        <f t="shared" si="20"/>
        <v>8358753.9900000002</v>
      </c>
      <c r="L42" s="39"/>
      <c r="M42" s="177" t="s">
        <v>237</v>
      </c>
      <c r="N42" s="39">
        <v>0</v>
      </c>
      <c r="O42" s="39">
        <v>0</v>
      </c>
      <c r="P42" s="39">
        <v>0</v>
      </c>
      <c r="Q42" s="39">
        <f t="shared" si="3"/>
        <v>0</v>
      </c>
      <c r="R42" s="39">
        <v>0</v>
      </c>
      <c r="S42" s="39">
        <v>0</v>
      </c>
      <c r="T42" s="39">
        <f t="shared" si="4"/>
        <v>0</v>
      </c>
      <c r="U42" s="39">
        <v>0</v>
      </c>
      <c r="V42" s="39">
        <f>+K42</f>
        <v>8358753.9900000002</v>
      </c>
      <c r="W42" s="129">
        <f t="shared" si="23"/>
        <v>8358753.9900000002</v>
      </c>
      <c r="X42" s="76" t="s">
        <v>470</v>
      </c>
      <c r="Y42" s="76" t="s">
        <v>295</v>
      </c>
      <c r="Z42" s="76" t="b">
        <f t="shared" si="6"/>
        <v>1</v>
      </c>
    </row>
    <row r="43" spans="1:26" s="76" customFormat="1" ht="12.75">
      <c r="A43" s="77">
        <v>29</v>
      </c>
      <c r="B43" s="77">
        <v>182</v>
      </c>
      <c r="C43" s="209" t="s">
        <v>364</v>
      </c>
      <c r="D43" s="86"/>
      <c r="E43" s="39">
        <v>59200.770000000004</v>
      </c>
      <c r="F43" s="39">
        <v>0</v>
      </c>
      <c r="G43" s="39">
        <f t="shared" si="18"/>
        <v>59200.770000000004</v>
      </c>
      <c r="H43" s="39">
        <v>0</v>
      </c>
      <c r="I43" s="39">
        <f t="shared" si="19"/>
        <v>59200.770000000004</v>
      </c>
      <c r="J43" s="178">
        <v>1</v>
      </c>
      <c r="K43" s="39">
        <f t="shared" si="20"/>
        <v>59200.770000000004</v>
      </c>
      <c r="L43" s="39"/>
      <c r="M43" s="177" t="s">
        <v>237</v>
      </c>
      <c r="N43" s="39">
        <v>0</v>
      </c>
      <c r="O43" s="39">
        <v>0</v>
      </c>
      <c r="P43" s="39">
        <v>0</v>
      </c>
      <c r="Q43" s="39">
        <f t="shared" si="3"/>
        <v>0</v>
      </c>
      <c r="R43" s="39">
        <v>0</v>
      </c>
      <c r="S43" s="39">
        <v>0</v>
      </c>
      <c r="T43" s="39">
        <f t="shared" si="4"/>
        <v>0</v>
      </c>
      <c r="U43" s="39">
        <f>+K43</f>
        <v>59200.770000000004</v>
      </c>
      <c r="V43" s="39">
        <v>0</v>
      </c>
      <c r="W43" s="129">
        <f t="shared" si="23"/>
        <v>59200.770000000004</v>
      </c>
      <c r="X43" s="76" t="s">
        <v>296</v>
      </c>
      <c r="Y43" s="76" t="s">
        <v>371</v>
      </c>
      <c r="Z43" s="76" t="b">
        <f t="shared" si="6"/>
        <v>1</v>
      </c>
    </row>
    <row r="44" spans="1:26" s="76" customFormat="1" ht="12.75">
      <c r="A44" s="77">
        <v>30</v>
      </c>
      <c r="B44" s="77">
        <v>182</v>
      </c>
      <c r="C44" s="209" t="s">
        <v>365</v>
      </c>
      <c r="D44" s="86"/>
      <c r="E44" s="39">
        <v>524869.04000000004</v>
      </c>
      <c r="F44" s="39">
        <v>0</v>
      </c>
      <c r="G44" s="39">
        <f t="shared" si="18"/>
        <v>524869.04000000004</v>
      </c>
      <c r="H44" s="39">
        <v>0</v>
      </c>
      <c r="I44" s="39">
        <f t="shared" si="19"/>
        <v>524869.04000000004</v>
      </c>
      <c r="J44" s="178">
        <v>1</v>
      </c>
      <c r="K44" s="39">
        <f t="shared" si="20"/>
        <v>524869.04000000004</v>
      </c>
      <c r="L44" s="39"/>
      <c r="M44" s="177" t="s">
        <v>237</v>
      </c>
      <c r="N44" s="39">
        <v>0</v>
      </c>
      <c r="O44" s="39">
        <v>0</v>
      </c>
      <c r="P44" s="39">
        <v>0</v>
      </c>
      <c r="Q44" s="39">
        <f t="shared" si="3"/>
        <v>0</v>
      </c>
      <c r="R44" s="39">
        <v>0</v>
      </c>
      <c r="S44" s="39">
        <v>0</v>
      </c>
      <c r="T44" s="39">
        <f t="shared" si="4"/>
        <v>0</v>
      </c>
      <c r="U44" s="39">
        <f>+K44</f>
        <v>524869.04000000004</v>
      </c>
      <c r="V44" s="39">
        <v>0</v>
      </c>
      <c r="W44" s="129">
        <f t="shared" si="23"/>
        <v>524869.04000000004</v>
      </c>
      <c r="X44" s="76" t="s">
        <v>296</v>
      </c>
      <c r="Y44" s="76" t="s">
        <v>371</v>
      </c>
      <c r="Z44" s="76" t="b">
        <f t="shared" si="6"/>
        <v>1</v>
      </c>
    </row>
    <row r="45" spans="1:26" s="76" customFormat="1" ht="12.75">
      <c r="A45" s="77">
        <v>31</v>
      </c>
      <c r="B45" s="77">
        <v>182</v>
      </c>
      <c r="C45" s="209" t="s">
        <v>639</v>
      </c>
      <c r="D45" s="86"/>
      <c r="E45" s="39">
        <v>127299791.38</v>
      </c>
      <c r="F45" s="39">
        <v>0</v>
      </c>
      <c r="G45" s="39">
        <f t="shared" si="18"/>
        <v>127299791.38</v>
      </c>
      <c r="H45" s="39">
        <v>0</v>
      </c>
      <c r="I45" s="39">
        <f t="shared" si="19"/>
        <v>127299791.38</v>
      </c>
      <c r="J45" s="178">
        <v>1</v>
      </c>
      <c r="K45" s="39">
        <f t="shared" si="20"/>
        <v>127299791.38</v>
      </c>
      <c r="L45" s="39"/>
      <c r="M45" s="177" t="s">
        <v>237</v>
      </c>
      <c r="N45" s="39">
        <v>0</v>
      </c>
      <c r="O45" s="39">
        <v>0</v>
      </c>
      <c r="P45" s="39">
        <v>0</v>
      </c>
      <c r="Q45" s="39">
        <f t="shared" si="3"/>
        <v>0</v>
      </c>
      <c r="R45" s="39">
        <v>0</v>
      </c>
      <c r="S45" s="39">
        <v>0</v>
      </c>
      <c r="T45" s="39">
        <f t="shared" si="4"/>
        <v>0</v>
      </c>
      <c r="U45" s="39">
        <f>+K45</f>
        <v>127299791.38</v>
      </c>
      <c r="V45" s="39">
        <v>0</v>
      </c>
      <c r="W45" s="129">
        <f t="shared" si="23"/>
        <v>127299791.38</v>
      </c>
      <c r="X45" s="76" t="s">
        <v>296</v>
      </c>
      <c r="Y45" s="76" t="s">
        <v>375</v>
      </c>
      <c r="Z45" s="76" t="b">
        <f t="shared" si="6"/>
        <v>1</v>
      </c>
    </row>
    <row r="46" spans="1:26" s="76" customFormat="1" ht="12.75">
      <c r="A46" s="77">
        <v>32</v>
      </c>
      <c r="B46" s="77">
        <v>182</v>
      </c>
      <c r="C46" s="209" t="s">
        <v>240</v>
      </c>
      <c r="D46" s="86"/>
      <c r="E46" s="39">
        <v>30796489</v>
      </c>
      <c r="F46" s="39">
        <v>0</v>
      </c>
      <c r="G46" s="39">
        <f t="shared" si="18"/>
        <v>30796489</v>
      </c>
      <c r="H46" s="39">
        <f>-G46</f>
        <v>-30796489</v>
      </c>
      <c r="I46" s="39">
        <f t="shared" si="19"/>
        <v>0</v>
      </c>
      <c r="J46" s="178">
        <v>1</v>
      </c>
      <c r="K46" s="39">
        <f t="shared" si="20"/>
        <v>0</v>
      </c>
      <c r="L46" s="39"/>
      <c r="M46" s="177"/>
      <c r="N46" s="39">
        <v>0</v>
      </c>
      <c r="O46" s="39">
        <v>0</v>
      </c>
      <c r="P46" s="39">
        <v>0</v>
      </c>
      <c r="Q46" s="39">
        <f t="shared" si="3"/>
        <v>0</v>
      </c>
      <c r="R46" s="39">
        <v>0</v>
      </c>
      <c r="S46" s="39">
        <v>0</v>
      </c>
      <c r="T46" s="39">
        <f t="shared" si="4"/>
        <v>0</v>
      </c>
      <c r="U46" s="39">
        <v>0</v>
      </c>
      <c r="V46" s="39">
        <v>0</v>
      </c>
      <c r="W46" s="129">
        <f t="shared" si="23"/>
        <v>0</v>
      </c>
      <c r="X46" s="76" t="s">
        <v>300</v>
      </c>
      <c r="Y46" s="76" t="s">
        <v>471</v>
      </c>
      <c r="Z46" s="76" t="b">
        <f t="shared" si="6"/>
        <v>1</v>
      </c>
    </row>
    <row r="47" spans="1:26" s="76" customFormat="1" ht="12.75">
      <c r="A47" s="77">
        <v>33</v>
      </c>
      <c r="B47" s="77">
        <v>182</v>
      </c>
      <c r="C47" s="209" t="s">
        <v>367</v>
      </c>
      <c r="D47" s="86"/>
      <c r="E47" s="39">
        <v>58314503.970000006</v>
      </c>
      <c r="F47" s="39">
        <v>0</v>
      </c>
      <c r="G47" s="39">
        <f t="shared" si="18"/>
        <v>58314503.970000006</v>
      </c>
      <c r="H47" s="39">
        <f>-G47</f>
        <v>-58314503.970000006</v>
      </c>
      <c r="I47" s="39">
        <f t="shared" si="19"/>
        <v>0</v>
      </c>
      <c r="J47" s="178">
        <v>1</v>
      </c>
      <c r="K47" s="39">
        <f t="shared" si="20"/>
        <v>0</v>
      </c>
      <c r="L47" s="39"/>
      <c r="M47" s="177"/>
      <c r="N47" s="39">
        <v>0</v>
      </c>
      <c r="O47" s="39">
        <v>0</v>
      </c>
      <c r="P47" s="39">
        <v>0</v>
      </c>
      <c r="Q47" s="39">
        <f t="shared" si="3"/>
        <v>0</v>
      </c>
      <c r="R47" s="39">
        <v>0</v>
      </c>
      <c r="S47" s="39">
        <v>0</v>
      </c>
      <c r="T47" s="39">
        <f t="shared" si="4"/>
        <v>0</v>
      </c>
      <c r="U47" s="39">
        <v>0</v>
      </c>
      <c r="V47" s="39">
        <v>0</v>
      </c>
      <c r="W47" s="129">
        <f t="shared" si="23"/>
        <v>0</v>
      </c>
      <c r="X47" s="76" t="s">
        <v>299</v>
      </c>
      <c r="Y47" s="76" t="s">
        <v>472</v>
      </c>
      <c r="Z47" s="76" t="b">
        <f t="shared" si="6"/>
        <v>1</v>
      </c>
    </row>
    <row r="48" spans="1:26" s="76" customFormat="1" ht="12.75">
      <c r="A48" s="77">
        <v>34</v>
      </c>
      <c r="B48" s="77">
        <v>186</v>
      </c>
      <c r="C48" s="209" t="s">
        <v>279</v>
      </c>
      <c r="D48" s="86"/>
      <c r="E48" s="39">
        <v>8098711.6799999997</v>
      </c>
      <c r="F48" s="39">
        <v>0</v>
      </c>
      <c r="G48" s="39">
        <f t="shared" si="18"/>
        <v>8098711.6799999997</v>
      </c>
      <c r="H48" s="39">
        <f>-G48</f>
        <v>-8098711.6799999997</v>
      </c>
      <c r="I48" s="39">
        <f t="shared" si="19"/>
        <v>0</v>
      </c>
      <c r="J48" s="178">
        <v>1</v>
      </c>
      <c r="K48" s="39">
        <f t="shared" si="20"/>
        <v>0</v>
      </c>
      <c r="L48" s="39"/>
      <c r="M48" s="177"/>
      <c r="N48" s="39">
        <v>0</v>
      </c>
      <c r="O48" s="39">
        <v>0</v>
      </c>
      <c r="P48" s="39">
        <v>0</v>
      </c>
      <c r="Q48" s="39">
        <f t="shared" si="3"/>
        <v>0</v>
      </c>
      <c r="R48" s="39">
        <v>0</v>
      </c>
      <c r="S48" s="39">
        <v>0</v>
      </c>
      <c r="T48" s="39">
        <f t="shared" si="4"/>
        <v>0</v>
      </c>
      <c r="U48" s="39">
        <v>0</v>
      </c>
      <c r="V48" s="39">
        <v>0</v>
      </c>
      <c r="W48" s="129">
        <f t="shared" si="23"/>
        <v>0</v>
      </c>
      <c r="X48" s="76" t="s">
        <v>301</v>
      </c>
      <c r="Z48" s="76" t="b">
        <f t="shared" si="6"/>
        <v>1</v>
      </c>
    </row>
    <row r="49" spans="1:26" s="76" customFormat="1" ht="12.75">
      <c r="A49" s="77">
        <v>35</v>
      </c>
      <c r="B49" s="77">
        <v>186</v>
      </c>
      <c r="C49" s="209" t="s">
        <v>277</v>
      </c>
      <c r="D49" s="86"/>
      <c r="E49" s="39">
        <v>223287200.03999996</v>
      </c>
      <c r="F49" s="39">
        <v>0</v>
      </c>
      <c r="G49" s="39">
        <f t="shared" si="18"/>
        <v>223287200.03999996</v>
      </c>
      <c r="H49" s="39">
        <v>0</v>
      </c>
      <c r="I49" s="39">
        <f t="shared" si="19"/>
        <v>223287200.03999996</v>
      </c>
      <c r="J49" s="178">
        <v>1</v>
      </c>
      <c r="K49" s="39">
        <f t="shared" si="20"/>
        <v>223287200.03999996</v>
      </c>
      <c r="L49" s="39"/>
      <c r="M49" s="177" t="s">
        <v>237</v>
      </c>
      <c r="N49" s="39">
        <v>1332943.5700000001</v>
      </c>
      <c r="O49" s="39">
        <v>0</v>
      </c>
      <c r="P49" s="39">
        <v>0</v>
      </c>
      <c r="Q49" s="39">
        <f t="shared" si="3"/>
        <v>1332943.5700000001</v>
      </c>
      <c r="R49" s="39">
        <v>221954256.47</v>
      </c>
      <c r="S49" s="39">
        <v>0</v>
      </c>
      <c r="T49" s="39">
        <f t="shared" si="4"/>
        <v>221954256.47</v>
      </c>
      <c r="U49" s="39">
        <v>0</v>
      </c>
      <c r="V49" s="39">
        <v>0</v>
      </c>
      <c r="W49" s="129">
        <f t="shared" si="23"/>
        <v>223287200.03999999</v>
      </c>
      <c r="X49" s="76" t="s">
        <v>473</v>
      </c>
      <c r="Y49" s="76" t="s">
        <v>370</v>
      </c>
      <c r="Z49" s="76" t="b">
        <f t="shared" si="6"/>
        <v>1</v>
      </c>
    </row>
    <row r="50" spans="1:26" s="76" customFormat="1" ht="12.75">
      <c r="A50" s="77">
        <v>36</v>
      </c>
      <c r="B50" s="77">
        <v>186</v>
      </c>
      <c r="C50" s="209" t="s">
        <v>278</v>
      </c>
      <c r="D50" s="39"/>
      <c r="E50" s="39">
        <v>365258456.99000001</v>
      </c>
      <c r="F50" s="39">
        <v>0</v>
      </c>
      <c r="G50" s="39">
        <f t="shared" si="18"/>
        <v>365258456.99000001</v>
      </c>
      <c r="H50" s="39">
        <v>0</v>
      </c>
      <c r="I50" s="39">
        <f t="shared" si="19"/>
        <v>365258456.99000001</v>
      </c>
      <c r="J50" s="178">
        <v>1</v>
      </c>
      <c r="K50" s="39">
        <f t="shared" si="20"/>
        <v>365258456.99000001</v>
      </c>
      <c r="L50" s="39"/>
      <c r="M50" s="177" t="s">
        <v>237</v>
      </c>
      <c r="N50" s="39">
        <v>20801047.32</v>
      </c>
      <c r="O50" s="39">
        <v>3653514.4900000002</v>
      </c>
      <c r="P50" s="39">
        <v>0</v>
      </c>
      <c r="Q50" s="39">
        <f t="shared" si="3"/>
        <v>24454561.810000002</v>
      </c>
      <c r="R50" s="39">
        <v>340803895.18000001</v>
      </c>
      <c r="S50" s="39">
        <v>0</v>
      </c>
      <c r="T50" s="39">
        <f t="shared" si="4"/>
        <v>340803895.18000001</v>
      </c>
      <c r="U50" s="39">
        <v>0</v>
      </c>
      <c r="V50" s="39">
        <v>0</v>
      </c>
      <c r="W50" s="129">
        <f t="shared" si="23"/>
        <v>365258456.99000001</v>
      </c>
      <c r="X50" s="76" t="s">
        <v>474</v>
      </c>
      <c r="Y50" s="76" t="s">
        <v>295</v>
      </c>
      <c r="Z50" s="76" t="b">
        <f t="shared" si="6"/>
        <v>1</v>
      </c>
    </row>
    <row r="51" spans="1:26" s="76" customFormat="1" ht="12.75">
      <c r="A51" s="77">
        <v>37</v>
      </c>
      <c r="B51" s="91"/>
      <c r="C51" s="101" t="s">
        <v>217</v>
      </c>
      <c r="D51" s="86"/>
      <c r="E51" s="197">
        <f>SUM(E19:E50)</f>
        <v>1589538004.6000001</v>
      </c>
      <c r="F51" s="197">
        <f>SUM(F19:F50)</f>
        <v>0</v>
      </c>
      <c r="G51" s="197">
        <f>SUM(G19:G50)</f>
        <v>1589538004.6000001</v>
      </c>
      <c r="H51" s="197">
        <f>SUM(H19:H50)</f>
        <v>-559654470.52999985</v>
      </c>
      <c r="I51" s="197">
        <f>SUM(I19:I50)</f>
        <v>1029883534.0699999</v>
      </c>
      <c r="J51" s="189"/>
      <c r="K51" s="197">
        <f>SUM(K19:K50)</f>
        <v>1029883534.0699999</v>
      </c>
      <c r="L51" s="189"/>
      <c r="M51" s="189"/>
      <c r="N51" s="197">
        <f t="shared" si="24" ref="N51:W51">SUM(N19:N50)</f>
        <v>69209674.160000011</v>
      </c>
      <c r="O51" s="197">
        <f t="shared" si="24"/>
        <v>5926047.5700000003</v>
      </c>
      <c r="P51" s="197">
        <f t="shared" si="24"/>
        <v>0</v>
      </c>
      <c r="Q51" s="197">
        <f t="shared" si="24"/>
        <v>75135721.730000019</v>
      </c>
      <c r="R51" s="197">
        <f t="shared" si="24"/>
        <v>782642852.16000009</v>
      </c>
      <c r="S51" s="197">
        <f t="shared" si="24"/>
        <v>886517.33999999985</v>
      </c>
      <c r="T51" s="197">
        <f t="shared" si="24"/>
        <v>783529369.5</v>
      </c>
      <c r="U51" s="197">
        <f t="shared" si="24"/>
        <v>154598816.69</v>
      </c>
      <c r="V51" s="197">
        <f t="shared" si="24"/>
        <v>16619626.149999997</v>
      </c>
      <c r="W51" s="189">
        <f t="shared" si="24"/>
        <v>1029883534.0700001</v>
      </c>
      <c r="Z51" s="76" t="b">
        <f t="shared" si="6"/>
        <v>1</v>
      </c>
    </row>
    <row r="52" spans="1:23" s="76" customFormat="1" ht="12.75">
      <c r="A52" s="77">
        <v>38</v>
      </c>
      <c r="B52" s="91"/>
      <c r="C52" s="101"/>
      <c r="D52" s="86"/>
      <c r="E52" s="87"/>
      <c r="F52" s="87"/>
      <c r="G52" s="87"/>
      <c r="H52" s="87"/>
      <c r="I52" s="87"/>
      <c r="J52" s="179"/>
      <c r="K52" s="87"/>
      <c r="L52" s="39"/>
      <c r="M52" s="77"/>
      <c r="N52" s="87"/>
      <c r="O52" s="87"/>
      <c r="P52" s="87"/>
      <c r="Q52" s="87"/>
      <c r="R52" s="87"/>
      <c r="S52" s="87"/>
      <c r="T52" s="87"/>
      <c r="U52" s="87"/>
      <c r="V52" s="87"/>
      <c r="W52" s="87"/>
    </row>
    <row r="53" spans="1:23" s="76" customFormat="1" ht="12.75">
      <c r="A53" s="77">
        <v>39</v>
      </c>
      <c r="B53" s="80" t="s">
        <v>204</v>
      </c>
      <c r="C53" s="101"/>
      <c r="D53" s="86"/>
      <c r="E53" s="87"/>
      <c r="F53" s="87"/>
      <c r="G53" s="87"/>
      <c r="H53" s="87"/>
      <c r="I53" s="87"/>
      <c r="J53" s="179"/>
      <c r="K53" s="87"/>
      <c r="L53" s="39"/>
      <c r="M53" s="77"/>
      <c r="N53" s="87"/>
      <c r="O53" s="87"/>
      <c r="P53" s="87"/>
      <c r="Q53" s="87"/>
      <c r="R53" s="87"/>
      <c r="S53" s="87"/>
      <c r="T53" s="87"/>
      <c r="U53" s="87"/>
      <c r="V53" s="87"/>
      <c r="W53" s="87"/>
    </row>
    <row r="54" spans="1:26" s="76" customFormat="1" ht="12.75">
      <c r="A54" s="77">
        <v>40</v>
      </c>
      <c r="B54" s="77">
        <v>254</v>
      </c>
      <c r="C54" s="76" t="s">
        <v>475</v>
      </c>
      <c r="D54" s="86"/>
      <c r="E54" s="190">
        <v>-1348181167.3699999</v>
      </c>
      <c r="F54" s="190">
        <v>0</v>
      </c>
      <c r="G54" s="190">
        <f t="shared" si="25" ref="G54:G64">+E54+F54</f>
        <v>-1348181167.3699999</v>
      </c>
      <c r="H54" s="190">
        <f>-G54</f>
        <v>1348181167.3699999</v>
      </c>
      <c r="I54" s="190">
        <f t="shared" si="26" ref="I54:I64">+G54+H54</f>
        <v>0</v>
      </c>
      <c r="J54" s="178">
        <v>1</v>
      </c>
      <c r="K54" s="190">
        <f t="shared" si="27" ref="K54:K64">+I54*J54</f>
        <v>0</v>
      </c>
      <c r="L54" s="39"/>
      <c r="M54" s="77"/>
      <c r="N54" s="190">
        <v>0</v>
      </c>
      <c r="O54" s="190">
        <v>0</v>
      </c>
      <c r="P54" s="190">
        <v>0</v>
      </c>
      <c r="Q54" s="190">
        <f t="shared" si="28" ref="Q54:Q64">SUM(N54:P54)</f>
        <v>0</v>
      </c>
      <c r="R54" s="190">
        <v>0</v>
      </c>
      <c r="S54" s="190">
        <v>0</v>
      </c>
      <c r="T54" s="190">
        <f t="shared" si="29" ref="T54:T64">SUM(R54:S54)</f>
        <v>0</v>
      </c>
      <c r="U54" s="190">
        <v>0</v>
      </c>
      <c r="V54" s="190">
        <v>0</v>
      </c>
      <c r="W54" s="190">
        <f t="shared" si="30" ref="W54:W64">+Q54+T54+U54+V54</f>
        <v>0</v>
      </c>
      <c r="X54" s="76" t="s">
        <v>368</v>
      </c>
      <c r="Y54" s="76" t="s">
        <v>383</v>
      </c>
      <c r="Z54" s="76" t="b">
        <f t="shared" si="31" ref="Z54:Z65">ROUND(+W54,2)=ROUND(K54,2)</f>
        <v>1</v>
      </c>
    </row>
    <row r="55" spans="1:26" s="76" customFormat="1" ht="12.75">
      <c r="A55" s="77">
        <v>41</v>
      </c>
      <c r="B55" s="77" t="s">
        <v>377</v>
      </c>
      <c r="C55" s="76" t="s">
        <v>283</v>
      </c>
      <c r="D55" s="86"/>
      <c r="E55" s="39">
        <v>1427091.1899999995</v>
      </c>
      <c r="F55" s="39">
        <v>0</v>
      </c>
      <c r="G55" s="39">
        <f t="shared" si="25"/>
        <v>1427091.1899999995</v>
      </c>
      <c r="H55" s="39">
        <f>-G55</f>
        <v>-1427091.1899999995</v>
      </c>
      <c r="I55" s="39">
        <f t="shared" si="26"/>
        <v>0</v>
      </c>
      <c r="J55" s="178">
        <v>1</v>
      </c>
      <c r="K55" s="39">
        <f t="shared" si="27"/>
        <v>0</v>
      </c>
      <c r="L55" s="39"/>
      <c r="M55" s="77"/>
      <c r="N55" s="39">
        <v>0</v>
      </c>
      <c r="O55" s="39">
        <v>0</v>
      </c>
      <c r="P55" s="39">
        <v>0</v>
      </c>
      <c r="Q55" s="39">
        <f t="shared" si="28"/>
        <v>0</v>
      </c>
      <c r="R55" s="39">
        <v>0</v>
      </c>
      <c r="S55" s="39">
        <v>0</v>
      </c>
      <c r="T55" s="39">
        <f t="shared" si="29"/>
        <v>0</v>
      </c>
      <c r="U55" s="39">
        <v>0</v>
      </c>
      <c r="V55" s="39">
        <v>0</v>
      </c>
      <c r="W55" s="129">
        <f t="shared" si="30"/>
        <v>0</v>
      </c>
      <c r="X55" s="76" t="s">
        <v>300</v>
      </c>
      <c r="Z55" s="76" t="b">
        <f t="shared" si="31"/>
        <v>1</v>
      </c>
    </row>
    <row r="56" spans="1:26" s="76" customFormat="1" ht="12.75">
      <c r="A56" s="77">
        <v>42</v>
      </c>
      <c r="B56" s="77">
        <v>254</v>
      </c>
      <c r="C56" s="76" t="s">
        <v>476</v>
      </c>
      <c r="D56" s="86"/>
      <c r="E56" s="39">
        <v>-13536942.92</v>
      </c>
      <c r="F56" s="39">
        <v>0</v>
      </c>
      <c r="G56" s="39">
        <f t="shared" si="32" ref="G56:G60">+E56+F56</f>
        <v>-13536942.92</v>
      </c>
      <c r="H56" s="39">
        <v>0</v>
      </c>
      <c r="I56" s="39">
        <f t="shared" si="33" ref="I56:I60">+G56+H56</f>
        <v>-13536942.92</v>
      </c>
      <c r="J56" s="178">
        <v>1</v>
      </c>
      <c r="K56" s="39">
        <f t="shared" si="34" ref="K56:K60">+I56*J56</f>
        <v>-13536942.92</v>
      </c>
      <c r="L56" s="39"/>
      <c r="M56" s="77" t="s">
        <v>237</v>
      </c>
      <c r="N56" s="39">
        <v>-163118.13000000001</v>
      </c>
      <c r="O56" s="39">
        <v>0</v>
      </c>
      <c r="P56" s="39">
        <v>0</v>
      </c>
      <c r="Q56" s="39">
        <f t="shared" si="28"/>
        <v>-163118.13000000001</v>
      </c>
      <c r="R56" s="39">
        <v>-13373824.789999999</v>
      </c>
      <c r="S56" s="39">
        <v>0</v>
      </c>
      <c r="T56" s="39">
        <f t="shared" si="29"/>
        <v>-13373824.789999999</v>
      </c>
      <c r="U56" s="39">
        <v>0</v>
      </c>
      <c r="V56" s="39">
        <v>0</v>
      </c>
      <c r="W56" s="129">
        <f t="shared" si="30"/>
        <v>-13536942.92</v>
      </c>
      <c r="Z56" s="76" t="b">
        <f t="shared" si="31"/>
        <v>1</v>
      </c>
    </row>
    <row r="57" spans="1:26" s="76" customFormat="1" ht="12.75">
      <c r="A57" s="77">
        <v>43</v>
      </c>
      <c r="B57" s="77">
        <v>254</v>
      </c>
      <c r="C57" s="76" t="s">
        <v>477</v>
      </c>
      <c r="D57" s="86"/>
      <c r="E57" s="39">
        <v>-65327867.48999998</v>
      </c>
      <c r="F57" s="39">
        <v>0</v>
      </c>
      <c r="G57" s="39">
        <f t="shared" si="32"/>
        <v>-65327867.48999998</v>
      </c>
      <c r="H57" s="39">
        <f>-G57</f>
        <v>65327867.48999998</v>
      </c>
      <c r="I57" s="39">
        <f t="shared" si="33"/>
        <v>0</v>
      </c>
      <c r="J57" s="178">
        <v>1</v>
      </c>
      <c r="K57" s="39">
        <f t="shared" si="34"/>
        <v>0</v>
      </c>
      <c r="L57" s="39"/>
      <c r="M57" s="77"/>
      <c r="N57" s="39">
        <v>0</v>
      </c>
      <c r="O57" s="39">
        <v>0</v>
      </c>
      <c r="P57" s="39">
        <v>0</v>
      </c>
      <c r="Q57" s="39">
        <f t="shared" si="28"/>
        <v>0</v>
      </c>
      <c r="R57" s="39">
        <v>0</v>
      </c>
      <c r="S57" s="39">
        <v>0</v>
      </c>
      <c r="T57" s="39">
        <f t="shared" si="29"/>
        <v>0</v>
      </c>
      <c r="U57" s="39">
        <v>0</v>
      </c>
      <c r="V57" s="39">
        <v>0</v>
      </c>
      <c r="W57" s="129">
        <f t="shared" si="30"/>
        <v>0</v>
      </c>
      <c r="Z57" s="76" t="b">
        <f t="shared" si="31"/>
        <v>1</v>
      </c>
    </row>
    <row r="58" spans="1:26" s="76" customFormat="1" ht="12.75">
      <c r="A58" s="77">
        <v>44</v>
      </c>
      <c r="B58" s="77">
        <v>254</v>
      </c>
      <c r="C58" s="76" t="s">
        <v>478</v>
      </c>
      <c r="D58" s="86"/>
      <c r="E58" s="39">
        <v>-1233869</v>
      </c>
      <c r="F58" s="39">
        <v>0</v>
      </c>
      <c r="G58" s="39">
        <f t="shared" si="35" ref="G58:G59">+E58+F58</f>
        <v>-1233869</v>
      </c>
      <c r="H58" s="39">
        <f>-G58</f>
        <v>1233869</v>
      </c>
      <c r="I58" s="39">
        <f t="shared" si="36" ref="I58:I59">+G58+H58</f>
        <v>0</v>
      </c>
      <c r="J58" s="178">
        <v>1</v>
      </c>
      <c r="K58" s="39">
        <f t="shared" si="37" ref="K58:K59">+I58*J58</f>
        <v>0</v>
      </c>
      <c r="L58" s="39"/>
      <c r="M58" s="77"/>
      <c r="N58" s="39">
        <v>0</v>
      </c>
      <c r="O58" s="39">
        <v>0</v>
      </c>
      <c r="P58" s="39">
        <v>0</v>
      </c>
      <c r="Q58" s="39">
        <f t="shared" si="38" ref="Q58:Q59">SUM(N58:P58)</f>
        <v>0</v>
      </c>
      <c r="R58" s="39">
        <v>0</v>
      </c>
      <c r="S58" s="39">
        <v>0</v>
      </c>
      <c r="T58" s="39">
        <f t="shared" si="39" ref="T58:T59">SUM(R58:S58)</f>
        <v>0</v>
      </c>
      <c r="U58" s="39">
        <v>0</v>
      </c>
      <c r="V58" s="39">
        <v>0</v>
      </c>
      <c r="W58" s="129">
        <f t="shared" si="40" ref="W58:W59">+Q58+T58+U58+V58</f>
        <v>0</v>
      </c>
      <c r="Z58" s="76" t="b">
        <f t="shared" si="31"/>
        <v>1</v>
      </c>
    </row>
    <row r="59" spans="1:26" s="76" customFormat="1" ht="12.75">
      <c r="A59" s="77">
        <v>45</v>
      </c>
      <c r="B59" s="77">
        <v>254</v>
      </c>
      <c r="C59" s="76" t="s">
        <v>379</v>
      </c>
      <c r="D59" s="86"/>
      <c r="E59" s="39">
        <v>81644.489999999743</v>
      </c>
      <c r="F59" s="39">
        <v>0</v>
      </c>
      <c r="G59" s="39">
        <f t="shared" si="35"/>
        <v>81644.489999999743</v>
      </c>
      <c r="H59" s="39">
        <v>0</v>
      </c>
      <c r="I59" s="39">
        <f t="shared" si="36"/>
        <v>81644.489999999743</v>
      </c>
      <c r="J59" s="178">
        <v>1</v>
      </c>
      <c r="K59" s="39">
        <f t="shared" si="37"/>
        <v>81644.489999999743</v>
      </c>
      <c r="L59" s="39"/>
      <c r="M59" s="77" t="s">
        <v>237</v>
      </c>
      <c r="N59" s="39">
        <v>0</v>
      </c>
      <c r="O59" s="39">
        <v>0</v>
      </c>
      <c r="P59" s="39">
        <v>0</v>
      </c>
      <c r="Q59" s="39">
        <f t="shared" si="38"/>
        <v>0</v>
      </c>
      <c r="R59" s="39">
        <v>81644.489999999743</v>
      </c>
      <c r="S59" s="39">
        <v>0</v>
      </c>
      <c r="T59" s="39">
        <f t="shared" si="39"/>
        <v>81644.489999999743</v>
      </c>
      <c r="U59" s="39">
        <v>0</v>
      </c>
      <c r="V59" s="39">
        <v>0</v>
      </c>
      <c r="W59" s="129">
        <f t="shared" si="40"/>
        <v>81644.489999999743</v>
      </c>
      <c r="Z59" s="76" t="b">
        <f t="shared" si="31"/>
        <v>1</v>
      </c>
    </row>
    <row r="60" spans="1:26" s="76" customFormat="1" ht="12.75">
      <c r="A60" s="77">
        <v>46</v>
      </c>
      <c r="B60" s="77">
        <v>254</v>
      </c>
      <c r="C60" s="76" t="s">
        <v>380</v>
      </c>
      <c r="D60" s="86"/>
      <c r="E60" s="39">
        <v>2368303.2899999991</v>
      </c>
      <c r="F60" s="39">
        <v>0</v>
      </c>
      <c r="G60" s="39">
        <f t="shared" si="32"/>
        <v>2368303.2899999991</v>
      </c>
      <c r="H60" s="39">
        <v>0</v>
      </c>
      <c r="I60" s="39">
        <f t="shared" si="33"/>
        <v>2368303.2899999991</v>
      </c>
      <c r="J60" s="178">
        <v>1</v>
      </c>
      <c r="K60" s="39">
        <f t="shared" si="34"/>
        <v>2368303.2899999991</v>
      </c>
      <c r="L60" s="39"/>
      <c r="M60" s="77" t="s">
        <v>237</v>
      </c>
      <c r="N60" s="39">
        <v>0</v>
      </c>
      <c r="O60" s="39">
        <v>0</v>
      </c>
      <c r="P60" s="39">
        <v>0</v>
      </c>
      <c r="Q60" s="39">
        <f t="shared" si="28"/>
        <v>0</v>
      </c>
      <c r="R60" s="39">
        <v>2368303.2899999991</v>
      </c>
      <c r="S60" s="39">
        <v>0</v>
      </c>
      <c r="T60" s="39">
        <f t="shared" si="29"/>
        <v>2368303.2899999991</v>
      </c>
      <c r="U60" s="39">
        <v>0</v>
      </c>
      <c r="V60" s="39">
        <v>0</v>
      </c>
      <c r="W60" s="129">
        <f t="shared" si="30"/>
        <v>2368303.2899999991</v>
      </c>
      <c r="X60" s="76" t="s">
        <v>384</v>
      </c>
      <c r="Y60" s="76" t="s">
        <v>385</v>
      </c>
      <c r="Z60" s="76" t="b">
        <f t="shared" si="31"/>
        <v>1</v>
      </c>
    </row>
    <row r="61" spans="1:26" s="76" customFormat="1" ht="12.75">
      <c r="A61" s="77">
        <v>47</v>
      </c>
      <c r="B61" s="77">
        <v>254</v>
      </c>
      <c r="C61" s="209" t="s">
        <v>494</v>
      </c>
      <c r="D61" s="86"/>
      <c r="E61" s="39">
        <v>-1946862.6200000001</v>
      </c>
      <c r="F61" s="39">
        <v>0</v>
      </c>
      <c r="G61" s="39">
        <f t="shared" si="25"/>
        <v>-1946862.6200000001</v>
      </c>
      <c r="H61" s="39">
        <f>-G61</f>
        <v>1946862.6200000001</v>
      </c>
      <c r="I61" s="39">
        <f t="shared" si="26"/>
        <v>0</v>
      </c>
      <c r="J61" s="178">
        <v>1</v>
      </c>
      <c r="K61" s="39">
        <f t="shared" si="27"/>
        <v>0</v>
      </c>
      <c r="L61" s="39"/>
      <c r="M61" s="77"/>
      <c r="N61" s="39">
        <v>0</v>
      </c>
      <c r="O61" s="39">
        <v>0</v>
      </c>
      <c r="P61" s="39">
        <v>0</v>
      </c>
      <c r="Q61" s="39">
        <f t="shared" si="28"/>
        <v>0</v>
      </c>
      <c r="R61" s="39">
        <v>0</v>
      </c>
      <c r="S61" s="39">
        <v>0</v>
      </c>
      <c r="T61" s="39">
        <f t="shared" si="29"/>
        <v>0</v>
      </c>
      <c r="U61" s="39">
        <v>0</v>
      </c>
      <c r="V61" s="39">
        <v>0</v>
      </c>
      <c r="W61" s="129">
        <f t="shared" si="30"/>
        <v>0</v>
      </c>
      <c r="X61" s="76" t="s">
        <v>386</v>
      </c>
      <c r="Y61" s="76" t="s">
        <v>387</v>
      </c>
      <c r="Z61" s="76" t="b">
        <f t="shared" si="31"/>
        <v>1</v>
      </c>
    </row>
    <row r="62" spans="1:26" s="76" customFormat="1" ht="12.75">
      <c r="A62" s="77">
        <v>48</v>
      </c>
      <c r="B62" s="77">
        <v>254</v>
      </c>
      <c r="C62" s="209" t="s">
        <v>381</v>
      </c>
      <c r="D62" s="86"/>
      <c r="E62" s="39">
        <v>-254178.24000000002</v>
      </c>
      <c r="F62" s="39">
        <v>0</v>
      </c>
      <c r="G62" s="39">
        <f t="shared" si="41" ref="G62">+E62+F62</f>
        <v>-254178.24000000002</v>
      </c>
      <c r="H62" s="39">
        <v>0</v>
      </c>
      <c r="I62" s="39">
        <f t="shared" si="42" ref="I62">+G62+H62</f>
        <v>-254178.24000000002</v>
      </c>
      <c r="J62" s="178">
        <v>1</v>
      </c>
      <c r="K62" s="39">
        <f t="shared" si="43" ref="K62">+I62*J62</f>
        <v>-254178.24000000002</v>
      </c>
      <c r="L62" s="39"/>
      <c r="M62" s="77" t="s">
        <v>237</v>
      </c>
      <c r="N62" s="39">
        <v>0</v>
      </c>
      <c r="O62" s="39">
        <v>0</v>
      </c>
      <c r="P62" s="39">
        <v>0</v>
      </c>
      <c r="Q62" s="39">
        <f t="shared" si="28"/>
        <v>0</v>
      </c>
      <c r="R62" s="39">
        <v>-254178.24000000002</v>
      </c>
      <c r="S62" s="39">
        <v>0</v>
      </c>
      <c r="T62" s="39">
        <f t="shared" si="29"/>
        <v>-254178.24000000002</v>
      </c>
      <c r="U62" s="39">
        <v>0</v>
      </c>
      <c r="V62" s="39">
        <v>0</v>
      </c>
      <c r="W62" s="129">
        <f t="shared" si="30"/>
        <v>-254178.24000000002</v>
      </c>
      <c r="X62" s="76" t="s">
        <v>388</v>
      </c>
      <c r="Z62" s="76" t="b">
        <f t="shared" si="31"/>
        <v>1</v>
      </c>
    </row>
    <row r="63" spans="1:26" s="76" customFormat="1" ht="12.75">
      <c r="A63" s="77">
        <v>49</v>
      </c>
      <c r="B63" s="77">
        <v>254</v>
      </c>
      <c r="C63" s="209" t="s">
        <v>479</v>
      </c>
      <c r="D63" s="86"/>
      <c r="E63" s="39">
        <v>-39289143.68</v>
      </c>
      <c r="F63" s="39">
        <v>0</v>
      </c>
      <c r="G63" s="39">
        <f t="shared" si="25"/>
        <v>-39289143.68</v>
      </c>
      <c r="H63" s="39">
        <v>0</v>
      </c>
      <c r="I63" s="39">
        <f t="shared" si="26"/>
        <v>-39289143.68</v>
      </c>
      <c r="J63" s="178">
        <v>1</v>
      </c>
      <c r="K63" s="39">
        <f t="shared" si="27"/>
        <v>-39289143.68</v>
      </c>
      <c r="L63" s="39"/>
      <c r="M63" s="77" t="s">
        <v>236</v>
      </c>
      <c r="N63" s="39">
        <v>-8651530.9000000004</v>
      </c>
      <c r="O63" s="39">
        <v>0</v>
      </c>
      <c r="P63" s="39">
        <v>0</v>
      </c>
      <c r="Q63" s="39">
        <f t="shared" si="28"/>
        <v>-8651530.9000000004</v>
      </c>
      <c r="R63" s="39">
        <v>-23868135.579999998</v>
      </c>
      <c r="S63" s="39">
        <v>0</v>
      </c>
      <c r="T63" s="39">
        <f t="shared" si="29"/>
        <v>-23868135.579999998</v>
      </c>
      <c r="U63" s="39">
        <v>-6507602.71</v>
      </c>
      <c r="V63" s="39">
        <v>-261874.48999999999</v>
      </c>
      <c r="W63" s="129">
        <f t="shared" si="30"/>
        <v>-39289143.68</v>
      </c>
      <c r="X63" s="76" t="s">
        <v>389</v>
      </c>
      <c r="Y63" s="76" t="s">
        <v>374</v>
      </c>
      <c r="Z63" s="76" t="b">
        <f t="shared" si="31"/>
        <v>1</v>
      </c>
    </row>
    <row r="64" spans="1:26" s="76" customFormat="1" ht="12.75">
      <c r="A64" s="77">
        <v>50</v>
      </c>
      <c r="B64" s="77">
        <v>257</v>
      </c>
      <c r="C64" s="209" t="s">
        <v>382</v>
      </c>
      <c r="D64" s="86"/>
      <c r="E64" s="39">
        <v>-26090759.66</v>
      </c>
      <c r="F64" s="39">
        <v>0</v>
      </c>
      <c r="G64" s="39">
        <f t="shared" si="25"/>
        <v>-26090759.66</v>
      </c>
      <c r="H64" s="39">
        <f>-G64</f>
        <v>26090759.66</v>
      </c>
      <c r="I64" s="39">
        <f t="shared" si="26"/>
        <v>0</v>
      </c>
      <c r="J64" s="178">
        <v>1</v>
      </c>
      <c r="K64" s="39">
        <f t="shared" si="27"/>
        <v>0</v>
      </c>
      <c r="L64" s="39"/>
      <c r="M64" s="77"/>
      <c r="N64" s="39">
        <v>0</v>
      </c>
      <c r="O64" s="39">
        <v>0</v>
      </c>
      <c r="P64" s="39">
        <v>0</v>
      </c>
      <c r="Q64" s="39">
        <f t="shared" si="28"/>
        <v>0</v>
      </c>
      <c r="R64" s="39">
        <v>0</v>
      </c>
      <c r="S64" s="39">
        <v>0</v>
      </c>
      <c r="T64" s="39">
        <f t="shared" si="29"/>
        <v>0</v>
      </c>
      <c r="U64" s="39">
        <v>0</v>
      </c>
      <c r="V64" s="39">
        <v>0</v>
      </c>
      <c r="W64" s="129">
        <f t="shared" si="30"/>
        <v>0</v>
      </c>
      <c r="X64" s="76" t="s">
        <v>368</v>
      </c>
      <c r="Y64" s="76" t="s">
        <v>369</v>
      </c>
      <c r="Z64" s="76" t="b">
        <f t="shared" si="31"/>
        <v>1</v>
      </c>
    </row>
    <row r="65" spans="1:26" s="76" customFormat="1" ht="12.75">
      <c r="A65" s="77">
        <v>51</v>
      </c>
      <c r="B65" s="91"/>
      <c r="C65" s="101" t="s">
        <v>218</v>
      </c>
      <c r="D65" s="86"/>
      <c r="E65" s="197">
        <f>SUM(E54:E64)</f>
        <v>-1491983752.01</v>
      </c>
      <c r="F65" s="197">
        <f>SUM(F54:F64)</f>
        <v>0</v>
      </c>
      <c r="G65" s="197">
        <f>SUM(G54:G64)</f>
        <v>-1491983752.01</v>
      </c>
      <c r="H65" s="197">
        <f>SUM(H54:H64)</f>
        <v>1441353434.9499998</v>
      </c>
      <c r="I65" s="197">
        <f>SUM(I54:I64)</f>
        <v>-50630317.060000002</v>
      </c>
      <c r="J65" s="189"/>
      <c r="K65" s="197">
        <f>SUM(K54:K64)</f>
        <v>-50630317.060000002</v>
      </c>
      <c r="L65" s="189"/>
      <c r="M65" s="189"/>
      <c r="N65" s="197">
        <f t="shared" si="44" ref="N65:W65">SUM(N54:N64)</f>
        <v>-8814649.0300000012</v>
      </c>
      <c r="O65" s="197">
        <f t="shared" si="44"/>
        <v>0</v>
      </c>
      <c r="P65" s="197">
        <f t="shared" si="45" ref="P65">SUM(P54:P64)</f>
        <v>0</v>
      </c>
      <c r="Q65" s="197">
        <f>SUM(Q54:Q64)</f>
        <v>-8814649.0300000012</v>
      </c>
      <c r="R65" s="197">
        <f t="shared" si="44"/>
        <v>-35046190.829999998</v>
      </c>
      <c r="S65" s="197">
        <f t="shared" si="44"/>
        <v>0</v>
      </c>
      <c r="T65" s="197">
        <f t="shared" si="44"/>
        <v>-35046190.829999998</v>
      </c>
      <c r="U65" s="197">
        <f t="shared" si="44"/>
        <v>-6507602.71</v>
      </c>
      <c r="V65" s="197">
        <f t="shared" si="46" ref="V65">SUM(V54:V64)</f>
        <v>-261874.48999999999</v>
      </c>
      <c r="W65" s="197">
        <f t="shared" si="44"/>
        <v>-50630317.060000002</v>
      </c>
      <c r="Z65" s="76" t="b">
        <f t="shared" si="31"/>
        <v>1</v>
      </c>
    </row>
    <row r="66" spans="1:23" s="80" customFormat="1" ht="12.75">
      <c r="A66" s="77">
        <v>52</v>
      </c>
      <c r="B66" s="76"/>
      <c r="C66" s="90"/>
      <c r="D66" s="87"/>
      <c r="E66" s="87"/>
      <c r="F66" s="87"/>
      <c r="G66" s="87"/>
      <c r="H66" s="87"/>
      <c r="I66" s="87"/>
      <c r="J66" s="179"/>
      <c r="K66" s="88"/>
      <c r="L66" s="87"/>
      <c r="M66" s="88"/>
      <c r="N66" s="87"/>
      <c r="O66" s="87"/>
      <c r="P66" s="87"/>
      <c r="Q66" s="87"/>
      <c r="R66" s="87"/>
      <c r="S66" s="87"/>
      <c r="T66" s="87"/>
      <c r="U66" s="87"/>
      <c r="V66" s="87"/>
      <c r="W66" s="87"/>
    </row>
    <row r="67" spans="1:26" s="80" customFormat="1" ht="12.75" customHeight="1">
      <c r="A67" s="77">
        <v>53</v>
      </c>
      <c r="B67" s="101" t="s">
        <v>205</v>
      </c>
      <c r="D67" s="86" t="s">
        <v>170</v>
      </c>
      <c r="E67" s="189">
        <f>E51+E65</f>
        <v>97554252.590000153</v>
      </c>
      <c r="F67" s="189">
        <f>F51+F65</f>
        <v>0</v>
      </c>
      <c r="G67" s="189">
        <f>G51+G65</f>
        <v>97554252.590000153</v>
      </c>
      <c r="H67" s="189">
        <f>H51+H65</f>
        <v>881698964.41999996</v>
      </c>
      <c r="I67" s="189">
        <f>I51+I65</f>
        <v>979253217.00999999</v>
      </c>
      <c r="J67" s="189"/>
      <c r="K67" s="189">
        <f>K51+K65</f>
        <v>979253217.00999999</v>
      </c>
      <c r="L67" s="189"/>
      <c r="M67" s="189"/>
      <c r="N67" s="189">
        <f t="shared" si="47" ref="N67:W67">N51+N65</f>
        <v>60395025.13000001</v>
      </c>
      <c r="O67" s="189">
        <f t="shared" si="47"/>
        <v>5926047.5700000003</v>
      </c>
      <c r="P67" s="189">
        <f t="shared" si="48" ref="P67">P51+P65</f>
        <v>0</v>
      </c>
      <c r="Q67" s="189">
        <f>Q51+Q65</f>
        <v>66321072.700000018</v>
      </c>
      <c r="R67" s="189">
        <f t="shared" si="47"/>
        <v>747596661.33000004</v>
      </c>
      <c r="S67" s="189">
        <f t="shared" si="47"/>
        <v>886517.33999999985</v>
      </c>
      <c r="T67" s="189">
        <f t="shared" si="47"/>
        <v>748483178.66999996</v>
      </c>
      <c r="U67" s="189">
        <f t="shared" si="47"/>
        <v>148091213.97999999</v>
      </c>
      <c r="V67" s="189">
        <f t="shared" si="49" ref="V67">V51+V65</f>
        <v>16357751.659999996</v>
      </c>
      <c r="W67" s="189">
        <f t="shared" si="47"/>
        <v>979253217.00999999</v>
      </c>
      <c r="X67" s="76"/>
      <c r="Z67" s="76" t="b">
        <f>ROUND(+W67,2)=ROUND(K67,2)</f>
        <v>1</v>
      </c>
    </row>
    <row r="68" spans="1:23" s="76" customFormat="1" ht="12.75" customHeight="1">
      <c r="A68" s="77">
        <v>54</v>
      </c>
      <c r="B68" s="93"/>
      <c r="D68" s="39"/>
      <c r="E68" s="39"/>
      <c r="F68" s="39"/>
      <c r="G68" s="39"/>
      <c r="H68" s="39"/>
      <c r="I68" s="39"/>
      <c r="J68" s="178"/>
      <c r="K68" s="77"/>
      <c r="L68" s="39"/>
      <c r="M68" s="81"/>
      <c r="N68" s="39"/>
      <c r="O68" s="39"/>
      <c r="P68" s="39"/>
      <c r="Q68" s="39"/>
      <c r="R68" s="92"/>
      <c r="S68" s="92"/>
      <c r="T68" s="92"/>
      <c r="U68" s="92"/>
      <c r="V68" s="92"/>
      <c r="W68" s="92"/>
    </row>
    <row r="69" spans="1:23" s="76" customFormat="1" ht="12.75" customHeight="1">
      <c r="A69" s="77">
        <v>55</v>
      </c>
      <c r="B69" s="93"/>
      <c r="D69" s="39"/>
      <c r="E69" s="39"/>
      <c r="F69" s="39"/>
      <c r="G69" s="39"/>
      <c r="H69" s="39"/>
      <c r="I69" s="39"/>
      <c r="J69" s="178"/>
      <c r="K69" s="77"/>
      <c r="L69" s="39"/>
      <c r="M69" s="81"/>
      <c r="N69" s="39"/>
      <c r="O69" s="39"/>
      <c r="P69" s="39"/>
      <c r="Q69" s="39"/>
      <c r="R69" s="92"/>
      <c r="S69" s="92"/>
      <c r="T69" s="92"/>
      <c r="U69" s="92"/>
      <c r="V69" s="92"/>
      <c r="W69" s="92"/>
    </row>
    <row r="70" spans="1:26" s="76" customFormat="1" ht="12.75" customHeight="1">
      <c r="A70" s="77">
        <v>56</v>
      </c>
      <c r="B70" s="80" t="s">
        <v>214</v>
      </c>
      <c r="D70" s="39"/>
      <c r="E70" s="39"/>
      <c r="F70" s="39"/>
      <c r="G70" s="39"/>
      <c r="H70" s="39"/>
      <c r="I70" s="39"/>
      <c r="J70" s="178"/>
      <c r="K70" s="77"/>
      <c r="L70" s="39"/>
      <c r="M70" s="81"/>
      <c r="N70" s="39"/>
      <c r="O70" s="39"/>
      <c r="P70" s="39"/>
      <c r="Q70" s="39"/>
      <c r="R70" s="92"/>
      <c r="S70" s="92"/>
      <c r="T70" s="92"/>
      <c r="U70" s="92"/>
      <c r="V70" s="92"/>
      <c r="W70" s="92"/>
      <c r="Z70" s="76" t="b">
        <f t="shared" si="50" ref="Z70:Z77">ROUND(+W70,2)=ROUND(K70,2)</f>
        <v>1</v>
      </c>
    </row>
    <row r="71" spans="1:26" s="76" customFormat="1" ht="12.75" customHeight="1">
      <c r="A71" s="77">
        <v>57</v>
      </c>
      <c r="B71" s="81">
        <v>182</v>
      </c>
      <c r="C71" s="138" t="s">
        <v>215</v>
      </c>
      <c r="D71" s="86"/>
      <c r="E71" s="190">
        <v>69072092.879999995</v>
      </c>
      <c r="F71" s="190">
        <v>0</v>
      </c>
      <c r="G71" s="190">
        <f t="shared" si="51" ref="G71:G74">E71+F71</f>
        <v>69072092.879999995</v>
      </c>
      <c r="H71" s="190">
        <f>-G71</f>
        <v>-69072092.879999995</v>
      </c>
      <c r="I71" s="190">
        <f t="shared" si="52" ref="I71:I74">G71+H71</f>
        <v>0</v>
      </c>
      <c r="J71" s="178">
        <v>1</v>
      </c>
      <c r="K71" s="190">
        <f t="shared" si="53" ref="K71:K76">I71*J71</f>
        <v>0</v>
      </c>
      <c r="L71" s="190"/>
      <c r="M71" s="190"/>
      <c r="N71" s="190">
        <v>0</v>
      </c>
      <c r="O71" s="190">
        <v>0</v>
      </c>
      <c r="P71" s="190">
        <v>0</v>
      </c>
      <c r="Q71" s="190">
        <f t="shared" si="54" ref="Q71:Q76">SUM(N71:P71)</f>
        <v>0</v>
      </c>
      <c r="R71" s="190">
        <v>0</v>
      </c>
      <c r="S71" s="190">
        <v>0</v>
      </c>
      <c r="T71" s="190">
        <f t="shared" si="55" ref="T71:T76">SUM(R71:S71)</f>
        <v>0</v>
      </c>
      <c r="U71" s="190">
        <v>0</v>
      </c>
      <c r="V71" s="190">
        <v>0</v>
      </c>
      <c r="W71" s="190">
        <f t="shared" si="56" ref="W71:W76">+Q71+T71+U71+V71</f>
        <v>0</v>
      </c>
      <c r="Z71" s="76" t="b">
        <f t="shared" si="50"/>
        <v>1</v>
      </c>
    </row>
    <row r="72" spans="1:26" s="76" customFormat="1" ht="12.75" customHeight="1">
      <c r="A72" s="77">
        <v>58</v>
      </c>
      <c r="B72" s="77">
        <v>182</v>
      </c>
      <c r="C72" s="138" t="s">
        <v>216</v>
      </c>
      <c r="D72" s="86"/>
      <c r="E72" s="39">
        <v>18360936.079999998</v>
      </c>
      <c r="F72" s="39">
        <v>0</v>
      </c>
      <c r="G72" s="39">
        <f t="shared" si="51"/>
        <v>18360936.079999998</v>
      </c>
      <c r="H72" s="252">
        <f t="shared" si="57" ref="H72:H74">-G72</f>
        <v>-18360936.079999998</v>
      </c>
      <c r="I72" s="39">
        <f t="shared" si="52"/>
        <v>0</v>
      </c>
      <c r="J72" s="178">
        <v>1</v>
      </c>
      <c r="K72" s="39">
        <f t="shared" si="53"/>
        <v>0</v>
      </c>
      <c r="L72" s="39"/>
      <c r="M72" s="81"/>
      <c r="N72" s="39">
        <v>0</v>
      </c>
      <c r="O72" s="39">
        <v>0</v>
      </c>
      <c r="P72" s="39">
        <v>0</v>
      </c>
      <c r="Q72" s="39">
        <f t="shared" si="54"/>
        <v>0</v>
      </c>
      <c r="R72" s="39">
        <v>0</v>
      </c>
      <c r="S72" s="39">
        <v>0</v>
      </c>
      <c r="T72" s="39">
        <f t="shared" si="55"/>
        <v>0</v>
      </c>
      <c r="U72" s="39">
        <v>0</v>
      </c>
      <c r="V72" s="39">
        <v>0</v>
      </c>
      <c r="W72" s="92">
        <f t="shared" si="56"/>
        <v>0</v>
      </c>
      <c r="Z72" s="76" t="b">
        <f t="shared" si="50"/>
        <v>1</v>
      </c>
    </row>
    <row r="73" spans="1:26" s="76" customFormat="1" ht="12.75" customHeight="1">
      <c r="A73" s="77">
        <v>59</v>
      </c>
      <c r="B73" s="77">
        <v>182</v>
      </c>
      <c r="C73" s="376" t="s">
        <v>247</v>
      </c>
      <c r="D73" s="86"/>
      <c r="E73" s="39">
        <v>11634628.25</v>
      </c>
      <c r="F73" s="39">
        <v>0</v>
      </c>
      <c r="G73" s="39">
        <f t="shared" si="51"/>
        <v>11634628.25</v>
      </c>
      <c r="H73" s="252">
        <f t="shared" si="57"/>
        <v>-11634628.25</v>
      </c>
      <c r="I73" s="39">
        <f t="shared" si="52"/>
        <v>0</v>
      </c>
      <c r="J73" s="178">
        <v>1</v>
      </c>
      <c r="K73" s="39">
        <f t="shared" si="53"/>
        <v>0</v>
      </c>
      <c r="L73" s="39"/>
      <c r="M73" s="177"/>
      <c r="N73" s="39">
        <v>0</v>
      </c>
      <c r="O73" s="39">
        <v>0</v>
      </c>
      <c r="P73" s="39">
        <v>0</v>
      </c>
      <c r="Q73" s="39">
        <f t="shared" si="54"/>
        <v>0</v>
      </c>
      <c r="R73" s="39">
        <v>0</v>
      </c>
      <c r="S73" s="39">
        <v>0</v>
      </c>
      <c r="T73" s="39">
        <f t="shared" si="55"/>
        <v>0</v>
      </c>
      <c r="U73" s="39">
        <v>0</v>
      </c>
      <c r="V73" s="39">
        <v>0</v>
      </c>
      <c r="W73" s="92">
        <f t="shared" si="56"/>
        <v>0</v>
      </c>
      <c r="Z73" s="76" t="b">
        <f t="shared" si="50"/>
        <v>1</v>
      </c>
    </row>
    <row r="74" spans="1:26" s="76" customFormat="1" ht="12.75" customHeight="1">
      <c r="A74" s="77">
        <v>60</v>
      </c>
      <c r="B74" s="77">
        <v>182</v>
      </c>
      <c r="C74" s="376" t="s">
        <v>248</v>
      </c>
      <c r="D74" s="86"/>
      <c r="E74" s="39">
        <v>4330663.04</v>
      </c>
      <c r="F74" s="39">
        <v>0</v>
      </c>
      <c r="G74" s="39">
        <f t="shared" si="51"/>
        <v>4330663.04</v>
      </c>
      <c r="H74" s="252">
        <f t="shared" si="57"/>
        <v>-4330663.04</v>
      </c>
      <c r="I74" s="39">
        <f t="shared" si="52"/>
        <v>0</v>
      </c>
      <c r="J74" s="178">
        <v>1</v>
      </c>
      <c r="K74" s="39">
        <f t="shared" si="53"/>
        <v>0</v>
      </c>
      <c r="L74" s="39"/>
      <c r="M74" s="81"/>
      <c r="N74" s="39">
        <v>0</v>
      </c>
      <c r="O74" s="39">
        <v>0</v>
      </c>
      <c r="P74" s="39">
        <v>0</v>
      </c>
      <c r="Q74" s="39">
        <f t="shared" si="54"/>
        <v>0</v>
      </c>
      <c r="R74" s="39">
        <v>0</v>
      </c>
      <c r="S74" s="39">
        <v>0</v>
      </c>
      <c r="T74" s="39">
        <f t="shared" si="55"/>
        <v>0</v>
      </c>
      <c r="U74" s="39">
        <v>0</v>
      </c>
      <c r="V74" s="39">
        <v>0</v>
      </c>
      <c r="W74" s="92">
        <f t="shared" si="56"/>
        <v>0</v>
      </c>
      <c r="Z74" s="76" t="b">
        <f t="shared" si="50"/>
        <v>1</v>
      </c>
    </row>
    <row r="75" spans="1:27" s="76" customFormat="1" ht="12.75" customHeight="1">
      <c r="A75" s="77">
        <v>61</v>
      </c>
      <c r="B75" s="77">
        <v>182</v>
      </c>
      <c r="C75" s="376" t="s">
        <v>428</v>
      </c>
      <c r="D75" s="86" t="s">
        <v>424</v>
      </c>
      <c r="E75" s="39">
        <v>108278693.52</v>
      </c>
      <c r="F75" s="39">
        <v>0</v>
      </c>
      <c r="G75" s="39">
        <f t="shared" si="58" ref="G75:G76">E75+F75</f>
        <v>108278693.52</v>
      </c>
      <c r="H75" s="252">
        <v>0</v>
      </c>
      <c r="I75" s="39">
        <f t="shared" si="59" ref="I75:I76">G75+H75</f>
        <v>108278693.52</v>
      </c>
      <c r="J75" s="178">
        <v>1</v>
      </c>
      <c r="K75" s="39">
        <f t="shared" si="53"/>
        <v>108278693.52</v>
      </c>
      <c r="L75" s="39"/>
      <c r="M75" s="77" t="s">
        <v>237</v>
      </c>
      <c r="N75" s="39">
        <f>SUM('[5]II-E-3.19'!H48:H64)</f>
        <v>29029155.189999998</v>
      </c>
      <c r="O75" s="39">
        <f>SUM('[5]II-E-3.19'!I48:I64)</f>
        <v>807697.98999999999</v>
      </c>
      <c r="P75" s="39">
        <f>SUM('[5]II-E-3.19'!J48:J64)</f>
        <v>0</v>
      </c>
      <c r="Q75" s="39">
        <f t="shared" si="54"/>
        <v>29836853.179999996</v>
      </c>
      <c r="R75" s="39">
        <f>SUM('[5]II-E-3.19'!L48:L64)</f>
        <v>56462358.469999991</v>
      </c>
      <c r="S75" s="39">
        <f>SUM('[5]II-E-3.19'!M48:M64)</f>
        <v>66050.010000000009</v>
      </c>
      <c r="T75" s="39">
        <f t="shared" si="55"/>
        <v>56528408.479999989</v>
      </c>
      <c r="U75" s="39">
        <f>SUM('[5]II-E-3.19'!O48:O64)</f>
        <v>16213241.1</v>
      </c>
      <c r="V75" s="39">
        <f>+K75-Q75-T75-U75</f>
        <v>5700190.7600000147</v>
      </c>
      <c r="W75" s="92">
        <f t="shared" si="56"/>
        <v>108278693.52</v>
      </c>
      <c r="Y75" s="209" t="s">
        <v>386</v>
      </c>
      <c r="Z75" s="76" t="b">
        <f t="shared" si="50"/>
        <v>1</v>
      </c>
      <c r="AA75" s="129">
        <f>+K75-W75</f>
        <v>0</v>
      </c>
    </row>
    <row r="76" spans="1:26" s="76" customFormat="1" ht="12.75" customHeight="1">
      <c r="A76" s="77">
        <v>62</v>
      </c>
      <c r="B76" s="77">
        <v>182</v>
      </c>
      <c r="C76" s="330" t="s">
        <v>632</v>
      </c>
      <c r="D76" s="86"/>
      <c r="E76" s="39">
        <v>28782943.850000001</v>
      </c>
      <c r="F76" s="39">
        <v>0</v>
      </c>
      <c r="G76" s="39">
        <f t="shared" si="58"/>
        <v>28782943.850000001</v>
      </c>
      <c r="H76" s="252">
        <f t="shared" si="60" ref="H76">-G76</f>
        <v>-28782943.850000001</v>
      </c>
      <c r="I76" s="39">
        <f t="shared" si="59"/>
        <v>0</v>
      </c>
      <c r="J76" s="178">
        <v>1</v>
      </c>
      <c r="K76" s="39">
        <f t="shared" si="53"/>
        <v>0</v>
      </c>
      <c r="L76" s="39"/>
      <c r="M76" s="81"/>
      <c r="N76" s="39">
        <v>0</v>
      </c>
      <c r="O76" s="39">
        <v>0</v>
      </c>
      <c r="P76" s="39">
        <v>0</v>
      </c>
      <c r="Q76" s="39">
        <f t="shared" si="54"/>
        <v>0</v>
      </c>
      <c r="R76" s="39">
        <v>0</v>
      </c>
      <c r="S76" s="39">
        <v>0</v>
      </c>
      <c r="T76" s="39">
        <f t="shared" si="55"/>
        <v>0</v>
      </c>
      <c r="U76" s="39">
        <v>0</v>
      </c>
      <c r="V76" s="39">
        <v>0</v>
      </c>
      <c r="W76" s="92">
        <f t="shared" si="56"/>
        <v>0</v>
      </c>
      <c r="Z76" s="76" t="b">
        <f t="shared" si="50"/>
        <v>1</v>
      </c>
    </row>
    <row r="77" spans="1:26" s="80" customFormat="1" ht="12.75" customHeight="1">
      <c r="A77" s="77">
        <v>63</v>
      </c>
      <c r="B77" s="93"/>
      <c r="C77" s="101" t="s">
        <v>219</v>
      </c>
      <c r="D77" s="87"/>
      <c r="E77" s="197">
        <f>SUM(E71:E76)</f>
        <v>240459957.61999998</v>
      </c>
      <c r="F77" s="197">
        <f t="shared" si="61" ref="F77:I77">SUM(F71:F76)</f>
        <v>0</v>
      </c>
      <c r="G77" s="197">
        <f t="shared" si="61"/>
        <v>240459957.61999998</v>
      </c>
      <c r="H77" s="197">
        <f t="shared" si="61"/>
        <v>-132181264.09999999</v>
      </c>
      <c r="I77" s="197">
        <f t="shared" si="61"/>
        <v>108278693.52</v>
      </c>
      <c r="J77" s="179"/>
      <c r="K77" s="197">
        <f>SUM(K71:K76)</f>
        <v>108278693.52</v>
      </c>
      <c r="L77" s="189"/>
      <c r="M77" s="189"/>
      <c r="N77" s="197">
        <f t="shared" si="62" ref="N77:W77">SUM(N71:N76)</f>
        <v>29029155.189999998</v>
      </c>
      <c r="O77" s="197">
        <f t="shared" si="62"/>
        <v>807697.98999999999</v>
      </c>
      <c r="P77" s="197">
        <f t="shared" si="62"/>
        <v>0</v>
      </c>
      <c r="Q77" s="197">
        <f t="shared" si="62"/>
        <v>29836853.179999996</v>
      </c>
      <c r="R77" s="197">
        <f t="shared" si="62"/>
        <v>56462358.469999991</v>
      </c>
      <c r="S77" s="197">
        <f t="shared" si="62"/>
        <v>66050.010000000009</v>
      </c>
      <c r="T77" s="197">
        <f t="shared" si="62"/>
        <v>56528408.479999989</v>
      </c>
      <c r="U77" s="197">
        <f t="shared" si="62"/>
        <v>16213241.1</v>
      </c>
      <c r="V77" s="197">
        <f t="shared" si="62"/>
        <v>5700190.7600000147</v>
      </c>
      <c r="W77" s="197">
        <f t="shared" si="62"/>
        <v>108278693.52</v>
      </c>
      <c r="X77" s="76"/>
      <c r="Z77" s="76" t="b">
        <f t="shared" si="50"/>
        <v>1</v>
      </c>
    </row>
    <row r="78" spans="1:23" s="76" customFormat="1" ht="12.75" customHeight="1">
      <c r="A78" s="77">
        <v>64</v>
      </c>
      <c r="B78" s="93"/>
      <c r="D78" s="39"/>
      <c r="E78" s="39"/>
      <c r="F78" s="39"/>
      <c r="G78" s="39"/>
      <c r="H78" s="39"/>
      <c r="I78" s="39"/>
      <c r="J78" s="178"/>
      <c r="K78" s="77"/>
      <c r="L78" s="39"/>
      <c r="M78" s="81"/>
      <c r="N78" s="39"/>
      <c r="O78" s="39"/>
      <c r="P78" s="39"/>
      <c r="Q78" s="39"/>
      <c r="R78" s="92"/>
      <c r="S78" s="92"/>
      <c r="T78" s="92"/>
      <c r="U78" s="92"/>
      <c r="V78" s="92"/>
      <c r="W78" s="92"/>
    </row>
    <row r="79" spans="1:23" s="76" customFormat="1" ht="12.75" customHeight="1">
      <c r="A79" s="77">
        <v>65</v>
      </c>
      <c r="B79" s="80" t="s">
        <v>220</v>
      </c>
      <c r="D79" s="39"/>
      <c r="E79" s="39"/>
      <c r="F79" s="39"/>
      <c r="G79" s="39"/>
      <c r="H79" s="39"/>
      <c r="I79" s="39"/>
      <c r="J79" s="178"/>
      <c r="K79" s="77"/>
      <c r="L79" s="39"/>
      <c r="M79" s="81"/>
      <c r="N79" s="39"/>
      <c r="O79" s="39"/>
      <c r="P79" s="39"/>
      <c r="Q79" s="39"/>
      <c r="R79" s="92"/>
      <c r="S79" s="92"/>
      <c r="T79" s="92"/>
      <c r="U79" s="92"/>
      <c r="V79" s="92"/>
      <c r="W79" s="92"/>
    </row>
    <row r="80" spans="1:27" s="76" customFormat="1" ht="12.75" customHeight="1">
      <c r="A80" s="77">
        <v>66</v>
      </c>
      <c r="B80" s="77">
        <v>254</v>
      </c>
      <c r="C80" s="138" t="s">
        <v>392</v>
      </c>
      <c r="D80" s="86"/>
      <c r="E80" s="190">
        <v>-1002140.6</v>
      </c>
      <c r="F80" s="190">
        <v>0</v>
      </c>
      <c r="G80" s="190">
        <f t="shared" si="63" ref="G80:G89">E80+F80</f>
        <v>-1002140.6</v>
      </c>
      <c r="H80" s="190">
        <f>-G80</f>
        <v>1002140.6</v>
      </c>
      <c r="I80" s="190">
        <f>G80+H80</f>
        <v>0</v>
      </c>
      <c r="J80" s="178">
        <v>1</v>
      </c>
      <c r="K80" s="190">
        <f t="shared" si="64" ref="K80:K89">I80*J80</f>
        <v>0</v>
      </c>
      <c r="L80" s="190"/>
      <c r="M80" s="193"/>
      <c r="N80" s="190">
        <v>0</v>
      </c>
      <c r="O80" s="190">
        <v>0</v>
      </c>
      <c r="P80" s="190">
        <v>0</v>
      </c>
      <c r="Q80" s="190">
        <f t="shared" si="65" ref="Q80:Q89">SUM(N80:P80)</f>
        <v>0</v>
      </c>
      <c r="R80" s="190">
        <v>0</v>
      </c>
      <c r="S80" s="190">
        <v>0</v>
      </c>
      <c r="T80" s="190">
        <f t="shared" si="66" ref="T80:T89">SUM(R80:S80)</f>
        <v>0</v>
      </c>
      <c r="U80" s="190">
        <v>0</v>
      </c>
      <c r="V80" s="190">
        <v>0</v>
      </c>
      <c r="W80" s="193">
        <f t="shared" si="67" ref="W80:W89">+Q80+T80+U80+V80</f>
        <v>0</v>
      </c>
      <c r="Z80" s="76" t="b">
        <f t="shared" si="68" ref="Z80:Z90">ROUND(+W80,2)=ROUND(K80,2)</f>
        <v>1</v>
      </c>
      <c r="AA80" s="129">
        <f>+K80-W80</f>
        <v>0</v>
      </c>
    </row>
    <row r="81" spans="1:27" s="76" customFormat="1" ht="12.75" customHeight="1">
      <c r="A81" s="77">
        <v>67</v>
      </c>
      <c r="B81" s="77">
        <v>254</v>
      </c>
      <c r="C81" s="138" t="s">
        <v>429</v>
      </c>
      <c r="D81" s="86"/>
      <c r="E81" s="39">
        <v>-105869970</v>
      </c>
      <c r="F81" s="39">
        <v>0</v>
      </c>
      <c r="G81" s="39">
        <f t="shared" si="63"/>
        <v>-105869970</v>
      </c>
      <c r="H81" s="39">
        <v>0</v>
      </c>
      <c r="I81" s="39">
        <f>E81+H81</f>
        <v>-105869970</v>
      </c>
      <c r="J81" s="178">
        <v>1</v>
      </c>
      <c r="K81" s="39">
        <f t="shared" si="64"/>
        <v>-105869970</v>
      </c>
      <c r="L81" s="39"/>
      <c r="M81" s="77" t="s">
        <v>237</v>
      </c>
      <c r="N81" s="39">
        <f>SUM('[5]II-E-3.19'!H36:H47)</f>
        <v>-10576090.020000001</v>
      </c>
      <c r="O81" s="39">
        <f>SUM('[5]II-E-3.19'!I36:I47)</f>
        <v>0</v>
      </c>
      <c r="P81" s="39">
        <f>SUM('[5]II-E-3.19'!J36:J47)</f>
        <v>0</v>
      </c>
      <c r="Q81" s="39">
        <f t="shared" si="65"/>
        <v>-10576090.020000001</v>
      </c>
      <c r="R81" s="39">
        <f>SUM('[5]II-E-3.19'!L36:L47)</f>
        <v>-67515629.090000004</v>
      </c>
      <c r="S81" s="39">
        <f>SUM('[5]II-E-3.19'!M36:M47)</f>
        <v>0</v>
      </c>
      <c r="T81" s="39">
        <f t="shared" si="66"/>
        <v>-67515629.090000004</v>
      </c>
      <c r="U81" s="39">
        <f>SUM('[5]II-E-3.19'!O36:O47)</f>
        <v>-25833188.59</v>
      </c>
      <c r="V81" s="39">
        <f>SUM('[5]II-E-3.19'!P36:P47)</f>
        <v>-1945062.2999999982</v>
      </c>
      <c r="W81" s="92">
        <f t="shared" si="67"/>
        <v>-105869970</v>
      </c>
      <c r="Z81" s="76" t="b">
        <f t="shared" si="68"/>
        <v>1</v>
      </c>
      <c r="AA81" s="129">
        <f>+K81-W81</f>
        <v>0</v>
      </c>
    </row>
    <row r="82" spans="1:26" s="76" customFormat="1" ht="12.75" customHeight="1">
      <c r="A82" s="77">
        <v>68</v>
      </c>
      <c r="B82" s="77">
        <v>254</v>
      </c>
      <c r="C82" s="138" t="s">
        <v>430</v>
      </c>
      <c r="D82" s="86"/>
      <c r="E82" s="39">
        <v>-28142649.850000001</v>
      </c>
      <c r="F82" s="39">
        <v>0</v>
      </c>
      <c r="G82" s="39">
        <f t="shared" si="63"/>
        <v>-28142649.850000001</v>
      </c>
      <c r="H82" s="39">
        <f>-G82</f>
        <v>28142649.850000001</v>
      </c>
      <c r="I82" s="39">
        <f t="shared" si="69" ref="I82:I88">E82+H82</f>
        <v>0</v>
      </c>
      <c r="J82" s="178">
        <v>1</v>
      </c>
      <c r="K82" s="39">
        <f t="shared" si="64"/>
        <v>0</v>
      </c>
      <c r="L82" s="39"/>
      <c r="M82" s="81"/>
      <c r="N82" s="39">
        <v>0</v>
      </c>
      <c r="O82" s="39">
        <v>0</v>
      </c>
      <c r="P82" s="39">
        <v>0</v>
      </c>
      <c r="Q82" s="39">
        <f t="shared" si="65"/>
        <v>0</v>
      </c>
      <c r="R82" s="39">
        <v>0</v>
      </c>
      <c r="S82" s="39">
        <v>0</v>
      </c>
      <c r="T82" s="39">
        <f t="shared" si="66"/>
        <v>0</v>
      </c>
      <c r="U82" s="39">
        <v>0</v>
      </c>
      <c r="V82" s="39">
        <v>0</v>
      </c>
      <c r="W82" s="92">
        <f t="shared" si="67"/>
        <v>0</v>
      </c>
      <c r="Z82" s="76" t="b">
        <f t="shared" si="68"/>
        <v>1</v>
      </c>
    </row>
    <row r="83" spans="1:27" s="76" customFormat="1" ht="12.75" customHeight="1">
      <c r="A83" s="77">
        <v>69</v>
      </c>
      <c r="B83" s="77">
        <v>254</v>
      </c>
      <c r="C83" s="138" t="s">
        <v>419</v>
      </c>
      <c r="D83" s="86"/>
      <c r="E83" s="39">
        <v>-966396376.56681275</v>
      </c>
      <c r="F83" s="39">
        <v>0</v>
      </c>
      <c r="G83" s="39">
        <f t="shared" si="70" ref="G83:G87">E83+F83</f>
        <v>-966396376.56681275</v>
      </c>
      <c r="H83" s="39">
        <v>0</v>
      </c>
      <c r="I83" s="39">
        <f t="shared" si="69"/>
        <v>-966396376.56681275</v>
      </c>
      <c r="J83" s="178">
        <v>1</v>
      </c>
      <c r="K83" s="39">
        <f t="shared" si="64"/>
        <v>-966396376.56681275</v>
      </c>
      <c r="L83" s="39"/>
      <c r="M83" s="77" t="s">
        <v>237</v>
      </c>
      <c r="N83" s="39">
        <f>+'[5]II-E-3.19'!H19</f>
        <v>-426414552.83999997</v>
      </c>
      <c r="O83" s="39">
        <f>+'[5]II-E-3.19'!I19</f>
        <v>-44241748.380000003</v>
      </c>
      <c r="P83" s="39">
        <f>+'[5]II-E-3.19'!J19</f>
        <v>-544012.16000000003</v>
      </c>
      <c r="Q83" s="39">
        <f t="shared" si="65"/>
        <v>-471200313.38</v>
      </c>
      <c r="R83" s="39">
        <f>+'[5]II-E-3.19'!L19</f>
        <v>-462439966.73000002</v>
      </c>
      <c r="S83" s="39">
        <f>+'[5]II-E-3.19'!M19</f>
        <v>-3617896.6200000001</v>
      </c>
      <c r="T83" s="39">
        <f t="shared" si="66"/>
        <v>-466057863.35000002</v>
      </c>
      <c r="U83" s="39">
        <f>+'[5]II-E-3.19'!O19</f>
        <v>-15727006.609999999</v>
      </c>
      <c r="V83" s="39">
        <f>+K83-Q83-T83-U83</f>
        <v>-13411193.226812735</v>
      </c>
      <c r="W83" s="92">
        <f t="shared" si="67"/>
        <v>-966396376.56681275</v>
      </c>
      <c r="Z83" s="76" t="b">
        <f t="shared" si="68"/>
        <v>1</v>
      </c>
      <c r="AA83" s="129">
        <f t="shared" si="71" ref="AA83:AA89">+K83-W83</f>
        <v>0</v>
      </c>
    </row>
    <row r="84" spans="1:27" s="76" customFormat="1" ht="12.75" customHeight="1">
      <c r="A84" s="77">
        <v>70</v>
      </c>
      <c r="B84" s="77">
        <v>254</v>
      </c>
      <c r="C84" s="276" t="s">
        <v>633</v>
      </c>
      <c r="D84" s="86"/>
      <c r="E84" s="39">
        <v>-305497934.85000002</v>
      </c>
      <c r="F84" s="39">
        <v>0</v>
      </c>
      <c r="G84" s="39">
        <f t="shared" si="70"/>
        <v>-305497934.85000002</v>
      </c>
      <c r="H84" s="39">
        <f>-G84</f>
        <v>305497934.85000002</v>
      </c>
      <c r="I84" s="39">
        <f t="shared" si="69"/>
        <v>0</v>
      </c>
      <c r="J84" s="178">
        <v>1</v>
      </c>
      <c r="K84" s="39">
        <f t="shared" si="64"/>
        <v>0</v>
      </c>
      <c r="L84" s="39"/>
      <c r="M84" s="81"/>
      <c r="N84" s="39">
        <v>0</v>
      </c>
      <c r="O84" s="39">
        <v>0</v>
      </c>
      <c r="P84" s="39">
        <v>0</v>
      </c>
      <c r="Q84" s="39">
        <f t="shared" si="65"/>
        <v>0</v>
      </c>
      <c r="R84" s="39">
        <v>0</v>
      </c>
      <c r="S84" s="39">
        <v>0</v>
      </c>
      <c r="T84" s="39">
        <f t="shared" si="66"/>
        <v>0</v>
      </c>
      <c r="U84" s="39">
        <v>0</v>
      </c>
      <c r="V84" s="39">
        <v>0</v>
      </c>
      <c r="W84" s="92">
        <f t="shared" si="67"/>
        <v>0</v>
      </c>
      <c r="Z84" s="76" t="b">
        <f t="shared" si="68"/>
        <v>1</v>
      </c>
      <c r="AA84" s="129">
        <f t="shared" si="71"/>
        <v>0</v>
      </c>
    </row>
    <row r="85" spans="1:27" s="76" customFormat="1" ht="12.75" customHeight="1">
      <c r="A85" s="77">
        <v>71</v>
      </c>
      <c r="B85" s="77">
        <v>254</v>
      </c>
      <c r="C85" s="138" t="s">
        <v>431</v>
      </c>
      <c r="D85" s="86"/>
      <c r="E85" s="39">
        <v>-182857758</v>
      </c>
      <c r="F85" s="39">
        <v>0</v>
      </c>
      <c r="G85" s="39">
        <f t="shared" si="70"/>
        <v>-182857758</v>
      </c>
      <c r="H85" s="39">
        <v>0</v>
      </c>
      <c r="I85" s="39">
        <f t="shared" si="69"/>
        <v>-182857758</v>
      </c>
      <c r="J85" s="178">
        <v>1</v>
      </c>
      <c r="K85" s="39">
        <f t="shared" si="64"/>
        <v>-182857758</v>
      </c>
      <c r="L85" s="39"/>
      <c r="M85" s="77" t="s">
        <v>237</v>
      </c>
      <c r="N85" s="39">
        <f>+'[5]II-E-3.19'!H34</f>
        <v>-84803453.439999983</v>
      </c>
      <c r="O85" s="39">
        <f>+'[5]II-E-3.19'!I34</f>
        <v>-169357.67000000004</v>
      </c>
      <c r="P85" s="39">
        <f>+'[5]II-E-3.19'!J34</f>
        <v>-108190.74000000001</v>
      </c>
      <c r="Q85" s="39">
        <f t="shared" si="65"/>
        <v>-85081001.849999979</v>
      </c>
      <c r="R85" s="39">
        <f>+'[5]II-E-3.19'!L34</f>
        <v>-91968029.510000005</v>
      </c>
      <c r="S85" s="39">
        <f>+'[5]II-E-3.19'!M34</f>
        <v>-13849.330000000002</v>
      </c>
      <c r="T85" s="39">
        <f t="shared" si="66"/>
        <v>-91981878.840000004</v>
      </c>
      <c r="U85" s="39">
        <f>+'[5]II-E-3.19'!O34</f>
        <v>-3127718</v>
      </c>
      <c r="V85" s="39">
        <f>+'[5]II-E-3.19'!P34</f>
        <v>-2667159.3099999968</v>
      </c>
      <c r="W85" s="92">
        <f t="shared" si="67"/>
        <v>-182857758</v>
      </c>
      <c r="Z85" s="76" t="b">
        <f t="shared" si="68"/>
        <v>1</v>
      </c>
      <c r="AA85" s="129">
        <f t="shared" si="71"/>
        <v>0</v>
      </c>
    </row>
    <row r="86" spans="1:27" s="76" customFormat="1" ht="12.75" customHeight="1">
      <c r="A86" s="77">
        <v>72</v>
      </c>
      <c r="B86" s="77">
        <v>254</v>
      </c>
      <c r="C86" s="138" t="s">
        <v>422</v>
      </c>
      <c r="D86" s="86"/>
      <c r="E86" s="39">
        <v>8044643</v>
      </c>
      <c r="F86" s="39">
        <v>0</v>
      </c>
      <c r="G86" s="39">
        <f t="shared" si="70"/>
        <v>8044643</v>
      </c>
      <c r="H86" s="39">
        <v>0</v>
      </c>
      <c r="I86" s="39">
        <f t="shared" si="69"/>
        <v>8044643</v>
      </c>
      <c r="J86" s="178">
        <v>1</v>
      </c>
      <c r="K86" s="39">
        <f t="shared" si="64"/>
        <v>8044643</v>
      </c>
      <c r="L86" s="39"/>
      <c r="M86" s="77" t="s">
        <v>237</v>
      </c>
      <c r="N86" s="39">
        <f>+'[5]II-E-3.19'!H69</f>
        <v>7731520.7199999997</v>
      </c>
      <c r="O86" s="39">
        <f>+'[5]II-E-3.19'!I69</f>
        <v>-7958927.71</v>
      </c>
      <c r="P86" s="39">
        <f>+'[5]II-E-3.19'!J69</f>
        <v>9863.7399999999998</v>
      </c>
      <c r="Q86" s="39">
        <f t="shared" si="65"/>
        <v>-217543.25000000023</v>
      </c>
      <c r="R86" s="39">
        <f>+'[5]II-E-3.19'!L69</f>
        <v>8384714.2699999996</v>
      </c>
      <c r="S86" s="39">
        <f>+'[5]II-E-3.19'!M69</f>
        <v>-650846.29000000004</v>
      </c>
      <c r="T86" s="39">
        <f t="shared" si="66"/>
        <v>7733867.9799999995</v>
      </c>
      <c r="U86" s="39">
        <f>+'[5]II-E-3.19'!O69</f>
        <v>285153.67999999999</v>
      </c>
      <c r="V86" s="39">
        <f>+'[5]II-E-3.19'!P69</f>
        <v>243164.58999999956</v>
      </c>
      <c r="W86" s="92">
        <f t="shared" si="67"/>
        <v>8044642.9999999991</v>
      </c>
      <c r="Z86" s="76" t="b">
        <f t="shared" si="68"/>
        <v>1</v>
      </c>
      <c r="AA86" s="129">
        <f t="shared" si="71"/>
        <v>0</v>
      </c>
    </row>
    <row r="87" spans="1:27" s="76" customFormat="1" ht="12.75" customHeight="1">
      <c r="A87" s="77">
        <v>73</v>
      </c>
      <c r="B87" s="77">
        <v>254</v>
      </c>
      <c r="C87" s="138" t="s">
        <v>423</v>
      </c>
      <c r="D87" s="86"/>
      <c r="E87" s="39">
        <v>2138449.8199999998</v>
      </c>
      <c r="F87" s="39">
        <v>0</v>
      </c>
      <c r="G87" s="39">
        <f t="shared" si="70"/>
        <v>2138449.8199999998</v>
      </c>
      <c r="H87" s="39">
        <f t="shared" si="72" ref="H87">-G87</f>
        <v>-2138449.8199999998</v>
      </c>
      <c r="I87" s="39">
        <f t="shared" si="69"/>
        <v>0</v>
      </c>
      <c r="J87" s="178">
        <v>1</v>
      </c>
      <c r="K87" s="39">
        <f t="shared" si="64"/>
        <v>0</v>
      </c>
      <c r="L87" s="39"/>
      <c r="M87" s="81"/>
      <c r="N87" s="39">
        <v>0</v>
      </c>
      <c r="O87" s="39">
        <v>0</v>
      </c>
      <c r="P87" s="39">
        <v>0</v>
      </c>
      <c r="Q87" s="39">
        <f t="shared" si="65"/>
        <v>0</v>
      </c>
      <c r="R87" s="39">
        <v>0</v>
      </c>
      <c r="S87" s="39">
        <v>0</v>
      </c>
      <c r="T87" s="39">
        <f t="shared" si="66"/>
        <v>0</v>
      </c>
      <c r="U87" s="39">
        <v>0</v>
      </c>
      <c r="V87" s="39">
        <v>0</v>
      </c>
      <c r="W87" s="92">
        <f t="shared" si="67"/>
        <v>0</v>
      </c>
      <c r="Z87" s="76" t="b">
        <f t="shared" si="68"/>
        <v>1</v>
      </c>
      <c r="AA87" s="129">
        <f t="shared" si="71"/>
        <v>0</v>
      </c>
    </row>
    <row r="88" spans="1:27" s="76" customFormat="1" ht="12.75" customHeight="1">
      <c r="A88" s="77">
        <v>74</v>
      </c>
      <c r="B88" s="77">
        <v>254</v>
      </c>
      <c r="C88" s="138" t="s">
        <v>393</v>
      </c>
      <c r="D88" s="86" t="s">
        <v>285</v>
      </c>
      <c r="E88" s="39">
        <v>-69072092.879999995</v>
      </c>
      <c r="F88" s="39">
        <v>0</v>
      </c>
      <c r="G88" s="39">
        <f t="shared" si="63"/>
        <v>-69072092.879999995</v>
      </c>
      <c r="H88" s="39">
        <f t="shared" si="73" ref="H88:H89">-G88</f>
        <v>69072092.879999995</v>
      </c>
      <c r="I88" s="39">
        <f t="shared" si="69"/>
        <v>0</v>
      </c>
      <c r="J88" s="178">
        <v>1</v>
      </c>
      <c r="K88" s="39">
        <f t="shared" si="64"/>
        <v>0</v>
      </c>
      <c r="L88" s="39"/>
      <c r="M88" s="81"/>
      <c r="N88" s="39">
        <v>0</v>
      </c>
      <c r="O88" s="39">
        <v>0</v>
      </c>
      <c r="P88" s="39">
        <v>0</v>
      </c>
      <c r="Q88" s="39">
        <f t="shared" si="65"/>
        <v>0</v>
      </c>
      <c r="R88" s="39">
        <v>0</v>
      </c>
      <c r="S88" s="39">
        <v>0</v>
      </c>
      <c r="T88" s="39">
        <f t="shared" si="66"/>
        <v>0</v>
      </c>
      <c r="U88" s="39">
        <v>0</v>
      </c>
      <c r="V88" s="39">
        <v>0</v>
      </c>
      <c r="W88" s="92">
        <f t="shared" si="67"/>
        <v>0</v>
      </c>
      <c r="Z88" s="76" t="b">
        <f t="shared" si="68"/>
        <v>1</v>
      </c>
      <c r="AA88" s="129">
        <f t="shared" si="71"/>
        <v>0</v>
      </c>
    </row>
    <row r="89" spans="1:27" s="76" customFormat="1" ht="12.75" customHeight="1">
      <c r="A89" s="77">
        <v>75</v>
      </c>
      <c r="B89" s="77">
        <v>254</v>
      </c>
      <c r="C89" s="138" t="s">
        <v>249</v>
      </c>
      <c r="D89" s="86" t="s">
        <v>285</v>
      </c>
      <c r="E89" s="297">
        <v>-18360936.079999998</v>
      </c>
      <c r="F89" s="297">
        <v>0</v>
      </c>
      <c r="G89" s="297">
        <f t="shared" si="63"/>
        <v>-18360936.079999998</v>
      </c>
      <c r="H89" s="297">
        <f t="shared" si="73"/>
        <v>18360936.079999998</v>
      </c>
      <c r="I89" s="297">
        <f>E89+H89</f>
        <v>0</v>
      </c>
      <c r="J89" s="178">
        <v>1</v>
      </c>
      <c r="K89" s="297">
        <f t="shared" si="64"/>
        <v>0</v>
      </c>
      <c r="L89" s="39"/>
      <c r="M89" s="81"/>
      <c r="N89" s="39">
        <v>0</v>
      </c>
      <c r="O89" s="39">
        <v>0</v>
      </c>
      <c r="P89" s="39">
        <v>0</v>
      </c>
      <c r="Q89" s="39">
        <f t="shared" si="65"/>
        <v>0</v>
      </c>
      <c r="R89" s="39">
        <v>0</v>
      </c>
      <c r="S89" s="39">
        <v>0</v>
      </c>
      <c r="T89" s="39">
        <f t="shared" si="66"/>
        <v>0</v>
      </c>
      <c r="U89" s="39">
        <v>0</v>
      </c>
      <c r="V89" s="39">
        <v>0</v>
      </c>
      <c r="W89" s="92">
        <f t="shared" si="67"/>
        <v>0</v>
      </c>
      <c r="Z89" s="76" t="b">
        <f t="shared" si="68"/>
        <v>1</v>
      </c>
      <c r="AA89" s="129">
        <f t="shared" si="71"/>
        <v>0</v>
      </c>
    </row>
    <row r="90" spans="1:27" s="80" customFormat="1" ht="12.75" customHeight="1">
      <c r="A90" s="77">
        <v>76</v>
      </c>
      <c r="B90" s="93"/>
      <c r="C90" s="101" t="s">
        <v>221</v>
      </c>
      <c r="D90" s="86" t="s">
        <v>285</v>
      </c>
      <c r="E90" s="189">
        <f>SUM(E80:E89)</f>
        <v>-1667016766.0068126</v>
      </c>
      <c r="F90" s="189">
        <f t="shared" si="74" ref="F90:I90">SUM(F80:F89)</f>
        <v>0</v>
      </c>
      <c r="G90" s="189">
        <f t="shared" si="74"/>
        <v>-1667016766.0068126</v>
      </c>
      <c r="H90" s="189">
        <f t="shared" si="74"/>
        <v>419937304.44</v>
      </c>
      <c r="I90" s="189">
        <f t="shared" si="74"/>
        <v>-1247079461.5668128</v>
      </c>
      <c r="J90" s="179"/>
      <c r="K90" s="189">
        <f t="shared" si="75" ref="K90">SUM(K80:K89)</f>
        <v>-1247079461.5668128</v>
      </c>
      <c r="L90" s="189"/>
      <c r="M90" s="198"/>
      <c r="N90" s="197">
        <f>SUM(N80:N89)</f>
        <v>-514062575.57999992</v>
      </c>
      <c r="O90" s="197">
        <f>SUM(O80:O89)</f>
        <v>-52370033.760000005</v>
      </c>
      <c r="P90" s="197">
        <f>SUM(P80:P89)</f>
        <v>-642339.16000000003</v>
      </c>
      <c r="Q90" s="197">
        <f>SUM(Q80:Q89)</f>
        <v>-567074948.5</v>
      </c>
      <c r="R90" s="197">
        <f t="shared" si="76" ref="R90:W90">SUM(R80:R89)</f>
        <v>-613538911.06000006</v>
      </c>
      <c r="S90" s="197">
        <f>SUM(S80:S89)</f>
        <v>-4282592.2400000002</v>
      </c>
      <c r="T90" s="197">
        <f>SUM(T80:T89)</f>
        <v>-617821503.30000007</v>
      </c>
      <c r="U90" s="197">
        <f t="shared" si="76"/>
        <v>-44402759.520000003</v>
      </c>
      <c r="V90" s="197">
        <f t="shared" si="77" ref="V90">SUM(V80:V89)</f>
        <v>-17780250.246812731</v>
      </c>
      <c r="W90" s="197">
        <f t="shared" si="76"/>
        <v>-1247079461.5668128</v>
      </c>
      <c r="X90" s="76"/>
      <c r="Z90" s="76" t="b">
        <f t="shared" si="68"/>
        <v>1</v>
      </c>
      <c r="AA90" s="339">
        <f>+W90-K90</f>
        <v>0</v>
      </c>
    </row>
    <row r="91" spans="1:23" s="76" customFormat="1" ht="12.75" customHeight="1">
      <c r="A91" s="77">
        <v>77</v>
      </c>
      <c r="B91" s="93"/>
      <c r="D91" s="39"/>
      <c r="E91" s="39"/>
      <c r="F91" s="39"/>
      <c r="G91" s="39"/>
      <c r="H91" s="39"/>
      <c r="I91" s="39"/>
      <c r="J91" s="178"/>
      <c r="K91" s="77"/>
      <c r="L91" s="39"/>
      <c r="M91" s="81"/>
      <c r="N91" s="39"/>
      <c r="O91" s="39"/>
      <c r="P91" s="39"/>
      <c r="Q91" s="39"/>
      <c r="R91" s="92"/>
      <c r="S91" s="39"/>
      <c r="T91" s="39"/>
      <c r="U91" s="92"/>
      <c r="V91" s="92"/>
      <c r="W91" s="92"/>
    </row>
    <row r="92" spans="1:27" s="80" customFormat="1" ht="12.75" customHeight="1">
      <c r="A92" s="77">
        <v>78</v>
      </c>
      <c r="B92" s="101" t="s">
        <v>222</v>
      </c>
      <c r="D92" s="86" t="s">
        <v>170</v>
      </c>
      <c r="E92" s="189">
        <f>E77+E90</f>
        <v>-1426556808.3868127</v>
      </c>
      <c r="F92" s="189">
        <f>F77+F90</f>
        <v>0</v>
      </c>
      <c r="G92" s="189">
        <f>G77+G90</f>
        <v>-1426556808.3868127</v>
      </c>
      <c r="H92" s="189">
        <f>H77+H90</f>
        <v>287756040.34000003</v>
      </c>
      <c r="I92" s="189">
        <f>I77+I90</f>
        <v>-1138800768.0468128</v>
      </c>
      <c r="J92" s="179"/>
      <c r="K92" s="189">
        <f>K77+K90</f>
        <v>-1138800768.0468128</v>
      </c>
      <c r="L92" s="189"/>
      <c r="M92" s="189"/>
      <c r="N92" s="189">
        <f t="shared" si="78" ref="N92:W92">N77+N90</f>
        <v>-485033420.38999993</v>
      </c>
      <c r="O92" s="189">
        <f t="shared" si="79" ref="O92">O77+O90</f>
        <v>-51562335.770000003</v>
      </c>
      <c r="P92" s="189">
        <f t="shared" si="80" ref="P92">P77+P90</f>
        <v>-642339.16000000003</v>
      </c>
      <c r="Q92" s="189">
        <f>Q77+Q90</f>
        <v>-537238095.32000005</v>
      </c>
      <c r="R92" s="189">
        <f t="shared" si="78"/>
        <v>-557076552.59000003</v>
      </c>
      <c r="S92" s="189">
        <f t="shared" si="81" ref="S92:T92">S77+S90</f>
        <v>-4216542.2300000004</v>
      </c>
      <c r="T92" s="189">
        <f t="shared" si="81"/>
        <v>-561293094.82000005</v>
      </c>
      <c r="U92" s="189">
        <f t="shared" si="78"/>
        <v>-28189518.420000002</v>
      </c>
      <c r="V92" s="189">
        <f t="shared" si="82" ref="V92">V77+V90</f>
        <v>-12080059.486812716</v>
      </c>
      <c r="W92" s="189">
        <f t="shared" si="78"/>
        <v>-1138800768.0468128</v>
      </c>
      <c r="X92" s="76"/>
      <c r="Z92" s="76" t="b">
        <f>ROUND(+W92,2)=ROUND(K92,2)</f>
        <v>1</v>
      </c>
      <c r="AA92" s="339">
        <f>+W92-K92</f>
        <v>0</v>
      </c>
    </row>
    <row r="93" spans="1:24" s="80" customFormat="1" ht="12.75" customHeight="1">
      <c r="A93" s="77">
        <v>79</v>
      </c>
      <c r="B93" s="101"/>
      <c r="D93" s="87"/>
      <c r="E93" s="167"/>
      <c r="F93" s="167"/>
      <c r="G93" s="167"/>
      <c r="H93" s="167"/>
      <c r="I93" s="167"/>
      <c r="J93" s="179"/>
      <c r="K93" s="167"/>
      <c r="L93" s="87"/>
      <c r="M93" s="87"/>
      <c r="N93" s="167"/>
      <c r="O93" s="167"/>
      <c r="P93" s="167"/>
      <c r="Q93" s="167"/>
      <c r="R93" s="167"/>
      <c r="S93" s="167"/>
      <c r="T93" s="167"/>
      <c r="U93" s="167"/>
      <c r="V93" s="167"/>
      <c r="W93" s="167"/>
      <c r="X93" s="76"/>
    </row>
    <row r="94" spans="1:27" s="80" customFormat="1" ht="12.75" customHeight="1">
      <c r="A94" s="77">
        <v>80</v>
      </c>
      <c r="B94" s="80" t="s">
        <v>223</v>
      </c>
      <c r="D94" s="87"/>
      <c r="E94" s="189">
        <f>E67+E92</f>
        <v>-1329002555.7968125</v>
      </c>
      <c r="F94" s="189">
        <f>F67+F92</f>
        <v>0</v>
      </c>
      <c r="G94" s="189">
        <f>G67+G92</f>
        <v>-1329002555.7968125</v>
      </c>
      <c r="H94" s="189">
        <f>H67+H92</f>
        <v>1169455004.76</v>
      </c>
      <c r="I94" s="189">
        <f>I67+I92</f>
        <v>-159547551.03681278</v>
      </c>
      <c r="J94" s="179"/>
      <c r="K94" s="189">
        <f>K67+K92</f>
        <v>-159547551.03681278</v>
      </c>
      <c r="L94" s="189"/>
      <c r="M94" s="189"/>
      <c r="N94" s="189">
        <f t="shared" si="83" ref="N94:W94">N67+N92</f>
        <v>-424638395.25999993</v>
      </c>
      <c r="O94" s="189">
        <f t="shared" si="84" ref="O94">O67+O92</f>
        <v>-45636288.200000003</v>
      </c>
      <c r="P94" s="189">
        <f t="shared" si="85" ref="P94">P67+P92</f>
        <v>-642339.16000000003</v>
      </c>
      <c r="Q94" s="189">
        <f>Q67+Q92</f>
        <v>-470917022.62</v>
      </c>
      <c r="R94" s="189">
        <f t="shared" si="83"/>
        <v>190520108.74000001</v>
      </c>
      <c r="S94" s="189">
        <f t="shared" si="86" ref="S94:T94">S67+S92</f>
        <v>-3330024.8900000006</v>
      </c>
      <c r="T94" s="189">
        <f t="shared" si="86"/>
        <v>187190083.84999991</v>
      </c>
      <c r="U94" s="189">
        <f t="shared" si="83"/>
        <v>119901695.55999999</v>
      </c>
      <c r="V94" s="189">
        <f t="shared" si="87" ref="V94">V67+V92</f>
        <v>4277692.1731872801</v>
      </c>
      <c r="W94" s="189">
        <f t="shared" si="83"/>
        <v>-159547551.03681278</v>
      </c>
      <c r="X94" s="76"/>
      <c r="Z94" s="76" t="b">
        <f>ROUND(+W94,2)=ROUND(K94,2)</f>
        <v>1</v>
      </c>
      <c r="AA94" s="339">
        <f>+W94-K94</f>
        <v>0</v>
      </c>
    </row>
    <row r="95" spans="1:23" s="76" customFormat="1" ht="12.75" customHeight="1">
      <c r="A95" s="77">
        <v>81</v>
      </c>
      <c r="B95" s="93"/>
      <c r="D95" s="39"/>
      <c r="E95" s="190"/>
      <c r="F95" s="190"/>
      <c r="G95" s="190"/>
      <c r="H95" s="190"/>
      <c r="I95" s="190"/>
      <c r="J95" s="178"/>
      <c r="K95" s="192"/>
      <c r="L95" s="190"/>
      <c r="M95" s="193"/>
      <c r="N95" s="190"/>
      <c r="O95" s="190"/>
      <c r="P95" s="190"/>
      <c r="Q95" s="190"/>
      <c r="R95" s="193"/>
      <c r="S95" s="190"/>
      <c r="T95" s="190"/>
      <c r="U95" s="193"/>
      <c r="V95" s="193"/>
      <c r="W95" s="193"/>
    </row>
    <row r="96" spans="1:27" s="80" customFormat="1" ht="12.75" customHeight="1">
      <c r="A96" s="77">
        <v>82</v>
      </c>
      <c r="B96" s="101" t="s">
        <v>108</v>
      </c>
      <c r="D96" s="86" t="s">
        <v>171</v>
      </c>
      <c r="E96" s="189">
        <f>ROUND(+'II-B-6'!E20,2)+ROUND('II-B-7'!E22,2)+ROUND('II-B-8'!E60,2)+ROUND('II-B-9'!E21,2)+ROUND('II-B-10'!E35,2)+ROUND('II-B-11'!E30,2)+ROUND('II-B-12'!E94,2)</f>
        <v>-1123569850.8299999</v>
      </c>
      <c r="F96" s="189">
        <f>ROUND(+'II-B-6'!F20,2)+ROUND('II-B-7'!F22,2)+ROUND('II-B-8'!F60,2)+ROUND('II-B-9'!F21,2)+ROUND('II-B-10'!F35,2)+ROUND('II-B-11'!F30,2)+ROUND('II-B-12'!F94,2)</f>
        <v>6411963.5300000003</v>
      </c>
      <c r="G96" s="189">
        <f>ROUND(+'II-B-6'!G20,2)+ROUND('II-B-7'!G22,2)+ROUND('II-B-8'!G60,2)+ROUND('II-B-9'!G21,2)+ROUND('II-B-10'!G35,2)+ROUND('II-B-11'!G30,2)+ROUND('II-B-12'!G94,2)</f>
        <v>-1130203642.46</v>
      </c>
      <c r="H96" s="189">
        <f>ROUND(+'II-B-6'!H20,2)+ROUND('II-B-7'!H22,2)+ROUND('II-B-8'!H60,2)+ROUND('II-B-9'!H21,2)+ROUND('II-B-10'!H35,2)+ROUND('II-B-11'!H30,2)+ROUND('II-B-12'!H94,2)</f>
        <v>1208655502.3599999</v>
      </c>
      <c r="I96" s="189">
        <f>ROUND(+'II-B-6'!I20,2)+ROUND('II-B-7'!I22,2)+ROUND('II-B-8'!I60,2)+ROUND('II-B-9'!I21,2)+ROUND('II-B-10'!I35,2)+ROUND('II-B-11'!I30,2)+ROUND('II-B-12'!I94,2)</f>
        <v>78451859.900000006</v>
      </c>
      <c r="J96" s="179"/>
      <c r="K96" s="189">
        <f>ROUND(+'II-B-6'!K20,2)+ROUND('II-B-7'!K22,2)+ROUND('II-B-8'!K60,2)+ROUND('II-B-9'!K21,2)+ROUND('II-B-10'!K35,2)+ROUND('II-B-11'!K30,2)+ROUND('II-B-12'!K94,2)</f>
        <v>78451859.900000006</v>
      </c>
      <c r="L96" s="189"/>
      <c r="M96" s="194"/>
      <c r="N96" s="189">
        <f>ROUND(+'II-B-6'!N20,2)+ROUND('II-B-7'!N22,2)+ROUND('II-B-8'!N60,2)+ROUND('II-B-9'!N21,2)+ROUND('II-B-10'!N35,2)+ROUND('II-B-11'!N30,2)+ROUND('II-B-12'!N94,2)</f>
        <v>-362990817.08999997</v>
      </c>
      <c r="O96" s="189">
        <f>ROUND(+'II-B-6'!O20,2)+ROUND('II-B-7'!O22,2)+ROUND('II-B-8'!O60,2)+ROUND('II-B-9'!O21,2)+ROUND('II-B-10'!O35,2)+ROUND('II-B-11'!O30,2)+ROUND('II-B-12'!O94,2)</f>
        <v>-30358048.330000002</v>
      </c>
      <c r="P96" s="189">
        <f>ROUND(+'II-B-6'!P20,2)+ROUND('II-B-7'!P22,2)+ROUND('II-B-8'!P60,2)+ROUND('II-B-9'!P21,2)+ROUND('II-B-10'!P35,2)+ROUND('II-B-11'!P30,2)+ROUND('II-B-12'!P94,2)</f>
        <v>-642339.16000000003</v>
      </c>
      <c r="Q96" s="189">
        <f>ROUND(+'II-B-6'!Q20,2)+ROUND('II-B-7'!Q22,2)+ROUND('II-B-8'!Q60,2)+ROUND('II-B-9'!Q21,2)+ROUND('II-B-10'!Q35,2)+ROUND('II-B-11'!Q30,2)+ROUND('II-B-12'!Q94,2)</f>
        <v>-393991204.58000004</v>
      </c>
      <c r="R96" s="189">
        <f>ROUND(+'II-B-6'!R20,2)+ROUND('II-B-7'!R22,2)+ROUND('II-B-8'!R60,2)+ROUND('II-B-9'!R21,2)+ROUND('II-B-10'!R35,2)+ROUND('II-B-11'!R30,2)+ROUND('II-B-12'!R94,2)</f>
        <v>347954431.99000001</v>
      </c>
      <c r="S96" s="189">
        <f>ROUND(+'II-B-6'!S20,2)+ROUND('II-B-7'!S22,2)+ROUND('II-B-8'!S60,2)+ROUND('II-B-9'!S21,2)+ROUND('II-B-10'!S35,2)+ROUND('II-B-11'!S30,2)+ROUND('II-B-12'!S94,2)</f>
        <v>-3998493.8000000003</v>
      </c>
      <c r="T96" s="189">
        <f>ROUND(+'II-B-6'!T20,2)+ROUND('II-B-7'!T22,2)+ROUND('II-B-8'!T60,2)+ROUND('II-B-9'!T21,2)+ROUND('II-B-10'!T35,2)+ROUND('II-B-11'!T30,2)+ROUND('II-B-12'!T94,2)</f>
        <v>343955938.19</v>
      </c>
      <c r="U96" s="189">
        <f>ROUND(+'II-B-6'!U20,2)+ROUND('II-B-7'!U22,2)+ROUND('II-B-8'!U60,2)+ROUND('II-B-9'!U21,2)+ROUND('II-B-10'!U35,2)+ROUND('II-B-11'!U30,2)+ROUND('II-B-12'!U94,2)</f>
        <v>123137902.77</v>
      </c>
      <c r="V96" s="189">
        <f>ROUND(+'II-B-6'!V20,2)+ROUND('II-B-7'!V22,2)+ROUND('II-B-8'!V60,2)+ROUND('II-B-9'!V21,2)+ROUND('II-B-10'!V35,2)+ROUND('II-B-11'!V30,2)+ROUND('II-B-12'!V94,2)</f>
        <v>5349223.5199999996</v>
      </c>
      <c r="W96" s="189">
        <f>ROUND(+'II-B-6'!W20,2)+ROUND('II-B-7'!W22,2)+ROUND('II-B-8'!W60,2)+ROUND('II-B-9'!W21,2)+ROUND('II-B-10'!W35,2)+ROUND('II-B-11'!W30,2)+ROUND('II-B-12'!W94,2)</f>
        <v>78451859.900000006</v>
      </c>
      <c r="X96" s="76"/>
      <c r="Z96" s="76" t="b">
        <f>ROUND(+W96,2)=ROUND(K96,2)</f>
        <v>1</v>
      </c>
      <c r="AA96" s="340">
        <f>+W96-K96</f>
        <v>0</v>
      </c>
    </row>
    <row r="97" spans="1:23" s="80" customFormat="1" ht="12.75">
      <c r="A97" s="77">
        <v>83</v>
      </c>
      <c r="D97" s="107"/>
      <c r="E97" s="189"/>
      <c r="F97" s="189"/>
      <c r="G97" s="189"/>
      <c r="H97" s="189"/>
      <c r="I97" s="189"/>
      <c r="J97" s="179"/>
      <c r="K97" s="198"/>
      <c r="L97" s="189"/>
      <c r="M97" s="194"/>
      <c r="N97" s="189"/>
      <c r="O97" s="189"/>
      <c r="P97" s="189"/>
      <c r="Q97" s="189"/>
      <c r="R97" s="189"/>
      <c r="S97" s="189"/>
      <c r="T97" s="189"/>
      <c r="U97" s="189"/>
      <c r="V97" s="189"/>
      <c r="W97" s="189"/>
    </row>
    <row r="98" spans="1:27" s="80" customFormat="1" ht="12.75" customHeight="1">
      <c r="A98" s="77">
        <v>84</v>
      </c>
      <c r="B98" s="101" t="s">
        <v>109</v>
      </c>
      <c r="D98" s="86" t="s">
        <v>172</v>
      </c>
      <c r="E98" s="189">
        <f>+'II-B-1'!E55+'II-B-2'!E33+'II-B-3'!E20+'II-B-4'!E20-'II-B-5'!E57-'II-B-5'!E83+'II-B-6'!E20+'II-B-7'!E18+'II-B-8'!E60+'II-B-9'!E21+'II-B-10'!E35+'II-B-12'!E94-'[5]Link Sheet'!$B$2+'II-B-11'!E30</f>
        <v>18478734977.630112</v>
      </c>
      <c r="F98" s="189">
        <f>+'II-B-1'!F55+'II-B-2'!F33+'II-B-3'!F20+'II-B-4'!F20-'II-B-5'!F57-'II-B-5'!F83+'II-B-6'!F20+'II-B-7'!F18+'II-B-8'!F60+'II-B-9'!F21+'II-B-10'!F35+'II-B-12'!F94-'[5]Link Sheet'!C2+'II-B-11'!F30</f>
        <v>9558110.9738461543</v>
      </c>
      <c r="G98" s="189">
        <f>+'II-B-1'!G55+'II-B-2'!G33+'II-B-3'!G20+'II-B-4'!G20-'II-B-5'!G57-'II-B-5'!G83+'II-B-6'!G20+'II-B-7'!G18+'II-B-8'!G60+'II-B-9'!G21+'II-B-10'!G35+'II-B-12'!G94-'[5]Link Sheet'!D2+'II-B-11'!G30</f>
        <v>18475247333.443954</v>
      </c>
      <c r="H98" s="189">
        <f>+'II-B-1'!H55+'II-B-2'!H33+'II-B-3'!H20+'II-B-4'!H20-'II-B-5'!H57-'II-B-5'!H83+'II-B-6'!H20+'II-B-7'!H18+'II-B-8'!H60+'II-B-9'!H21+'II-B-10'!H35+'II-B-12'!H94-'[5]Link Sheet'!$E$2+'II-B-11'!H30</f>
        <v>340681042.48000008</v>
      </c>
      <c r="I98" s="189">
        <f>+'II-B-1'!I55+'II-B-2'!I33+'II-B-3'!I20+'II-B-4'!I20-'II-B-5'!I57-'II-B-5'!I83+'II-B-6'!I20+'II-B-7'!I18+'II-B-8'!I60+'II-B-9'!I21+'II-B-10'!I35+'II-B-12'!I94-'[5]Link Sheet'!$F$2+'II-B-11'!I30</f>
        <v>18815928375.923962</v>
      </c>
      <c r="J98" s="179"/>
      <c r="K98" s="189">
        <f>+I98</f>
        <v>18815928375.923962</v>
      </c>
      <c r="L98" s="189"/>
      <c r="M98" s="194"/>
      <c r="N98" s="189">
        <f>+'II-B-1'!N55+'II-B-2'!N33+'II-B-3'!N20+'II-B-4'!N20-'II-B-5'!N57-'II-B-5'!N83+'II-B-6'!N20+'II-B-7'!N18+'II-B-8'!N60+'II-B-9'!N21+'II-B-10'!N35+'II-B-12'!N94+'II-B-7'!N20+'II-B-11'!N30-'[5]Link Sheet'!G2</f>
        <v>7764032546.4046164</v>
      </c>
      <c r="O98" s="189">
        <f>+'II-B-1'!O55+'II-B-2'!O33+'II-B-3'!O20+'II-B-4'!O20-'II-B-5'!O57-'II-B-5'!O83+'II-B-6'!O20+'II-B-7'!O18+'II-B-8'!O60+'II-B-9'!O21+'II-B-10'!O35+'II-B-12'!O94+'II-B-7'!O20+'II-B-11'!O30-'[5]Link Sheet'!H2</f>
        <v>1253226003.4199998</v>
      </c>
      <c r="P98" s="189">
        <f>+'II-B-1'!P55+'II-B-2'!P33+'II-B-3'!P20+'II-B-4'!P20-'II-B-5'!P57-'II-B-5'!P83+'II-B-6'!P20+'II-B-7'!P18+'II-B-8'!P60+'II-B-9'!P21+'II-B-10'!P35+'II-B-12'!P94+'II-B-7'!P20+'II-B-11'!P30-'[5]Link Sheet'!I2</f>
        <v>9713063.910000002</v>
      </c>
      <c r="Q98" s="189">
        <f>+'II-B-1'!Q55+'II-B-2'!Q33+'II-B-3'!Q20+'II-B-4'!Q20-'II-B-5'!Q57-'II-B-5'!Q83+'II-B-6'!Q20+'II-B-7'!Q18+'II-B-8'!Q60+'II-B-9'!Q21+'II-B-10'!Q35+'II-B-12'!Q94+'II-B-7'!Q20+'II-B-11'!Q30-'[5]Link Sheet'!J2</f>
        <v>9026971613.7346134</v>
      </c>
      <c r="R98" s="189">
        <f>+'II-B-1'!R55+'II-B-2'!R33+'II-B-3'!R20+'II-B-4'!R20-'II-B-5'!R57-'II-B-5'!R83+'II-B-6'!R20+'II-B-7'!R18+'II-B-8'!R60+'II-B-9'!R21+'II-B-10'!R35+'II-B-12'!R94+'II-B-7'!R20+'II-B-11'!R30-'[5]Link Sheet'!K2</f>
        <v>9061557949.7653809</v>
      </c>
      <c r="S98" s="189">
        <f>+'II-B-1'!S55+'II-B-2'!S33+'II-B-3'!S20+'II-B-4'!S20-'II-B-5'!S57-'II-B-5'!S83+'II-B-6'!S20+'II-B-7'!S18+'II-B-8'!S60+'II-B-9'!S21+'II-B-10'!S35+'II-B-12'!S94+'II-B-7'!S20+'II-B-11'!S30-'[5]Link Sheet'!L2</f>
        <v>101006265.62000001</v>
      </c>
      <c r="T98" s="189">
        <f>+'II-B-1'!T55+'II-B-2'!T33+'II-B-3'!T20+'II-B-4'!T20-'II-B-5'!T57-'II-B-5'!T83+'II-B-6'!T20+'II-B-7'!T18+'II-B-8'!T60+'II-B-9'!T21+'II-B-10'!T35+'II-B-12'!T94+'II-B-7'!T20+'II-B-11'!T30-'[5]Link Sheet'!M2</f>
        <v>9162564215.3853836</v>
      </c>
      <c r="U98" s="189">
        <f>+'II-B-1'!U55+'II-B-2'!U33+'II-B-3'!U20+'II-B-4'!U20-'II-B-5'!U57-'II-B-5'!U83+'II-B-6'!U20+'II-B-7'!U18+'II-B-8'!U60+'II-B-9'!U21+'II-B-10'!U35+'II-B-12'!U94+'II-B-7'!U20+'II-B-11'!U30-'[5]Link Sheet'!N2</f>
        <v>421320140.15076929</v>
      </c>
      <c r="V98" s="189">
        <f>+'II-B-1'!V55+'II-B-2'!V33+'II-B-3'!V20+'II-B-4'!V20-'II-B-5'!V57-'II-B-5'!V83+'II-B-6'!V20+'II-B-7'!V18+'II-B-8'!V60+'II-B-9'!V21+'II-B-10'!V35+'II-B-12'!V94+'II-B-7'!V20+'II-B-11'!V30-'[5]Link Sheet'!O2</f>
        <v>205072406.65318754</v>
      </c>
      <c r="W98" s="189">
        <f>+'II-B-1'!W55+'II-B-2'!W33+'II-B-3'!W20+'II-B-4'!W20-'II-B-5'!W57-'II-B-5'!W83+'II-B-6'!W20+'II-B-7'!W18+'II-B-8'!W60+'II-B-9'!W21+'II-B-10'!W35+'II-B-12'!W94+'II-B-7'!W20+'II-B-11'!W30-'[5]Link Sheet'!$P$2</f>
        <v>18815928375.923962</v>
      </c>
      <c r="X98" s="76"/>
      <c r="Y98" s="254"/>
      <c r="Z98" s="76" t="b">
        <f>ROUND(+W98,2)=ROUND(K98,2)</f>
        <v>1</v>
      </c>
      <c r="AA98" s="339">
        <f>+W98-K98</f>
        <v>0</v>
      </c>
    </row>
    <row r="99" spans="1:22" s="76" customFormat="1" ht="12.75">
      <c r="A99" s="77">
        <v>85</v>
      </c>
      <c r="D99" s="39"/>
      <c r="E99" s="39"/>
      <c r="F99" s="39"/>
      <c r="G99" s="39"/>
      <c r="H99" s="39"/>
      <c r="I99" s="39"/>
      <c r="J99" s="178"/>
      <c r="K99" s="77"/>
      <c r="L99" s="39"/>
      <c r="M99" s="77"/>
      <c r="N99" s="39"/>
      <c r="O99" s="39"/>
      <c r="P99" s="39"/>
      <c r="Q99" s="39"/>
      <c r="R99" s="39"/>
      <c r="S99" s="39"/>
      <c r="T99" s="39"/>
      <c r="U99" s="39"/>
      <c r="V99" s="39"/>
    </row>
    <row r="100" spans="1:27" s="6" customFormat="1" ht="12.75">
      <c r="A100" s="77">
        <v>86</v>
      </c>
      <c r="B100" s="108" t="s">
        <v>118</v>
      </c>
      <c r="C100" s="109"/>
      <c r="D100" s="110"/>
      <c r="E100" s="44">
        <f>+'[6]Link Sheet'!$D$7</f>
        <v>0.070499999999999993</v>
      </c>
      <c r="F100" s="44">
        <f>+'[6]Link Sheet'!$D$7</f>
        <v>0.070499999999999993</v>
      </c>
      <c r="G100" s="44">
        <f>+'[6]Link Sheet'!$D$7</f>
        <v>0.070499999999999993</v>
      </c>
      <c r="H100" s="44">
        <f>+'[6]Link Sheet'!$D$7</f>
        <v>0.070499999999999993</v>
      </c>
      <c r="I100" s="44">
        <f>+'[6]Link Sheet'!$D$7</f>
        <v>0.070499999999999993</v>
      </c>
      <c r="J100" s="178"/>
      <c r="K100" s="44">
        <f>+'[6]Link Sheet'!$D$7</f>
        <v>0.070499999999999993</v>
      </c>
      <c r="L100" s="110"/>
      <c r="M100" s="110"/>
      <c r="N100" s="44">
        <f>+'[6]Link Sheet'!$D$7</f>
        <v>0.070499999999999993</v>
      </c>
      <c r="O100" s="44">
        <f>+'[6]Link Sheet'!$D$7</f>
        <v>0.070499999999999993</v>
      </c>
      <c r="P100" s="44">
        <f>+'[6]Link Sheet'!$D$7</f>
        <v>0.070499999999999993</v>
      </c>
      <c r="Q100" s="44">
        <f>+'[6]Link Sheet'!$D$7</f>
        <v>0.070499999999999993</v>
      </c>
      <c r="R100" s="44">
        <f>+'[6]Link Sheet'!$D$7</f>
        <v>0.070499999999999993</v>
      </c>
      <c r="S100" s="44">
        <f>+'[6]Link Sheet'!$D$7</f>
        <v>0.070499999999999993</v>
      </c>
      <c r="T100" s="44">
        <f>+'[6]Link Sheet'!$D$7</f>
        <v>0.070499999999999993</v>
      </c>
      <c r="U100" s="44">
        <f>+'[6]Link Sheet'!$D$7</f>
        <v>0.070499999999999993</v>
      </c>
      <c r="V100" s="44">
        <f>+'[6]Link Sheet'!$D$7</f>
        <v>0.070499999999999993</v>
      </c>
      <c r="W100" s="44">
        <f>+'[6]Link Sheet'!$D$7</f>
        <v>0.070499999999999993</v>
      </c>
      <c r="Z100" s="76" t="b">
        <f>ROUND(+W100,2)=ROUND(K100,2)</f>
        <v>1</v>
      </c>
      <c r="AA100" s="339">
        <f>+W100-K100</f>
        <v>0</v>
      </c>
    </row>
    <row r="101" spans="1:13" s="6" customFormat="1" ht="12.75">
      <c r="A101" s="77">
        <v>87</v>
      </c>
      <c r="C101" s="39"/>
      <c r="D101" s="39"/>
      <c r="E101" s="39"/>
      <c r="F101" s="39"/>
      <c r="G101" s="39"/>
      <c r="H101" s="39"/>
      <c r="I101" s="39"/>
      <c r="J101" s="178"/>
      <c r="K101" s="57"/>
      <c r="L101" s="39"/>
      <c r="M101" s="39"/>
    </row>
    <row r="102" spans="1:27" s="80" customFormat="1" ht="12.75" customHeight="1">
      <c r="A102" s="77">
        <v>88</v>
      </c>
      <c r="B102" s="101" t="s">
        <v>119</v>
      </c>
      <c r="D102" s="86"/>
      <c r="E102" s="189">
        <f>+E98*E100</f>
        <v>1302750815.9229229</v>
      </c>
      <c r="F102" s="189">
        <f>+F98*F100</f>
        <v>673846.82365615387</v>
      </c>
      <c r="G102" s="189">
        <f>+G98*G100</f>
        <v>1302504937.0077987</v>
      </c>
      <c r="H102" s="189">
        <f>+H98*H100</f>
        <v>24018013.494840004</v>
      </c>
      <c r="I102" s="189">
        <f>+I98*I100</f>
        <v>1326522950.5026391</v>
      </c>
      <c r="J102" s="179"/>
      <c r="K102" s="189">
        <f>+K98*K100</f>
        <v>1326522950.5026391</v>
      </c>
      <c r="L102" s="189"/>
      <c r="M102" s="194"/>
      <c r="N102" s="189">
        <f t="shared" si="88" ref="N102:W102">+N98*N100</f>
        <v>547364294.52152538</v>
      </c>
      <c r="O102" s="189">
        <f t="shared" si="88"/>
        <v>88352433.241109982</v>
      </c>
      <c r="P102" s="189">
        <f t="shared" si="89" ref="P102">+P98*P100</f>
        <v>684771.0056550001</v>
      </c>
      <c r="Q102" s="189">
        <f t="shared" si="88"/>
        <v>636401498.76829016</v>
      </c>
      <c r="R102" s="189">
        <f t="shared" si="88"/>
        <v>638839835.45845926</v>
      </c>
      <c r="S102" s="189">
        <f t="shared" si="88"/>
        <v>7120941.72621</v>
      </c>
      <c r="T102" s="189">
        <f t="shared" si="88"/>
        <v>645960777.18466949</v>
      </c>
      <c r="U102" s="189">
        <f t="shared" si="88"/>
        <v>29703069.880629234</v>
      </c>
      <c r="V102" s="189">
        <f t="shared" si="90" ref="V102">+V98*V100</f>
        <v>14457604.669049721</v>
      </c>
      <c r="W102" s="189">
        <f t="shared" si="88"/>
        <v>1326522950.5026391</v>
      </c>
      <c r="X102" s="76"/>
      <c r="Z102" s="76" t="b">
        <f>ROUND(+W102,2)=ROUND(K102,2)</f>
        <v>1</v>
      </c>
      <c r="AA102" s="339">
        <f>+W102-K102</f>
        <v>0</v>
      </c>
    </row>
    <row r="103" spans="1:23" s="76" customFormat="1" ht="12.75" customHeight="1">
      <c r="A103" s="77">
        <v>89</v>
      </c>
      <c r="C103" s="94"/>
      <c r="D103" s="39"/>
      <c r="E103" s="39"/>
      <c r="F103" s="39"/>
      <c r="G103" s="39"/>
      <c r="H103" s="39"/>
      <c r="I103" s="39"/>
      <c r="J103" s="39"/>
      <c r="K103" s="77"/>
      <c r="L103" s="39"/>
      <c r="M103" s="81"/>
      <c r="N103" s="39"/>
      <c r="O103" s="39"/>
      <c r="P103" s="39"/>
      <c r="Q103" s="39"/>
      <c r="R103" s="92"/>
      <c r="S103" s="92"/>
      <c r="T103" s="92"/>
      <c r="U103" s="92"/>
      <c r="V103" s="92"/>
      <c r="W103" s="92"/>
    </row>
    <row r="104" spans="1:23" s="76" customFormat="1" ht="12.75" customHeight="1">
      <c r="A104" s="77">
        <v>90</v>
      </c>
      <c r="C104" s="91"/>
      <c r="D104" s="39"/>
      <c r="E104" s="39"/>
      <c r="F104" s="39"/>
      <c r="G104" s="39" t="b">
        <f>ROUND(+'II-B'!D37,2)=ROUND('II-B-12'!G98,2)</f>
        <v>1</v>
      </c>
      <c r="H104" s="39" t="b">
        <f>ROUND(+'II-B'!E37,2)=ROUND('II-B-12'!H98,2)</f>
        <v>1</v>
      </c>
      <c r="I104" s="39" t="b">
        <f>ROUND(+'II-B'!F37,2)=ROUND('II-B-12'!I98,2)</f>
        <v>1</v>
      </c>
      <c r="J104" s="39"/>
      <c r="K104" s="39" t="b">
        <f>ROUND(+'II-B'!F37,2)=ROUND('II-B-12'!I98,2)</f>
        <v>1</v>
      </c>
      <c r="L104" s="39"/>
      <c r="M104" s="77"/>
      <c r="N104" s="39" t="b">
        <f>ROUND(+'II-B'!G37,2)=ROUND('II-B-12'!N98,2)</f>
        <v>1</v>
      </c>
      <c r="O104" s="39" t="b">
        <f>ROUND(+'II-B'!H37,2)=ROUND('II-B-12'!O98,2)</f>
        <v>1</v>
      </c>
      <c r="P104" s="39" t="b">
        <f>ROUND(+'II-B'!I37,2)=ROUND('II-B-12'!P98,2)</f>
        <v>1</v>
      </c>
      <c r="Q104" s="39" t="b">
        <f>ROUND(+'II-B'!J37,2)=ROUND('II-B-12'!Q98,2)</f>
        <v>1</v>
      </c>
      <c r="R104" s="39" t="b">
        <f>ROUND(+'II-B'!K37,2)=ROUND('II-B-12'!R98,2)</f>
        <v>1</v>
      </c>
      <c r="S104" s="39" t="b">
        <f>ROUND(+'II-B'!L37,2)=ROUND('II-B-12'!S98,2)</f>
        <v>1</v>
      </c>
      <c r="T104" s="39" t="b">
        <f>ROUND(+'II-B'!M37,2)=ROUND('II-B-12'!T98,2)</f>
        <v>1</v>
      </c>
      <c r="U104" s="39" t="b">
        <f>ROUND(+'II-B'!N37,2)=ROUND('II-B-12'!U98,2)</f>
        <v>1</v>
      </c>
      <c r="V104" s="39" t="b">
        <f>ROUND(+'II-B'!O37,2)=ROUND('II-B-12'!V98,2)</f>
        <v>1</v>
      </c>
      <c r="W104" s="39" t="b">
        <f>ROUND(+'II-B'!P37,2)=ROUND('II-B-12'!W98,2)</f>
        <v>1</v>
      </c>
    </row>
    <row r="105" spans="1:23" s="76" customFormat="1" ht="12.75" customHeight="1">
      <c r="A105" s="77">
        <v>91</v>
      </c>
      <c r="B105" s="76" t="s">
        <v>302</v>
      </c>
      <c r="C105" s="91"/>
      <c r="D105" s="39"/>
      <c r="E105" s="39"/>
      <c r="F105" s="39"/>
      <c r="G105" s="39"/>
      <c r="H105" s="39"/>
      <c r="I105" s="39"/>
      <c r="J105" s="39"/>
      <c r="K105" s="39"/>
      <c r="L105" s="39"/>
      <c r="M105" s="77"/>
      <c r="N105" s="39"/>
      <c r="O105" s="39"/>
      <c r="P105" s="39"/>
      <c r="Q105" s="39"/>
      <c r="R105" s="39"/>
      <c r="S105" s="39"/>
      <c r="T105" s="39"/>
      <c r="U105" s="39"/>
      <c r="V105" s="39"/>
      <c r="W105" s="39"/>
    </row>
    <row r="106" spans="1:23" s="76" customFormat="1" ht="12.75" customHeight="1">
      <c r="A106" s="77">
        <v>92</v>
      </c>
      <c r="B106" s="76" t="s">
        <v>241</v>
      </c>
      <c r="D106" s="39"/>
      <c r="E106" s="39"/>
      <c r="F106" s="39"/>
      <c r="G106" s="39"/>
      <c r="H106" s="39"/>
      <c r="I106" s="39"/>
      <c r="J106" s="39"/>
      <c r="K106" s="39"/>
      <c r="L106" s="39"/>
      <c r="M106" s="77"/>
      <c r="N106" s="39"/>
      <c r="O106" s="39"/>
      <c r="P106" s="39"/>
      <c r="Q106" s="39"/>
      <c r="R106" s="92"/>
      <c r="S106" s="92"/>
      <c r="T106" s="92"/>
      <c r="U106" s="92"/>
      <c r="V106" s="92"/>
      <c r="W106" s="92"/>
    </row>
    <row r="107" spans="1:23" s="80" customFormat="1" ht="12.75" customHeight="1">
      <c r="A107" s="77">
        <v>93</v>
      </c>
      <c r="B107" s="275" t="s">
        <v>638</v>
      </c>
      <c r="C107" s="275"/>
      <c r="D107" s="87"/>
      <c r="E107" s="87"/>
      <c r="F107" s="39"/>
      <c r="G107" s="87"/>
      <c r="H107" s="87"/>
      <c r="I107" s="87"/>
      <c r="J107" s="87"/>
      <c r="K107" s="88"/>
      <c r="L107" s="87"/>
      <c r="M107" s="88"/>
      <c r="N107" s="87"/>
      <c r="O107" s="87"/>
      <c r="P107" s="87"/>
      <c r="Q107" s="87"/>
      <c r="R107" s="87"/>
      <c r="S107" s="87"/>
      <c r="T107" s="87"/>
      <c r="U107" s="87"/>
      <c r="V107" s="87"/>
      <c r="W107" s="174"/>
    </row>
    <row r="108" spans="1:23" s="80" customFormat="1" ht="12.75">
      <c r="A108" s="77">
        <v>94</v>
      </c>
      <c r="B108" s="274" t="s">
        <v>637</v>
      </c>
      <c r="C108" s="374"/>
      <c r="D108" s="87"/>
      <c r="E108" s="87"/>
      <c r="F108" s="39"/>
      <c r="G108" s="87"/>
      <c r="H108" s="87"/>
      <c r="I108" s="87"/>
      <c r="J108" s="87"/>
      <c r="K108" s="88"/>
      <c r="L108" s="87"/>
      <c r="M108" s="88"/>
      <c r="N108" s="87"/>
      <c r="O108" s="87"/>
      <c r="P108" s="87"/>
      <c r="Q108" s="87"/>
      <c r="R108" s="87"/>
      <c r="S108" s="87"/>
      <c r="T108" s="87"/>
      <c r="U108" s="87"/>
      <c r="V108" s="87"/>
      <c r="W108" s="174"/>
    </row>
    <row r="109" spans="1:23" s="76" customFormat="1" ht="12.75">
      <c r="A109" s="77"/>
      <c r="B109" s="381"/>
      <c r="C109" s="382"/>
      <c r="D109" s="39"/>
      <c r="E109" s="39"/>
      <c r="F109" s="39"/>
      <c r="G109" s="39"/>
      <c r="H109" s="39"/>
      <c r="I109" s="39"/>
      <c r="J109" s="39"/>
      <c r="K109" s="77"/>
      <c r="L109" s="39"/>
      <c r="M109" s="77"/>
      <c r="N109" s="39"/>
      <c r="O109" s="39"/>
      <c r="P109" s="39"/>
      <c r="Q109" s="39"/>
      <c r="R109" s="39"/>
      <c r="S109" s="39"/>
      <c r="T109" s="39"/>
      <c r="U109" s="39"/>
      <c r="V109" s="39"/>
      <c r="W109" s="39"/>
    </row>
    <row r="110" spans="1:23" s="76" customFormat="1" ht="12.75">
      <c r="A110" s="77"/>
      <c r="B110" s="274"/>
      <c r="C110" s="375"/>
      <c r="D110" s="39"/>
      <c r="E110" s="39"/>
      <c r="F110" s="39"/>
      <c r="G110" s="39"/>
      <c r="H110" s="39"/>
      <c r="I110" s="39"/>
      <c r="J110" s="39"/>
      <c r="K110" s="77"/>
      <c r="L110" s="39"/>
      <c r="M110" s="77"/>
      <c r="N110" s="39"/>
      <c r="O110" s="39"/>
      <c r="P110" s="39"/>
      <c r="Q110" s="39"/>
      <c r="R110" s="39"/>
      <c r="S110" s="39"/>
      <c r="T110" s="39"/>
      <c r="U110" s="39"/>
      <c r="V110" s="39"/>
      <c r="W110" s="39"/>
    </row>
    <row r="111" spans="1:23" s="76" customFormat="1" ht="12.75" customHeight="1">
      <c r="A111" s="77"/>
      <c r="C111" s="90"/>
      <c r="D111" s="39"/>
      <c r="E111" s="39"/>
      <c r="F111" s="39"/>
      <c r="G111" s="39"/>
      <c r="H111" s="39"/>
      <c r="I111" s="39"/>
      <c r="J111" s="39"/>
      <c r="K111" s="77"/>
      <c r="L111" s="39"/>
      <c r="M111" s="77"/>
      <c r="N111" s="39"/>
      <c r="O111" s="39"/>
      <c r="P111" s="39"/>
      <c r="Q111" s="39"/>
      <c r="R111" s="39"/>
      <c r="S111" s="39"/>
      <c r="T111" s="39"/>
      <c r="U111" s="39"/>
      <c r="V111" s="39"/>
      <c r="W111" s="39"/>
    </row>
    <row r="112" spans="1:22" s="76" customFormat="1" ht="12.75" customHeight="1">
      <c r="A112" s="77"/>
      <c r="D112" s="39"/>
      <c r="E112" s="39"/>
      <c r="F112" s="39"/>
      <c r="G112" s="39"/>
      <c r="H112" s="39"/>
      <c r="I112" s="39"/>
      <c r="J112" s="39"/>
      <c r="K112" s="77"/>
      <c r="L112" s="39"/>
      <c r="M112" s="77"/>
      <c r="N112" s="39"/>
      <c r="O112" s="39"/>
      <c r="P112" s="39"/>
      <c r="Q112" s="39"/>
      <c r="R112" s="39"/>
      <c r="S112" s="39"/>
      <c r="T112" s="39"/>
      <c r="U112" s="39"/>
      <c r="V112" s="39"/>
    </row>
    <row r="113" spans="2:22" s="80" customFormat="1" ht="12.75" customHeight="1">
      <c r="B113" s="96"/>
      <c r="D113" s="87"/>
      <c r="E113" s="87"/>
      <c r="F113" s="39"/>
      <c r="G113" s="87"/>
      <c r="H113" s="87"/>
      <c r="I113" s="87"/>
      <c r="J113" s="87"/>
      <c r="K113" s="88"/>
      <c r="L113" s="87"/>
      <c r="M113" s="88"/>
      <c r="N113" s="87"/>
      <c r="O113" s="87"/>
      <c r="P113" s="87"/>
      <c r="Q113" s="87"/>
      <c r="R113" s="87"/>
      <c r="S113" s="87"/>
      <c r="T113" s="87"/>
      <c r="U113" s="87"/>
      <c r="V113" s="87"/>
    </row>
    <row r="114" spans="5:23" s="76" customFormat="1" ht="12.75" customHeight="1">
      <c r="E114" s="39"/>
      <c r="F114" s="39"/>
      <c r="G114" s="39"/>
      <c r="H114" s="39"/>
      <c r="I114" s="39"/>
      <c r="J114" s="39"/>
      <c r="K114" s="77"/>
      <c r="L114" s="39"/>
      <c r="M114" s="77"/>
      <c r="N114" s="39"/>
      <c r="O114" s="39"/>
      <c r="P114" s="39"/>
      <c r="Q114" s="39"/>
      <c r="R114" s="92"/>
      <c r="S114" s="92"/>
      <c r="T114" s="92"/>
      <c r="U114" s="92"/>
      <c r="V114" s="92"/>
      <c r="W114" s="92"/>
    </row>
    <row r="115" spans="4:22" s="76" customFormat="1" ht="12.75" customHeight="1">
      <c r="D115" s="39"/>
      <c r="E115" s="342"/>
      <c r="F115" s="342"/>
      <c r="G115" s="342"/>
      <c r="H115" s="342"/>
      <c r="I115" s="342"/>
      <c r="J115" s="39"/>
      <c r="K115" s="342"/>
      <c r="L115" s="39"/>
      <c r="M115" s="77"/>
      <c r="N115" s="39"/>
      <c r="O115" s="39"/>
      <c r="P115" s="39"/>
      <c r="Q115" s="39"/>
      <c r="R115" s="39"/>
      <c r="S115" s="39"/>
      <c r="T115" s="39"/>
      <c r="U115" s="39"/>
      <c r="V115" s="39"/>
    </row>
    <row r="116" spans="4:23" s="76" customFormat="1" ht="12.75" customHeight="1">
      <c r="D116" s="87"/>
      <c r="E116" s="342"/>
      <c r="F116" s="342"/>
      <c r="G116" s="342"/>
      <c r="H116" s="342"/>
      <c r="I116" s="342"/>
      <c r="J116" s="39"/>
      <c r="K116" s="342"/>
      <c r="L116" s="39"/>
      <c r="M116" s="77"/>
      <c r="N116" s="39"/>
      <c r="O116" s="39"/>
      <c r="P116" s="39"/>
      <c r="Q116" s="39"/>
      <c r="R116" s="19"/>
      <c r="S116" s="19"/>
      <c r="T116" s="19"/>
      <c r="U116" s="19"/>
      <c r="V116" s="19"/>
      <c r="W116" s="19"/>
    </row>
    <row r="117" spans="4:23" s="76" customFormat="1" ht="12.75" customHeight="1">
      <c r="D117" s="39"/>
      <c r="E117" s="342"/>
      <c r="F117" s="342"/>
      <c r="G117" s="342"/>
      <c r="H117" s="342"/>
      <c r="I117" s="342"/>
      <c r="J117" s="39"/>
      <c r="K117" s="342"/>
      <c r="L117" s="39"/>
      <c r="M117" s="77"/>
      <c r="N117" s="39"/>
      <c r="O117" s="39"/>
      <c r="P117" s="39"/>
      <c r="Q117" s="39"/>
      <c r="R117" s="19"/>
      <c r="S117" s="19"/>
      <c r="T117" s="19"/>
      <c r="U117" s="19"/>
      <c r="V117" s="19"/>
      <c r="W117" s="19"/>
    </row>
    <row r="118" spans="3:23" s="80" customFormat="1" ht="12.75" customHeight="1">
      <c r="C118" s="90"/>
      <c r="D118" s="87"/>
      <c r="E118" s="342"/>
      <c r="F118" s="342"/>
      <c r="G118" s="342"/>
      <c r="H118" s="342"/>
      <c r="I118" s="342"/>
      <c r="J118" s="87"/>
      <c r="K118" s="342"/>
      <c r="L118" s="87"/>
      <c r="M118" s="88"/>
      <c r="N118" s="87"/>
      <c r="O118" s="87"/>
      <c r="P118" s="87"/>
      <c r="Q118" s="87"/>
      <c r="R118" s="87"/>
      <c r="S118" s="87"/>
      <c r="T118" s="87"/>
      <c r="U118" s="87"/>
      <c r="V118" s="87"/>
      <c r="W118" s="87"/>
    </row>
    <row r="119" spans="4:22" s="76" customFormat="1" ht="12.75" customHeight="1">
      <c r="D119" s="39"/>
      <c r="E119" s="342"/>
      <c r="F119" s="342"/>
      <c r="G119" s="342"/>
      <c r="H119" s="342"/>
      <c r="I119" s="342"/>
      <c r="J119" s="39"/>
      <c r="K119" s="342"/>
      <c r="L119" s="39"/>
      <c r="M119" s="77"/>
      <c r="N119" s="39"/>
      <c r="O119" s="39"/>
      <c r="P119" s="39"/>
      <c r="Q119" s="39"/>
      <c r="R119" s="39"/>
      <c r="S119" s="39"/>
      <c r="T119" s="39"/>
      <c r="U119" s="39"/>
      <c r="V119" s="39"/>
    </row>
    <row r="120" spans="3:22" s="80" customFormat="1" ht="12.75" customHeight="1">
      <c r="C120" s="96"/>
      <c r="D120" s="87"/>
      <c r="E120" s="342"/>
      <c r="F120" s="342"/>
      <c r="G120" s="342"/>
      <c r="H120" s="342"/>
      <c r="I120" s="342"/>
      <c r="J120" s="87"/>
      <c r="K120" s="342"/>
      <c r="L120" s="87"/>
      <c r="M120" s="98"/>
      <c r="N120" s="87"/>
      <c r="O120" s="87"/>
      <c r="P120" s="87"/>
      <c r="Q120" s="87"/>
      <c r="R120" s="87"/>
      <c r="S120" s="87"/>
      <c r="T120" s="87"/>
      <c r="U120" s="87"/>
      <c r="V120" s="87"/>
    </row>
    <row r="121" spans="4:23" s="76" customFormat="1" ht="12.75" customHeight="1">
      <c r="D121" s="99"/>
      <c r="E121" s="342"/>
      <c r="F121" s="342"/>
      <c r="G121" s="342"/>
      <c r="H121" s="342"/>
      <c r="I121" s="342"/>
      <c r="J121" s="39"/>
      <c r="K121" s="342"/>
      <c r="L121" s="39"/>
      <c r="M121" s="77"/>
      <c r="N121" s="39"/>
      <c r="O121" s="39"/>
      <c r="P121" s="39"/>
      <c r="Q121" s="39"/>
      <c r="R121" s="92"/>
      <c r="S121" s="92"/>
      <c r="T121" s="92"/>
      <c r="U121" s="92"/>
      <c r="V121" s="92"/>
      <c r="W121" s="92"/>
    </row>
    <row r="122" spans="4:23" s="76" customFormat="1" ht="12.75" customHeight="1">
      <c r="D122" s="99"/>
      <c r="E122" s="342"/>
      <c r="F122" s="342"/>
      <c r="G122" s="342"/>
      <c r="H122" s="342"/>
      <c r="I122" s="342"/>
      <c r="J122" s="39"/>
      <c r="K122" s="342"/>
      <c r="L122" s="39"/>
      <c r="M122" s="77"/>
      <c r="N122" s="39"/>
      <c r="O122" s="39"/>
      <c r="P122" s="39"/>
      <c r="Q122" s="39"/>
      <c r="R122" s="92"/>
      <c r="S122" s="92"/>
      <c r="T122" s="92"/>
      <c r="U122" s="92"/>
      <c r="V122" s="92"/>
      <c r="W122" s="92"/>
    </row>
    <row r="123" spans="4:23" s="76" customFormat="1" ht="12.75" customHeight="1">
      <c r="D123" s="99"/>
      <c r="E123" s="342"/>
      <c r="F123" s="342"/>
      <c r="G123" s="342"/>
      <c r="H123" s="342"/>
      <c r="I123" s="342"/>
      <c r="J123" s="39"/>
      <c r="K123" s="342"/>
      <c r="L123" s="39"/>
      <c r="M123" s="77"/>
      <c r="N123" s="39"/>
      <c r="O123" s="39"/>
      <c r="P123" s="39"/>
      <c r="Q123" s="39"/>
      <c r="R123" s="92"/>
      <c r="S123" s="92"/>
      <c r="T123" s="92"/>
      <c r="U123" s="92"/>
      <c r="V123" s="92"/>
      <c r="W123" s="92"/>
    </row>
    <row r="124" spans="4:23" s="76" customFormat="1" ht="12.75" customHeight="1">
      <c r="D124" s="99"/>
      <c r="E124" s="342"/>
      <c r="F124" s="342"/>
      <c r="G124" s="342"/>
      <c r="H124" s="342"/>
      <c r="I124" s="342"/>
      <c r="J124" s="39"/>
      <c r="K124" s="342"/>
      <c r="L124" s="39"/>
      <c r="M124" s="77"/>
      <c r="N124" s="39"/>
      <c r="O124" s="39"/>
      <c r="P124" s="39"/>
      <c r="Q124" s="39"/>
      <c r="R124" s="92"/>
      <c r="S124" s="92"/>
      <c r="T124" s="92"/>
      <c r="U124" s="92"/>
      <c r="V124" s="92"/>
      <c r="W124" s="92"/>
    </row>
    <row r="125" spans="4:23" s="76" customFormat="1" ht="12.75" customHeight="1">
      <c r="D125" s="99"/>
      <c r="E125" s="342"/>
      <c r="F125" s="342"/>
      <c r="G125" s="342"/>
      <c r="H125" s="342"/>
      <c r="I125" s="342"/>
      <c r="J125" s="39"/>
      <c r="K125" s="342"/>
      <c r="L125" s="39"/>
      <c r="M125" s="77"/>
      <c r="N125" s="39"/>
      <c r="O125" s="39"/>
      <c r="P125" s="39"/>
      <c r="Q125" s="39"/>
      <c r="R125" s="92"/>
      <c r="S125" s="92"/>
      <c r="T125" s="92"/>
      <c r="U125" s="92"/>
      <c r="V125" s="92"/>
      <c r="W125" s="92"/>
    </row>
    <row r="126" spans="4:23" s="76" customFormat="1" ht="12.75" customHeight="1">
      <c r="D126" s="99"/>
      <c r="E126" s="342"/>
      <c r="F126" s="342"/>
      <c r="G126" s="342"/>
      <c r="H126" s="342"/>
      <c r="I126" s="342"/>
      <c r="J126" s="39"/>
      <c r="K126" s="342"/>
      <c r="L126" s="39"/>
      <c r="M126" s="77"/>
      <c r="N126" s="39"/>
      <c r="O126" s="39"/>
      <c r="P126" s="39"/>
      <c r="Q126" s="39"/>
      <c r="R126" s="92"/>
      <c r="S126" s="92"/>
      <c r="T126" s="92"/>
      <c r="U126" s="92"/>
      <c r="V126" s="92"/>
      <c r="W126" s="92"/>
    </row>
    <row r="127" spans="4:23" s="76" customFormat="1" ht="12.75" customHeight="1">
      <c r="D127" s="99"/>
      <c r="E127" s="342"/>
      <c r="F127" s="342"/>
      <c r="G127" s="342"/>
      <c r="H127" s="342"/>
      <c r="I127" s="342"/>
      <c r="J127" s="39"/>
      <c r="K127" s="342"/>
      <c r="L127" s="39"/>
      <c r="M127" s="77"/>
      <c r="N127" s="39"/>
      <c r="O127" s="39"/>
      <c r="P127" s="39"/>
      <c r="Q127" s="39"/>
      <c r="R127" s="19"/>
      <c r="S127" s="19"/>
      <c r="T127" s="19"/>
      <c r="U127" s="19"/>
      <c r="V127" s="19"/>
      <c r="W127" s="19"/>
    </row>
    <row r="128" spans="4:23" s="76" customFormat="1" ht="12.75" customHeight="1">
      <c r="D128" s="99"/>
      <c r="E128" s="342"/>
      <c r="F128" s="342"/>
      <c r="G128" s="342"/>
      <c r="H128" s="342"/>
      <c r="I128" s="342"/>
      <c r="J128" s="39"/>
      <c r="K128" s="342"/>
      <c r="L128" s="39"/>
      <c r="M128" s="77"/>
      <c r="N128" s="39"/>
      <c r="O128" s="39"/>
      <c r="P128" s="39"/>
      <c r="Q128" s="39"/>
      <c r="R128" s="92"/>
      <c r="S128" s="92"/>
      <c r="T128" s="92"/>
      <c r="U128" s="92"/>
      <c r="V128" s="92"/>
      <c r="W128" s="92"/>
    </row>
    <row r="129" spans="4:23" s="76" customFormat="1" ht="12.75" customHeight="1" thickBot="1">
      <c r="D129" s="99"/>
      <c r="E129" s="341"/>
      <c r="F129" s="341"/>
      <c r="G129" s="341"/>
      <c r="H129" s="341"/>
      <c r="I129" s="341"/>
      <c r="J129" s="39"/>
      <c r="K129" s="341"/>
      <c r="L129" s="39"/>
      <c r="M129" s="77"/>
      <c r="N129" s="39"/>
      <c r="O129" s="39"/>
      <c r="P129" s="39"/>
      <c r="Q129" s="39"/>
      <c r="R129" s="92"/>
      <c r="S129" s="92"/>
      <c r="T129" s="92"/>
      <c r="U129" s="92"/>
      <c r="V129" s="92"/>
      <c r="W129" s="92"/>
    </row>
    <row r="130" spans="4:23" s="76" customFormat="1" ht="12.75" customHeight="1" thickTop="1">
      <c r="D130" s="99"/>
      <c r="E130" s="39"/>
      <c r="F130" s="39"/>
      <c r="G130" s="39"/>
      <c r="H130" s="39"/>
      <c r="I130" s="39"/>
      <c r="J130" s="39"/>
      <c r="K130" s="77"/>
      <c r="L130" s="39"/>
      <c r="M130" s="77"/>
      <c r="N130" s="39"/>
      <c r="O130" s="39"/>
      <c r="P130" s="39"/>
      <c r="Q130" s="39"/>
      <c r="R130" s="92"/>
      <c r="S130" s="92"/>
      <c r="T130" s="92"/>
      <c r="U130" s="92"/>
      <c r="V130" s="92"/>
      <c r="W130" s="92"/>
    </row>
    <row r="131" spans="3:24" s="80" customFormat="1" ht="12.75" customHeight="1">
      <c r="C131" s="90"/>
      <c r="D131" s="97"/>
      <c r="E131" s="87"/>
      <c r="F131" s="87"/>
      <c r="G131" s="87"/>
      <c r="H131" s="87"/>
      <c r="I131" s="87"/>
      <c r="J131" s="87"/>
      <c r="K131" s="98"/>
      <c r="L131" s="87"/>
      <c r="M131" s="88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76"/>
    </row>
    <row r="132" spans="3:22" s="76" customFormat="1" ht="12.75" customHeight="1">
      <c r="C132" s="91"/>
      <c r="D132" s="99"/>
      <c r="E132" s="39"/>
      <c r="F132" s="39"/>
      <c r="G132" s="39"/>
      <c r="H132" s="39"/>
      <c r="I132" s="39"/>
      <c r="J132" s="39"/>
      <c r="K132" s="100"/>
      <c r="L132" s="39"/>
      <c r="M132" s="77"/>
      <c r="N132" s="39"/>
      <c r="O132" s="39"/>
      <c r="P132" s="39"/>
      <c r="Q132" s="39"/>
      <c r="R132" s="39"/>
      <c r="S132" s="39"/>
      <c r="T132" s="39"/>
      <c r="U132" s="39"/>
      <c r="V132" s="39"/>
    </row>
    <row r="133" spans="2:24" s="80" customFormat="1" ht="12.75" customHeight="1">
      <c r="B133" s="101"/>
      <c r="D133" s="97"/>
      <c r="E133" s="87"/>
      <c r="F133" s="87"/>
      <c r="G133" s="87"/>
      <c r="H133" s="87"/>
      <c r="I133" s="87"/>
      <c r="J133" s="87"/>
      <c r="K133" s="98"/>
      <c r="L133" s="87"/>
      <c r="M133" s="88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76"/>
    </row>
    <row r="134" spans="3:23" s="76" customFormat="1" ht="12.75" customHeight="1">
      <c r="C134" s="90"/>
      <c r="D134" s="99"/>
      <c r="E134" s="39"/>
      <c r="F134" s="39"/>
      <c r="G134" s="39"/>
      <c r="H134" s="39"/>
      <c r="I134" s="39"/>
      <c r="J134" s="39"/>
      <c r="K134" s="100"/>
      <c r="L134" s="39"/>
      <c r="M134" s="88"/>
      <c r="N134" s="39"/>
      <c r="O134" s="39"/>
      <c r="P134" s="39"/>
      <c r="Q134" s="39"/>
      <c r="R134" s="39"/>
      <c r="S134" s="39"/>
      <c r="T134" s="39"/>
      <c r="U134" s="39"/>
      <c r="V134" s="39"/>
      <c r="W134" s="39"/>
    </row>
    <row r="135" spans="3:23" s="80" customFormat="1" ht="12.75" customHeight="1">
      <c r="C135" s="90"/>
      <c r="D135" s="87"/>
      <c r="E135" s="87"/>
      <c r="F135" s="87"/>
      <c r="G135" s="87"/>
      <c r="H135" s="87"/>
      <c r="I135" s="87"/>
      <c r="J135" s="87"/>
      <c r="K135" s="98"/>
      <c r="L135" s="87"/>
      <c r="M135" s="88"/>
      <c r="N135" s="87"/>
      <c r="O135" s="87"/>
      <c r="P135" s="87"/>
      <c r="Q135" s="87"/>
      <c r="R135" s="87"/>
      <c r="S135" s="87"/>
      <c r="T135" s="87"/>
      <c r="U135" s="87"/>
      <c r="V135" s="87"/>
      <c r="W135" s="87"/>
    </row>
    <row r="136" spans="3:22" s="80" customFormat="1" ht="12.75" customHeight="1">
      <c r="C136" s="90"/>
      <c r="D136" s="97"/>
      <c r="E136" s="87"/>
      <c r="F136" s="87"/>
      <c r="G136" s="87"/>
      <c r="H136" s="87"/>
      <c r="I136" s="87"/>
      <c r="J136" s="87"/>
      <c r="K136" s="98"/>
      <c r="L136" s="87"/>
      <c r="M136" s="88"/>
      <c r="N136" s="87"/>
      <c r="O136" s="87"/>
      <c r="P136" s="87"/>
      <c r="Q136" s="87"/>
      <c r="R136" s="87"/>
      <c r="S136" s="87"/>
      <c r="T136" s="87"/>
      <c r="U136" s="87"/>
      <c r="V136" s="87"/>
    </row>
    <row r="137" spans="3:23" s="80" customFormat="1" ht="12.75" customHeight="1">
      <c r="C137" s="90"/>
      <c r="D137" s="87"/>
      <c r="E137" s="87"/>
      <c r="F137" s="87"/>
      <c r="G137" s="87"/>
      <c r="H137" s="87"/>
      <c r="I137" s="87"/>
      <c r="J137" s="87"/>
      <c r="K137" s="98"/>
      <c r="L137" s="87"/>
      <c r="M137" s="88"/>
      <c r="N137" s="87"/>
      <c r="O137" s="87"/>
      <c r="P137" s="87"/>
      <c r="Q137" s="87"/>
      <c r="R137" s="102"/>
      <c r="S137" s="102"/>
      <c r="T137" s="102"/>
      <c r="U137" s="102"/>
      <c r="V137" s="102"/>
      <c r="W137" s="102"/>
    </row>
    <row r="138" spans="3:22" s="80" customFormat="1" ht="12.75" customHeight="1">
      <c r="C138" s="90"/>
      <c r="D138" s="97"/>
      <c r="E138" s="87"/>
      <c r="F138" s="87"/>
      <c r="G138" s="87"/>
      <c r="H138" s="87"/>
      <c r="I138" s="87"/>
      <c r="J138" s="87"/>
      <c r="K138" s="98"/>
      <c r="L138" s="87"/>
      <c r="M138" s="88"/>
      <c r="N138" s="87"/>
      <c r="O138" s="87"/>
      <c r="P138" s="87"/>
      <c r="Q138" s="87"/>
      <c r="R138" s="87"/>
      <c r="S138" s="87"/>
      <c r="T138" s="87"/>
      <c r="U138" s="87"/>
      <c r="V138" s="87"/>
    </row>
    <row r="139" spans="2:23" s="80" customFormat="1" ht="12.75" customHeight="1">
      <c r="B139" s="85"/>
      <c r="C139" s="90"/>
      <c r="D139" s="97"/>
      <c r="E139" s="87"/>
      <c r="F139" s="87"/>
      <c r="G139" s="87"/>
      <c r="H139" s="87"/>
      <c r="I139" s="87"/>
      <c r="J139" s="87"/>
      <c r="K139" s="98"/>
      <c r="L139" s="87"/>
      <c r="M139" s="88"/>
      <c r="N139" s="87"/>
      <c r="O139" s="87"/>
      <c r="P139" s="87"/>
      <c r="Q139" s="87"/>
      <c r="R139" s="87"/>
      <c r="S139" s="87"/>
      <c r="T139" s="87"/>
      <c r="U139" s="87"/>
      <c r="V139" s="87"/>
      <c r="W139" s="87"/>
    </row>
    <row r="140" spans="3:22" s="76" customFormat="1" ht="12.75" customHeight="1">
      <c r="C140" s="90"/>
      <c r="D140" s="99"/>
      <c r="E140" s="39"/>
      <c r="F140" s="39"/>
      <c r="G140" s="39"/>
      <c r="H140" s="39"/>
      <c r="I140" s="39"/>
      <c r="J140" s="39"/>
      <c r="K140" s="100"/>
      <c r="L140" s="39"/>
      <c r="M140" s="88"/>
      <c r="N140" s="39"/>
      <c r="O140" s="39"/>
      <c r="P140" s="39"/>
      <c r="Q140" s="39"/>
      <c r="R140" s="39"/>
      <c r="S140" s="39"/>
      <c r="T140" s="39"/>
      <c r="U140" s="39"/>
      <c r="V140" s="39"/>
    </row>
    <row r="141" spans="3:23" s="76" customFormat="1" ht="12.75" customHeight="1">
      <c r="C141" s="90"/>
      <c r="D141" s="99"/>
      <c r="E141" s="39"/>
      <c r="F141" s="39"/>
      <c r="G141" s="39"/>
      <c r="H141" s="39"/>
      <c r="I141" s="39"/>
      <c r="J141" s="39"/>
      <c r="K141" s="77"/>
      <c r="L141" s="39"/>
      <c r="M141" s="77"/>
      <c r="N141" s="39"/>
      <c r="O141" s="39"/>
      <c r="P141" s="39"/>
      <c r="Q141" s="39"/>
      <c r="R141" s="92"/>
      <c r="S141" s="92"/>
      <c r="T141" s="92"/>
      <c r="U141" s="92"/>
      <c r="V141" s="92"/>
      <c r="W141" s="92"/>
    </row>
    <row r="142" spans="3:23" s="76" customFormat="1" ht="12.75" customHeight="1">
      <c r="C142" s="90"/>
      <c r="D142" s="99"/>
      <c r="E142" s="39"/>
      <c r="F142" s="39"/>
      <c r="G142" s="39"/>
      <c r="H142" s="39"/>
      <c r="I142" s="39"/>
      <c r="J142" s="39"/>
      <c r="K142" s="77"/>
      <c r="L142" s="39"/>
      <c r="M142" s="77"/>
      <c r="N142" s="39"/>
      <c r="O142" s="39"/>
      <c r="P142" s="39"/>
      <c r="Q142" s="39"/>
      <c r="R142" s="92"/>
      <c r="S142" s="92"/>
      <c r="T142" s="92"/>
      <c r="U142" s="92"/>
      <c r="V142" s="92"/>
      <c r="W142" s="92"/>
    </row>
    <row r="143" spans="3:22" s="76" customFormat="1" ht="12.75" customHeight="1">
      <c r="C143" s="90"/>
      <c r="D143" s="99"/>
      <c r="E143" s="39"/>
      <c r="F143" s="39"/>
      <c r="G143" s="39"/>
      <c r="H143" s="39"/>
      <c r="I143" s="39"/>
      <c r="J143" s="39"/>
      <c r="K143" s="100"/>
      <c r="L143" s="39"/>
      <c r="M143" s="88"/>
      <c r="N143" s="39"/>
      <c r="O143" s="39"/>
      <c r="P143" s="39"/>
      <c r="Q143" s="39"/>
      <c r="R143" s="39"/>
      <c r="S143" s="39"/>
      <c r="T143" s="39"/>
      <c r="U143" s="39"/>
      <c r="V143" s="39"/>
    </row>
    <row r="144" spans="3:23" s="76" customFormat="1" ht="12.75" customHeight="1">
      <c r="C144" s="103"/>
      <c r="D144" s="99"/>
      <c r="E144" s="39"/>
      <c r="F144" s="39"/>
      <c r="G144" s="39"/>
      <c r="H144" s="39"/>
      <c r="I144" s="39"/>
      <c r="J144" s="39"/>
      <c r="K144" s="77"/>
      <c r="L144" s="39"/>
      <c r="M144" s="77"/>
      <c r="N144" s="39"/>
      <c r="O144" s="39"/>
      <c r="P144" s="39"/>
      <c r="Q144" s="39"/>
      <c r="R144" s="92"/>
      <c r="S144" s="92"/>
      <c r="T144" s="92"/>
      <c r="U144" s="92"/>
      <c r="V144" s="92"/>
      <c r="W144" s="92"/>
    </row>
    <row r="145" spans="3:23" s="76" customFormat="1" ht="12.75" customHeight="1">
      <c r="C145" s="104"/>
      <c r="D145" s="99"/>
      <c r="E145" s="39"/>
      <c r="F145" s="39"/>
      <c r="G145" s="39"/>
      <c r="H145" s="39"/>
      <c r="I145" s="39"/>
      <c r="J145" s="39"/>
      <c r="K145" s="77"/>
      <c r="L145" s="39"/>
      <c r="M145" s="77"/>
      <c r="N145" s="39"/>
      <c r="O145" s="39"/>
      <c r="P145" s="39"/>
      <c r="Q145" s="39"/>
      <c r="R145" s="92"/>
      <c r="S145" s="92"/>
      <c r="T145" s="92"/>
      <c r="U145" s="92"/>
      <c r="V145" s="92"/>
      <c r="W145" s="92"/>
    </row>
    <row r="146" spans="11:13" s="76" customFormat="1" ht="12.75" customHeight="1">
      <c r="K146" s="77"/>
      <c r="M146" s="77"/>
    </row>
    <row r="147" spans="11:13" s="76" customFormat="1" ht="12.75" customHeight="1">
      <c r="K147" s="77"/>
      <c r="M147" s="77"/>
    </row>
    <row r="148" spans="11:13" s="76" customFormat="1" ht="12.75" customHeight="1">
      <c r="K148" s="77"/>
      <c r="M148" s="77"/>
    </row>
    <row r="149" spans="11:13" s="76" customFormat="1" ht="12.75" customHeight="1">
      <c r="K149" s="77"/>
      <c r="M149" s="77"/>
    </row>
    <row r="150" spans="11:13" s="76" customFormat="1" ht="12.75" customHeight="1">
      <c r="K150" s="77"/>
      <c r="M150" s="77"/>
    </row>
    <row r="151" spans="11:13" s="76" customFormat="1" ht="12.75" customHeight="1">
      <c r="K151" s="77"/>
      <c r="M151" s="77"/>
    </row>
    <row r="152" spans="11:13" s="76" customFormat="1" ht="12.75" customHeight="1">
      <c r="K152" s="77"/>
      <c r="M152" s="77"/>
    </row>
    <row r="153" spans="11:13" s="76" customFormat="1" ht="12.75" customHeight="1">
      <c r="K153" s="77"/>
      <c r="M153" s="77"/>
    </row>
    <row r="154" spans="11:13" s="76" customFormat="1" ht="12.75" customHeight="1">
      <c r="K154" s="77"/>
      <c r="M154" s="77"/>
    </row>
    <row r="155" spans="11:13" s="76" customFormat="1" ht="12.75" customHeight="1">
      <c r="K155" s="77"/>
      <c r="M155" s="77"/>
    </row>
    <row r="156" spans="11:13" s="76" customFormat="1" ht="12.75" customHeight="1">
      <c r="K156" s="77"/>
      <c r="M156" s="77"/>
    </row>
    <row r="157" spans="11:13" s="76" customFormat="1" ht="12.75" customHeight="1">
      <c r="K157" s="77"/>
      <c r="M157" s="77"/>
    </row>
    <row r="158" spans="11:13" s="76" customFormat="1" ht="12.75" customHeight="1">
      <c r="K158" s="77"/>
      <c r="M158" s="77"/>
    </row>
    <row r="159" spans="11:13" s="76" customFormat="1" ht="12.75" customHeight="1">
      <c r="K159" s="77"/>
      <c r="M159" s="77"/>
    </row>
    <row r="160" spans="11:13" s="76" customFormat="1" ht="12.75" customHeight="1">
      <c r="K160" s="77"/>
      <c r="M160" s="77"/>
    </row>
    <row r="161" spans="11:13" s="76" customFormat="1" ht="12.75" customHeight="1">
      <c r="K161" s="77"/>
      <c r="M161" s="77"/>
    </row>
    <row r="162" spans="11:13" s="76" customFormat="1" ht="12.75" customHeight="1">
      <c r="K162" s="77"/>
      <c r="M162" s="77"/>
    </row>
    <row r="163" spans="11:13" s="76" customFormat="1" ht="12.75" customHeight="1">
      <c r="K163" s="77"/>
      <c r="M163" s="77"/>
    </row>
    <row r="164" spans="11:13" s="76" customFormat="1" ht="12.75" customHeight="1">
      <c r="K164" s="77"/>
      <c r="M164" s="77"/>
    </row>
    <row r="165" spans="11:13" s="76" customFormat="1" ht="12.75" customHeight="1">
      <c r="K165" s="77"/>
      <c r="M165" s="77"/>
    </row>
    <row r="166" spans="11:13" s="76" customFormat="1" ht="12.75" customHeight="1">
      <c r="K166" s="77"/>
      <c r="M166" s="77"/>
    </row>
    <row r="167" spans="11:13" s="76" customFormat="1" ht="12.75" customHeight="1">
      <c r="K167" s="77"/>
      <c r="M167" s="77"/>
    </row>
    <row r="168" spans="11:13" s="76" customFormat="1" ht="12.75" customHeight="1">
      <c r="K168" s="77"/>
      <c r="M168" s="77"/>
    </row>
    <row r="169" spans="11:13" s="76" customFormat="1" ht="12.75" customHeight="1">
      <c r="K169" s="77"/>
      <c r="M169" s="77"/>
    </row>
    <row r="170" spans="11:13" s="76" customFormat="1" ht="12.75" customHeight="1">
      <c r="K170" s="77"/>
      <c r="M170" s="77"/>
    </row>
    <row r="171" spans="11:13" s="76" customFormat="1" ht="12.75" customHeight="1">
      <c r="K171" s="77"/>
      <c r="M171" s="77"/>
    </row>
    <row r="172" spans="11:13" s="76" customFormat="1" ht="12.75" customHeight="1">
      <c r="K172" s="77"/>
      <c r="M172" s="77"/>
    </row>
    <row r="173" spans="11:13" s="76" customFormat="1" ht="12.75" customHeight="1">
      <c r="K173" s="77"/>
      <c r="M173" s="77"/>
    </row>
    <row r="174" spans="11:13" s="76" customFormat="1" ht="12.75" customHeight="1">
      <c r="K174" s="77"/>
      <c r="M174" s="77"/>
    </row>
    <row r="175" spans="11:13" s="76" customFormat="1" ht="12.75" customHeight="1">
      <c r="K175" s="77"/>
      <c r="M175" s="77"/>
    </row>
    <row r="176" spans="11:13" s="76" customFormat="1" ht="12.75" customHeight="1">
      <c r="K176" s="77"/>
      <c r="M176" s="77"/>
    </row>
    <row r="177" spans="11:13" s="76" customFormat="1" ht="12.75" customHeight="1">
      <c r="K177" s="77"/>
      <c r="M177" s="77"/>
    </row>
    <row r="178" spans="11:13" s="76" customFormat="1" ht="12.75" customHeight="1">
      <c r="K178" s="77"/>
      <c r="M178" s="77"/>
    </row>
    <row r="179" spans="11:13" s="76" customFormat="1" ht="12.75" customHeight="1">
      <c r="K179" s="77"/>
      <c r="M179" s="77"/>
    </row>
    <row r="180" spans="11:13" s="76" customFormat="1" ht="12.75" customHeight="1">
      <c r="K180" s="77"/>
      <c r="M180" s="77"/>
    </row>
    <row r="181" spans="11:13" s="76" customFormat="1" ht="12.75" customHeight="1">
      <c r="K181" s="77"/>
      <c r="M181" s="77"/>
    </row>
    <row r="182" spans="11:13" s="76" customFormat="1" ht="12.75" customHeight="1">
      <c r="K182" s="77"/>
      <c r="M182" s="77"/>
    </row>
    <row r="183" spans="11:13" s="76" customFormat="1" ht="12.75" customHeight="1">
      <c r="K183" s="77"/>
      <c r="M183" s="77"/>
    </row>
    <row r="184" spans="11:13" s="76" customFormat="1" ht="12.75" customHeight="1">
      <c r="K184" s="77"/>
      <c r="M184" s="77"/>
    </row>
    <row r="185" spans="11:13" s="76" customFormat="1" ht="12.75" customHeight="1">
      <c r="K185" s="77"/>
      <c r="M185" s="77"/>
    </row>
    <row r="186" spans="11:13" s="76" customFormat="1" ht="12.75" customHeight="1">
      <c r="K186" s="77"/>
      <c r="M186" s="77"/>
    </row>
    <row r="187" spans="11:13" s="76" customFormat="1" ht="12.75" customHeight="1">
      <c r="K187" s="77"/>
      <c r="M187" s="77"/>
    </row>
    <row r="188" spans="11:13" s="76" customFormat="1" ht="12.75" customHeight="1">
      <c r="K188" s="77"/>
      <c r="M188" s="77"/>
    </row>
    <row r="189" spans="11:13" s="76" customFormat="1" ht="12.75" customHeight="1">
      <c r="K189" s="77"/>
      <c r="M189" s="77"/>
    </row>
    <row r="190" spans="11:13" s="76" customFormat="1" ht="12.75" customHeight="1">
      <c r="K190" s="77"/>
      <c r="M190" s="77"/>
    </row>
    <row r="191" spans="11:13" s="76" customFormat="1" ht="12.75" customHeight="1">
      <c r="K191" s="77"/>
      <c r="M191" s="77"/>
    </row>
    <row r="192" spans="11:13" s="76" customFormat="1" ht="12.75" customHeight="1">
      <c r="K192" s="77"/>
      <c r="M192" s="77"/>
    </row>
    <row r="193" spans="11:13" s="76" customFormat="1" ht="12.75" customHeight="1">
      <c r="K193" s="77"/>
      <c r="M193" s="77"/>
    </row>
    <row r="194" spans="11:13" s="76" customFormat="1" ht="12.75" customHeight="1">
      <c r="K194" s="77"/>
      <c r="M194" s="77"/>
    </row>
    <row r="195" spans="11:13" s="76" customFormat="1" ht="12.75" customHeight="1">
      <c r="K195" s="77"/>
      <c r="M195" s="77"/>
    </row>
    <row r="196" spans="11:13" s="76" customFormat="1" ht="12.75" customHeight="1">
      <c r="K196" s="77"/>
      <c r="M196" s="77"/>
    </row>
    <row r="197" spans="11:13" s="76" customFormat="1" ht="12.75" customHeight="1">
      <c r="K197" s="77"/>
      <c r="M197" s="77"/>
    </row>
    <row r="198" spans="11:13" s="76" customFormat="1" ht="12.75" customHeight="1">
      <c r="K198" s="77"/>
      <c r="M198" s="77"/>
    </row>
    <row r="199" spans="11:13" s="76" customFormat="1" ht="12.75" customHeight="1">
      <c r="K199" s="77"/>
      <c r="M199" s="77"/>
    </row>
    <row r="200" spans="11:13" s="76" customFormat="1" ht="12.75" customHeight="1">
      <c r="K200" s="77"/>
      <c r="M200" s="77"/>
    </row>
    <row r="201" spans="11:13" s="76" customFormat="1" ht="12.75" customHeight="1">
      <c r="K201" s="77"/>
      <c r="M201" s="77"/>
    </row>
    <row r="202" spans="11:13" s="76" customFormat="1" ht="12.75" customHeight="1">
      <c r="K202" s="77"/>
      <c r="M202" s="77"/>
    </row>
    <row r="203" spans="11:13" s="76" customFormat="1" ht="12.75" customHeight="1">
      <c r="K203" s="77"/>
      <c r="M203" s="77"/>
    </row>
    <row r="204" spans="11:13" s="76" customFormat="1" ht="12.75" customHeight="1">
      <c r="K204" s="77"/>
      <c r="M204" s="77"/>
    </row>
    <row r="205" spans="11:13" s="76" customFormat="1" ht="12.75" customHeight="1">
      <c r="K205" s="77"/>
      <c r="M205" s="77"/>
    </row>
    <row r="206" spans="11:13" s="76" customFormat="1" ht="12.75" customHeight="1">
      <c r="K206" s="77"/>
      <c r="M206" s="77"/>
    </row>
    <row r="207" spans="11:13" s="76" customFormat="1" ht="12.75" customHeight="1">
      <c r="K207" s="77"/>
      <c r="M207" s="77"/>
    </row>
    <row r="208" spans="11:13" s="76" customFormat="1" ht="12.75" customHeight="1">
      <c r="K208" s="77"/>
      <c r="M208" s="77"/>
    </row>
    <row r="209" spans="11:13" s="76" customFormat="1" ht="12.75" customHeight="1">
      <c r="K209" s="77"/>
      <c r="M209" s="77"/>
    </row>
    <row r="210" spans="11:13" s="76" customFormat="1" ht="12.75" customHeight="1">
      <c r="K210" s="77"/>
      <c r="M210" s="77"/>
    </row>
    <row r="211" spans="11:13" s="76" customFormat="1" ht="12.75" customHeight="1">
      <c r="K211" s="77"/>
      <c r="M211" s="77"/>
    </row>
    <row r="212" spans="11:13" s="76" customFormat="1" ht="12.75" customHeight="1">
      <c r="K212" s="77"/>
      <c r="M212" s="77"/>
    </row>
    <row r="213" spans="11:13" s="76" customFormat="1" ht="12.75" customHeight="1">
      <c r="K213" s="77"/>
      <c r="M213" s="77"/>
    </row>
    <row r="214" spans="11:13" s="76" customFormat="1" ht="12.75" customHeight="1">
      <c r="K214" s="77"/>
      <c r="M214" s="77"/>
    </row>
    <row r="215" spans="11:13" s="76" customFormat="1" ht="12.75" customHeight="1">
      <c r="K215" s="77"/>
      <c r="M215" s="77"/>
    </row>
    <row r="216" spans="11:13" s="76" customFormat="1" ht="12.75" customHeight="1">
      <c r="K216" s="77"/>
      <c r="M216" s="77"/>
    </row>
    <row r="217" spans="11:13" s="76" customFormat="1" ht="12.75" customHeight="1">
      <c r="K217" s="77"/>
      <c r="M217" s="77"/>
    </row>
    <row r="218" spans="11:13" s="76" customFormat="1" ht="12.75" customHeight="1">
      <c r="K218" s="77"/>
      <c r="M218" s="77"/>
    </row>
    <row r="219" spans="11:13" s="76" customFormat="1" ht="12.75" customHeight="1">
      <c r="K219" s="77"/>
      <c r="M219" s="77"/>
    </row>
    <row r="220" spans="11:13" s="76" customFormat="1" ht="12.75" customHeight="1">
      <c r="K220" s="77"/>
      <c r="M220" s="77"/>
    </row>
    <row r="221" spans="11:13" s="76" customFormat="1" ht="12.75" customHeight="1">
      <c r="K221" s="77"/>
      <c r="M221" s="77"/>
    </row>
    <row r="222" spans="11:13" s="76" customFormat="1" ht="12.75" customHeight="1">
      <c r="K222" s="77"/>
      <c r="M222" s="77"/>
    </row>
  </sheetData>
  <mergeCells count="1">
    <mergeCell ref="B109:C109"/>
  </mergeCells>
  <printOptions horizontalCentered="1"/>
  <pageMargins left="0" right="0.25" top="2.25" bottom="0" header="1.5" footer="0.5"/>
  <pageSetup fitToHeight="0" fitToWidth="2" orientation="landscape" pageOrder="overThenDown" scale="60" r:id="rId1"/>
  <headerFooter alignWithMargins="0">
    <oddHeader>&amp;C&amp;B
2022 RATE CASE
ONCOR ELECTRIC DELIVERY COMPANY LLC
II-B-12   REGULATORY ASSETS
TEST YEAR ENDING DECEMBER 31, 2021
SPONSOR: W. ALAN LEDBETTER &amp;&amp; B. L. CLUTTER&amp;R&amp;"Arial,Bold"Schedule II-B-12
Page &amp;P of &amp;N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4">
    <tabColor rgb="FFFF0000"/>
  </sheetPr>
  <dimension ref="A1:X38"/>
  <sheetViews>
    <sheetView workbookViewId="0" topLeftCell="A1">
      <pane xSplit="3" ySplit="15" topLeftCell="D16" activePane="bottomRight" state="frozen"/>
      <selection pane="topLeft" activeCell="A1" sqref="A1"/>
      <selection pane="bottomLeft" activeCell="A16" sqref="A16"/>
      <selection pane="topRight" activeCell="D1" sqref="D1"/>
      <selection pane="bottomRight" activeCell="J42" sqref="J42"/>
    </sheetView>
  </sheetViews>
  <sheetFormatPr defaultColWidth="9.14428571428571" defaultRowHeight="12.75"/>
  <cols>
    <col min="1" max="1" width="5.71428571428571" style="204" customWidth="1"/>
    <col min="2" max="2" width="9.14285714285714" style="204"/>
    <col min="3" max="3" width="57.4285714285714" style="204" bestFit="1" customWidth="1"/>
    <col min="4" max="4" width="10.2857142857143" style="204" bestFit="1" customWidth="1"/>
    <col min="5" max="5" width="9.57142857142857" style="204" bestFit="1" customWidth="1"/>
    <col min="6" max="6" width="10.7142857142857" style="204" customWidth="1"/>
    <col min="7" max="7" width="12.2857142857143" style="204" bestFit="1" customWidth="1"/>
    <col min="8" max="9" width="14" style="204" bestFit="1" customWidth="1"/>
    <col min="10" max="10" width="10.1428571428571" style="204" bestFit="1" customWidth="1"/>
    <col min="11" max="11" width="11.2857142857143" style="204" bestFit="1" customWidth="1"/>
    <col min="12" max="12" width="3.28571428571429" style="204" bestFit="1" customWidth="1"/>
    <col min="13" max="13" width="29.1428571428571" style="204" bestFit="1" customWidth="1"/>
    <col min="14" max="14" width="14" style="204" bestFit="1" customWidth="1"/>
    <col min="15" max="17" width="14" style="204" customWidth="1"/>
    <col min="18" max="18" width="13" style="204" bestFit="1" customWidth="1"/>
    <col min="19" max="20" width="13" style="204" customWidth="1"/>
    <col min="21" max="21" width="9.28571428571429" style="204" bestFit="1" customWidth="1"/>
    <col min="22" max="22" width="9.28571428571429" style="204" customWidth="1"/>
    <col min="23" max="23" width="14" style="204" bestFit="1" customWidth="1"/>
    <col min="24" max="16384" width="9.14285714285714" style="204"/>
  </cols>
  <sheetData>
    <row r="1" spans="1:1" ht="12.75">
      <c r="A1" s="80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1" ht="12.75">
      <c r="A3" s="8" t="str">
        <f>CONCATENATE('[4]Schedule Sponsors'!$A$25,'[4]Schedule Sponsors'!$B$25)</f>
        <v>II-B-13  GAIN OR LOSS ON SALE OF UTILITY ASSETS</v>
      </c>
    </row>
    <row r="4" spans="1:1" ht="12.75">
      <c r="A4" s="115" t="str">
        <f>+'[4]Input Data'!$A$4</f>
        <v>TEST YEAR ENDING DECEMBER 31, 2021</v>
      </c>
    </row>
    <row r="5" spans="1:5" ht="12.75">
      <c r="A5" s="8" t="str">
        <f>CONCATENATE("SPONSOR: ",'[4]Schedule Sponsors'!$D$25)</f>
        <v>SPONSOR: W. ALAN LEDBETTER</v>
      </c>
      <c r="B5" s="276"/>
      <c r="C5" s="276"/>
      <c r="D5" s="276"/>
      <c r="E5" s="276"/>
    </row>
    <row r="6" spans="1:5" ht="12.75">
      <c r="A6" s="276"/>
      <c r="B6" s="276"/>
      <c r="C6" s="276"/>
      <c r="D6" s="276"/>
      <c r="E6" s="276"/>
    </row>
    <row r="9" ht="13.5" thickBot="1"/>
    <row r="10" spans="1:23" s="80" customFormat="1" ht="12.75">
      <c r="A10" s="13"/>
      <c r="B10" s="13"/>
      <c r="C10" s="13"/>
      <c r="D10" s="14" t="s">
        <v>252</v>
      </c>
      <c r="E10" s="13"/>
      <c r="F10" s="14"/>
      <c r="G10" s="14"/>
      <c r="H10" s="14"/>
      <c r="I10" s="14"/>
      <c r="J10" s="14" t="s">
        <v>35</v>
      </c>
      <c r="K10" s="14" t="s">
        <v>191</v>
      </c>
      <c r="L10" s="13"/>
      <c r="M10" s="14" t="s">
        <v>238</v>
      </c>
      <c r="N10" s="14"/>
      <c r="O10" s="14"/>
      <c r="P10" s="14"/>
      <c r="Q10" s="14"/>
      <c r="R10" s="14"/>
      <c r="S10" s="14"/>
      <c r="T10" s="14"/>
      <c r="U10" s="14"/>
      <c r="V10" s="14"/>
      <c r="W10" s="14"/>
    </row>
    <row r="11" spans="1:23" s="80" customFormat="1" ht="12.75">
      <c r="A11" s="15" t="s">
        <v>188</v>
      </c>
      <c r="B11" s="15" t="s">
        <v>26</v>
      </c>
      <c r="C11" s="15"/>
      <c r="D11" s="15" t="s">
        <v>253</v>
      </c>
      <c r="E11" s="15" t="s">
        <v>250</v>
      </c>
      <c r="F11" s="15" t="s">
        <v>255</v>
      </c>
      <c r="G11" s="15" t="s">
        <v>257</v>
      </c>
      <c r="H11" s="15" t="s">
        <v>286</v>
      </c>
      <c r="I11" s="15" t="s">
        <v>259</v>
      </c>
      <c r="J11" s="15" t="s">
        <v>191</v>
      </c>
      <c r="K11" s="15" t="s">
        <v>239</v>
      </c>
      <c r="L11" s="15" t="s">
        <v>30</v>
      </c>
      <c r="M11" s="15" t="s">
        <v>31</v>
      </c>
      <c r="N11" s="15"/>
      <c r="O11" s="15" t="s">
        <v>319</v>
      </c>
      <c r="P11" s="15" t="s">
        <v>325</v>
      </c>
      <c r="Q11" s="15" t="s">
        <v>320</v>
      </c>
      <c r="R11" s="15"/>
      <c r="S11" s="15" t="s">
        <v>319</v>
      </c>
      <c r="T11" s="15" t="s">
        <v>320</v>
      </c>
      <c r="U11" s="15"/>
      <c r="V11" s="15"/>
      <c r="W11" s="15"/>
    </row>
    <row r="12" spans="1:23" s="80" customFormat="1" ht="12.75">
      <c r="A12" s="15" t="s">
        <v>189</v>
      </c>
      <c r="B12" s="15" t="s">
        <v>128</v>
      </c>
      <c r="C12" s="15" t="s">
        <v>22</v>
      </c>
      <c r="D12" s="15" t="s">
        <v>254</v>
      </c>
      <c r="E12" s="15" t="s">
        <v>251</v>
      </c>
      <c r="F12" s="15" t="s">
        <v>256</v>
      </c>
      <c r="G12" s="15" t="s">
        <v>258</v>
      </c>
      <c r="H12" s="15" t="s">
        <v>258</v>
      </c>
      <c r="I12" s="15" t="s">
        <v>260</v>
      </c>
      <c r="J12" s="15" t="s">
        <v>31</v>
      </c>
      <c r="K12" s="15" t="s">
        <v>35</v>
      </c>
      <c r="L12" s="15" t="s">
        <v>36</v>
      </c>
      <c r="M12" s="15" t="s">
        <v>37</v>
      </c>
      <c r="N12" s="15" t="s">
        <v>126</v>
      </c>
      <c r="O12" s="15" t="s">
        <v>126</v>
      </c>
      <c r="P12" s="15" t="s">
        <v>327</v>
      </c>
      <c r="Q12" s="15" t="s">
        <v>126</v>
      </c>
      <c r="R12" s="15" t="s">
        <v>127</v>
      </c>
      <c r="S12" s="15" t="s">
        <v>127</v>
      </c>
      <c r="T12" s="15" t="s">
        <v>127</v>
      </c>
      <c r="U12" s="15" t="s">
        <v>120</v>
      </c>
      <c r="V12" s="15" t="s">
        <v>199</v>
      </c>
      <c r="W12" s="15" t="s">
        <v>29</v>
      </c>
    </row>
    <row r="13" spans="1:23" s="80" customFormat="1" ht="13.5" thickBot="1">
      <c r="A13" s="16"/>
      <c r="B13" s="201" t="s">
        <v>173</v>
      </c>
      <c r="C13" s="201" t="s">
        <v>174</v>
      </c>
      <c r="D13" s="201" t="s">
        <v>175</v>
      </c>
      <c r="E13" s="201" t="s">
        <v>176</v>
      </c>
      <c r="F13" s="201" t="s">
        <v>177</v>
      </c>
      <c r="G13" s="201" t="s">
        <v>178</v>
      </c>
      <c r="H13" s="201" t="s">
        <v>179</v>
      </c>
      <c r="I13" s="201" t="s">
        <v>180</v>
      </c>
      <c r="J13" s="201" t="s">
        <v>181</v>
      </c>
      <c r="K13" s="201" t="s">
        <v>182</v>
      </c>
      <c r="L13" s="201" t="s">
        <v>183</v>
      </c>
      <c r="M13" s="201" t="s">
        <v>184</v>
      </c>
      <c r="N13" s="73" t="s">
        <v>185</v>
      </c>
      <c r="O13" s="201" t="s">
        <v>186</v>
      </c>
      <c r="P13" s="201" t="s">
        <v>187</v>
      </c>
      <c r="Q13" s="201" t="s">
        <v>110</v>
      </c>
      <c r="R13" s="201" t="s">
        <v>192</v>
      </c>
      <c r="S13" s="201" t="s">
        <v>213</v>
      </c>
      <c r="T13" s="201" t="s">
        <v>292</v>
      </c>
      <c r="U13" s="201" t="s">
        <v>293</v>
      </c>
      <c r="V13" s="201" t="s">
        <v>322</v>
      </c>
      <c r="W13" s="201" t="s">
        <v>321</v>
      </c>
    </row>
    <row r="15" spans="7:7" ht="12.75">
      <c r="G15" s="230"/>
    </row>
    <row r="16" spans="1:23" ht="12.75">
      <c r="A16" s="231">
        <v>1</v>
      </c>
      <c r="B16" s="203" t="s">
        <v>111</v>
      </c>
      <c r="G16" s="238"/>
      <c r="H16" s="238"/>
      <c r="I16" s="238"/>
      <c r="J16" s="242"/>
      <c r="K16" s="280"/>
      <c r="L16" s="282"/>
      <c r="N16" s="241"/>
      <c r="O16" s="241"/>
      <c r="P16" s="241"/>
      <c r="Q16" s="241"/>
      <c r="R16" s="241"/>
      <c r="S16" s="241"/>
      <c r="T16" s="241"/>
      <c r="U16" s="241"/>
      <c r="V16" s="241"/>
      <c r="W16" s="241"/>
    </row>
    <row r="17" spans="1:24" ht="12.75">
      <c r="A17" s="231">
        <v>2</v>
      </c>
      <c r="B17" s="330" t="s">
        <v>48</v>
      </c>
      <c r="C17" s="331" t="s">
        <v>482</v>
      </c>
      <c r="D17" s="332" t="s">
        <v>427</v>
      </c>
      <c r="E17" s="332">
        <v>2006</v>
      </c>
      <c r="F17" s="332">
        <v>46957</v>
      </c>
      <c r="G17" s="238">
        <v>402098</v>
      </c>
      <c r="H17" s="238">
        <v>282082</v>
      </c>
      <c r="I17" s="238">
        <f>+H17-G17</f>
        <v>-120016</v>
      </c>
      <c r="J17" s="242">
        <v>1</v>
      </c>
      <c r="K17" s="281">
        <f t="shared" si="0" ref="K17:K22">+I17*J17</f>
        <v>-120016</v>
      </c>
      <c r="L17" s="282"/>
      <c r="M17" s="204" t="s">
        <v>235</v>
      </c>
      <c r="N17" s="238">
        <v>-120016</v>
      </c>
      <c r="O17" s="238">
        <v>0</v>
      </c>
      <c r="P17" s="238">
        <v>0</v>
      </c>
      <c r="Q17" s="238">
        <f>SUM(N17:P17)</f>
        <v>-120016</v>
      </c>
      <c r="R17" s="238">
        <v>0</v>
      </c>
      <c r="S17" s="238">
        <v>0</v>
      </c>
      <c r="T17" s="238">
        <f>SUM(R17:S17)</f>
        <v>0</v>
      </c>
      <c r="U17" s="238">
        <v>0</v>
      </c>
      <c r="V17" s="238">
        <v>0</v>
      </c>
      <c r="W17" s="337">
        <f>+V17+U17+T17+Q17</f>
        <v>-120016</v>
      </c>
      <c r="X17" s="204" t="b">
        <f t="shared" si="1" ref="X17:X28">+K17=W17</f>
        <v>1</v>
      </c>
    </row>
    <row r="18" spans="1:24" ht="12.75">
      <c r="A18" s="231">
        <v>3</v>
      </c>
      <c r="B18" s="330" t="s">
        <v>48</v>
      </c>
      <c r="C18" s="331" t="s">
        <v>483</v>
      </c>
      <c r="D18" s="332" t="s">
        <v>427</v>
      </c>
      <c r="E18" s="332">
        <v>1962</v>
      </c>
      <c r="F18" s="332">
        <v>46957</v>
      </c>
      <c r="G18" s="236">
        <v>789</v>
      </c>
      <c r="H18" s="236">
        <v>17725</v>
      </c>
      <c r="I18" s="236">
        <f t="shared" si="2" ref="I18:I22">+H18-G18</f>
        <v>16936</v>
      </c>
      <c r="J18" s="242">
        <v>1</v>
      </c>
      <c r="K18" s="281">
        <f t="shared" si="0"/>
        <v>16936</v>
      </c>
      <c r="L18" s="282"/>
      <c r="M18" s="204" t="s">
        <v>235</v>
      </c>
      <c r="N18" s="239">
        <v>16936</v>
      </c>
      <c r="O18" s="239">
        <v>0</v>
      </c>
      <c r="P18" s="239">
        <v>0</v>
      </c>
      <c r="Q18" s="239">
        <f t="shared" si="3" ref="Q18:Q22">SUM(N18:P18)</f>
        <v>16936</v>
      </c>
      <c r="R18" s="239">
        <v>0</v>
      </c>
      <c r="S18" s="239">
        <v>0</v>
      </c>
      <c r="T18" s="239">
        <f t="shared" si="4" ref="T18:T22">SUM(R18:S18)</f>
        <v>0</v>
      </c>
      <c r="U18" s="239">
        <v>0</v>
      </c>
      <c r="V18" s="239">
        <v>0</v>
      </c>
      <c r="W18" s="293">
        <f t="shared" si="5" ref="W18:W22">+V18+U18+T18+Q18</f>
        <v>16936</v>
      </c>
      <c r="X18" s="204" t="b">
        <f t="shared" si="1"/>
        <v>1</v>
      </c>
    </row>
    <row r="19" spans="1:24" ht="12.75">
      <c r="A19" s="231">
        <v>4</v>
      </c>
      <c r="B19" s="330" t="s">
        <v>48</v>
      </c>
      <c r="C19" s="331" t="s">
        <v>484</v>
      </c>
      <c r="D19" s="332" t="s">
        <v>427</v>
      </c>
      <c r="E19" s="332">
        <v>1969</v>
      </c>
      <c r="F19" s="332">
        <v>46957</v>
      </c>
      <c r="G19" s="236">
        <v>1888</v>
      </c>
      <c r="H19" s="236">
        <v>28674</v>
      </c>
      <c r="I19" s="236">
        <f t="shared" si="2"/>
        <v>26786</v>
      </c>
      <c r="J19" s="242">
        <v>1</v>
      </c>
      <c r="K19" s="281">
        <f t="shared" si="0"/>
        <v>26786</v>
      </c>
      <c r="L19" s="282"/>
      <c r="M19" s="204" t="s">
        <v>235</v>
      </c>
      <c r="N19" s="239">
        <v>26786</v>
      </c>
      <c r="O19" s="239">
        <v>0</v>
      </c>
      <c r="P19" s="239">
        <v>0</v>
      </c>
      <c r="Q19" s="239">
        <f t="shared" si="3"/>
        <v>26786</v>
      </c>
      <c r="R19" s="239">
        <v>0</v>
      </c>
      <c r="S19" s="239">
        <v>0</v>
      </c>
      <c r="T19" s="239">
        <f t="shared" si="4"/>
        <v>0</v>
      </c>
      <c r="U19" s="239">
        <v>0</v>
      </c>
      <c r="V19" s="239">
        <v>0</v>
      </c>
      <c r="W19" s="293">
        <f t="shared" si="5"/>
        <v>26786</v>
      </c>
      <c r="X19" s="204" t="b">
        <f t="shared" si="1"/>
        <v>1</v>
      </c>
    </row>
    <row r="20" spans="1:24" ht="12.75">
      <c r="A20" s="231">
        <v>5</v>
      </c>
      <c r="B20" s="330" t="s">
        <v>48</v>
      </c>
      <c r="C20" s="331" t="s">
        <v>485</v>
      </c>
      <c r="D20" s="332" t="s">
        <v>427</v>
      </c>
      <c r="E20" s="332">
        <v>1960</v>
      </c>
      <c r="F20" s="332">
        <v>46957</v>
      </c>
      <c r="G20" s="236">
        <v>164</v>
      </c>
      <c r="H20" s="236">
        <v>34657</v>
      </c>
      <c r="I20" s="236">
        <f t="shared" si="2"/>
        <v>34493</v>
      </c>
      <c r="J20" s="242">
        <v>1</v>
      </c>
      <c r="K20" s="281">
        <f t="shared" si="0"/>
        <v>34493</v>
      </c>
      <c r="L20" s="282"/>
      <c r="M20" s="204" t="s">
        <v>235</v>
      </c>
      <c r="N20" s="239">
        <v>34493</v>
      </c>
      <c r="O20" s="239">
        <v>0</v>
      </c>
      <c r="P20" s="239">
        <v>0</v>
      </c>
      <c r="Q20" s="239">
        <f t="shared" si="3"/>
        <v>34493</v>
      </c>
      <c r="R20" s="239">
        <v>0</v>
      </c>
      <c r="S20" s="239">
        <v>0</v>
      </c>
      <c r="T20" s="239">
        <f t="shared" si="4"/>
        <v>0</v>
      </c>
      <c r="U20" s="239">
        <v>0</v>
      </c>
      <c r="V20" s="239">
        <v>0</v>
      </c>
      <c r="W20" s="293">
        <f t="shared" si="5"/>
        <v>34493</v>
      </c>
      <c r="X20" s="204" t="b">
        <f t="shared" si="1"/>
        <v>1</v>
      </c>
    </row>
    <row r="21" spans="1:24" ht="12.75">
      <c r="A21" s="231">
        <v>6</v>
      </c>
      <c r="B21" s="330" t="s">
        <v>48</v>
      </c>
      <c r="C21" s="331" t="s">
        <v>486</v>
      </c>
      <c r="D21" s="332" t="s">
        <v>427</v>
      </c>
      <c r="E21" s="332">
        <v>1968</v>
      </c>
      <c r="F21" s="332">
        <v>46957</v>
      </c>
      <c r="G21" s="236">
        <v>175</v>
      </c>
      <c r="H21" s="236">
        <v>7896</v>
      </c>
      <c r="I21" s="236">
        <f t="shared" si="6" ref="I21">+H21-G21</f>
        <v>7721</v>
      </c>
      <c r="J21" s="242">
        <v>1</v>
      </c>
      <c r="K21" s="281">
        <f t="shared" si="0"/>
        <v>7721</v>
      </c>
      <c r="L21" s="282"/>
      <c r="M21" s="204" t="s">
        <v>235</v>
      </c>
      <c r="N21" s="239">
        <v>7721</v>
      </c>
      <c r="O21" s="239">
        <v>0</v>
      </c>
      <c r="P21" s="239">
        <v>0</v>
      </c>
      <c r="Q21" s="239">
        <f t="shared" si="7" ref="Q21">SUM(N21:P21)</f>
        <v>7721</v>
      </c>
      <c r="R21" s="239">
        <v>0</v>
      </c>
      <c r="S21" s="239">
        <v>0</v>
      </c>
      <c r="T21" s="239">
        <f t="shared" si="8" ref="T21">SUM(R21:S21)</f>
        <v>0</v>
      </c>
      <c r="U21" s="239">
        <v>0</v>
      </c>
      <c r="V21" s="239">
        <v>0</v>
      </c>
      <c r="W21" s="293">
        <f t="shared" si="9" ref="W21">+V21+U21+T21+Q21</f>
        <v>7721</v>
      </c>
      <c r="X21" s="204" t="b">
        <f t="shared" si="10" ref="X21">+K21=W21</f>
        <v>1</v>
      </c>
    </row>
    <row r="22" spans="1:24" ht="12.75">
      <c r="A22" s="231">
        <v>7</v>
      </c>
      <c r="B22" s="330" t="s">
        <v>48</v>
      </c>
      <c r="C22" s="331" t="s">
        <v>487</v>
      </c>
      <c r="D22" s="332" t="s">
        <v>427</v>
      </c>
      <c r="E22" s="332">
        <v>1962</v>
      </c>
      <c r="F22" s="332">
        <v>46957</v>
      </c>
      <c r="G22" s="236">
        <v>1100</v>
      </c>
      <c r="H22" s="236">
        <v>-4370</v>
      </c>
      <c r="I22" s="236">
        <f t="shared" si="2"/>
        <v>-5470</v>
      </c>
      <c r="J22" s="242">
        <v>1</v>
      </c>
      <c r="K22" s="281">
        <f t="shared" si="0"/>
        <v>-5470</v>
      </c>
      <c r="L22" s="282"/>
      <c r="M22" s="204" t="s">
        <v>235</v>
      </c>
      <c r="N22" s="239">
        <v>-5470</v>
      </c>
      <c r="O22" s="239">
        <v>0</v>
      </c>
      <c r="P22" s="239">
        <v>0</v>
      </c>
      <c r="Q22" s="239">
        <f t="shared" si="3"/>
        <v>-5470</v>
      </c>
      <c r="R22" s="239">
        <v>0</v>
      </c>
      <c r="S22" s="239">
        <v>0</v>
      </c>
      <c r="T22" s="239">
        <f t="shared" si="4"/>
        <v>0</v>
      </c>
      <c r="U22" s="239">
        <v>0</v>
      </c>
      <c r="V22" s="239">
        <v>0</v>
      </c>
      <c r="W22" s="293">
        <f t="shared" si="5"/>
        <v>-5470</v>
      </c>
      <c r="X22" s="204" t="b">
        <f t="shared" si="1"/>
        <v>1</v>
      </c>
    </row>
    <row r="23" spans="1:23" ht="12.75">
      <c r="A23" s="231">
        <v>8</v>
      </c>
      <c r="B23" s="330"/>
      <c r="C23" s="331"/>
      <c r="D23" s="332"/>
      <c r="E23" s="333"/>
      <c r="F23" s="235"/>
      <c r="G23" s="236"/>
      <c r="H23" s="236"/>
      <c r="I23" s="236"/>
      <c r="J23" s="242"/>
      <c r="K23" s="281"/>
      <c r="L23" s="282"/>
      <c r="N23" s="239"/>
      <c r="O23" s="239"/>
      <c r="P23" s="239"/>
      <c r="Q23" s="239"/>
      <c r="R23" s="239"/>
      <c r="S23" s="239"/>
      <c r="T23" s="239"/>
      <c r="U23" s="239"/>
      <c r="V23" s="239"/>
      <c r="W23" s="293"/>
    </row>
    <row r="24" spans="1:23" ht="12.75">
      <c r="A24" s="231">
        <v>9</v>
      </c>
      <c r="B24" s="335" t="s">
        <v>134</v>
      </c>
      <c r="C24" s="331"/>
      <c r="D24" s="332"/>
      <c r="E24" s="333"/>
      <c r="F24" s="235"/>
      <c r="G24" s="236"/>
      <c r="H24" s="236"/>
      <c r="I24" s="236"/>
      <c r="J24" s="242"/>
      <c r="K24" s="281"/>
      <c r="L24" s="282"/>
      <c r="N24" s="239"/>
      <c r="O24" s="239"/>
      <c r="P24" s="239"/>
      <c r="Q24" s="239"/>
      <c r="R24" s="239"/>
      <c r="S24" s="239"/>
      <c r="T24" s="239"/>
      <c r="U24" s="239"/>
      <c r="V24" s="239"/>
      <c r="W24" s="293"/>
    </row>
    <row r="25" spans="1:24" ht="12.75">
      <c r="A25" s="231">
        <v>10</v>
      </c>
      <c r="B25" s="330" t="s">
        <v>83</v>
      </c>
      <c r="C25" s="331" t="s">
        <v>488</v>
      </c>
      <c r="D25" s="332" t="s">
        <v>427</v>
      </c>
      <c r="E25" s="333">
        <v>2004</v>
      </c>
      <c r="F25" s="235">
        <v>46957</v>
      </c>
      <c r="G25" s="238">
        <v>781</v>
      </c>
      <c r="H25" s="238">
        <v>4568</v>
      </c>
      <c r="I25" s="238">
        <f>+H25-G25</f>
        <v>3787</v>
      </c>
      <c r="J25" s="242">
        <v>1</v>
      </c>
      <c r="K25" s="280">
        <f>+I25*J25</f>
        <v>3787</v>
      </c>
      <c r="L25" s="282"/>
      <c r="M25" s="204" t="s">
        <v>490</v>
      </c>
      <c r="N25" s="241">
        <v>560</v>
      </c>
      <c r="O25" s="241">
        <v>0</v>
      </c>
      <c r="P25" s="241">
        <v>0</v>
      </c>
      <c r="Q25" s="241">
        <f>SUM(N25:P25)</f>
        <v>560</v>
      </c>
      <c r="R25" s="241">
        <v>3227</v>
      </c>
      <c r="S25" s="241">
        <v>0</v>
      </c>
      <c r="T25" s="241">
        <f>SUM(R25:S25)</f>
        <v>3227</v>
      </c>
      <c r="U25" s="241">
        <v>0</v>
      </c>
      <c r="V25" s="241">
        <v>0</v>
      </c>
      <c r="W25" s="338">
        <f>+V25+U25+T25+Q25</f>
        <v>3787</v>
      </c>
      <c r="X25" s="204" t="b">
        <f t="shared" si="1"/>
        <v>1</v>
      </c>
    </row>
    <row r="26" spans="1:23" ht="12.75">
      <c r="A26" s="231">
        <v>11</v>
      </c>
      <c r="B26" s="334"/>
      <c r="C26" s="331"/>
      <c r="D26" s="332"/>
      <c r="E26" s="333"/>
      <c r="F26" s="235"/>
      <c r="G26" s="236"/>
      <c r="H26" s="236"/>
      <c r="I26" s="236"/>
      <c r="J26" s="242"/>
      <c r="K26" s="281"/>
      <c r="L26" s="282"/>
      <c r="N26" s="239"/>
      <c r="O26" s="239"/>
      <c r="P26" s="239"/>
      <c r="Q26" s="239"/>
      <c r="R26" s="239"/>
      <c r="S26" s="239"/>
      <c r="T26" s="239"/>
      <c r="U26" s="239"/>
      <c r="V26" s="239"/>
      <c r="W26" s="293"/>
    </row>
    <row r="27" spans="1:23" ht="12.75">
      <c r="A27" s="231">
        <v>12</v>
      </c>
      <c r="B27" s="335" t="s">
        <v>113</v>
      </c>
      <c r="C27" s="276"/>
      <c r="D27" s="235"/>
      <c r="E27" s="333"/>
      <c r="F27" s="235"/>
      <c r="G27" s="236"/>
      <c r="H27" s="236"/>
      <c r="I27" s="236"/>
      <c r="J27" s="242"/>
      <c r="K27" s="281"/>
      <c r="L27" s="282"/>
      <c r="N27" s="239"/>
      <c r="O27" s="239"/>
      <c r="P27" s="239"/>
      <c r="Q27" s="239"/>
      <c r="R27" s="239"/>
      <c r="S27" s="239"/>
      <c r="T27" s="239"/>
      <c r="U27" s="239"/>
      <c r="V27" s="239"/>
      <c r="W27" s="293"/>
    </row>
    <row r="28" spans="1:24" ht="12.75">
      <c r="A28" s="231">
        <v>13</v>
      </c>
      <c r="B28" s="330" t="s">
        <v>85</v>
      </c>
      <c r="C28" s="336" t="s">
        <v>489</v>
      </c>
      <c r="D28" s="332" t="s">
        <v>427</v>
      </c>
      <c r="E28" s="333">
        <v>1921</v>
      </c>
      <c r="F28" s="235">
        <v>46957</v>
      </c>
      <c r="G28" s="238">
        <v>159685</v>
      </c>
      <c r="H28" s="238">
        <v>1235718</v>
      </c>
      <c r="I28" s="238">
        <f>+H28-G28</f>
        <v>1076033</v>
      </c>
      <c r="J28" s="242">
        <v>1</v>
      </c>
      <c r="K28" s="280">
        <f>+I28*J28</f>
        <v>1076033</v>
      </c>
      <c r="L28" s="282"/>
      <c r="M28" s="204" t="s">
        <v>235</v>
      </c>
      <c r="N28" s="241">
        <v>0</v>
      </c>
      <c r="O28" s="241">
        <v>0</v>
      </c>
      <c r="P28" s="241">
        <v>0</v>
      </c>
      <c r="Q28" s="241">
        <f t="shared" si="11" ref="Q28">SUM(N28:P28)</f>
        <v>0</v>
      </c>
      <c r="R28" s="241">
        <v>1076033</v>
      </c>
      <c r="S28" s="241">
        <v>0</v>
      </c>
      <c r="T28" s="241">
        <f t="shared" si="12" ref="T28">SUM(R28:S28)</f>
        <v>1076033</v>
      </c>
      <c r="U28" s="241">
        <v>0</v>
      </c>
      <c r="V28" s="241">
        <v>0</v>
      </c>
      <c r="W28" s="338">
        <f t="shared" si="13" ref="W28">+V28+U28+T28+Q28</f>
        <v>1076033</v>
      </c>
      <c r="X28" s="204" t="b">
        <f t="shared" si="1"/>
        <v>1</v>
      </c>
    </row>
    <row r="29" spans="1:23" ht="12.75">
      <c r="A29" s="231">
        <v>14</v>
      </c>
      <c r="D29" s="231"/>
      <c r="E29" s="232"/>
      <c r="F29" s="231"/>
      <c r="G29" s="237"/>
      <c r="H29" s="237"/>
      <c r="I29" s="237"/>
      <c r="J29" s="242"/>
      <c r="K29" s="281"/>
      <c r="L29" s="282"/>
      <c r="M29" s="237"/>
      <c r="N29" s="237"/>
      <c r="O29" s="237"/>
      <c r="P29" s="237"/>
      <c r="Q29" s="240"/>
      <c r="R29" s="240"/>
      <c r="S29" s="240"/>
      <c r="T29" s="240"/>
      <c r="U29" s="240"/>
      <c r="V29" s="240"/>
      <c r="W29" s="240"/>
    </row>
    <row r="30" spans="1:16" ht="12.75">
      <c r="A30" s="231">
        <v>15</v>
      </c>
      <c r="G30" s="230"/>
      <c r="H30" s="233"/>
      <c r="I30" s="233"/>
      <c r="L30" s="282"/>
      <c r="M30" s="233"/>
      <c r="N30" s="233"/>
      <c r="O30" s="233"/>
      <c r="P30" s="233"/>
    </row>
    <row r="31" spans="1:24" ht="13.5" thickBot="1">
      <c r="A31" s="231">
        <v>16</v>
      </c>
      <c r="C31" s="204" t="s">
        <v>287</v>
      </c>
      <c r="G31" s="251">
        <f>SUM(G16:G30)</f>
        <v>566680</v>
      </c>
      <c r="H31" s="251">
        <f>SUM(H16:H30)</f>
        <v>1606950</v>
      </c>
      <c r="I31" s="251">
        <f>SUM(I16:I30)</f>
        <v>1040270</v>
      </c>
      <c r="J31" s="282"/>
      <c r="K31" s="251">
        <f>SUM(K16:K30)</f>
        <v>1040270</v>
      </c>
      <c r="L31" s="282"/>
      <c r="M31" s="250"/>
      <c r="N31" s="251">
        <f t="shared" si="14" ref="N31:W31">SUM(N16:N30)</f>
        <v>-38990</v>
      </c>
      <c r="O31" s="251">
        <f t="shared" si="14"/>
        <v>0</v>
      </c>
      <c r="P31" s="251">
        <f t="shared" si="14"/>
        <v>0</v>
      </c>
      <c r="Q31" s="251">
        <f t="shared" si="14"/>
        <v>-38990</v>
      </c>
      <c r="R31" s="251">
        <f t="shared" si="14"/>
        <v>1079260</v>
      </c>
      <c r="S31" s="251">
        <f t="shared" si="14"/>
        <v>0</v>
      </c>
      <c r="T31" s="251">
        <f t="shared" si="14"/>
        <v>1079260</v>
      </c>
      <c r="U31" s="251">
        <f t="shared" si="14"/>
        <v>0</v>
      </c>
      <c r="V31" s="251">
        <f t="shared" si="14"/>
        <v>0</v>
      </c>
      <c r="W31" s="251">
        <f t="shared" si="14"/>
        <v>1040270</v>
      </c>
      <c r="X31" s="204" t="b">
        <f>+K31=W31</f>
        <v>1</v>
      </c>
    </row>
    <row r="32" spans="1:12" ht="13.5" thickTop="1">
      <c r="A32" s="231">
        <v>17</v>
      </c>
      <c r="L32" s="282"/>
    </row>
    <row r="33" spans="1:12" ht="12.75">
      <c r="A33" s="231">
        <v>18</v>
      </c>
      <c r="L33" s="282"/>
    </row>
    <row r="38" spans="8:8" ht="12.75">
      <c r="H38" s="234"/>
    </row>
  </sheetData>
  <printOptions horizontalCentered="1"/>
  <pageMargins left="0.5" right="0.5" top="3" bottom="0.5" header="1.5" footer="0.5"/>
  <pageSetup fitToHeight="0" fitToWidth="2" orientation="landscape" scale="58" r:id="rId1"/>
  <headerFooter>
    <oddHeader>&amp;C&amp;B
2022 RATE CASE
ONCOR ELECTRIC DELIVERY COMPANY LLC
II-B-13  GAIN OR LOSS ON SALE OF UTILITY ASSETS
TEST YEAR ENDING DECEMBER 31, 2021
SPONSOR: W. ALAN LEDBETTER&amp;R&amp;"Arial,Bold"Schedule &amp;A
Page &amp;P of &amp;N</oddHeader>
  </headerFooter>
  <colBreaks count="1" manualBreakCount="1">
    <brk id="11" min="15" max="28" man="1"/>
  </colBreak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5">
    <tabColor rgb="FFFF0000"/>
  </sheetPr>
  <dimension ref="A1:G61"/>
  <sheetViews>
    <sheetView workbookViewId="0" topLeftCell="A1">
      <pane ySplit="13" topLeftCell="A14" activePane="bottomLeft" state="frozen"/>
      <selection pane="topLeft" activeCell="A4" sqref="A4:B4"/>
      <selection pane="bottomLeft" activeCell="J40" sqref="J40"/>
    </sheetView>
  </sheetViews>
  <sheetFormatPr defaultRowHeight="12.75"/>
  <cols>
    <col min="2" max="2" width="32.7142857142857" customWidth="1"/>
    <col min="3" max="3" width="16.5714285714286" customWidth="1"/>
    <col min="4" max="4" width="18.5714285714286" bestFit="1" customWidth="1"/>
    <col min="5" max="7" width="16.5714285714286" customWidth="1"/>
  </cols>
  <sheetData>
    <row r="1" spans="1:1" ht="12.75">
      <c r="A1" s="80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7" ht="12.75">
      <c r="A3" s="8" t="str">
        <f>CONCATENATE('[4]Schedule Sponsors'!$A$26,'[4]Schedule Sponsors'!$B$26)</f>
        <v>II-B-14  FUNDED/(UNFUNDED) PENSION AND OTHER POST-EMPLOYMENT BENEFITS BALANCE</v>
      </c>
      <c r="G3" s="53"/>
    </row>
    <row r="4" spans="1:7" ht="12.75">
      <c r="A4" s="115" t="str">
        <f>+'[4]Input Data'!$A$4</f>
        <v>TEST YEAR ENDING DECEMBER 31, 2021</v>
      </c>
      <c r="G4" s="53"/>
    </row>
    <row r="5" spans="1:7" ht="12.75">
      <c r="A5" s="8" t="str">
        <f>CONCATENATE("SPONSOR: ",'[4]Schedule Sponsors'!$D$26)</f>
        <v>SPONSOR: W. ALAN LEDBETTER</v>
      </c>
      <c r="B5" s="138"/>
      <c r="C5" s="138"/>
      <c r="G5" s="53"/>
    </row>
    <row r="6" spans="7:7" ht="12.75">
      <c r="G6" s="205"/>
    </row>
    <row r="9" ht="13.5" thickBot="1"/>
    <row r="10" spans="1:7" s="105" customFormat="1" ht="12.75">
      <c r="A10" s="13"/>
      <c r="B10" s="13"/>
      <c r="C10" s="14" t="s">
        <v>261</v>
      </c>
      <c r="D10" s="14" t="s">
        <v>261</v>
      </c>
      <c r="E10" s="14" t="s">
        <v>266</v>
      </c>
      <c r="F10" s="14" t="s">
        <v>270</v>
      </c>
      <c r="G10" s="14" t="s">
        <v>258</v>
      </c>
    </row>
    <row r="11" spans="1:7" s="105" customFormat="1" ht="12.75">
      <c r="A11" s="15" t="s">
        <v>188</v>
      </c>
      <c r="B11" s="15"/>
      <c r="C11" s="15" t="s">
        <v>262</v>
      </c>
      <c r="D11" s="15" t="s">
        <v>264</v>
      </c>
      <c r="E11" s="15" t="s">
        <v>267</v>
      </c>
      <c r="F11" s="15" t="s">
        <v>271</v>
      </c>
      <c r="G11" s="15" t="s">
        <v>268</v>
      </c>
    </row>
    <row r="12" spans="1:7" s="105" customFormat="1" ht="12.75">
      <c r="A12" s="15" t="s">
        <v>189</v>
      </c>
      <c r="B12" s="15" t="s">
        <v>22</v>
      </c>
      <c r="C12" s="15" t="s">
        <v>263</v>
      </c>
      <c r="D12" s="15" t="s">
        <v>265</v>
      </c>
      <c r="E12" s="15" t="s">
        <v>258</v>
      </c>
      <c r="F12" s="15" t="s">
        <v>272</v>
      </c>
      <c r="G12" s="15" t="s">
        <v>269</v>
      </c>
    </row>
    <row r="13" spans="1:7" s="105" customFormat="1" ht="13.5" thickBot="1">
      <c r="A13" s="16"/>
      <c r="B13" s="201" t="s">
        <v>173</v>
      </c>
      <c r="C13" s="201" t="s">
        <v>174</v>
      </c>
      <c r="D13" s="201" t="s">
        <v>175</v>
      </c>
      <c r="E13" s="201" t="s">
        <v>176</v>
      </c>
      <c r="F13" s="201" t="s">
        <v>282</v>
      </c>
      <c r="G13" s="201" t="s">
        <v>178</v>
      </c>
    </row>
    <row r="15" spans="1:6" ht="12.75">
      <c r="A15" s="200">
        <v>1</v>
      </c>
      <c r="B15" s="203" t="s">
        <v>274</v>
      </c>
      <c r="F15" s="202"/>
    </row>
    <row r="16" spans="1:1" ht="12.75">
      <c r="A16" s="200">
        <v>2</v>
      </c>
    </row>
    <row r="17" spans="1:7" ht="12.75">
      <c r="A17" s="200">
        <v>3</v>
      </c>
      <c r="B17" s="204" t="s">
        <v>273</v>
      </c>
      <c r="G17" s="257">
        <v>306881927.64999998</v>
      </c>
    </row>
    <row r="18" spans="1:7" ht="12.75">
      <c r="A18" s="200">
        <v>4</v>
      </c>
      <c r="G18" s="206"/>
    </row>
    <row r="19" spans="1:7" ht="12.75">
      <c r="A19" s="200">
        <v>5</v>
      </c>
      <c r="B19" s="180">
        <v>2017</v>
      </c>
      <c r="C19" s="255">
        <v>16573958.810000001</v>
      </c>
      <c r="D19" s="255">
        <v>39758165.329999998</v>
      </c>
      <c r="E19" s="255">
        <v>24589608.859999999</v>
      </c>
      <c r="F19" s="255">
        <f>SUM(C19:E19)</f>
        <v>80921733</v>
      </c>
      <c r="G19" s="255"/>
    </row>
    <row r="20" spans="1:7" ht="12.75">
      <c r="A20" s="200">
        <v>6</v>
      </c>
      <c r="B20" s="207" t="s">
        <v>480</v>
      </c>
      <c r="C20" s="255"/>
      <c r="D20" s="255"/>
      <c r="E20" s="255"/>
      <c r="F20" s="255"/>
      <c r="G20" s="255">
        <v>-8252995.6799999997</v>
      </c>
    </row>
    <row r="21" spans="1:7" ht="12.75">
      <c r="A21" s="200">
        <v>7</v>
      </c>
      <c r="B21" t="s">
        <v>481</v>
      </c>
      <c r="G21" s="255">
        <v>-2898329.3399999999</v>
      </c>
    </row>
    <row r="22" spans="1:7" ht="12.75">
      <c r="A22" s="200">
        <v>8</v>
      </c>
      <c r="G22" s="206"/>
    </row>
    <row r="23" spans="1:7" ht="12.75">
      <c r="A23" s="200">
        <v>9</v>
      </c>
      <c r="B23" s="180">
        <v>2018</v>
      </c>
      <c r="C23" s="255">
        <v>42446295</v>
      </c>
      <c r="D23" s="255">
        <v>35913760.649999999</v>
      </c>
      <c r="E23" s="255">
        <v>-6150703.6500000004</v>
      </c>
      <c r="F23" s="255">
        <f>SUM(C23:E23)</f>
        <v>72209352</v>
      </c>
      <c r="G23" s="255"/>
    </row>
    <row r="24" spans="1:7" ht="12.75">
      <c r="A24" s="200">
        <v>10</v>
      </c>
      <c r="B24" s="207" t="s">
        <v>344</v>
      </c>
      <c r="C24" s="255"/>
      <c r="D24" s="255"/>
      <c r="E24" s="255"/>
      <c r="F24" s="255"/>
      <c r="G24" s="255">
        <v>-30688193.039999999</v>
      </c>
    </row>
    <row r="25" spans="1:7" ht="12.75">
      <c r="A25" s="200">
        <v>11</v>
      </c>
      <c r="B25" s="207"/>
      <c r="C25" s="255"/>
      <c r="D25" s="255"/>
      <c r="E25" s="255"/>
      <c r="F25" s="255"/>
      <c r="G25" s="255"/>
    </row>
    <row r="26" spans="1:7" ht="12.75">
      <c r="A26" s="200">
        <v>12</v>
      </c>
      <c r="B26" s="180"/>
      <c r="C26" s="255"/>
      <c r="D26" s="255"/>
      <c r="E26" s="255"/>
      <c r="F26" s="255"/>
      <c r="G26" s="255"/>
    </row>
    <row r="27" spans="1:7" ht="12.75">
      <c r="A27" s="200">
        <v>13</v>
      </c>
      <c r="B27" s="180">
        <v>2019</v>
      </c>
      <c r="C27" s="255">
        <v>42446295</v>
      </c>
      <c r="D27" s="255">
        <v>30509237.710000001</v>
      </c>
      <c r="E27" s="255">
        <v>-13974993.710000001</v>
      </c>
      <c r="F27" s="255">
        <f>SUM(C27:E27)</f>
        <v>58980539.000000007</v>
      </c>
      <c r="G27" s="255"/>
    </row>
    <row r="28" spans="1:7" ht="12.75">
      <c r="A28" s="200">
        <v>14</v>
      </c>
      <c r="B28" s="207" t="s">
        <v>345</v>
      </c>
      <c r="C28" s="255"/>
      <c r="D28" s="255"/>
      <c r="E28" s="255"/>
      <c r="F28" s="255"/>
      <c r="G28" s="255">
        <v>-30688193.039999999</v>
      </c>
    </row>
    <row r="29" spans="1:7" ht="12.75">
      <c r="A29" s="200">
        <v>15</v>
      </c>
      <c r="B29" s="180"/>
      <c r="C29" s="255"/>
      <c r="D29" s="255"/>
      <c r="E29" s="255"/>
      <c r="F29" s="255"/>
      <c r="G29" s="255"/>
    </row>
    <row r="30" spans="1:7" ht="12.75">
      <c r="A30" s="200">
        <v>16</v>
      </c>
      <c r="B30" s="180">
        <v>2020</v>
      </c>
      <c r="C30" s="255">
        <v>42446295</v>
      </c>
      <c r="D30" s="255">
        <v>35191489.07</v>
      </c>
      <c r="E30" s="255">
        <v>-10985585.07</v>
      </c>
      <c r="F30" s="255">
        <f>SUM(C30:E30)</f>
        <v>66652198.999999993</v>
      </c>
      <c r="G30" s="255"/>
    </row>
    <row r="31" spans="1:7" ht="12.75">
      <c r="A31" s="200">
        <v>17</v>
      </c>
      <c r="B31" s="207" t="s">
        <v>346</v>
      </c>
      <c r="C31" s="255"/>
      <c r="D31" s="255"/>
      <c r="E31" s="255"/>
      <c r="F31" s="255"/>
      <c r="G31" s="255">
        <v>-30688193.039999999</v>
      </c>
    </row>
    <row r="32" spans="1:7" ht="12.75">
      <c r="A32" s="200">
        <v>18</v>
      </c>
      <c r="B32" s="180"/>
      <c r="C32" s="255"/>
      <c r="D32" s="255"/>
      <c r="E32" s="255"/>
      <c r="F32" s="255"/>
      <c r="G32" s="255"/>
    </row>
    <row r="33" spans="1:7" ht="12.75">
      <c r="A33" s="200">
        <v>19</v>
      </c>
      <c r="B33" s="180">
        <v>2021</v>
      </c>
      <c r="C33" s="255">
        <v>42446295</v>
      </c>
      <c r="D33" s="255">
        <v>35577239.649999999</v>
      </c>
      <c r="E33" s="255">
        <v>-10918482.65</v>
      </c>
      <c r="F33" s="255">
        <f>SUM(C33:E33)</f>
        <v>67105052.000000007</v>
      </c>
      <c r="G33" s="255"/>
    </row>
    <row r="34" spans="1:7" ht="12.75">
      <c r="A34" s="200">
        <v>20</v>
      </c>
      <c r="B34" s="207" t="s">
        <v>444</v>
      </c>
      <c r="C34" s="255"/>
      <c r="D34" s="255"/>
      <c r="E34" s="255"/>
      <c r="F34" s="255"/>
      <c r="G34" s="255">
        <v>-30688193.039999999</v>
      </c>
    </row>
    <row r="35" spans="1:7" ht="12.75">
      <c r="A35" s="200">
        <v>21</v>
      </c>
      <c r="B35" s="180"/>
      <c r="C35" s="255"/>
      <c r="D35" s="255"/>
      <c r="E35" s="255"/>
      <c r="F35" s="255"/>
      <c r="G35" s="255"/>
    </row>
    <row r="36" spans="1:2" ht="12.75">
      <c r="A36" s="200">
        <v>22</v>
      </c>
      <c r="B36" s="180"/>
    </row>
    <row r="37" spans="1:7" ht="13.5" thickBot="1">
      <c r="A37" s="200">
        <v>23</v>
      </c>
      <c r="B37" s="203" t="s">
        <v>443</v>
      </c>
      <c r="E37" s="258">
        <f>SUM(E17:E35)</f>
        <v>-17440156.219999999</v>
      </c>
      <c r="F37" s="259"/>
      <c r="G37" s="258">
        <f>SUM(G17:G35)</f>
        <v>172977830.47000003</v>
      </c>
    </row>
    <row r="38" spans="1:1" ht="13.5" thickTop="1">
      <c r="A38" s="200">
        <v>24</v>
      </c>
    </row>
    <row r="39" spans="1:2" ht="12.75">
      <c r="A39" s="200">
        <v>25</v>
      </c>
      <c r="B39" s="203" t="s">
        <v>275</v>
      </c>
    </row>
    <row r="40" spans="1:1" ht="12.75">
      <c r="A40" s="200">
        <v>26</v>
      </c>
    </row>
    <row r="41" spans="1:7" ht="12.75">
      <c r="A41" s="200">
        <v>27</v>
      </c>
      <c r="B41" s="204" t="s">
        <v>273</v>
      </c>
      <c r="G41" s="257">
        <v>42475485.579999998</v>
      </c>
    </row>
    <row r="42" spans="1:1" ht="12.75">
      <c r="A42" s="200">
        <v>28</v>
      </c>
    </row>
    <row r="43" spans="1:7" ht="12.75">
      <c r="A43" s="200">
        <v>29</v>
      </c>
      <c r="B43" s="180">
        <v>2017</v>
      </c>
      <c r="C43" s="256">
        <v>23198305.420000002</v>
      </c>
      <c r="D43" s="256">
        <v>27969256.59</v>
      </c>
      <c r="E43" s="256">
        <v>5738625.9900000002</v>
      </c>
      <c r="F43" s="255">
        <f>SUM(C43:E43)</f>
        <v>56906188.000000007</v>
      </c>
      <c r="G43" s="256"/>
    </row>
    <row r="44" spans="1:7" ht="12.75">
      <c r="A44" s="200">
        <v>30</v>
      </c>
      <c r="B44" s="207" t="s">
        <v>480</v>
      </c>
      <c r="C44" s="256"/>
      <c r="D44" s="256"/>
      <c r="E44" s="256"/>
      <c r="F44" s="255"/>
      <c r="G44" s="255">
        <v>-6268222.2699999996</v>
      </c>
    </row>
    <row r="45" spans="1:7" ht="12.75">
      <c r="A45" s="200">
        <v>31</v>
      </c>
      <c r="B45" t="s">
        <v>481</v>
      </c>
      <c r="G45" s="255">
        <v>-401157.40999999997</v>
      </c>
    </row>
    <row r="46" spans="1:1" ht="12.75">
      <c r="A46" s="200">
        <v>32</v>
      </c>
    </row>
    <row r="47" spans="1:7" ht="12.75">
      <c r="A47" s="200">
        <v>33</v>
      </c>
      <c r="B47" s="207">
        <f>+B23</f>
        <v>2018</v>
      </c>
      <c r="C47" s="256">
        <v>29852986</v>
      </c>
      <c r="D47" s="256">
        <v>34479046.049999997</v>
      </c>
      <c r="E47" s="256">
        <v>4983162.9500000002</v>
      </c>
      <c r="F47" s="255">
        <f>SUM(C47:E47)</f>
        <v>69315195</v>
      </c>
      <c r="G47" s="256"/>
    </row>
    <row r="48" spans="1:7" ht="12.75">
      <c r="A48" s="200">
        <v>34</v>
      </c>
      <c r="B48" s="207" t="str">
        <f>+B24</f>
        <v>2018 Amortization</v>
      </c>
      <c r="C48" s="256"/>
      <c r="D48" s="256"/>
      <c r="E48" s="256"/>
      <c r="F48" s="255"/>
      <c r="G48" s="255">
        <v>-4247549.04</v>
      </c>
    </row>
    <row r="49" spans="1:7" ht="12.75">
      <c r="A49" s="200">
        <v>35</v>
      </c>
      <c r="B49" s="207"/>
      <c r="C49" s="256"/>
      <c r="D49" s="256"/>
      <c r="E49" s="256"/>
      <c r="F49" s="255"/>
      <c r="G49" s="255"/>
    </row>
    <row r="50" spans="1:7" ht="12.75">
      <c r="A50" s="200">
        <v>36</v>
      </c>
      <c r="B50" s="180"/>
      <c r="C50" s="256"/>
      <c r="D50" s="256"/>
      <c r="E50" s="256"/>
      <c r="F50" s="255"/>
      <c r="G50" s="255"/>
    </row>
    <row r="51" spans="1:7" ht="12.75">
      <c r="A51" s="200">
        <v>37</v>
      </c>
      <c r="B51" s="207">
        <f t="shared" si="0" ref="B51:B52">+B27</f>
        <v>2019</v>
      </c>
      <c r="C51" s="256">
        <v>29852986</v>
      </c>
      <c r="D51" s="256">
        <v>20944244.57</v>
      </c>
      <c r="E51" s="256">
        <v>-10245649.57</v>
      </c>
      <c r="F51" s="255">
        <f>SUM(C51:E51)</f>
        <v>40551581</v>
      </c>
      <c r="G51" s="255"/>
    </row>
    <row r="52" spans="1:7" ht="12.75">
      <c r="A52" s="200">
        <v>38</v>
      </c>
      <c r="B52" s="207" t="str">
        <f t="shared" si="0"/>
        <v>2019 Amortization</v>
      </c>
      <c r="C52" s="256"/>
      <c r="D52" s="256"/>
      <c r="E52" s="256"/>
      <c r="F52" s="255"/>
      <c r="G52" s="255">
        <v>-4247549.04</v>
      </c>
    </row>
    <row r="53" spans="1:7" ht="12.75">
      <c r="A53" s="200">
        <v>39</v>
      </c>
      <c r="B53" s="180"/>
      <c r="C53" s="256"/>
      <c r="D53" s="256"/>
      <c r="E53" s="256"/>
      <c r="F53" s="255"/>
      <c r="G53" s="255"/>
    </row>
    <row r="54" spans="1:7" ht="12.75">
      <c r="A54" s="200">
        <v>40</v>
      </c>
      <c r="B54" s="207">
        <f t="shared" si="1" ref="B54:B55">+B30</f>
        <v>2020</v>
      </c>
      <c r="C54" s="256">
        <v>29852986</v>
      </c>
      <c r="D54" s="256">
        <v>10475799.5</v>
      </c>
      <c r="E54" s="256">
        <v>-21386949.5</v>
      </c>
      <c r="F54" s="255">
        <f>SUM(C54:E54)</f>
        <v>18941836</v>
      </c>
      <c r="G54" s="255"/>
    </row>
    <row r="55" spans="1:7" ht="12.75">
      <c r="A55" s="200">
        <v>41</v>
      </c>
      <c r="B55" s="207" t="str">
        <f t="shared" si="1"/>
        <v>2020 Amortization</v>
      </c>
      <c r="C55" s="256"/>
      <c r="D55" s="256"/>
      <c r="E55" s="256"/>
      <c r="F55" s="255"/>
      <c r="G55" s="255">
        <v>-4247549.04</v>
      </c>
    </row>
    <row r="56" spans="1:7" ht="12.75">
      <c r="A56" s="200">
        <v>42</v>
      </c>
      <c r="B56" s="180"/>
      <c r="C56" s="256"/>
      <c r="D56" s="256"/>
      <c r="E56" s="256"/>
      <c r="F56" s="255"/>
      <c r="G56" s="255"/>
    </row>
    <row r="57" spans="1:7" ht="12.75">
      <c r="A57" s="200">
        <v>43</v>
      </c>
      <c r="B57" s="207">
        <f t="shared" si="2" ref="B57:B58">+B33</f>
        <v>2021</v>
      </c>
      <c r="C57" s="256">
        <v>29852986</v>
      </c>
      <c r="D57" s="256">
        <v>12930625.550000001</v>
      </c>
      <c r="E57" s="256">
        <v>-18378333.550000001</v>
      </c>
      <c r="F57" s="255">
        <f>SUM(C57:E57)</f>
        <v>24405277.999999996</v>
      </c>
      <c r="G57" s="255"/>
    </row>
    <row r="58" spans="1:7" ht="12.75">
      <c r="A58" s="200">
        <v>44</v>
      </c>
      <c r="B58" s="207" t="str">
        <f t="shared" si="2"/>
        <v>2021 Amortization</v>
      </c>
      <c r="C58" s="256"/>
      <c r="D58" s="256"/>
      <c r="E58" s="256"/>
      <c r="F58" s="255"/>
      <c r="G58" s="255">
        <v>-4247549.04</v>
      </c>
    </row>
    <row r="59" spans="1:7" ht="12.75">
      <c r="A59" s="200">
        <v>45</v>
      </c>
      <c r="B59" s="180"/>
      <c r="C59" s="256"/>
      <c r="D59" s="256"/>
      <c r="E59" s="256"/>
      <c r="F59" s="255"/>
      <c r="G59" s="255"/>
    </row>
    <row r="60" spans="1:7" ht="12.75">
      <c r="A60" s="200">
        <v>46</v>
      </c>
      <c r="B60" s="180"/>
      <c r="C60" s="256"/>
      <c r="D60" s="256"/>
      <c r="E60" s="256"/>
      <c r="F60" s="256"/>
      <c r="G60" s="256"/>
    </row>
    <row r="61" spans="1:7" ht="13.5" thickBot="1">
      <c r="A61" s="200">
        <v>47</v>
      </c>
      <c r="B61" s="203" t="str">
        <f>+B37</f>
        <v>Balance at December 31, 2021</v>
      </c>
      <c r="E61" s="258">
        <f>SUM(E41:E59)</f>
        <v>-39289143.68</v>
      </c>
      <c r="F61" s="259"/>
      <c r="G61" s="258">
        <f>SUM(G41:G59)</f>
        <v>18815909.74000001</v>
      </c>
    </row>
    <row r="62" ht="13.5" thickTop="1"/>
  </sheetData>
  <printOptions horizontalCentered="1"/>
  <pageMargins left="0.5" right="0.5" top="2.75" bottom="0.5" header="1.5" footer="0.25"/>
  <pageSetup fitToHeight="2" orientation="landscape" r:id="rId1"/>
  <headerFooter>
    <oddHeader>&amp;C&amp;B
2022 RATE CASE
ONCOR ELECTRIC DELIVERY COMPANY LLC
II-B-14  FUNDED/(UNFUNDED) PENSION AND OTHER POST-EMPLOYMENT BENEFITS BALANCE
TEST YEAR ENDING DECEMBER 31, 2021
SPONSOR: W. ALAN LEDBETTER&amp;R&amp;"Arial,Bold"Schedule &amp;A
Page &amp;P of &amp;N</oddHeader>
  </headerFooter>
  <rowBreaks count="1" manualBreakCount="1">
    <brk id="38" max="6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7">
    <tabColor rgb="FFFF0000"/>
    <pageSetUpPr fitToPage="1"/>
  </sheetPr>
  <dimension ref="A1:A12"/>
  <sheetViews>
    <sheetView workbookViewId="0" topLeftCell="A1">
      <pane ySplit="6" topLeftCell="A7" activePane="bottomLeft" state="frozen"/>
      <selection pane="topLeft" activeCell="A1" sqref="A1"/>
      <selection pane="bottomLeft" activeCell="A4" sqref="A4:A6"/>
    </sheetView>
  </sheetViews>
  <sheetFormatPr defaultRowHeight="12.75"/>
  <sheetData>
    <row r="1" spans="1:1" ht="12.75">
      <c r="A1" s="80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1" ht="12.75">
      <c r="A3" s="8" t="str">
        <f>CONCATENATE('[4]Schedule Sponsors'!$A$26,'[4]Schedule Sponsors'!$B$26)</f>
        <v>II-B-14  FUNDED/(UNFUNDED) PENSION AND OTHER POST-EMPLOYMENT BENEFITS BALANCE</v>
      </c>
    </row>
    <row r="4" spans="1:1" ht="12.75">
      <c r="A4" s="115" t="str">
        <f>+'[4]Input Data'!$A$4</f>
        <v>TEST YEAR ENDING DECEMBER 31, 2021</v>
      </c>
    </row>
    <row r="5" spans="1:1" ht="12.75">
      <c r="A5" s="8" t="str">
        <f>CONCATENATE("SPONSOR: ",'[4]Schedule Sponsors'!$D$26)</f>
        <v>SPONSOR: W. ALAN LEDBETTER</v>
      </c>
    </row>
    <row r="6" spans="1:1" ht="12.75">
      <c r="A6" s="138"/>
    </row>
    <row r="9" spans="1:1" ht="12.75">
      <c r="A9" s="204" t="s">
        <v>316</v>
      </c>
    </row>
    <row r="10" spans="1:1" ht="12.75">
      <c r="A10" s="204" t="s">
        <v>318</v>
      </c>
    </row>
    <row r="11" spans="1:1" ht="12.75">
      <c r="A11" s="204" t="s">
        <v>317</v>
      </c>
    </row>
    <row r="12" spans="1:1" ht="12.75">
      <c r="A12" s="204"/>
    </row>
  </sheetData>
  <printOptions horizontalCentered="1"/>
  <pageMargins left="0.5" right="0.5" top="2.75" bottom="0.5" header="1.5" footer="0.3"/>
  <pageSetup fitToHeight="0" orientation="landscape" r:id="rId1"/>
  <headerFooter>
    <oddHeader>&amp;C&amp;B
2022 RATE CASE
ONCOR ELECTRIC DELIVERY COMPANY LLC
II-B-14  FUNDED/(UNFUNDED) PENSION AND OTHER POST-EMPLOYMENT BENEFITS BALANCE
TEST YEAR ENDING DECEMBER 31, 2021
SPONSOR: W. ALAN LEDBETTER&amp;R&amp;"Arial,Bold"Schedule &amp;A
Page &amp;P of &amp;N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tabColor rgb="FFFF0000"/>
    <pageSetUpPr fitToPage="1"/>
  </sheetPr>
  <dimension ref="A1:M53"/>
  <sheetViews>
    <sheetView workbookViewId="0" topLeftCell="A1"/>
  </sheetViews>
  <sheetFormatPr defaultRowHeight="12.75"/>
  <cols>
    <col min="2" max="2" width="15.7142857142857" customWidth="1"/>
    <col min="3" max="3" width="7.85714285714286" bestFit="1" customWidth="1"/>
    <col min="4" max="13" width="20.7142857142857" customWidth="1"/>
  </cols>
  <sheetData>
    <row r="1" spans="1:1" ht="12.75">
      <c r="A1" s="80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7" ht="12.75">
      <c r="A3" s="8" t="str">
        <f>CONCATENATE('[4]Schedule Sponsors'!$A$27,'[4]Schedule Sponsors'!$B$27)</f>
        <v>II-B-15A  ALLOWANCE FOR FUNDS USED DURING CONSTRUCTION (AFUDC)</v>
      </c>
      <c r="G3" s="53"/>
    </row>
    <row r="4" spans="1:7" ht="12.75">
      <c r="A4" s="115" t="str">
        <f>+'[4]Input Data'!$A$4</f>
        <v>TEST YEAR ENDING DECEMBER 31, 2021</v>
      </c>
      <c r="G4" s="53"/>
    </row>
    <row r="5" spans="1:7" ht="12.75">
      <c r="A5" s="8" t="str">
        <f>CONCATENATE("SPONSOR: ",'[4]Schedule Sponsors'!$D$26)</f>
        <v>SPONSOR: W. ALAN LEDBETTER</v>
      </c>
      <c r="B5" s="138"/>
      <c r="C5" s="138"/>
      <c r="G5" s="53"/>
    </row>
    <row r="6" spans="7:7" ht="12.75">
      <c r="G6" s="205"/>
    </row>
    <row r="8" spans="1:5" ht="25.5">
      <c r="A8" s="294" t="s">
        <v>412</v>
      </c>
      <c r="B8" s="298" t="s">
        <v>397</v>
      </c>
      <c r="C8" s="298" t="s">
        <v>398</v>
      </c>
      <c r="D8" s="299" t="s">
        <v>399</v>
      </c>
      <c r="E8" s="299" t="s">
        <v>400</v>
      </c>
    </row>
    <row r="9" spans="1:5" ht="12.75">
      <c r="A9" s="200">
        <v>1</v>
      </c>
      <c r="B9" s="300" t="s">
        <v>401</v>
      </c>
      <c r="C9" s="301">
        <v>0.020864833333333336</v>
      </c>
      <c r="D9" s="255">
        <v>15161364.140000001</v>
      </c>
      <c r="E9" s="255">
        <v>18408192.949999999</v>
      </c>
    </row>
    <row r="10" spans="1:5" ht="12.75">
      <c r="A10" s="200">
        <v>2</v>
      </c>
      <c r="B10" s="300" t="s">
        <v>402</v>
      </c>
      <c r="C10" s="301">
        <v>0.02600591666666667</v>
      </c>
      <c r="D10" s="255">
        <v>14709456.890000001</v>
      </c>
      <c r="E10" s="255">
        <v>14712193.699999999</v>
      </c>
    </row>
    <row r="11" spans="1:5" ht="12.75">
      <c r="A11" s="200">
        <v>3</v>
      </c>
      <c r="B11" s="300" t="s">
        <v>403</v>
      </c>
      <c r="C11" s="301">
        <v>0.036921023809523806</v>
      </c>
      <c r="D11" s="255">
        <v>26057954.77</v>
      </c>
      <c r="E11" s="255">
        <v>23189342.77</v>
      </c>
    </row>
    <row r="12" spans="1:5" ht="12.75">
      <c r="A12" s="200">
        <v>4</v>
      </c>
      <c r="B12" s="300" t="s">
        <v>404</v>
      </c>
      <c r="C12" s="301">
        <v>0.066474333333333344</v>
      </c>
      <c r="D12" s="255">
        <v>47862596.009999998</v>
      </c>
      <c r="E12" s="255">
        <v>41871583.93</v>
      </c>
    </row>
    <row r="13" spans="1:5" ht="12.75">
      <c r="A13" s="200">
        <v>5</v>
      </c>
      <c r="B13" s="356" t="s">
        <v>493</v>
      </c>
      <c r="C13" s="301">
        <v>0.067416416666666673</v>
      </c>
      <c r="D13" s="255">
        <v>41411925.649999999</v>
      </c>
      <c r="E13" s="255">
        <v>41010448.609999999</v>
      </c>
    </row>
    <row r="14" spans="1:5" ht="13.5" thickBot="1">
      <c r="A14" s="200">
        <v>6</v>
      </c>
      <c r="B14" s="302" t="s">
        <v>29</v>
      </c>
      <c r="D14" s="357">
        <f>SUM(D9:D13)</f>
        <v>145203297.46000001</v>
      </c>
      <c r="E14" s="357">
        <f>SUM(E9:E13)</f>
        <v>139191761.95999998</v>
      </c>
    </row>
    <row r="15" spans="1:5" ht="13.5" thickTop="1">
      <c r="A15" s="200">
        <v>7</v>
      </c>
      <c r="D15" s="206"/>
      <c r="E15" s="206"/>
    </row>
    <row r="16" spans="1:5" ht="12.75">
      <c r="A16" s="200">
        <v>8</v>
      </c>
      <c r="D16" s="206"/>
      <c r="E16" s="206"/>
    </row>
    <row r="17" spans="1:5" ht="12.75">
      <c r="A17" s="200">
        <v>9</v>
      </c>
      <c r="B17" s="204" t="s">
        <v>413</v>
      </c>
      <c r="D17" s="206"/>
      <c r="E17" s="206"/>
    </row>
    <row r="18" spans="1:5" ht="12.75">
      <c r="A18" s="200">
        <v>10</v>
      </c>
      <c r="D18" s="206"/>
      <c r="E18" s="206"/>
    </row>
    <row r="19" spans="1:5" ht="13.5" thickBot="1">
      <c r="A19" s="200">
        <v>11</v>
      </c>
      <c r="D19" s="206"/>
      <c r="E19" s="206"/>
    </row>
    <row r="20" spans="1:5" ht="13.5" thickBot="1">
      <c r="A20" s="200">
        <v>12</v>
      </c>
      <c r="B20" s="303" t="s">
        <v>405</v>
      </c>
      <c r="C20" s="304"/>
      <c r="D20" s="305"/>
      <c r="E20" s="206"/>
    </row>
    <row r="21" spans="1:5" ht="13.5" thickBot="1">
      <c r="A21" s="200">
        <v>13</v>
      </c>
      <c r="D21" s="206"/>
      <c r="E21" s="206"/>
    </row>
    <row r="22" spans="1:13" ht="13.5" thickTop="1">
      <c r="A22" s="200">
        <v>14</v>
      </c>
      <c r="B22" s="315"/>
      <c r="C22" s="320"/>
      <c r="D22" s="325" t="s">
        <v>406</v>
      </c>
      <c r="E22" s="316"/>
      <c r="F22" s="323" t="s">
        <v>407</v>
      </c>
      <c r="G22" s="327"/>
      <c r="H22" s="325" t="s">
        <v>408</v>
      </c>
      <c r="I22" s="316"/>
      <c r="J22" s="323" t="s">
        <v>409</v>
      </c>
      <c r="K22" s="327"/>
      <c r="L22" s="325" t="s">
        <v>29</v>
      </c>
      <c r="M22" s="316"/>
    </row>
    <row r="23" spans="1:13" ht="25.5">
      <c r="A23" s="200">
        <v>15</v>
      </c>
      <c r="B23" s="317" t="s">
        <v>397</v>
      </c>
      <c r="C23" s="321" t="s">
        <v>410</v>
      </c>
      <c r="D23" s="326" t="s">
        <v>399</v>
      </c>
      <c r="E23" s="318" t="s">
        <v>400</v>
      </c>
      <c r="F23" s="324" t="s">
        <v>399</v>
      </c>
      <c r="G23" s="328" t="s">
        <v>400</v>
      </c>
      <c r="H23" s="326" t="s">
        <v>399</v>
      </c>
      <c r="I23" s="318" t="s">
        <v>400</v>
      </c>
      <c r="J23" s="324" t="s">
        <v>399</v>
      </c>
      <c r="K23" s="328" t="s">
        <v>400</v>
      </c>
      <c r="L23" s="326" t="s">
        <v>399</v>
      </c>
      <c r="M23" s="318" t="s">
        <v>400</v>
      </c>
    </row>
    <row r="24" spans="1:13" ht="12.75">
      <c r="A24" s="200">
        <v>16</v>
      </c>
      <c r="B24" s="313" t="s">
        <v>401</v>
      </c>
      <c r="C24" s="314">
        <v>0.020864833333333336</v>
      </c>
      <c r="D24" s="358">
        <v>3283649.3500000001</v>
      </c>
      <c r="E24" s="360">
        <v>2533074.6000000001</v>
      </c>
      <c r="F24" s="361">
        <v>5662035.3200000003</v>
      </c>
      <c r="G24" s="362">
        <v>4950290.4299999997</v>
      </c>
      <c r="H24" s="363">
        <v>10872.98</v>
      </c>
      <c r="I24" s="364">
        <v>3380.9099999999999</v>
      </c>
      <c r="J24" s="365">
        <v>3349408.1200000001</v>
      </c>
      <c r="K24" s="362">
        <v>9008464.0399999991</v>
      </c>
      <c r="L24" s="363">
        <f>+D24+F24+H24+J24</f>
        <v>12305965.77</v>
      </c>
      <c r="M24" s="364">
        <f>+E24+G24+I24+K24</f>
        <v>16495209.979999999</v>
      </c>
    </row>
    <row r="25" spans="1:13" ht="12.75">
      <c r="A25" s="200">
        <v>17</v>
      </c>
      <c r="B25" s="313" t="s">
        <v>402</v>
      </c>
      <c r="C25" s="314">
        <v>0.02600591666666667</v>
      </c>
      <c r="D25" s="358">
        <v>5363077.46</v>
      </c>
      <c r="E25" s="360">
        <v>3797344.3999999999</v>
      </c>
      <c r="F25" s="361">
        <v>7324316.4000000004</v>
      </c>
      <c r="G25" s="362">
        <v>7453848.8399999999</v>
      </c>
      <c r="H25" s="363">
        <v>24710.290000000001</v>
      </c>
      <c r="I25" s="364">
        <v>2869.6199999999999</v>
      </c>
      <c r="J25" s="365">
        <v>439483.17999999999</v>
      </c>
      <c r="K25" s="362">
        <v>381384.51000000001</v>
      </c>
      <c r="L25" s="363">
        <f t="shared" si="0" ref="L25:L28">+D25+F25+H25+J25</f>
        <v>13151587.329999998</v>
      </c>
      <c r="M25" s="364">
        <f t="shared" si="1" ref="M25:M28">+E25+G25+I25+K25</f>
        <v>11635447.369999999</v>
      </c>
    </row>
    <row r="26" spans="1:13" ht="12.75">
      <c r="A26" s="200">
        <v>18</v>
      </c>
      <c r="B26" s="313" t="s">
        <v>403</v>
      </c>
      <c r="C26" s="314">
        <v>0.036921023809523806</v>
      </c>
      <c r="D26" s="358">
        <v>11547931.210000001</v>
      </c>
      <c r="E26" s="360">
        <v>11121005.75</v>
      </c>
      <c r="F26" s="361">
        <v>14143187.380000001</v>
      </c>
      <c r="G26" s="362">
        <v>11918098.32</v>
      </c>
      <c r="H26" s="363">
        <v>140323.95000000001</v>
      </c>
      <c r="I26" s="364">
        <v>29317.869999999999</v>
      </c>
      <c r="J26" s="365">
        <v>213656.78</v>
      </c>
      <c r="K26" s="362">
        <v>108076.58</v>
      </c>
      <c r="L26" s="363">
        <f t="shared" si="0"/>
        <v>26045099.320000004</v>
      </c>
      <c r="M26" s="364">
        <f t="shared" si="1"/>
        <v>23176498.52</v>
      </c>
    </row>
    <row r="27" spans="1:13" ht="12.75">
      <c r="A27" s="200">
        <v>19</v>
      </c>
      <c r="B27" s="313" t="s">
        <v>404</v>
      </c>
      <c r="C27" s="314">
        <v>0.066474333333333344</v>
      </c>
      <c r="D27" s="358">
        <v>17232395.100000001</v>
      </c>
      <c r="E27" s="360">
        <v>13353793.65</v>
      </c>
      <c r="F27" s="361">
        <v>29532104.550000001</v>
      </c>
      <c r="G27" s="362">
        <v>27872961.48</v>
      </c>
      <c r="H27" s="363">
        <v>482470.27000000002</v>
      </c>
      <c r="I27" s="364">
        <v>204366.26000000001</v>
      </c>
      <c r="J27" s="365">
        <v>611728.73999999999</v>
      </c>
      <c r="K27" s="362">
        <v>436553.98999999999</v>
      </c>
      <c r="L27" s="363">
        <f t="shared" si="0"/>
        <v>47858698.660000011</v>
      </c>
      <c r="M27" s="364">
        <f t="shared" si="1"/>
        <v>41867675.380000003</v>
      </c>
    </row>
    <row r="28" spans="1:13" ht="12.75">
      <c r="A28" s="200">
        <v>20</v>
      </c>
      <c r="B28" s="313" t="s">
        <v>493</v>
      </c>
      <c r="C28" s="314">
        <v>0.067416416666666673</v>
      </c>
      <c r="D28" s="358">
        <v>18893578.719999999</v>
      </c>
      <c r="E28" s="360">
        <v>15149445.5</v>
      </c>
      <c r="F28" s="361">
        <v>21263427.780000001</v>
      </c>
      <c r="G28" s="362">
        <v>24656297.18</v>
      </c>
      <c r="H28" s="363">
        <v>570991.19999999995</v>
      </c>
      <c r="I28" s="364">
        <v>908908.95999999996</v>
      </c>
      <c r="J28" s="365">
        <v>679159.84999999998</v>
      </c>
      <c r="K28" s="362">
        <v>291554.92999999999</v>
      </c>
      <c r="L28" s="363">
        <f t="shared" si="0"/>
        <v>41407157.550000004</v>
      </c>
      <c r="M28" s="364">
        <f t="shared" si="1"/>
        <v>41006206.57</v>
      </c>
    </row>
    <row r="29" spans="1:13" ht="13.5" thickBot="1">
      <c r="A29" s="200">
        <v>21</v>
      </c>
      <c r="B29" s="319"/>
      <c r="C29" s="322"/>
      <c r="D29" s="359">
        <f>SUM(D24:D28)</f>
        <v>56320631.840000004</v>
      </c>
      <c r="E29" s="366">
        <f t="shared" si="2" ref="E29:M29">SUM(E24:E28)</f>
        <v>45954663.899999999</v>
      </c>
      <c r="F29" s="367">
        <f t="shared" si="2"/>
        <v>77925071.430000007</v>
      </c>
      <c r="G29" s="368">
        <f t="shared" si="2"/>
        <v>76851496.25</v>
      </c>
      <c r="H29" s="359">
        <f t="shared" si="2"/>
        <v>1229368.6899999999</v>
      </c>
      <c r="I29" s="366">
        <f t="shared" si="2"/>
        <v>1148843.6199999999</v>
      </c>
      <c r="J29" s="367">
        <f t="shared" si="2"/>
        <v>5293436.6699999999</v>
      </c>
      <c r="K29" s="368">
        <f t="shared" si="2"/>
        <v>10226034.049999999</v>
      </c>
      <c r="L29" s="359">
        <f t="shared" si="2"/>
        <v>140768508.63000003</v>
      </c>
      <c r="M29" s="366">
        <f t="shared" si="2"/>
        <v>134181037.81999999</v>
      </c>
    </row>
    <row r="30" spans="1:6" ht="13.5" thickTop="1">
      <c r="A30" s="200">
        <v>22</v>
      </c>
      <c r="D30" s="206"/>
      <c r="E30" s="206"/>
      <c r="F30" s="206"/>
    </row>
    <row r="31" spans="1:13" ht="13.5" thickBot="1">
      <c r="A31" s="200">
        <v>23</v>
      </c>
      <c r="D31" s="206"/>
      <c r="E31" s="206"/>
      <c r="L31" s="307"/>
      <c r="M31" s="307"/>
    </row>
    <row r="32" spans="1:5" ht="13.5" thickBot="1">
      <c r="A32" s="200">
        <v>24</v>
      </c>
      <c r="B32" s="329" t="s">
        <v>319</v>
      </c>
      <c r="D32" s="206"/>
      <c r="E32" s="206"/>
    </row>
    <row r="33" spans="1:13" ht="13.5" thickTop="1">
      <c r="A33" s="200">
        <v>25</v>
      </c>
      <c r="B33" s="315"/>
      <c r="C33" s="320"/>
      <c r="D33" s="325" t="s">
        <v>406</v>
      </c>
      <c r="E33" s="316"/>
      <c r="F33" s="323" t="s">
        <v>407</v>
      </c>
      <c r="G33" s="327"/>
      <c r="H33" s="325" t="s">
        <v>408</v>
      </c>
      <c r="I33" s="316"/>
      <c r="J33" s="323" t="s">
        <v>409</v>
      </c>
      <c r="K33" s="327"/>
      <c r="L33" s="325" t="s">
        <v>29</v>
      </c>
      <c r="M33" s="316"/>
    </row>
    <row r="34" spans="1:13" ht="25.5">
      <c r="A34" s="200">
        <v>26</v>
      </c>
      <c r="B34" s="317" t="s">
        <v>397</v>
      </c>
      <c r="C34" s="321" t="s">
        <v>410</v>
      </c>
      <c r="D34" s="326" t="s">
        <v>399</v>
      </c>
      <c r="E34" s="318" t="s">
        <v>400</v>
      </c>
      <c r="F34" s="324" t="s">
        <v>399</v>
      </c>
      <c r="G34" s="328" t="s">
        <v>400</v>
      </c>
      <c r="H34" s="326" t="s">
        <v>399</v>
      </c>
      <c r="I34" s="318" t="s">
        <v>400</v>
      </c>
      <c r="J34" s="324" t="s">
        <v>399</v>
      </c>
      <c r="K34" s="328" t="s">
        <v>400</v>
      </c>
      <c r="L34" s="326" t="s">
        <v>399</v>
      </c>
      <c r="M34" s="318" t="s">
        <v>400</v>
      </c>
    </row>
    <row r="35" spans="1:13" ht="12.75">
      <c r="A35" s="200">
        <v>27</v>
      </c>
      <c r="B35" s="313" t="s">
        <v>401</v>
      </c>
      <c r="C35" s="314">
        <v>0.020864833333333336</v>
      </c>
      <c r="D35" s="358">
        <v>352722.58000000002</v>
      </c>
      <c r="E35" s="360">
        <v>167687.95000000001</v>
      </c>
      <c r="F35" s="361">
        <v>2502675.79</v>
      </c>
      <c r="G35" s="362">
        <v>1745295.02</v>
      </c>
      <c r="H35" s="363">
        <v>0</v>
      </c>
      <c r="I35" s="364">
        <v>0</v>
      </c>
      <c r="J35" s="365">
        <v>0</v>
      </c>
      <c r="K35" s="362">
        <v>0</v>
      </c>
      <c r="L35" s="363">
        <f t="shared" si="3" ref="L35:M39">+D35+F35+H35+J35</f>
        <v>2855398.3700000001</v>
      </c>
      <c r="M35" s="364">
        <f t="shared" si="3"/>
        <v>1912982.97</v>
      </c>
    </row>
    <row r="36" spans="1:13" ht="12.75">
      <c r="A36" s="200">
        <v>28</v>
      </c>
      <c r="B36" s="313" t="s">
        <v>402</v>
      </c>
      <c r="C36" s="314">
        <v>0.02600591666666667</v>
      </c>
      <c r="D36" s="358">
        <v>226499.84</v>
      </c>
      <c r="E36" s="360">
        <v>415165.47999999998</v>
      </c>
      <c r="F36" s="361">
        <v>1331369.72</v>
      </c>
      <c r="G36" s="362">
        <v>2661580.8500000001</v>
      </c>
      <c r="H36" s="363">
        <v>0</v>
      </c>
      <c r="I36" s="364">
        <v>0</v>
      </c>
      <c r="J36" s="365">
        <v>0</v>
      </c>
      <c r="K36" s="362">
        <v>0</v>
      </c>
      <c r="L36" s="363">
        <f t="shared" si="3"/>
        <v>1557869.5600000001</v>
      </c>
      <c r="M36" s="364">
        <f t="shared" si="3"/>
        <v>3076746.3300000001</v>
      </c>
    </row>
    <row r="37" spans="1:13" ht="12.75">
      <c r="A37" s="200">
        <v>29</v>
      </c>
      <c r="B37" s="313" t="s">
        <v>403</v>
      </c>
      <c r="C37" s="314">
        <v>0.036921023809523806</v>
      </c>
      <c r="D37" s="358">
        <v>4243.5900000000001</v>
      </c>
      <c r="E37" s="360">
        <v>4237.2200000000003</v>
      </c>
      <c r="F37" s="361">
        <v>8611.8600000000006</v>
      </c>
      <c r="G37" s="362">
        <v>8607.0300000000007</v>
      </c>
      <c r="H37" s="363">
        <v>0</v>
      </c>
      <c r="I37" s="364">
        <v>0</v>
      </c>
      <c r="J37" s="365">
        <v>0</v>
      </c>
      <c r="K37" s="362">
        <v>0</v>
      </c>
      <c r="L37" s="363">
        <f t="shared" si="3"/>
        <v>12855.450000000001</v>
      </c>
      <c r="M37" s="364">
        <f t="shared" si="3"/>
        <v>12844.25</v>
      </c>
    </row>
    <row r="38" spans="1:13" ht="12.75">
      <c r="A38" s="200">
        <v>30</v>
      </c>
      <c r="B38" s="313" t="s">
        <v>404</v>
      </c>
      <c r="C38" s="314">
        <v>0.066474333333333344</v>
      </c>
      <c r="D38" s="358">
        <v>711.91999999999996</v>
      </c>
      <c r="E38" s="360">
        <v>718.28999999999996</v>
      </c>
      <c r="F38" s="361">
        <v>3185.4299999999998</v>
      </c>
      <c r="G38" s="362">
        <v>3190.2600000000002</v>
      </c>
      <c r="H38" s="363">
        <v>0</v>
      </c>
      <c r="I38" s="364">
        <v>0</v>
      </c>
      <c r="J38" s="365">
        <v>0</v>
      </c>
      <c r="K38" s="362">
        <v>0</v>
      </c>
      <c r="L38" s="363">
        <f t="shared" si="3"/>
        <v>3897.3499999999999</v>
      </c>
      <c r="M38" s="364">
        <f t="shared" si="3"/>
        <v>3908.5500000000002</v>
      </c>
    </row>
    <row r="39" spans="1:13" ht="12.75">
      <c r="A39" s="200">
        <v>31</v>
      </c>
      <c r="B39" s="313" t="s">
        <v>493</v>
      </c>
      <c r="C39" s="314">
        <v>0.067416416666666673</v>
      </c>
      <c r="D39" s="358">
        <v>1793.49</v>
      </c>
      <c r="E39" s="360">
        <v>1394.6700000000001</v>
      </c>
      <c r="F39" s="361">
        <v>2974.6100000000001</v>
      </c>
      <c r="G39" s="362">
        <v>2847.3699999999999</v>
      </c>
      <c r="H39" s="363">
        <v>0</v>
      </c>
      <c r="I39" s="364">
        <v>0</v>
      </c>
      <c r="J39" s="365">
        <v>0</v>
      </c>
      <c r="K39" s="362">
        <v>0</v>
      </c>
      <c r="L39" s="363">
        <f t="shared" si="3"/>
        <v>4768.1000000000004</v>
      </c>
      <c r="M39" s="364">
        <f t="shared" si="3"/>
        <v>4242.04</v>
      </c>
    </row>
    <row r="40" spans="1:13" ht="13.5" thickBot="1">
      <c r="A40" s="200">
        <v>32</v>
      </c>
      <c r="B40" s="319"/>
      <c r="C40" s="322"/>
      <c r="D40" s="359">
        <f>SUM(D35:D39)</f>
        <v>585971.42000000004</v>
      </c>
      <c r="E40" s="366">
        <f t="shared" si="4" ref="E40:M40">SUM(E35:E39)</f>
        <v>589203.60999999999</v>
      </c>
      <c r="F40" s="367">
        <f t="shared" si="4"/>
        <v>3848817.4099999997</v>
      </c>
      <c r="G40" s="368">
        <f t="shared" si="4"/>
        <v>4421520.5300000003</v>
      </c>
      <c r="H40" s="369">
        <f t="shared" si="4"/>
        <v>0</v>
      </c>
      <c r="I40" s="366">
        <f t="shared" si="4"/>
        <v>0</v>
      </c>
      <c r="J40" s="367">
        <f t="shared" si="4"/>
        <v>0</v>
      </c>
      <c r="K40" s="368">
        <f t="shared" si="4"/>
        <v>0</v>
      </c>
      <c r="L40" s="359">
        <f t="shared" si="4"/>
        <v>4434788.8299999991</v>
      </c>
      <c r="M40" s="366">
        <f t="shared" si="4"/>
        <v>5010724.1399999997</v>
      </c>
    </row>
    <row r="41" spans="1:5" ht="13.5" thickTop="1">
      <c r="A41" s="200">
        <v>33</v>
      </c>
      <c r="D41" s="206"/>
      <c r="E41" s="206"/>
    </row>
    <row r="42" spans="1:5" ht="13.5" thickBot="1">
      <c r="A42" s="200">
        <v>34</v>
      </c>
      <c r="D42" s="206"/>
      <c r="E42" s="206"/>
    </row>
    <row r="43" spans="1:5" ht="13.5" thickBot="1">
      <c r="A43" s="200">
        <v>35</v>
      </c>
      <c r="B43" s="308" t="s">
        <v>411</v>
      </c>
      <c r="D43" s="206"/>
      <c r="E43" s="206"/>
    </row>
    <row r="44" spans="1:5" ht="13.5" thickBot="1">
      <c r="A44" s="200">
        <v>36</v>
      </c>
      <c r="D44" s="206"/>
      <c r="E44" s="206"/>
    </row>
    <row r="45" spans="1:13" ht="13.5" thickTop="1">
      <c r="A45" s="200">
        <v>37</v>
      </c>
      <c r="B45" s="315"/>
      <c r="C45" s="320"/>
      <c r="D45" s="325" t="s">
        <v>406</v>
      </c>
      <c r="E45" s="316"/>
      <c r="F45" s="323" t="s">
        <v>407</v>
      </c>
      <c r="G45" s="327"/>
      <c r="H45" s="325" t="s">
        <v>408</v>
      </c>
      <c r="I45" s="316"/>
      <c r="J45" s="323" t="s">
        <v>409</v>
      </c>
      <c r="K45" s="327"/>
      <c r="L45" s="325" t="s">
        <v>29</v>
      </c>
      <c r="M45" s="316"/>
    </row>
    <row r="46" spans="1:13" ht="25.5">
      <c r="A46" s="200">
        <v>38</v>
      </c>
      <c r="B46" s="317" t="s">
        <v>397</v>
      </c>
      <c r="C46" s="321" t="s">
        <v>410</v>
      </c>
      <c r="D46" s="326" t="s">
        <v>399</v>
      </c>
      <c r="E46" s="318" t="s">
        <v>400</v>
      </c>
      <c r="F46" s="324" t="s">
        <v>399</v>
      </c>
      <c r="G46" s="328" t="s">
        <v>400</v>
      </c>
      <c r="H46" s="326" t="s">
        <v>399</v>
      </c>
      <c r="I46" s="318" t="s">
        <v>400</v>
      </c>
      <c r="J46" s="324" t="s">
        <v>399</v>
      </c>
      <c r="K46" s="328" t="s">
        <v>400</v>
      </c>
      <c r="L46" s="326" t="s">
        <v>399</v>
      </c>
      <c r="M46" s="318" t="s">
        <v>400</v>
      </c>
    </row>
    <row r="47" spans="1:13" ht="12.75">
      <c r="A47" s="200">
        <v>39</v>
      </c>
      <c r="B47" s="313" t="s">
        <v>401</v>
      </c>
      <c r="C47" s="314">
        <v>0.020864833333333336</v>
      </c>
      <c r="D47" s="358">
        <f>+D24+D35</f>
        <v>3636371.9300000002</v>
      </c>
      <c r="E47" s="360">
        <f t="shared" si="5" ref="E47:M47">+E24+E35</f>
        <v>2700762.5500000003</v>
      </c>
      <c r="F47" s="361">
        <f t="shared" si="5"/>
        <v>8164711.1100000003</v>
      </c>
      <c r="G47" s="370">
        <f t="shared" si="5"/>
        <v>6695585.4499999993</v>
      </c>
      <c r="H47" s="358">
        <f t="shared" si="5"/>
        <v>10872.98</v>
      </c>
      <c r="I47" s="360">
        <f t="shared" si="5"/>
        <v>3380.9099999999999</v>
      </c>
      <c r="J47" s="361">
        <f t="shared" si="5"/>
        <v>3349408.1200000001</v>
      </c>
      <c r="K47" s="370">
        <f t="shared" si="5"/>
        <v>9008464.0399999991</v>
      </c>
      <c r="L47" s="363">
        <f t="shared" si="5"/>
        <v>15161364.140000001</v>
      </c>
      <c r="M47" s="364">
        <f t="shared" si="5"/>
        <v>18408192.949999999</v>
      </c>
    </row>
    <row r="48" spans="1:13" ht="12.75">
      <c r="A48" s="200">
        <v>40</v>
      </c>
      <c r="B48" s="313" t="s">
        <v>402</v>
      </c>
      <c r="C48" s="314">
        <v>0.02600591666666667</v>
      </c>
      <c r="D48" s="358">
        <f t="shared" si="6" ref="D48:M51">+D25+D36</f>
        <v>5589577.2999999998</v>
      </c>
      <c r="E48" s="360">
        <f t="shared" si="6"/>
        <v>4212509.8799999999</v>
      </c>
      <c r="F48" s="361">
        <f t="shared" si="6"/>
        <v>8655686.120000001</v>
      </c>
      <c r="G48" s="370">
        <f t="shared" si="6"/>
        <v>10115429.69</v>
      </c>
      <c r="H48" s="358">
        <f t="shared" si="6"/>
        <v>24710.290000000001</v>
      </c>
      <c r="I48" s="360">
        <f t="shared" si="6"/>
        <v>2869.6199999999999</v>
      </c>
      <c r="J48" s="361">
        <f t="shared" si="6"/>
        <v>439483.17999999999</v>
      </c>
      <c r="K48" s="370">
        <f t="shared" si="6"/>
        <v>381384.51000000001</v>
      </c>
      <c r="L48" s="363">
        <f t="shared" si="6"/>
        <v>14709456.889999999</v>
      </c>
      <c r="M48" s="364">
        <f t="shared" si="6"/>
        <v>14712193.699999999</v>
      </c>
    </row>
    <row r="49" spans="1:13" ht="12.75">
      <c r="A49" s="200">
        <v>41</v>
      </c>
      <c r="B49" s="313" t="s">
        <v>403</v>
      </c>
      <c r="C49" s="314">
        <v>0.036921023809523806</v>
      </c>
      <c r="D49" s="358">
        <f t="shared" si="6"/>
        <v>11552174.800000001</v>
      </c>
      <c r="E49" s="360">
        <f t="shared" si="6"/>
        <v>11125242.970000001</v>
      </c>
      <c r="F49" s="361">
        <f t="shared" si="6"/>
        <v>14151799.24</v>
      </c>
      <c r="G49" s="370">
        <f t="shared" si="6"/>
        <v>11926705.35</v>
      </c>
      <c r="H49" s="358">
        <f t="shared" si="6"/>
        <v>140323.95000000001</v>
      </c>
      <c r="I49" s="360">
        <f t="shared" si="6"/>
        <v>29317.869999999999</v>
      </c>
      <c r="J49" s="361">
        <f t="shared" si="6"/>
        <v>213656.78</v>
      </c>
      <c r="K49" s="370">
        <f t="shared" si="6"/>
        <v>108076.58</v>
      </c>
      <c r="L49" s="363">
        <f t="shared" si="6"/>
        <v>26057954.770000003</v>
      </c>
      <c r="M49" s="364">
        <f t="shared" si="6"/>
        <v>23189342.77</v>
      </c>
    </row>
    <row r="50" spans="1:13" ht="12.75">
      <c r="A50" s="200">
        <v>42</v>
      </c>
      <c r="B50" s="313" t="s">
        <v>404</v>
      </c>
      <c r="C50" s="314">
        <v>0.066474333333333344</v>
      </c>
      <c r="D50" s="358">
        <f t="shared" si="6"/>
        <v>17233107.020000003</v>
      </c>
      <c r="E50" s="360">
        <f t="shared" si="6"/>
        <v>13354511.94</v>
      </c>
      <c r="F50" s="361">
        <f t="shared" si="6"/>
        <v>29535289.98</v>
      </c>
      <c r="G50" s="370">
        <f t="shared" si="6"/>
        <v>27876151.740000002</v>
      </c>
      <c r="H50" s="358">
        <f t="shared" si="6"/>
        <v>482470.27000000002</v>
      </c>
      <c r="I50" s="360">
        <f t="shared" si="6"/>
        <v>204366.26000000001</v>
      </c>
      <c r="J50" s="361">
        <f t="shared" si="6"/>
        <v>611728.73999999999</v>
      </c>
      <c r="K50" s="370">
        <f t="shared" si="6"/>
        <v>436553.98999999999</v>
      </c>
      <c r="L50" s="363">
        <f t="shared" si="6"/>
        <v>47862596.010000013</v>
      </c>
      <c r="M50" s="364">
        <f t="shared" si="6"/>
        <v>41871583.93</v>
      </c>
    </row>
    <row r="51" spans="1:13" ht="12.75">
      <c r="A51" s="200">
        <v>43</v>
      </c>
      <c r="B51" s="313" t="s">
        <v>493</v>
      </c>
      <c r="C51" s="314">
        <v>0.067416416666666673</v>
      </c>
      <c r="D51" s="358">
        <f t="shared" si="6"/>
        <v>18895372.209999997</v>
      </c>
      <c r="E51" s="360">
        <f t="shared" si="6"/>
        <v>15150840.17</v>
      </c>
      <c r="F51" s="361">
        <f t="shared" si="6"/>
        <v>21266402.390000001</v>
      </c>
      <c r="G51" s="370">
        <f t="shared" si="6"/>
        <v>24659144.550000001</v>
      </c>
      <c r="H51" s="358">
        <f t="shared" si="6"/>
        <v>570991.19999999995</v>
      </c>
      <c r="I51" s="360">
        <f t="shared" si="6"/>
        <v>908908.95999999996</v>
      </c>
      <c r="J51" s="361">
        <f t="shared" si="6"/>
        <v>679159.84999999998</v>
      </c>
      <c r="K51" s="370">
        <f t="shared" si="6"/>
        <v>291554.92999999999</v>
      </c>
      <c r="L51" s="363">
        <f t="shared" si="6"/>
        <v>41411925.650000006</v>
      </c>
      <c r="M51" s="364">
        <f t="shared" si="6"/>
        <v>41010448.609999999</v>
      </c>
    </row>
    <row r="52" spans="1:13" ht="13.5" thickBot="1">
      <c r="A52" s="200">
        <v>44</v>
      </c>
      <c r="B52" s="319"/>
      <c r="C52" s="322"/>
      <c r="D52" s="359">
        <f>SUM(D47:D51)</f>
        <v>56906603.260000005</v>
      </c>
      <c r="E52" s="366">
        <f t="shared" si="7" ref="E52:M52">SUM(E47:E51)</f>
        <v>46543867.509999998</v>
      </c>
      <c r="F52" s="367">
        <f t="shared" si="7"/>
        <v>81773888.840000004</v>
      </c>
      <c r="G52" s="368">
        <f t="shared" si="7"/>
        <v>81273016.780000001</v>
      </c>
      <c r="H52" s="359">
        <f t="shared" si="7"/>
        <v>1229368.6899999999</v>
      </c>
      <c r="I52" s="366">
        <f t="shared" si="7"/>
        <v>1148843.6199999999</v>
      </c>
      <c r="J52" s="367">
        <f t="shared" si="7"/>
        <v>5293436.6699999999</v>
      </c>
      <c r="K52" s="368">
        <f t="shared" si="7"/>
        <v>10226034.049999999</v>
      </c>
      <c r="L52" s="359">
        <f t="shared" si="7"/>
        <v>145203297.46000004</v>
      </c>
      <c r="M52" s="366">
        <f t="shared" si="7"/>
        <v>139191761.95999998</v>
      </c>
    </row>
    <row r="53" spans="4:5" ht="13.5" thickTop="1">
      <c r="D53" s="206"/>
      <c r="E53" s="206"/>
    </row>
  </sheetData>
  <printOptions horizontalCentered="1"/>
  <pageMargins left="0.5" right="0.5" top="2.5" bottom="0.5" header="1" footer="0.25"/>
  <pageSetup fitToHeight="0" orientation="landscape" scale="52" r:id="rId1"/>
  <headerFooter>
    <oddHeader>&amp;C&amp;B
2022 RATE CASE
ONCOR ELECTRIC DELIVERY COMPANY LLC
II-B-15A  ALLOWANCE FOR FUNDS USED DURING CONSTRUCTION (AFUDC)
TEST YEAR ENDING DECEMBER 31, 2021
SPONSOR: W. ALAN LEDBETTER&amp;R&amp;"Arial,Bold"Schedule II-B-15a
Page&amp;P of &amp;N</oddHeader>
  </headerFooter>
  <colBreaks count="1" manualBreakCount="1">
    <brk id="9" min="7" max="48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>
    <tabColor rgb="FFFF0000"/>
    <pageSetUpPr fitToPage="1"/>
  </sheetPr>
  <dimension ref="A1:O44"/>
  <sheetViews>
    <sheetView workbookViewId="0" topLeftCell="A1">
      <selection pane="topLeft" activeCell="C33" sqref="C33"/>
    </sheetView>
  </sheetViews>
  <sheetFormatPr defaultRowHeight="12.75"/>
  <cols>
    <col min="2" max="13" width="15.7142857142857" customWidth="1"/>
    <col min="14" max="15" width="16.8571428571429" bestFit="1" customWidth="1"/>
  </cols>
  <sheetData>
    <row r="1" spans="1:1" ht="12.75">
      <c r="A1" s="80" t="str">
        <f>+'[4]Input Data'!$A$9</f>
        <v>2022 RATE CASE</v>
      </c>
    </row>
    <row r="2" spans="1:1" ht="12.75">
      <c r="A2" s="10" t="str">
        <f>+'[4]Input Data'!$A$2</f>
        <v>ONCOR ELECTRIC DELIVERY COMPANY LLC</v>
      </c>
    </row>
    <row r="3" spans="1:7" ht="12.75">
      <c r="A3" s="8" t="str">
        <f>CONCATENATE('[4]Schedule Sponsors'!$A$28,'[4]Schedule Sponsors'!$B$28)</f>
        <v>II-B-15B  OTHER CONSTRUCTION OVERHEAD</v>
      </c>
      <c r="G3" s="53"/>
    </row>
    <row r="4" spans="1:7" ht="12.75">
      <c r="A4" s="115" t="str">
        <f>+'[4]Input Data'!$A$4</f>
        <v>TEST YEAR ENDING DECEMBER 31, 2021</v>
      </c>
      <c r="G4" s="53"/>
    </row>
    <row r="5" spans="1:7" ht="12.75">
      <c r="A5" s="8" t="str">
        <f>CONCATENATE("SPONSOR: ",'[4]Schedule Sponsors'!$D$26)</f>
        <v>SPONSOR: W. ALAN LEDBETTER</v>
      </c>
      <c r="B5" s="138"/>
      <c r="C5" s="138"/>
      <c r="G5" s="53"/>
    </row>
    <row r="6" spans="7:7" ht="12.75">
      <c r="G6" s="205"/>
    </row>
    <row r="7" spans="1:1" ht="12.75">
      <c r="A7" s="140" t="s">
        <v>188</v>
      </c>
    </row>
    <row r="8" spans="1:1" ht="12.75">
      <c r="A8" s="140" t="s">
        <v>189</v>
      </c>
    </row>
    <row r="9" spans="1:15" ht="15">
      <c r="A9" s="200">
        <v>1</v>
      </c>
      <c r="B9" s="345" t="s">
        <v>492</v>
      </c>
      <c r="C9" s="346"/>
      <c r="D9" s="347"/>
      <c r="E9" s="310"/>
      <c r="F9" s="310"/>
      <c r="G9" s="310"/>
      <c r="H9" s="310"/>
      <c r="I9" s="310"/>
      <c r="J9" s="310"/>
      <c r="K9" s="310"/>
      <c r="L9" s="310"/>
      <c r="M9" s="310"/>
      <c r="N9" s="310"/>
      <c r="O9" s="310"/>
    </row>
    <row r="10" spans="1:15" ht="13.5" thickBot="1">
      <c r="A10" s="200">
        <v>2</v>
      </c>
      <c r="B10" s="310"/>
      <c r="C10" s="310"/>
      <c r="D10" s="310"/>
      <c r="E10" s="310"/>
      <c r="F10" s="310"/>
      <c r="G10" s="310"/>
      <c r="H10" s="310"/>
      <c r="I10" s="310"/>
      <c r="J10" s="310"/>
      <c r="K10" s="310"/>
      <c r="L10" s="310"/>
      <c r="M10" s="310"/>
      <c r="N10" s="310"/>
      <c r="O10" s="310"/>
    </row>
    <row r="11" spans="1:15" ht="13.5" thickBot="1">
      <c r="A11" s="200">
        <v>3</v>
      </c>
      <c r="B11" s="303" t="s">
        <v>405</v>
      </c>
      <c r="C11" s="304"/>
      <c r="D11" s="309"/>
      <c r="E11" s="310"/>
      <c r="F11" s="310"/>
      <c r="G11" s="310"/>
      <c r="H11" s="310"/>
      <c r="I11" s="310"/>
      <c r="J11" s="310"/>
      <c r="K11" s="310"/>
      <c r="L11" s="310"/>
      <c r="M11" s="310"/>
      <c r="N11" s="310"/>
      <c r="O11" s="310"/>
    </row>
    <row r="12" spans="1:15" ht="12.75">
      <c r="A12" s="200">
        <v>4</v>
      </c>
      <c r="B12" s="310"/>
      <c r="C12" s="310"/>
      <c r="D12" s="206"/>
      <c r="E12" s="206"/>
      <c r="F12" s="206"/>
      <c r="G12" s="310"/>
      <c r="H12" s="310"/>
      <c r="I12" s="310"/>
      <c r="J12" s="310"/>
      <c r="K12" s="310"/>
      <c r="L12" s="310"/>
      <c r="M12" s="310"/>
      <c r="N12" s="310"/>
      <c r="O12" s="310"/>
    </row>
    <row r="13" spans="1:15" ht="15">
      <c r="A13" s="200">
        <v>5</v>
      </c>
      <c r="B13" s="348"/>
      <c r="C13" s="348"/>
      <c r="D13" s="349" t="s">
        <v>406</v>
      </c>
      <c r="E13" s="349"/>
      <c r="F13" s="349"/>
      <c r="G13" s="349" t="s">
        <v>407</v>
      </c>
      <c r="H13" s="349"/>
      <c r="I13" s="349"/>
      <c r="J13" s="349" t="s">
        <v>408</v>
      </c>
      <c r="K13" s="349"/>
      <c r="L13" s="349" t="s">
        <v>409</v>
      </c>
      <c r="M13" s="349"/>
      <c r="N13" s="349" t="s">
        <v>29</v>
      </c>
      <c r="O13" s="349"/>
    </row>
    <row r="14" spans="1:15" ht="45">
      <c r="A14" s="200">
        <v>6</v>
      </c>
      <c r="B14" s="350" t="s">
        <v>397</v>
      </c>
      <c r="C14" s="351" t="s">
        <v>414</v>
      </c>
      <c r="D14" s="311" t="s">
        <v>399</v>
      </c>
      <c r="E14" s="311" t="s">
        <v>400</v>
      </c>
      <c r="F14" s="311" t="s">
        <v>415</v>
      </c>
      <c r="G14" s="311" t="s">
        <v>399</v>
      </c>
      <c r="H14" s="311" t="s">
        <v>400</v>
      </c>
      <c r="I14" s="311" t="s">
        <v>416</v>
      </c>
      <c r="J14" s="311" t="s">
        <v>399</v>
      </c>
      <c r="K14" s="311" t="s">
        <v>400</v>
      </c>
      <c r="L14" s="311" t="s">
        <v>399</v>
      </c>
      <c r="M14" s="311" t="s">
        <v>400</v>
      </c>
      <c r="N14" s="311" t="s">
        <v>399</v>
      </c>
      <c r="O14" s="311" t="s">
        <v>400</v>
      </c>
    </row>
    <row r="15" spans="1:15" ht="12.75">
      <c r="A15" s="200">
        <v>7</v>
      </c>
      <c r="B15" s="352" t="s">
        <v>401</v>
      </c>
      <c r="C15" s="353">
        <v>0.27518713718301258</v>
      </c>
      <c r="D15" s="306">
        <v>142103714.73897392</v>
      </c>
      <c r="E15" s="306">
        <v>140403680.78755537</v>
      </c>
      <c r="F15" s="353">
        <v>0.090418949973484181</v>
      </c>
      <c r="G15" s="306">
        <v>56974222.841025792</v>
      </c>
      <c r="H15" s="312">
        <v>52513689.852444433</v>
      </c>
      <c r="I15" s="353">
        <v>0.0070146276595744687</v>
      </c>
      <c r="J15" s="306">
        <v>57179.589999999989</v>
      </c>
      <c r="K15" s="312">
        <v>57179.589999999989</v>
      </c>
      <c r="L15" s="306">
        <v>0</v>
      </c>
      <c r="M15" s="306">
        <v>0</v>
      </c>
      <c r="N15" s="312">
        <v>199135117.16999972</v>
      </c>
      <c r="O15" s="312">
        <v>192974550.22999981</v>
      </c>
    </row>
    <row r="16" spans="1:15" ht="12.75">
      <c r="A16" s="200">
        <v>8</v>
      </c>
      <c r="B16" s="352" t="s">
        <v>402</v>
      </c>
      <c r="C16" s="353">
        <v>0.25876319458275243</v>
      </c>
      <c r="D16" s="306">
        <v>153492265.58507147</v>
      </c>
      <c r="E16" s="306">
        <v>146105082.46442461</v>
      </c>
      <c r="F16" s="353">
        <v>0.095434649490848886</v>
      </c>
      <c r="G16" s="306">
        <v>64533266.234929115</v>
      </c>
      <c r="H16" s="312">
        <v>67311458.715574697</v>
      </c>
      <c r="I16" s="353">
        <v>0.0062871185746467334</v>
      </c>
      <c r="J16" s="306">
        <v>-210587.44999999998</v>
      </c>
      <c r="K16" s="312">
        <v>-210587.44999999995</v>
      </c>
      <c r="L16" s="306">
        <v>0</v>
      </c>
      <c r="M16" s="306">
        <v>0</v>
      </c>
      <c r="N16" s="312">
        <v>217814944.3700006</v>
      </c>
      <c r="O16" s="312">
        <v>213205953.7299993</v>
      </c>
    </row>
    <row r="17" spans="1:15" ht="12.75">
      <c r="A17" s="200">
        <v>9</v>
      </c>
      <c r="B17" s="352" t="s">
        <v>403</v>
      </c>
      <c r="C17" s="353">
        <v>0.24161262206201714</v>
      </c>
      <c r="D17" s="306">
        <v>159667748.07105613</v>
      </c>
      <c r="E17" s="306">
        <v>162277663.83961621</v>
      </c>
      <c r="F17" s="353">
        <v>0.075091406838517644</v>
      </c>
      <c r="G17" s="306">
        <v>65601528.472813331</v>
      </c>
      <c r="H17" s="312">
        <v>61636071.740382999</v>
      </c>
      <c r="I17" s="353">
        <v>0.0070080321285140561</v>
      </c>
      <c r="J17" s="306">
        <v>81580.590000000026</v>
      </c>
      <c r="K17" s="312">
        <v>81255.98000000001</v>
      </c>
      <c r="L17" s="306">
        <v>0</v>
      </c>
      <c r="M17" s="306">
        <v>0</v>
      </c>
      <c r="N17" s="312">
        <v>225350857.13386947</v>
      </c>
      <c r="O17" s="312">
        <v>223994991.5599992</v>
      </c>
    </row>
    <row r="18" spans="1:15" ht="12.75">
      <c r="A18" s="200">
        <v>10</v>
      </c>
      <c r="B18" s="352" t="s">
        <v>404</v>
      </c>
      <c r="C18" s="353">
        <v>0.27923273589529601</v>
      </c>
      <c r="D18" s="306">
        <v>200720509.85832092</v>
      </c>
      <c r="E18" s="306">
        <v>202411748.70107213</v>
      </c>
      <c r="F18" s="353">
        <v>0.069432063263838967</v>
      </c>
      <c r="G18" s="306">
        <v>76902874.351679549</v>
      </c>
      <c r="H18" s="312">
        <v>70431941.582800597</v>
      </c>
      <c r="I18" s="353">
        <v>0.0069862613270973394</v>
      </c>
      <c r="J18" s="306">
        <v>77516.809999999983</v>
      </c>
      <c r="K18" s="312">
        <v>77841.389999999999</v>
      </c>
      <c r="L18" s="306">
        <v>0</v>
      </c>
      <c r="M18" s="306">
        <v>0</v>
      </c>
      <c r="N18" s="312">
        <v>277700901.02000046</v>
      </c>
      <c r="O18" s="312">
        <v>272921531.67387271</v>
      </c>
    </row>
    <row r="19" spans="1:15" ht="12.75">
      <c r="A19" s="200">
        <v>11</v>
      </c>
      <c r="B19" s="352" t="s">
        <v>493</v>
      </c>
      <c r="C19" s="353">
        <v>0.26272054638588505</v>
      </c>
      <c r="D19" s="306">
        <v>217843462.23768961</v>
      </c>
      <c r="E19" s="306">
        <v>204013426.58181408</v>
      </c>
      <c r="F19" s="353">
        <v>0.086005591185660243</v>
      </c>
      <c r="G19" s="306">
        <v>79503436.8684403</v>
      </c>
      <c r="H19" s="312">
        <v>76570159.42431426</v>
      </c>
      <c r="I19" s="353">
        <v>0.0069862613270973394</v>
      </c>
      <c r="J19" s="306">
        <v>65277.359999999993</v>
      </c>
      <c r="K19" s="312">
        <v>65277.390000000014</v>
      </c>
      <c r="L19" s="306">
        <v>0</v>
      </c>
      <c r="M19" s="306">
        <v>0</v>
      </c>
      <c r="N19" s="312">
        <v>297412176.4661299</v>
      </c>
      <c r="O19" s="312">
        <v>280648863.3961283</v>
      </c>
    </row>
    <row r="20" spans="1:15" ht="15">
      <c r="A20" s="200">
        <v>12</v>
      </c>
      <c r="B20" s="354"/>
      <c r="C20" s="354"/>
      <c r="D20" s="355">
        <v>873827700.49111211</v>
      </c>
      <c r="E20" s="355">
        <v>855211602.37448227</v>
      </c>
      <c r="F20" s="355"/>
      <c r="G20" s="355">
        <v>343515328.76888812</v>
      </c>
      <c r="H20" s="355">
        <v>328463321.31551695</v>
      </c>
      <c r="I20" s="355"/>
      <c r="J20" s="355">
        <v>70966.900000000023</v>
      </c>
      <c r="K20" s="355">
        <v>70966.900000000067</v>
      </c>
      <c r="L20" s="355">
        <v>0</v>
      </c>
      <c r="M20" s="355">
        <v>0</v>
      </c>
      <c r="N20" s="355">
        <v>1217413996.1600003</v>
      </c>
      <c r="O20" s="355">
        <v>1183745890.5899992</v>
      </c>
    </row>
    <row r="21" spans="1:15" ht="12.75">
      <c r="A21" s="200">
        <v>13</v>
      </c>
      <c r="B21" s="310"/>
      <c r="C21" s="310"/>
      <c r="D21" s="206"/>
      <c r="E21" s="206"/>
      <c r="F21" s="206"/>
      <c r="G21" s="206"/>
      <c r="H21" s="310"/>
      <c r="I21" s="310"/>
      <c r="J21" s="310"/>
      <c r="K21" s="310"/>
      <c r="L21" s="310"/>
      <c r="M21" s="310"/>
      <c r="N21" s="310"/>
      <c r="O21" s="310"/>
    </row>
    <row r="22" spans="1:15" ht="13.5" thickBot="1">
      <c r="A22" s="200">
        <v>14</v>
      </c>
      <c r="B22" s="310"/>
      <c r="C22" s="310"/>
      <c r="D22" s="310"/>
      <c r="E22" s="310"/>
      <c r="F22" s="310"/>
      <c r="G22" s="310"/>
      <c r="H22" s="310"/>
      <c r="I22" s="310"/>
      <c r="J22" s="310"/>
      <c r="K22" s="310"/>
      <c r="L22" s="310"/>
      <c r="M22" s="310"/>
      <c r="N22" s="310"/>
      <c r="O22" s="310"/>
    </row>
    <row r="23" spans="1:15" ht="13.5" thickBot="1">
      <c r="A23" s="200">
        <v>15</v>
      </c>
      <c r="B23" s="303" t="s">
        <v>319</v>
      </c>
      <c r="C23" s="304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</row>
    <row r="24" spans="1:15" ht="12.75">
      <c r="A24" s="200">
        <v>16</v>
      </c>
      <c r="B24" s="310"/>
      <c r="C24" s="310"/>
      <c r="D24" s="206"/>
      <c r="E24" s="206"/>
      <c r="F24" s="206"/>
      <c r="G24" s="310"/>
      <c r="H24" s="310"/>
      <c r="I24" s="310"/>
      <c r="J24" s="310"/>
      <c r="K24" s="310"/>
      <c r="L24" s="310"/>
      <c r="M24" s="310"/>
      <c r="N24" s="310"/>
      <c r="O24" s="310"/>
    </row>
    <row r="25" spans="1:15" ht="15">
      <c r="A25" s="200">
        <v>17</v>
      </c>
      <c r="B25" s="348"/>
      <c r="C25" s="348"/>
      <c r="D25" s="349" t="s">
        <v>406</v>
      </c>
      <c r="E25" s="349"/>
      <c r="F25" s="349"/>
      <c r="G25" s="349" t="s">
        <v>407</v>
      </c>
      <c r="H25" s="349"/>
      <c r="I25" s="349"/>
      <c r="J25" s="349" t="s">
        <v>408</v>
      </c>
      <c r="K25" s="349"/>
      <c r="L25" s="349" t="s">
        <v>409</v>
      </c>
      <c r="M25" s="349"/>
      <c r="N25" s="349" t="s">
        <v>29</v>
      </c>
      <c r="O25" s="349"/>
    </row>
    <row r="26" spans="1:15" ht="45">
      <c r="A26" s="200">
        <v>18</v>
      </c>
      <c r="B26" s="350" t="s">
        <v>397</v>
      </c>
      <c r="C26" s="351" t="s">
        <v>414</v>
      </c>
      <c r="D26" s="311" t="s">
        <v>399</v>
      </c>
      <c r="E26" s="311" t="s">
        <v>400</v>
      </c>
      <c r="F26" s="311" t="s">
        <v>415</v>
      </c>
      <c r="G26" s="311" t="s">
        <v>399</v>
      </c>
      <c r="H26" s="311" t="s">
        <v>400</v>
      </c>
      <c r="I26" s="311" t="s">
        <v>416</v>
      </c>
      <c r="J26" s="311" t="s">
        <v>399</v>
      </c>
      <c r="K26" s="311" t="s">
        <v>400</v>
      </c>
      <c r="L26" s="311" t="s">
        <v>399</v>
      </c>
      <c r="M26" s="311" t="s">
        <v>400</v>
      </c>
      <c r="N26" s="311" t="s">
        <v>399</v>
      </c>
      <c r="O26" s="311" t="s">
        <v>400</v>
      </c>
    </row>
    <row r="27" spans="1:15" ht="12.75">
      <c r="A27" s="200">
        <v>19</v>
      </c>
      <c r="B27" s="352" t="s">
        <v>401</v>
      </c>
      <c r="C27" s="373" t="s">
        <v>634</v>
      </c>
      <c r="D27" s="306">
        <v>288422.07000000001</v>
      </c>
      <c r="E27" s="306">
        <v>288422.07000000001</v>
      </c>
      <c r="F27" s="373" t="s">
        <v>634</v>
      </c>
      <c r="G27" s="306">
        <v>693917.96999999997</v>
      </c>
      <c r="H27" s="312">
        <v>693917.96999999997</v>
      </c>
      <c r="I27" s="353"/>
      <c r="J27" s="306">
        <v>0</v>
      </c>
      <c r="K27" s="306">
        <v>0</v>
      </c>
      <c r="L27" s="306">
        <v>0</v>
      </c>
      <c r="M27" s="306">
        <v>0</v>
      </c>
      <c r="N27" s="312">
        <f>+D27+G27+J27+L27</f>
        <v>982340.04000000004</v>
      </c>
      <c r="O27" s="312">
        <f>+E27+H27+K27+M27</f>
        <v>982340.04000000004</v>
      </c>
    </row>
    <row r="28" spans="1:15" ht="12.75">
      <c r="A28" s="200">
        <v>20</v>
      </c>
      <c r="B28" s="352" t="s">
        <v>402</v>
      </c>
      <c r="C28" s="373" t="s">
        <v>634</v>
      </c>
      <c r="D28" s="306">
        <v>289253.48999999999</v>
      </c>
      <c r="E28" s="306">
        <v>289253.48999999999</v>
      </c>
      <c r="F28" s="373" t="s">
        <v>634</v>
      </c>
      <c r="G28" s="306">
        <v>1152941.3200000001</v>
      </c>
      <c r="H28" s="312">
        <v>1152941.3200000001</v>
      </c>
      <c r="I28" s="353"/>
      <c r="J28" s="306">
        <v>0</v>
      </c>
      <c r="K28" s="306">
        <v>0</v>
      </c>
      <c r="L28" s="306">
        <v>0</v>
      </c>
      <c r="M28" s="306">
        <v>0</v>
      </c>
      <c r="N28" s="312">
        <f t="shared" si="0" ref="N28:O31">+D28+G28+J28+L28</f>
        <v>1442194.8100000001</v>
      </c>
      <c r="O28" s="312">
        <f t="shared" si="0"/>
        <v>1442194.8100000001</v>
      </c>
    </row>
    <row r="29" spans="1:15" ht="12.75">
      <c r="A29" s="200">
        <v>21</v>
      </c>
      <c r="B29" s="352" t="s">
        <v>403</v>
      </c>
      <c r="C29" s="353">
        <v>0.24161262206201714</v>
      </c>
      <c r="D29" s="306">
        <v>37331.309999999998</v>
      </c>
      <c r="E29" s="306">
        <v>5731.8599999999997</v>
      </c>
      <c r="F29" s="353">
        <v>0.075091406838517644</v>
      </c>
      <c r="G29" s="312">
        <v>313752.57000000001</v>
      </c>
      <c r="H29" s="312">
        <v>136603.75</v>
      </c>
      <c r="I29" s="353"/>
      <c r="J29" s="306">
        <v>0</v>
      </c>
      <c r="K29" s="306">
        <v>0</v>
      </c>
      <c r="L29" s="306">
        <v>0</v>
      </c>
      <c r="M29" s="306">
        <v>0</v>
      </c>
      <c r="N29" s="312">
        <f t="shared" si="0"/>
        <v>351083.88</v>
      </c>
      <c r="O29" s="312">
        <f t="shared" si="0"/>
        <v>142335.60999999999</v>
      </c>
    </row>
    <row r="30" spans="1:15" ht="12.75">
      <c r="A30" s="200">
        <v>22</v>
      </c>
      <c r="B30" s="352" t="s">
        <v>404</v>
      </c>
      <c r="C30" s="353">
        <v>0.27923273589529601</v>
      </c>
      <c r="D30" s="306">
        <v>438399.85999999999</v>
      </c>
      <c r="E30" s="306">
        <v>375370.73999999999</v>
      </c>
      <c r="F30" s="353">
        <v>0.069432063263838967</v>
      </c>
      <c r="G30" s="312">
        <v>1581971.9299999999</v>
      </c>
      <c r="H30" s="312">
        <v>1443140.3999999999</v>
      </c>
      <c r="I30" s="353"/>
      <c r="J30" s="306">
        <v>0</v>
      </c>
      <c r="K30" s="306">
        <v>0</v>
      </c>
      <c r="L30" s="306">
        <v>0</v>
      </c>
      <c r="M30" s="306">
        <v>0</v>
      </c>
      <c r="N30" s="312">
        <f t="shared" si="0"/>
        <v>2020371.79</v>
      </c>
      <c r="O30" s="312">
        <f t="shared" si="0"/>
        <v>1818511.1399999999</v>
      </c>
    </row>
    <row r="31" spans="1:15" ht="12.75">
      <c r="A31" s="200">
        <v>23</v>
      </c>
      <c r="B31" s="352" t="s">
        <v>493</v>
      </c>
      <c r="C31" s="353">
        <v>0.26272054638588505</v>
      </c>
      <c r="D31" s="306">
        <v>639686.31000000006</v>
      </c>
      <c r="E31" s="306">
        <v>679543.91000000003</v>
      </c>
      <c r="F31" s="353">
        <v>0.086005591185660243</v>
      </c>
      <c r="G31" s="312">
        <v>2332394.9700000002</v>
      </c>
      <c r="H31" s="312">
        <v>2502088.6099999999</v>
      </c>
      <c r="I31" s="353"/>
      <c r="J31" s="306">
        <v>0</v>
      </c>
      <c r="K31" s="306">
        <v>0</v>
      </c>
      <c r="L31" s="306">
        <v>0</v>
      </c>
      <c r="M31" s="306">
        <v>0</v>
      </c>
      <c r="N31" s="312">
        <f t="shared" si="0"/>
        <v>2972081.2800000003</v>
      </c>
      <c r="O31" s="312">
        <f t="shared" si="0"/>
        <v>3181632.52</v>
      </c>
    </row>
    <row r="32" spans="1:15" ht="15">
      <c r="A32" s="200">
        <v>24</v>
      </c>
      <c r="B32" s="354"/>
      <c r="C32" s="354"/>
      <c r="D32" s="355">
        <f>SUM(D27:D31)</f>
        <v>1693093.04</v>
      </c>
      <c r="E32" s="355">
        <f>SUM(E27:E31)</f>
        <v>1638322.0700000001</v>
      </c>
      <c r="F32" s="355"/>
      <c r="G32" s="355">
        <f t="shared" si="1" ref="G32:O32">SUM(G27:G31)</f>
        <v>6074978.7599999998</v>
      </c>
      <c r="H32" s="355">
        <f t="shared" si="1"/>
        <v>5928692.0499999998</v>
      </c>
      <c r="I32" s="355"/>
      <c r="J32" s="355">
        <f t="shared" si="1"/>
        <v>0</v>
      </c>
      <c r="K32" s="355">
        <f t="shared" si="1"/>
        <v>0</v>
      </c>
      <c r="L32" s="355">
        <f t="shared" si="1"/>
        <v>0</v>
      </c>
      <c r="M32" s="355">
        <f t="shared" si="1"/>
        <v>0</v>
      </c>
      <c r="N32" s="355">
        <f t="shared" si="1"/>
        <v>7768071.7999999998</v>
      </c>
      <c r="O32" s="355">
        <f t="shared" si="1"/>
        <v>7567014.1199999992</v>
      </c>
    </row>
    <row r="33" spans="1:15" ht="12.75">
      <c r="A33" s="200">
        <v>25</v>
      </c>
      <c r="B33" s="310"/>
      <c r="C33" s="310"/>
      <c r="D33" s="206"/>
      <c r="E33" s="206"/>
      <c r="F33" s="206"/>
      <c r="G33" s="206"/>
      <c r="H33" s="310"/>
      <c r="I33" s="310"/>
      <c r="J33" s="310"/>
      <c r="K33" s="310"/>
      <c r="L33" s="310"/>
      <c r="M33" s="310"/>
      <c r="N33" s="310"/>
      <c r="O33" s="310"/>
    </row>
    <row r="34" spans="1:15" ht="13.5" thickBot="1">
      <c r="A34" s="200">
        <v>26</v>
      </c>
      <c r="B34" s="310"/>
      <c r="C34" s="310"/>
      <c r="D34" s="310"/>
      <c r="E34" s="310"/>
      <c r="F34" s="310"/>
      <c r="G34" s="310"/>
      <c r="H34" s="310"/>
      <c r="I34" s="310"/>
      <c r="J34" s="310"/>
      <c r="K34" s="310"/>
      <c r="L34" s="310"/>
      <c r="M34" s="310"/>
      <c r="N34" s="310"/>
      <c r="O34" s="310"/>
    </row>
    <row r="35" spans="1:15" ht="13.5" thickBot="1">
      <c r="A35" s="200">
        <v>27</v>
      </c>
      <c r="B35" s="303" t="s">
        <v>411</v>
      </c>
      <c r="C35" s="304"/>
      <c r="D35" s="309"/>
      <c r="E35" s="310"/>
      <c r="F35" s="310"/>
      <c r="G35" s="310"/>
      <c r="H35" s="310"/>
      <c r="I35" s="310"/>
      <c r="J35" s="310"/>
      <c r="K35" s="310"/>
      <c r="L35" s="310"/>
      <c r="M35" s="310"/>
      <c r="N35" s="310"/>
      <c r="O35" s="310"/>
    </row>
    <row r="36" spans="1:15" ht="12.75">
      <c r="A36" s="200">
        <v>28</v>
      </c>
      <c r="B36" s="310"/>
      <c r="C36" s="310"/>
      <c r="D36" s="206"/>
      <c r="E36" s="206"/>
      <c r="F36" s="206"/>
      <c r="G36" s="310"/>
      <c r="H36" s="310"/>
      <c r="I36" s="310"/>
      <c r="J36" s="310"/>
      <c r="K36" s="310"/>
      <c r="L36" s="310"/>
      <c r="M36" s="310"/>
      <c r="N36" s="310"/>
      <c r="O36" s="310"/>
    </row>
    <row r="37" spans="1:15" ht="15">
      <c r="A37" s="200">
        <v>29</v>
      </c>
      <c r="B37" s="348"/>
      <c r="C37" s="348"/>
      <c r="D37" s="349" t="s">
        <v>406</v>
      </c>
      <c r="E37" s="349"/>
      <c r="F37" s="349"/>
      <c r="G37" s="349" t="s">
        <v>407</v>
      </c>
      <c r="H37" s="349"/>
      <c r="I37" s="349"/>
      <c r="J37" s="349" t="s">
        <v>408</v>
      </c>
      <c r="K37" s="349"/>
      <c r="L37" s="349" t="s">
        <v>409</v>
      </c>
      <c r="M37" s="349"/>
      <c r="N37" s="349" t="s">
        <v>29</v>
      </c>
      <c r="O37" s="349"/>
    </row>
    <row r="38" spans="1:15" ht="45">
      <c r="A38" s="200">
        <v>30</v>
      </c>
      <c r="B38" s="350" t="s">
        <v>397</v>
      </c>
      <c r="C38" s="351" t="s">
        <v>414</v>
      </c>
      <c r="D38" s="311" t="s">
        <v>399</v>
      </c>
      <c r="E38" s="311" t="s">
        <v>400</v>
      </c>
      <c r="F38" s="311" t="s">
        <v>415</v>
      </c>
      <c r="G38" s="311" t="s">
        <v>399</v>
      </c>
      <c r="H38" s="311" t="s">
        <v>400</v>
      </c>
      <c r="I38" s="311" t="s">
        <v>416</v>
      </c>
      <c r="J38" s="311" t="s">
        <v>399</v>
      </c>
      <c r="K38" s="311" t="s">
        <v>400</v>
      </c>
      <c r="L38" s="311" t="s">
        <v>399</v>
      </c>
      <c r="M38" s="311" t="s">
        <v>400</v>
      </c>
      <c r="N38" s="311" t="s">
        <v>399</v>
      </c>
      <c r="O38" s="311" t="s">
        <v>400</v>
      </c>
    </row>
    <row r="39" spans="1:15" ht="12.75">
      <c r="A39" s="200">
        <v>31</v>
      </c>
      <c r="B39" s="352" t="s">
        <v>401</v>
      </c>
      <c r="C39" s="373" t="s">
        <v>634</v>
      </c>
      <c r="D39" s="306">
        <f>+D15+D27</f>
        <v>142392136.80897391</v>
      </c>
      <c r="E39" s="306">
        <f>+E15+E27</f>
        <v>140692102.85755536</v>
      </c>
      <c r="F39" s="373" t="s">
        <v>634</v>
      </c>
      <c r="G39" s="306">
        <f t="shared" si="2" ref="G39:H39">+G15+G27</f>
        <v>57668140.811025791</v>
      </c>
      <c r="H39" s="306">
        <f t="shared" si="2"/>
        <v>53207607.822444431</v>
      </c>
      <c r="I39" s="353">
        <v>0.0070146276595744687</v>
      </c>
      <c r="J39" s="306">
        <f t="shared" si="3" ref="J39:M39">+J15+J27</f>
        <v>57179.589999999989</v>
      </c>
      <c r="K39" s="306">
        <f t="shared" si="3"/>
        <v>57179.589999999989</v>
      </c>
      <c r="L39" s="306">
        <f t="shared" si="3"/>
        <v>0</v>
      </c>
      <c r="M39" s="306">
        <f t="shared" si="3"/>
        <v>0</v>
      </c>
      <c r="N39" s="312">
        <f t="shared" si="4" ref="N39:O43">+D39+G39+J39+L39</f>
        <v>200117457.20999971</v>
      </c>
      <c r="O39" s="312">
        <f t="shared" si="4"/>
        <v>193956890.2699998</v>
      </c>
    </row>
    <row r="40" spans="1:15" ht="12.75">
      <c r="A40" s="200">
        <v>32</v>
      </c>
      <c r="B40" s="352" t="s">
        <v>402</v>
      </c>
      <c r="C40" s="373" t="s">
        <v>634</v>
      </c>
      <c r="D40" s="306">
        <f t="shared" si="5" ref="D40:E43">+D16+D28</f>
        <v>153781519.07507148</v>
      </c>
      <c r="E40" s="306">
        <f t="shared" si="5"/>
        <v>146394335.95442462</v>
      </c>
      <c r="F40" s="373" t="s">
        <v>634</v>
      </c>
      <c r="G40" s="306">
        <f t="shared" si="6" ref="G40:H40">+G16+G28</f>
        <v>65686207.554929115</v>
      </c>
      <c r="H40" s="306">
        <f t="shared" si="6"/>
        <v>68464400.03557469</v>
      </c>
      <c r="I40" s="353">
        <v>0.0062871185746467334</v>
      </c>
      <c r="J40" s="306">
        <f t="shared" si="7" ref="J40:M40">+J16+J28</f>
        <v>-210587.44999999998</v>
      </c>
      <c r="K40" s="306">
        <f t="shared" si="7"/>
        <v>-210587.44999999995</v>
      </c>
      <c r="L40" s="306">
        <f t="shared" si="7"/>
        <v>0</v>
      </c>
      <c r="M40" s="306">
        <f t="shared" si="7"/>
        <v>0</v>
      </c>
      <c r="N40" s="312">
        <f t="shared" si="4"/>
        <v>219257139.1800006</v>
      </c>
      <c r="O40" s="312">
        <f t="shared" si="4"/>
        <v>214648148.53999931</v>
      </c>
    </row>
    <row r="41" spans="1:15" ht="12.75">
      <c r="A41" s="200">
        <v>33</v>
      </c>
      <c r="B41" s="352" t="s">
        <v>403</v>
      </c>
      <c r="C41" s="353">
        <v>0.24161262206201714</v>
      </c>
      <c r="D41" s="306">
        <f t="shared" si="5"/>
        <v>159705079.38105613</v>
      </c>
      <c r="E41" s="306">
        <f t="shared" si="5"/>
        <v>162283395.69961622</v>
      </c>
      <c r="F41" s="353">
        <v>0.075091406838517644</v>
      </c>
      <c r="G41" s="306">
        <f t="shared" si="8" ref="G41:H41">+G17+G29</f>
        <v>65915281.042813331</v>
      </c>
      <c r="H41" s="306">
        <f t="shared" si="8"/>
        <v>61772675.490382999</v>
      </c>
      <c r="I41" s="353">
        <v>0.0070080321285140561</v>
      </c>
      <c r="J41" s="306">
        <f t="shared" si="9" ref="J41:M41">+J17+J29</f>
        <v>81580.590000000026</v>
      </c>
      <c r="K41" s="306">
        <f t="shared" si="9"/>
        <v>81255.98000000001</v>
      </c>
      <c r="L41" s="306">
        <f t="shared" si="9"/>
        <v>0</v>
      </c>
      <c r="M41" s="306">
        <f t="shared" si="9"/>
        <v>0</v>
      </c>
      <c r="N41" s="312">
        <f t="shared" si="4"/>
        <v>225701941.01386946</v>
      </c>
      <c r="O41" s="312">
        <f t="shared" si="4"/>
        <v>224137327.16999921</v>
      </c>
    </row>
    <row r="42" spans="1:15" ht="12.75">
      <c r="A42" s="200">
        <v>34</v>
      </c>
      <c r="B42" s="352" t="s">
        <v>404</v>
      </c>
      <c r="C42" s="353">
        <v>0.27923273589529601</v>
      </c>
      <c r="D42" s="306">
        <f t="shared" si="5"/>
        <v>201158909.71832094</v>
      </c>
      <c r="E42" s="306">
        <f t="shared" si="5"/>
        <v>202787119.44107214</v>
      </c>
      <c r="F42" s="353">
        <v>0.069432063263838967</v>
      </c>
      <c r="G42" s="306">
        <f t="shared" si="10" ref="G42:H42">+G18+G30</f>
        <v>78484846.281679556</v>
      </c>
      <c r="H42" s="306">
        <f t="shared" si="10"/>
        <v>71875081.982800603</v>
      </c>
      <c r="I42" s="353">
        <v>0.0069862613270973394</v>
      </c>
      <c r="J42" s="306">
        <f t="shared" si="11" ref="J42:M42">+J18+J30</f>
        <v>77516.809999999983</v>
      </c>
      <c r="K42" s="306">
        <f t="shared" si="11"/>
        <v>77841.389999999999</v>
      </c>
      <c r="L42" s="306">
        <f t="shared" si="11"/>
        <v>0</v>
      </c>
      <c r="M42" s="306">
        <f t="shared" si="11"/>
        <v>0</v>
      </c>
      <c r="N42" s="312">
        <f t="shared" si="4"/>
        <v>279721272.81000048</v>
      </c>
      <c r="O42" s="312">
        <f t="shared" si="4"/>
        <v>274740042.81387269</v>
      </c>
    </row>
    <row r="43" spans="1:15" ht="12.75">
      <c r="A43" s="200">
        <v>35</v>
      </c>
      <c r="B43" s="352" t="s">
        <v>493</v>
      </c>
      <c r="C43" s="353">
        <v>0.26272054638588505</v>
      </c>
      <c r="D43" s="306">
        <f t="shared" si="5"/>
        <v>218483148.54768962</v>
      </c>
      <c r="E43" s="306">
        <f t="shared" si="5"/>
        <v>204692970.49181408</v>
      </c>
      <c r="F43" s="353">
        <v>0.086005591185660243</v>
      </c>
      <c r="G43" s="306">
        <f t="shared" si="12" ref="G43:H43">+G19+G31</f>
        <v>81835831.838440299</v>
      </c>
      <c r="H43" s="306">
        <f t="shared" si="12"/>
        <v>79072248.03431426</v>
      </c>
      <c r="I43" s="353">
        <v>0.0069862613270973394</v>
      </c>
      <c r="J43" s="306">
        <f t="shared" si="13" ref="J43:M43">+J19+J31</f>
        <v>65277.359999999993</v>
      </c>
      <c r="K43" s="306">
        <f t="shared" si="13"/>
        <v>65277.390000000014</v>
      </c>
      <c r="L43" s="306">
        <f t="shared" si="13"/>
        <v>0</v>
      </c>
      <c r="M43" s="306">
        <f t="shared" si="13"/>
        <v>0</v>
      </c>
      <c r="N43" s="312">
        <f t="shared" si="4"/>
        <v>300384257.74612993</v>
      </c>
      <c r="O43" s="312">
        <f t="shared" si="4"/>
        <v>283830495.91612834</v>
      </c>
    </row>
    <row r="44" spans="1:15" ht="15">
      <c r="A44" s="200">
        <v>36</v>
      </c>
      <c r="B44" s="354"/>
      <c r="C44" s="354"/>
      <c r="D44" s="355">
        <f>SUM(D39:D43)</f>
        <v>875520793.53111196</v>
      </c>
      <c r="E44" s="355">
        <f>SUM(E39:E43)</f>
        <v>856849924.44448233</v>
      </c>
      <c r="F44" s="355"/>
      <c r="G44" s="355">
        <f t="shared" si="14" ref="G44:H44">SUM(G39:G43)</f>
        <v>349590307.52888811</v>
      </c>
      <c r="H44" s="355">
        <f t="shared" si="14"/>
        <v>334392013.36551696</v>
      </c>
      <c r="I44" s="355"/>
      <c r="J44" s="355">
        <f t="shared" si="15" ref="J44:O44">SUM(J39:J43)</f>
        <v>70966.900000000023</v>
      </c>
      <c r="K44" s="355">
        <f t="shared" si="15"/>
        <v>70966.900000000067</v>
      </c>
      <c r="L44" s="355">
        <f t="shared" si="15"/>
        <v>0</v>
      </c>
      <c r="M44" s="355">
        <f t="shared" si="15"/>
        <v>0</v>
      </c>
      <c r="N44" s="355">
        <f t="shared" si="15"/>
        <v>1225182067.9600003</v>
      </c>
      <c r="O44" s="355">
        <f t="shared" si="15"/>
        <v>1191312904.7099993</v>
      </c>
    </row>
  </sheetData>
  <printOptions horizontalCentered="1"/>
  <pageMargins left="0.5" right="0.5" top="2.5" bottom="0.5" header="1.5" footer="0.25"/>
  <pageSetup fitToHeight="0" orientation="landscape" scale="54" r:id="rId1"/>
  <headerFooter>
    <oddHeader>&amp;C&amp;B
2022 RATE CASE
ONCOR ELECTRIC DELIVERY COMPANY LLC
II-B-15B  OTHER CONSTRUCTION OVERHEAD
TEST YEAR ENDING DECEMBER 31, 2021
SPONSOR: W. ALAN LEDBETTER&amp;R&amp;"Arial,Bold"Schedule II-B-15b
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Link Sheet</vt:lpstr>
      <vt:lpstr>II-B</vt:lpstr>
      <vt:lpstr>II-B-1</vt:lpstr>
      <vt:lpstr>II-B-1a</vt:lpstr>
      <vt:lpstr>II-B-2</vt:lpstr>
      <vt:lpstr>II-B-3</vt:lpstr>
      <vt:lpstr>II-B-4</vt:lpstr>
      <vt:lpstr>II-B-5</vt:lpstr>
      <vt:lpstr>II-B-6</vt:lpstr>
      <vt:lpstr>II-B-7</vt:lpstr>
      <vt:lpstr>II-B-8</vt:lpstr>
      <vt:lpstr>II-B-9</vt:lpstr>
      <vt:lpstr>II-B-10</vt:lpstr>
      <vt:lpstr>II-B-11</vt:lpstr>
      <vt:lpstr>II-B-12</vt:lpstr>
      <vt:lpstr>II-B-13</vt:lpstr>
      <vt:lpstr>II-B-14</vt:lpstr>
      <vt:lpstr>II-B-14 Attachment 1</vt:lpstr>
      <vt:lpstr>II-B-15A</vt:lpstr>
      <vt:lpstr>II-B-15B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-932767527</vt:i4>
  </property>
  <property fmtid="{D5CDD505-2E9C-101B-9397-08002B2CF9AE}" pid="3" name="_EmailSubject">
    <vt:lpwstr>IOU RFP</vt:lpwstr>
  </property>
  <property fmtid="{D5CDD505-2E9C-101B-9397-08002B2CF9AE}" pid="4" name="_AuthorEmail">
    <vt:lpwstr>Ruth.Stark@puc.state.tx.us</vt:lpwstr>
  </property>
  <property fmtid="{D5CDD505-2E9C-101B-9397-08002B2CF9AE}" pid="5" name="_AuthorEmailDisplayName">
    <vt:lpwstr>Stark, Ruth</vt:lpwstr>
  </property>
  <property fmtid="{D5CDD505-2E9C-101B-9397-08002B2CF9AE}" pid="6" name="_PreviousAdHocReviewCycleID">
    <vt:i4>-513871875</vt:i4>
  </property>
  <property fmtid="{D5CDD505-2E9C-101B-9397-08002B2CF9AE}" pid="7" name="_ReviewingToolsShownOnce">
    <vt:lpwstr/>
  </property>
</Properties>
</file>