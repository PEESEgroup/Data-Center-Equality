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IVD2 - Frank Lewis\Rate Cases\2021-12-31\Workpapers\"/>
    </mc:Choice>
  </mc:AlternateContent>
  <bookViews>
    <workbookView xWindow="0" yWindow="0" windowWidth="28800" windowHeight="13069" activeTab="0"/>
  </bookViews>
  <sheets>
    <sheet name="WP II-B-11_01" sheetId="1" r:id="rId2"/>
  </sheets>
  <definedNames>
    <definedName name="_xlnm.Print_Titles" localSheetId="0">'WP II-B-11_01'!$1:$7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7" i="1" l="1"/>
</calcChain>
</file>

<file path=xl/sharedStrings.xml><?xml version="1.0" encoding="utf-8"?>
<sst xmlns="http://schemas.openxmlformats.org/spreadsheetml/2006/main" count="171" uniqueCount="73">
  <si>
    <t>Amortization</t>
  </si>
  <si>
    <t>FAM0952808</t>
  </si>
  <si>
    <t>TRAN</t>
  </si>
  <si>
    <t>FAM0951745</t>
  </si>
  <si>
    <t>FAM0950795</t>
  </si>
  <si>
    <t>FAM0949784</t>
  </si>
  <si>
    <t>FAM0948843</t>
  </si>
  <si>
    <t>FAM0947943</t>
  </si>
  <si>
    <t>FAM0946990</t>
  </si>
  <si>
    <t>FAM0946060</t>
  </si>
  <si>
    <t>FAM0945186</t>
  </si>
  <si>
    <t>FAM0944194</t>
  </si>
  <si>
    <t>FAM0943181</t>
  </si>
  <si>
    <t>FAM0942254</t>
  </si>
  <si>
    <t>FAM0941163</t>
  </si>
  <si>
    <t>FAM0940243</t>
  </si>
  <si>
    <t>FAM0939338</t>
  </si>
  <si>
    <t>FAM0938267</t>
  </si>
  <si>
    <t>FAM0937313</t>
  </si>
  <si>
    <t>FAM0936333</t>
  </si>
  <si>
    <t>FAM0935289</t>
  </si>
  <si>
    <t>FAM0934455</t>
  </si>
  <si>
    <t>FAM0933616</t>
  </si>
  <si>
    <t>FAM0932763</t>
  </si>
  <si>
    <t>FAM0931943</t>
  </si>
  <si>
    <t>FAM0931183</t>
  </si>
  <si>
    <t>FAM0930229</t>
  </si>
  <si>
    <t>FAM0929473</t>
  </si>
  <si>
    <t>FAM0928702</t>
  </si>
  <si>
    <t>FAM0927811</t>
  </si>
  <si>
    <t>FAM0927062</t>
  </si>
  <si>
    <t>FAM0926224</t>
  </si>
  <si>
    <t>FAM0925444</t>
  </si>
  <si>
    <t>FAM0924634</t>
  </si>
  <si>
    <t>FAM0923802</t>
  </si>
  <si>
    <t>FAM0922911</t>
  </si>
  <si>
    <t>FAM0922055</t>
  </si>
  <si>
    <t>FAM0921242</t>
  </si>
  <si>
    <t>FAM0920243</t>
  </si>
  <si>
    <t>0000919574</t>
  </si>
  <si>
    <t>0000906607</t>
  </si>
  <si>
    <t>Line Description</t>
  </si>
  <si>
    <t>Amount</t>
  </si>
  <si>
    <t>Account</t>
  </si>
  <si>
    <t>Period</t>
  </si>
  <si>
    <t>Year</t>
  </si>
  <si>
    <t>Journal ID</t>
  </si>
  <si>
    <t>Unit</t>
  </si>
  <si>
    <t>Amortization Schedule</t>
  </si>
  <si>
    <t>Amortization period in years</t>
  </si>
  <si>
    <t>Amortization 4 Days (Docket No. 46957 rates effective 11-27-2017)</t>
  </si>
  <si>
    <t>Electric Plant Acquisition Adjustment - TRAN Account 1141000</t>
  </si>
  <si>
    <t>Oncor Electric Delivery Company LLC</t>
  </si>
  <si>
    <t>FAM0953945</t>
  </si>
  <si>
    <t>FAM0954882</t>
  </si>
  <si>
    <t>FAM0955984</t>
  </si>
  <si>
    <t>FAM0956993</t>
  </si>
  <si>
    <t>FAM0957950</t>
  </si>
  <si>
    <t>FAM0958919</t>
  </si>
  <si>
    <t>Acquisition Adjustment for SPS Line acquired - Andrews County Line</t>
  </si>
  <si>
    <t>Remaining amortization period</t>
  </si>
  <si>
    <t>years</t>
  </si>
  <si>
    <t>Approved annual amortization in test year</t>
  </si>
  <si>
    <t>Amortization and base-rate recovery was approved in Docket No. 46957.  Amortization expense is booked to account 406.</t>
  </si>
  <si>
    <t>Acquisition adjustment was approved in Docket No. 44671.  (Oncor's CCN was amended in Docket No. 45054.)</t>
  </si>
  <si>
    <t>FAM0959933</t>
  </si>
  <si>
    <t>FAM0960886</t>
  </si>
  <si>
    <t>FAM0962079</t>
  </si>
  <si>
    <t>FAM0963294</t>
  </si>
  <si>
    <t>FAM0964407</t>
  </si>
  <si>
    <t>FAM0965642</t>
  </si>
  <si>
    <t>As of December 31, 2021</t>
  </si>
  <si>
    <t>Unamortized Balance at 12-31-2021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</si>
</sst>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3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Fill="1"/>
    <xf numFmtId="0" fontId="1" fillId="0" borderId="0" xfId="0" applyFont="1" applyFill="1"/>
    <xf numFmtId="39" fontId="1" fillId="0" borderId="0" xfId="0" applyNumberFormat="1" applyFont="1" applyFill="1"/>
    <xf numFmtId="0" fontId="2" fillId="0" borderId="0" xfId="0" applyFont="1" applyFill="1" applyAlignment="1">
      <alignment horizontal="center" wrapText="1"/>
    </xf>
    <xf numFmtId="39" fontId="2" fillId="0" borderId="0" xfId="0" applyNumberFormat="1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44" fontId="1" fillId="0" borderId="0" xfId="16" applyFont="1" applyFill="1"/>
    <xf numFmtId="39" fontId="1" fillId="0" borderId="1" xfId="0" applyNumberFormat="1" applyFont="1" applyFill="1" applyBorder="1"/>
    <xf numFmtId="164" fontId="1" fillId="0" borderId="0" xfId="18" applyNumberFormat="1" applyFont="1" applyFill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G67"/>
  <sheetViews>
    <sheetView tabSelected="1" workbookViewId="0" topLeftCell="A1">
      <pane ySplit="7" topLeftCell="A53" activePane="bottomLeft" state="frozen"/>
      <selection pane="topLeft" activeCell="A1" sqref="A1"/>
      <selection pane="bottomLeft" activeCell="F68" sqref="F68"/>
    </sheetView>
  </sheetViews>
  <sheetFormatPr defaultColWidth="9.12428571428571" defaultRowHeight="15.75"/>
  <cols>
    <col min="1" max="1" width="9.14285714285714" style="2"/>
    <col min="2" max="2" width="15.2857142857143" style="2" bestFit="1" customWidth="1"/>
    <col min="3" max="3" width="6.57142857142857" style="2" bestFit="1" customWidth="1"/>
    <col min="4" max="4" width="13.2857142857143" style="2" bestFit="1" customWidth="1"/>
    <col min="5" max="5" width="14" style="2" bestFit="1" customWidth="1"/>
    <col min="6" max="6" width="15.2857142857143" style="3" bestFit="1" customWidth="1"/>
    <col min="7" max="7" width="69.4285714285714" style="2" bestFit="1" customWidth="1"/>
    <col min="8" max="8" width="35.8571428571429" style="2" customWidth="1"/>
    <col min="9" max="16384" width="9.14285714285714" style="2"/>
  </cols>
  <sheetData>
    <row r="1" spans="1:1" ht="15.65">
      <c r="A1" s="1" t="s">
        <v>52</v>
      </c>
    </row>
    <row r="2" spans="1:1" ht="15.65">
      <c r="A2" s="1" t="s">
        <v>51</v>
      </c>
    </row>
    <row r="3" spans="1:1" ht="15.65">
      <c r="A3" s="1" t="s">
        <v>71</v>
      </c>
    </row>
    <row r="5" spans="1:1" ht="15.65">
      <c r="A5" s="1" t="s">
        <v>48</v>
      </c>
    </row>
    <row r="7" spans="1:7" ht="15.65">
      <c r="A7" s="4" t="s">
        <v>47</v>
      </c>
      <c r="B7" s="4" t="s">
        <v>46</v>
      </c>
      <c r="C7" s="4" t="s">
        <v>45</v>
      </c>
      <c r="D7" s="4" t="s">
        <v>44</v>
      </c>
      <c r="E7" s="4" t="s">
        <v>43</v>
      </c>
      <c r="F7" s="5" t="s">
        <v>42</v>
      </c>
      <c r="G7" s="4" t="s">
        <v>41</v>
      </c>
    </row>
    <row r="8" spans="1:7" ht="15.65">
      <c r="A8" s="6" t="s">
        <v>2</v>
      </c>
      <c r="B8" s="6" t="s">
        <v>40</v>
      </c>
      <c r="C8" s="6">
        <v>2016</v>
      </c>
      <c r="D8" s="6">
        <v>6</v>
      </c>
      <c r="E8" s="6">
        <v>1141000</v>
      </c>
      <c r="F8" s="7">
        <v>997299.29000000004</v>
      </c>
      <c r="G8" s="2" t="s">
        <v>59</v>
      </c>
    </row>
    <row r="9" spans="1:7" ht="15.65">
      <c r="A9" s="6" t="s">
        <v>2</v>
      </c>
      <c r="B9" s="6" t="s">
        <v>39</v>
      </c>
      <c r="C9" s="6">
        <v>2017</v>
      </c>
      <c r="D9" s="6">
        <v>11</v>
      </c>
      <c r="E9" s="6">
        <v>1141000</v>
      </c>
      <c r="F9" s="3">
        <v>-751.25999999999999</v>
      </c>
      <c r="G9" s="2" t="s">
        <v>50</v>
      </c>
    </row>
    <row r="10" spans="1:7" ht="15.65">
      <c r="A10" s="6" t="s">
        <v>2</v>
      </c>
      <c r="B10" s="6" t="s">
        <v>38</v>
      </c>
      <c r="C10" s="6">
        <v>2017</v>
      </c>
      <c r="D10" s="6">
        <v>12</v>
      </c>
      <c r="E10" s="6">
        <v>1141000</v>
      </c>
      <c r="F10" s="3">
        <v>-5630.21</v>
      </c>
      <c r="G10" s="2" t="s">
        <v>0</v>
      </c>
    </row>
    <row r="11" spans="1:7" ht="15.65">
      <c r="A11" s="6" t="s">
        <v>2</v>
      </c>
      <c r="B11" s="6" t="s">
        <v>37</v>
      </c>
      <c r="C11" s="6">
        <v>2018</v>
      </c>
      <c r="D11" s="6">
        <v>1</v>
      </c>
      <c r="E11" s="6">
        <v>1141000</v>
      </c>
      <c r="F11" s="3">
        <v>-5630.21</v>
      </c>
      <c r="G11" s="2" t="s">
        <v>0</v>
      </c>
    </row>
    <row r="12" spans="1:7" ht="15.65">
      <c r="A12" s="6" t="s">
        <v>2</v>
      </c>
      <c r="B12" s="6" t="s">
        <v>36</v>
      </c>
      <c r="C12" s="6">
        <v>2018</v>
      </c>
      <c r="D12" s="6">
        <v>2</v>
      </c>
      <c r="E12" s="6">
        <v>1141000</v>
      </c>
      <c r="F12" s="3">
        <v>-5630.21</v>
      </c>
      <c r="G12" s="2" t="s">
        <v>0</v>
      </c>
    </row>
    <row r="13" spans="1:7" ht="15.65">
      <c r="A13" s="6" t="s">
        <v>2</v>
      </c>
      <c r="B13" s="6" t="s">
        <v>35</v>
      </c>
      <c r="C13" s="6">
        <v>2018</v>
      </c>
      <c r="D13" s="6">
        <v>3</v>
      </c>
      <c r="E13" s="6">
        <v>1141000</v>
      </c>
      <c r="F13" s="3">
        <v>-5630.21</v>
      </c>
      <c r="G13" s="2" t="s">
        <v>0</v>
      </c>
    </row>
    <row r="14" spans="1:7" ht="15.65">
      <c r="A14" s="6" t="s">
        <v>2</v>
      </c>
      <c r="B14" s="6" t="s">
        <v>34</v>
      </c>
      <c r="C14" s="6">
        <v>2018</v>
      </c>
      <c r="D14" s="6">
        <v>4</v>
      </c>
      <c r="E14" s="6">
        <v>1141000</v>
      </c>
      <c r="F14" s="3">
        <v>-5630.21</v>
      </c>
      <c r="G14" s="2" t="s">
        <v>0</v>
      </c>
    </row>
    <row r="15" spans="1:7" ht="15.65">
      <c r="A15" s="6" t="s">
        <v>2</v>
      </c>
      <c r="B15" s="6" t="s">
        <v>33</v>
      </c>
      <c r="C15" s="6">
        <v>2018</v>
      </c>
      <c r="D15" s="6">
        <v>5</v>
      </c>
      <c r="E15" s="6">
        <v>1141000</v>
      </c>
      <c r="F15" s="3">
        <v>-5630.2200000000003</v>
      </c>
      <c r="G15" s="2" t="s">
        <v>0</v>
      </c>
    </row>
    <row r="16" spans="1:7" ht="15.65">
      <c r="A16" s="6" t="s">
        <v>2</v>
      </c>
      <c r="B16" s="6" t="s">
        <v>32</v>
      </c>
      <c r="C16" s="6">
        <v>2018</v>
      </c>
      <c r="D16" s="6">
        <v>6</v>
      </c>
      <c r="E16" s="6">
        <v>1141000</v>
      </c>
      <c r="F16" s="3">
        <v>-5630.21</v>
      </c>
      <c r="G16" s="2" t="s">
        <v>0</v>
      </c>
    </row>
    <row r="17" spans="1:7" ht="15.65">
      <c r="A17" s="6" t="s">
        <v>2</v>
      </c>
      <c r="B17" s="6" t="s">
        <v>31</v>
      </c>
      <c r="C17" s="6">
        <v>2018</v>
      </c>
      <c r="D17" s="6">
        <v>7</v>
      </c>
      <c r="E17" s="6">
        <v>1141000</v>
      </c>
      <c r="F17" s="3">
        <v>-5630.2200000000003</v>
      </c>
      <c r="G17" s="2" t="s">
        <v>0</v>
      </c>
    </row>
    <row r="18" spans="1:7" ht="15.65">
      <c r="A18" s="6" t="s">
        <v>2</v>
      </c>
      <c r="B18" s="6" t="s">
        <v>30</v>
      </c>
      <c r="C18" s="6">
        <v>2018</v>
      </c>
      <c r="D18" s="6">
        <v>8</v>
      </c>
      <c r="E18" s="6">
        <v>1141000</v>
      </c>
      <c r="F18" s="3">
        <v>-5630.21</v>
      </c>
      <c r="G18" s="2" t="s">
        <v>0</v>
      </c>
    </row>
    <row r="19" spans="1:7" ht="15.65">
      <c r="A19" s="6" t="s">
        <v>2</v>
      </c>
      <c r="B19" s="6" t="s">
        <v>29</v>
      </c>
      <c r="C19" s="6">
        <v>2018</v>
      </c>
      <c r="D19" s="6">
        <v>9</v>
      </c>
      <c r="E19" s="6">
        <v>1141000</v>
      </c>
      <c r="F19" s="3">
        <v>-5630.2200000000003</v>
      </c>
      <c r="G19" s="2" t="s">
        <v>0</v>
      </c>
    </row>
    <row r="20" spans="1:7" ht="15.65">
      <c r="A20" s="6" t="s">
        <v>2</v>
      </c>
      <c r="B20" s="6" t="s">
        <v>28</v>
      </c>
      <c r="C20" s="6">
        <v>2018</v>
      </c>
      <c r="D20" s="6">
        <v>10</v>
      </c>
      <c r="E20" s="6">
        <v>1141000</v>
      </c>
      <c r="F20" s="3">
        <v>-5630.21</v>
      </c>
      <c r="G20" s="2" t="s">
        <v>0</v>
      </c>
    </row>
    <row r="21" spans="1:7" ht="15.65">
      <c r="A21" s="6" t="s">
        <v>2</v>
      </c>
      <c r="B21" s="6" t="s">
        <v>27</v>
      </c>
      <c r="C21" s="6">
        <v>2018</v>
      </c>
      <c r="D21" s="6">
        <v>11</v>
      </c>
      <c r="E21" s="6">
        <v>1141000</v>
      </c>
      <c r="F21" s="3">
        <v>-5630.2200000000003</v>
      </c>
      <c r="G21" s="2" t="s">
        <v>0</v>
      </c>
    </row>
    <row r="22" spans="1:7" ht="15.65">
      <c r="A22" s="6" t="s">
        <v>2</v>
      </c>
      <c r="B22" s="6" t="s">
        <v>26</v>
      </c>
      <c r="C22" s="6">
        <v>2018</v>
      </c>
      <c r="D22" s="6">
        <v>12</v>
      </c>
      <c r="E22" s="6">
        <v>1141000</v>
      </c>
      <c r="F22" s="3">
        <v>-5630.21</v>
      </c>
      <c r="G22" s="2" t="s">
        <v>0</v>
      </c>
    </row>
    <row r="23" spans="1:7" ht="15.65">
      <c r="A23" s="6" t="s">
        <v>2</v>
      </c>
      <c r="B23" s="6" t="s">
        <v>25</v>
      </c>
      <c r="C23" s="6">
        <v>2019</v>
      </c>
      <c r="D23" s="6">
        <v>1</v>
      </c>
      <c r="E23" s="6">
        <v>1141000</v>
      </c>
      <c r="F23" s="3">
        <v>-5630.2200000000003</v>
      </c>
      <c r="G23" s="2" t="s">
        <v>0</v>
      </c>
    </row>
    <row r="24" spans="1:7" ht="15.65">
      <c r="A24" s="6" t="s">
        <v>2</v>
      </c>
      <c r="B24" s="6" t="s">
        <v>24</v>
      </c>
      <c r="C24" s="6">
        <v>2019</v>
      </c>
      <c r="D24" s="6">
        <v>2</v>
      </c>
      <c r="E24" s="6">
        <v>1141000</v>
      </c>
      <c r="F24" s="3">
        <v>-5630.21</v>
      </c>
      <c r="G24" s="2" t="s">
        <v>0</v>
      </c>
    </row>
    <row r="25" spans="1:7" ht="15.65">
      <c r="A25" s="6" t="s">
        <v>2</v>
      </c>
      <c r="B25" s="6" t="s">
        <v>23</v>
      </c>
      <c r="C25" s="6">
        <v>2019</v>
      </c>
      <c r="D25" s="6">
        <v>3</v>
      </c>
      <c r="E25" s="6">
        <v>1141000</v>
      </c>
      <c r="F25" s="3">
        <v>-5630.2200000000003</v>
      </c>
      <c r="G25" s="2" t="s">
        <v>0</v>
      </c>
    </row>
    <row r="26" spans="1:7" ht="15.65">
      <c r="A26" s="6" t="s">
        <v>2</v>
      </c>
      <c r="B26" s="6" t="s">
        <v>22</v>
      </c>
      <c r="C26" s="6">
        <v>2019</v>
      </c>
      <c r="D26" s="6">
        <v>4</v>
      </c>
      <c r="E26" s="6">
        <v>1141000</v>
      </c>
      <c r="F26" s="3">
        <v>-5630.21</v>
      </c>
      <c r="G26" s="2" t="s">
        <v>0</v>
      </c>
    </row>
    <row r="27" spans="1:7" ht="15.65">
      <c r="A27" s="6" t="s">
        <v>2</v>
      </c>
      <c r="B27" s="6" t="s">
        <v>21</v>
      </c>
      <c r="C27" s="6">
        <v>2019</v>
      </c>
      <c r="D27" s="6">
        <v>5</v>
      </c>
      <c r="E27" s="6">
        <v>1141000</v>
      </c>
      <c r="F27" s="3">
        <v>-5630.2200000000003</v>
      </c>
      <c r="G27" s="2" t="s">
        <v>0</v>
      </c>
    </row>
    <row r="28" spans="1:7" ht="15.65">
      <c r="A28" s="6" t="s">
        <v>2</v>
      </c>
      <c r="B28" s="6" t="s">
        <v>20</v>
      </c>
      <c r="C28" s="6">
        <v>2019</v>
      </c>
      <c r="D28" s="6">
        <v>6</v>
      </c>
      <c r="E28" s="6">
        <v>1141000</v>
      </c>
      <c r="F28" s="3">
        <v>-5630.21</v>
      </c>
      <c r="G28" s="2" t="s">
        <v>0</v>
      </c>
    </row>
    <row r="29" spans="1:7" ht="15.65">
      <c r="A29" s="6" t="s">
        <v>2</v>
      </c>
      <c r="B29" s="6" t="s">
        <v>19</v>
      </c>
      <c r="C29" s="6">
        <v>2019</v>
      </c>
      <c r="D29" s="6">
        <v>7</v>
      </c>
      <c r="E29" s="6">
        <v>1141000</v>
      </c>
      <c r="F29" s="3">
        <v>-5630.2200000000003</v>
      </c>
      <c r="G29" s="2" t="s">
        <v>0</v>
      </c>
    </row>
    <row r="30" spans="1:7" ht="15.65">
      <c r="A30" s="6" t="s">
        <v>2</v>
      </c>
      <c r="B30" s="6" t="s">
        <v>18</v>
      </c>
      <c r="C30" s="6">
        <v>2019</v>
      </c>
      <c r="D30" s="6">
        <v>8</v>
      </c>
      <c r="E30" s="6">
        <v>1141000</v>
      </c>
      <c r="F30" s="3">
        <v>-5630.21</v>
      </c>
      <c r="G30" s="2" t="s">
        <v>0</v>
      </c>
    </row>
    <row r="31" spans="1:7" ht="15.65">
      <c r="A31" s="6" t="s">
        <v>2</v>
      </c>
      <c r="B31" s="6" t="s">
        <v>17</v>
      </c>
      <c r="C31" s="6">
        <v>2019</v>
      </c>
      <c r="D31" s="6">
        <v>9</v>
      </c>
      <c r="E31" s="6">
        <v>1141000</v>
      </c>
      <c r="F31" s="3">
        <v>-5630.2200000000003</v>
      </c>
      <c r="G31" s="2" t="s">
        <v>0</v>
      </c>
    </row>
    <row r="32" spans="1:7" ht="15.65">
      <c r="A32" s="6" t="s">
        <v>2</v>
      </c>
      <c r="B32" s="6" t="s">
        <v>16</v>
      </c>
      <c r="C32" s="6">
        <v>2019</v>
      </c>
      <c r="D32" s="6">
        <v>10</v>
      </c>
      <c r="E32" s="6">
        <v>1141000</v>
      </c>
      <c r="F32" s="3">
        <v>-5630.21</v>
      </c>
      <c r="G32" s="2" t="s">
        <v>0</v>
      </c>
    </row>
    <row r="33" spans="1:7" ht="15.65">
      <c r="A33" s="6" t="s">
        <v>2</v>
      </c>
      <c r="B33" s="6" t="s">
        <v>15</v>
      </c>
      <c r="C33" s="6">
        <v>2019</v>
      </c>
      <c r="D33" s="6">
        <v>11</v>
      </c>
      <c r="E33" s="6">
        <v>1141000</v>
      </c>
      <c r="F33" s="3">
        <v>-5630.2200000000003</v>
      </c>
      <c r="G33" s="2" t="s">
        <v>0</v>
      </c>
    </row>
    <row r="34" spans="1:7" ht="15.65">
      <c r="A34" s="6" t="s">
        <v>2</v>
      </c>
      <c r="B34" s="6" t="s">
        <v>14</v>
      </c>
      <c r="C34" s="6">
        <v>2019</v>
      </c>
      <c r="D34" s="6">
        <v>12</v>
      </c>
      <c r="E34" s="6">
        <v>1141000</v>
      </c>
      <c r="F34" s="3">
        <v>-5630.21</v>
      </c>
      <c r="G34" s="2" t="s">
        <v>0</v>
      </c>
    </row>
    <row r="35" spans="1:7" ht="15.65">
      <c r="A35" s="6" t="s">
        <v>2</v>
      </c>
      <c r="B35" s="6" t="s">
        <v>13</v>
      </c>
      <c r="C35" s="6">
        <v>2020</v>
      </c>
      <c r="D35" s="6">
        <v>1</v>
      </c>
      <c r="E35" s="6">
        <v>1141000</v>
      </c>
      <c r="F35" s="3">
        <v>-5630.2200000000003</v>
      </c>
      <c r="G35" s="2" t="s">
        <v>0</v>
      </c>
    </row>
    <row r="36" spans="1:7" ht="15.65">
      <c r="A36" s="6" t="s">
        <v>2</v>
      </c>
      <c r="B36" s="6" t="s">
        <v>12</v>
      </c>
      <c r="C36" s="6">
        <v>2020</v>
      </c>
      <c r="D36" s="6">
        <v>2</v>
      </c>
      <c r="E36" s="6">
        <v>1141000</v>
      </c>
      <c r="F36" s="3">
        <v>-5630.21</v>
      </c>
      <c r="G36" s="2" t="s">
        <v>0</v>
      </c>
    </row>
    <row r="37" spans="1:7" ht="15.65">
      <c r="A37" s="6" t="s">
        <v>2</v>
      </c>
      <c r="B37" s="6" t="s">
        <v>11</v>
      </c>
      <c r="C37" s="6">
        <v>2020</v>
      </c>
      <c r="D37" s="6">
        <v>3</v>
      </c>
      <c r="E37" s="6">
        <v>1141000</v>
      </c>
      <c r="F37" s="3">
        <v>-5630.2200000000003</v>
      </c>
      <c r="G37" s="2" t="s">
        <v>0</v>
      </c>
    </row>
    <row r="38" spans="1:7" ht="15.65">
      <c r="A38" s="6" t="s">
        <v>2</v>
      </c>
      <c r="B38" s="6" t="s">
        <v>10</v>
      </c>
      <c r="C38" s="6">
        <v>2020</v>
      </c>
      <c r="D38" s="6">
        <v>4</v>
      </c>
      <c r="E38" s="6">
        <v>1141000</v>
      </c>
      <c r="F38" s="3">
        <v>-5630.21</v>
      </c>
      <c r="G38" s="2" t="s">
        <v>0</v>
      </c>
    </row>
    <row r="39" spans="1:7" ht="15.65">
      <c r="A39" s="6" t="s">
        <v>2</v>
      </c>
      <c r="B39" s="6" t="s">
        <v>9</v>
      </c>
      <c r="C39" s="6">
        <v>2020</v>
      </c>
      <c r="D39" s="6">
        <v>5</v>
      </c>
      <c r="E39" s="6">
        <v>1141000</v>
      </c>
      <c r="F39" s="3">
        <v>-5630.2200000000003</v>
      </c>
      <c r="G39" s="2" t="s">
        <v>0</v>
      </c>
    </row>
    <row r="40" spans="1:7" ht="15.65">
      <c r="A40" s="6" t="s">
        <v>2</v>
      </c>
      <c r="B40" s="6" t="s">
        <v>8</v>
      </c>
      <c r="C40" s="6">
        <v>2020</v>
      </c>
      <c r="D40" s="6">
        <v>6</v>
      </c>
      <c r="E40" s="6">
        <v>1141000</v>
      </c>
      <c r="F40" s="3">
        <v>-5630.21</v>
      </c>
      <c r="G40" s="2" t="s">
        <v>0</v>
      </c>
    </row>
    <row r="41" spans="1:7" ht="15.65">
      <c r="A41" s="6" t="s">
        <v>2</v>
      </c>
      <c r="B41" s="6" t="s">
        <v>7</v>
      </c>
      <c r="C41" s="6">
        <v>2020</v>
      </c>
      <c r="D41" s="6">
        <v>7</v>
      </c>
      <c r="E41" s="6">
        <v>1141000</v>
      </c>
      <c r="F41" s="3">
        <v>-5630.2200000000003</v>
      </c>
      <c r="G41" s="2" t="s">
        <v>0</v>
      </c>
    </row>
    <row r="42" spans="1:7" ht="15.65">
      <c r="A42" s="6" t="s">
        <v>2</v>
      </c>
      <c r="B42" s="6" t="s">
        <v>6</v>
      </c>
      <c r="C42" s="6">
        <v>2020</v>
      </c>
      <c r="D42" s="6">
        <v>8</v>
      </c>
      <c r="E42" s="6">
        <v>1141000</v>
      </c>
      <c r="F42" s="3">
        <v>-5630.21</v>
      </c>
      <c r="G42" s="2" t="s">
        <v>0</v>
      </c>
    </row>
    <row r="43" spans="1:7" ht="15.65">
      <c r="A43" s="6" t="s">
        <v>2</v>
      </c>
      <c r="B43" s="6" t="s">
        <v>5</v>
      </c>
      <c r="C43" s="6">
        <v>2020</v>
      </c>
      <c r="D43" s="6">
        <v>9</v>
      </c>
      <c r="E43" s="6">
        <v>1141000</v>
      </c>
      <c r="F43" s="3">
        <v>-5630.2200000000003</v>
      </c>
      <c r="G43" s="2" t="s">
        <v>0</v>
      </c>
    </row>
    <row r="44" spans="1:7" ht="15.65">
      <c r="A44" s="6" t="s">
        <v>2</v>
      </c>
      <c r="B44" s="6" t="s">
        <v>4</v>
      </c>
      <c r="C44" s="6">
        <v>2020</v>
      </c>
      <c r="D44" s="6">
        <v>10</v>
      </c>
      <c r="E44" s="6">
        <v>1141000</v>
      </c>
      <c r="F44" s="3">
        <v>-5630.21</v>
      </c>
      <c r="G44" s="2" t="s">
        <v>0</v>
      </c>
    </row>
    <row r="45" spans="1:7" ht="15.65">
      <c r="A45" s="6" t="s">
        <v>2</v>
      </c>
      <c r="B45" s="6" t="s">
        <v>3</v>
      </c>
      <c r="C45" s="6">
        <v>2020</v>
      </c>
      <c r="D45" s="6">
        <v>11</v>
      </c>
      <c r="E45" s="6">
        <v>1141000</v>
      </c>
      <c r="F45" s="3">
        <v>-5630.2200000000003</v>
      </c>
      <c r="G45" s="2" t="s">
        <v>0</v>
      </c>
    </row>
    <row r="46" spans="1:7" ht="15.65">
      <c r="A46" s="6" t="s">
        <v>2</v>
      </c>
      <c r="B46" s="6" t="s">
        <v>1</v>
      </c>
      <c r="C46" s="6">
        <v>2020</v>
      </c>
      <c r="D46" s="6">
        <v>12</v>
      </c>
      <c r="E46" s="6">
        <v>1141000</v>
      </c>
      <c r="F46" s="3">
        <v>-5630.21</v>
      </c>
      <c r="G46" s="2" t="s">
        <v>0</v>
      </c>
    </row>
    <row r="47" spans="1:7" ht="15.65">
      <c r="A47" s="6" t="s">
        <v>2</v>
      </c>
      <c r="B47" s="6" t="s">
        <v>53</v>
      </c>
      <c r="C47" s="6">
        <v>2021</v>
      </c>
      <c r="D47" s="6">
        <v>1</v>
      </c>
      <c r="E47" s="6">
        <v>1141000</v>
      </c>
      <c r="F47" s="3">
        <v>-5630.2200000000003</v>
      </c>
      <c r="G47" s="2" t="s">
        <v>0</v>
      </c>
    </row>
    <row r="48" spans="1:7" ht="15.65">
      <c r="A48" s="6" t="s">
        <v>2</v>
      </c>
      <c r="B48" s="6" t="s">
        <v>54</v>
      </c>
      <c r="C48" s="6">
        <v>2021</v>
      </c>
      <c r="D48" s="6">
        <v>2</v>
      </c>
      <c r="E48" s="6">
        <v>1141000</v>
      </c>
      <c r="F48" s="3">
        <v>-5630.21</v>
      </c>
      <c r="G48" s="2" t="s">
        <v>0</v>
      </c>
    </row>
    <row r="49" spans="1:7" ht="15.65">
      <c r="A49" s="6" t="s">
        <v>2</v>
      </c>
      <c r="B49" s="6" t="s">
        <v>55</v>
      </c>
      <c r="C49" s="6">
        <v>2021</v>
      </c>
      <c r="D49" s="6">
        <v>3</v>
      </c>
      <c r="E49" s="6">
        <v>1141000</v>
      </c>
      <c r="F49" s="3">
        <v>-5630.2200000000003</v>
      </c>
      <c r="G49" s="2" t="s">
        <v>0</v>
      </c>
    </row>
    <row r="50" spans="1:7" ht="15.65">
      <c r="A50" s="6" t="s">
        <v>2</v>
      </c>
      <c r="B50" s="6" t="s">
        <v>56</v>
      </c>
      <c r="C50" s="6">
        <v>2021</v>
      </c>
      <c r="D50" s="6">
        <v>4</v>
      </c>
      <c r="E50" s="6">
        <v>1141000</v>
      </c>
      <c r="F50" s="3">
        <v>-5630.21</v>
      </c>
      <c r="G50" s="2" t="s">
        <v>0</v>
      </c>
    </row>
    <row r="51" spans="1:7" ht="15.65">
      <c r="A51" s="6" t="s">
        <v>2</v>
      </c>
      <c r="B51" s="6" t="s">
        <v>57</v>
      </c>
      <c r="C51" s="6">
        <v>2021</v>
      </c>
      <c r="D51" s="6">
        <v>5</v>
      </c>
      <c r="E51" s="6">
        <v>1141000</v>
      </c>
      <c r="F51" s="3">
        <v>-5630.2200000000003</v>
      </c>
      <c r="G51" s="2" t="s">
        <v>0</v>
      </c>
    </row>
    <row r="52" spans="1:7" ht="15.65">
      <c r="A52" s="6" t="s">
        <v>2</v>
      </c>
      <c r="B52" s="6" t="s">
        <v>58</v>
      </c>
      <c r="C52" s="6">
        <v>2021</v>
      </c>
      <c r="D52" s="6">
        <v>6</v>
      </c>
      <c r="E52" s="6">
        <v>1141000</v>
      </c>
      <c r="F52" s="3">
        <v>-5630.21</v>
      </c>
      <c r="G52" s="2" t="s">
        <v>0</v>
      </c>
    </row>
    <row r="53" spans="1:7" ht="15.65">
      <c r="A53" s="6" t="s">
        <v>2</v>
      </c>
      <c r="B53" s="6" t="s">
        <v>65</v>
      </c>
      <c r="C53" s="6">
        <v>2021</v>
      </c>
      <c r="D53" s="6">
        <v>7</v>
      </c>
      <c r="E53" s="6">
        <v>1141000</v>
      </c>
      <c r="F53" s="3">
        <v>-5630.2200000000003</v>
      </c>
      <c r="G53" s="2" t="s">
        <v>0</v>
      </c>
    </row>
    <row r="54" spans="1:7" ht="15.65">
      <c r="A54" s="6" t="s">
        <v>2</v>
      </c>
      <c r="B54" s="6" t="s">
        <v>66</v>
      </c>
      <c r="C54" s="6">
        <v>2021</v>
      </c>
      <c r="D54" s="6">
        <v>8</v>
      </c>
      <c r="E54" s="6">
        <v>1141000</v>
      </c>
      <c r="F54" s="3">
        <v>-5630.21</v>
      </c>
      <c r="G54" s="2" t="s">
        <v>0</v>
      </c>
    </row>
    <row r="55" spans="1:7" ht="15.65">
      <c r="A55" s="6" t="s">
        <v>2</v>
      </c>
      <c r="B55" s="6" t="s">
        <v>67</v>
      </c>
      <c r="C55" s="6">
        <v>2021</v>
      </c>
      <c r="D55" s="6">
        <v>9</v>
      </c>
      <c r="E55" s="6">
        <v>1141000</v>
      </c>
      <c r="F55" s="3">
        <v>-5630.2200000000003</v>
      </c>
      <c r="G55" s="2" t="s">
        <v>0</v>
      </c>
    </row>
    <row r="56" spans="1:7" ht="15.65">
      <c r="A56" s="6" t="s">
        <v>2</v>
      </c>
      <c r="B56" s="6" t="s">
        <v>68</v>
      </c>
      <c r="C56" s="6">
        <v>2021</v>
      </c>
      <c r="D56" s="6">
        <v>10</v>
      </c>
      <c r="E56" s="6">
        <v>1141000</v>
      </c>
      <c r="F56" s="3">
        <v>-5630.21</v>
      </c>
      <c r="G56" s="2" t="s">
        <v>0</v>
      </c>
    </row>
    <row r="57" spans="1:7" ht="15.65">
      <c r="A57" s="6" t="s">
        <v>2</v>
      </c>
      <c r="B57" s="6" t="s">
        <v>69</v>
      </c>
      <c r="C57" s="6">
        <v>2021</v>
      </c>
      <c r="D57" s="6">
        <v>11</v>
      </c>
      <c r="E57" s="6">
        <v>1141000</v>
      </c>
      <c r="F57" s="3">
        <v>-5630.2200000000003</v>
      </c>
      <c r="G57" s="2" t="s">
        <v>0</v>
      </c>
    </row>
    <row r="58" spans="1:7" ht="15.65">
      <c r="A58" s="6" t="s">
        <v>2</v>
      </c>
      <c r="B58" s="6" t="s">
        <v>70</v>
      </c>
      <c r="C58" s="6">
        <v>2021</v>
      </c>
      <c r="D58" s="6">
        <v>12</v>
      </c>
      <c r="E58" s="6">
        <v>1141000</v>
      </c>
      <c r="F58" s="3">
        <v>-5630.21</v>
      </c>
      <c r="G58" s="2" t="s">
        <v>0</v>
      </c>
    </row>
    <row r="59" spans="1:5" ht="15.65">
      <c r="A59" s="6"/>
      <c r="B59" s="6"/>
      <c r="C59" s="6"/>
      <c r="D59" s="6"/>
      <c r="E59" s="6"/>
    </row>
    <row r="60" spans="6:6" ht="15.65">
      <c r="F60" s="8"/>
    </row>
    <row r="61" spans="2:6" ht="15.65">
      <c r="B61" s="2" t="s">
        <v>72</v>
      </c>
      <c r="F61" s="7">
        <f>SUM(F8:F58)</f>
        <v>720667.52000000165</v>
      </c>
    </row>
    <row r="63" spans="1:1" ht="15.65">
      <c r="A63" s="2" t="s">
        <v>64</v>
      </c>
    </row>
    <row r="64" spans="1:1" ht="15.65">
      <c r="A64" s="2" t="s">
        <v>63</v>
      </c>
    </row>
    <row r="65" spans="1:5" ht="15.65">
      <c r="A65" s="2" t="s">
        <v>62</v>
      </c>
      <c r="E65" s="7">
        <f>-SUM(F35:F46)</f>
        <v>67562.580000000002</v>
      </c>
    </row>
    <row r="66" spans="1:6" ht="15.65">
      <c r="A66" s="2" t="s">
        <v>49</v>
      </c>
      <c r="E66" s="9">
        <f>F8/(E65)</f>
        <v>14.761119098767395</v>
      </c>
      <c r="F66" s="2"/>
    </row>
    <row r="67" spans="1:6" ht="15.65">
      <c r="A67" s="2" t="s">
        <v>60</v>
      </c>
      <c r="E67" s="9">
        <f>F61/E65</f>
        <v>10.666666666666691</v>
      </c>
      <c r="F67" s="2" t="s">
        <v>61</v>
      </c>
    </row>
  </sheetData>
  <printOptions horizontalCentered="1"/>
  <pageMargins left="1.5" right="0.75" top="3" bottom="0.5" header="0.5" footer="0.5"/>
  <pageSetup fitToHeight="0" orientation="portrait" scale="56" r:id="rId1"/>
  <headerFooter>
    <oddHeader>&amp;C&amp;"Arial,Bold"&amp;12
2022 RATE CASE
ONCOR ELECTRIC DELIVERY COMPANY LLC
ELECTRIC PLANT ACQUISITION ADJUSTMENT - TRAN (1)
FOR THE TEST YEAR ENDING DECEMBER 31, 2021
SPONSOR: W. A. LEDBETTER&amp;R&amp;"Arial,Bold"&amp;12WP/II-B-11/01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II-B-11_01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