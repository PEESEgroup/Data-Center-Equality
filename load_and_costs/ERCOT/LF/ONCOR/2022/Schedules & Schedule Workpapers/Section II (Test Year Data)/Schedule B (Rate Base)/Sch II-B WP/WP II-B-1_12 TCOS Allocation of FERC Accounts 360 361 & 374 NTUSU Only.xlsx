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7934" yWindow="6276" windowWidth="15174" windowHeight="7811" tabRatio="843" activeTab="0"/>
  </bookViews>
  <sheets>
    <sheet name="WP II-B-1_12 360 361 &amp; 374" sheetId="8" r:id="rId2"/>
  </sheets>
  <definedNames>
    <definedName name="_xlnm.Print_Titles" localSheetId="0">'WP II-B-1_12 360 361 &amp; 374'!$1:$1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G27" i="8" l="1"/>
</calcChain>
</file>

<file path=xl/sharedStrings.xml><?xml version="1.0" encoding="utf-8"?>
<sst xmlns="http://schemas.openxmlformats.org/spreadsheetml/2006/main" count="79" uniqueCount="54">
  <si>
    <t>TCOS Investment</t>
  </si>
  <si>
    <t>DIST Investment</t>
  </si>
  <si>
    <t>Location</t>
  </si>
  <si>
    <t>Location Name</t>
  </si>
  <si>
    <t>FERC Account</t>
  </si>
  <si>
    <t>Investment</t>
  </si>
  <si>
    <t>361</t>
  </si>
  <si>
    <t>374</t>
  </si>
  <si>
    <t>Location's TCOS % from WP II-B-1_10</t>
  </si>
  <si>
    <t>Driver 138 - 25KV</t>
  </si>
  <si>
    <t>Natural Dam 138 - 25KV</t>
  </si>
  <si>
    <t>Salt Flat Road 138 - 25KV</t>
  </si>
  <si>
    <t>Airport Road 138 - 25KV</t>
  </si>
  <si>
    <t>Brown 138 - 12.5KV</t>
  </si>
  <si>
    <t>Canal Road 138 - 25KV</t>
  </si>
  <si>
    <t>Carterville 138 - 25KV</t>
  </si>
  <si>
    <t>Coyote 138 - 25KV</t>
  </si>
  <si>
    <t>East Stiles 138 - 25KV</t>
  </si>
  <si>
    <t>Elbow 138 - 25KV</t>
  </si>
  <si>
    <t>Glass Ranch 138 - 25KV</t>
  </si>
  <si>
    <t>Grady 138 - 25KV</t>
  </si>
  <si>
    <t>Hadacol Corner 138 - 25KV</t>
  </si>
  <si>
    <t>Luther 138 - 25KV</t>
  </si>
  <si>
    <t>Pecan Grove 138 - 25KV</t>
  </si>
  <si>
    <t>Dewey Lake Sub</t>
  </si>
  <si>
    <t>Ringo 138 - 25KV</t>
  </si>
  <si>
    <t>Salt Mine 138 - 25KV</t>
  </si>
  <si>
    <t>St. Lawrence 138 - 25KV</t>
  </si>
  <si>
    <t>Triangle 138KV</t>
  </si>
  <si>
    <t>Yosemite 138 - 12.5KV</t>
  </si>
  <si>
    <t>361 Total</t>
  </si>
  <si>
    <t>374 Total</t>
  </si>
  <si>
    <t>N006010</t>
  </si>
  <si>
    <t>N006030</t>
  </si>
  <si>
    <t>N006060</t>
  </si>
  <si>
    <t>N006070</t>
  </si>
  <si>
    <t>N006100</t>
  </si>
  <si>
    <t>N006110</t>
  </si>
  <si>
    <t>N006160</t>
  </si>
  <si>
    <t>N006170</t>
  </si>
  <si>
    <t>N006180</t>
  </si>
  <si>
    <t>N006210</t>
  </si>
  <si>
    <t>N006220</t>
  </si>
  <si>
    <t>N006230</t>
  </si>
  <si>
    <t>N006260</t>
  </si>
  <si>
    <t>N006270</t>
  </si>
  <si>
    <t>N006310</t>
  </si>
  <si>
    <t>N006350</t>
  </si>
  <si>
    <t>N006400</t>
  </si>
  <si>
    <t>N006420</t>
  </si>
  <si>
    <t>N006090</t>
  </si>
  <si>
    <t>N006140</t>
  </si>
  <si>
    <t>N006320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</si>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</sst>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 quotePrefix="1">
      <alignment horizontal="center"/>
    </xf>
    <xf numFmtId="0" fontId="4" fillId="0" borderId="0" xfId="0" applyFont="1" applyAlignment="1">
      <alignment horizontal="center"/>
    </xf>
    <xf numFmtId="43" fontId="4" fillId="0" borderId="1" xfId="18" applyFont="1" applyBorder="1" applyAlignment="1">
      <alignment horizontal="center" vertical="center" wrapText="1"/>
    </xf>
    <xf numFmtId="43" fontId="3" fillId="0" borderId="0" xfId="18" applyFont="1"/>
    <xf numFmtId="43" fontId="3" fillId="0" borderId="0" xfId="18" applyFont="1" applyAlignment="1">
      <alignment horizontal="center"/>
    </xf>
    <xf numFmtId="43" fontId="3" fillId="0" borderId="0" xfId="18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27"/>
  <sheetViews>
    <sheetView tabSelected="1" workbookViewId="0" topLeftCell="A1">
      <selection pane="topLeft" activeCell="A2" sqref="A2"/>
    </sheetView>
  </sheetViews>
  <sheetFormatPr defaultColWidth="9.12428571428571" defaultRowHeight="15.75" outlineLevelRow="2"/>
  <cols>
    <col min="1" max="1" width="12.2857142857143" style="4" customWidth="1"/>
    <col min="2" max="2" width="45.4285714285714" style="1" bestFit="1" customWidth="1"/>
    <col min="3" max="3" width="14.7142857142857" style="4" customWidth="1"/>
    <col min="4" max="4" width="18.8571428571429" style="8" bestFit="1" customWidth="1"/>
    <col min="5" max="5" width="16.4285714285714" style="9" bestFit="1" customWidth="1"/>
    <col min="6" max="6" width="17.5714285714286" style="10" bestFit="1" customWidth="1"/>
    <col min="7" max="7" width="18.8571428571429" style="10" bestFit="1" customWidth="1"/>
    <col min="8" max="16384" width="9.14285714285714" style="1"/>
  </cols>
  <sheetData>
    <row r="1" spans="1:7" s="2" customFormat="1" ht="46.9">
      <c r="A1" s="3" t="s">
        <v>2</v>
      </c>
      <c r="B1" s="3" t="s">
        <v>3</v>
      </c>
      <c r="C1" s="3" t="s">
        <v>4</v>
      </c>
      <c r="D1" s="7" t="s">
        <v>5</v>
      </c>
      <c r="E1" s="7" t="s">
        <v>8</v>
      </c>
      <c r="F1" s="7" t="s">
        <v>0</v>
      </c>
      <c r="G1" s="7" t="s">
        <v>1</v>
      </c>
    </row>
    <row r="2" spans="1:7" ht="15.65" outlineLevel="2">
      <c r="A2" s="5" t="s">
        <v>32</v>
      </c>
      <c r="B2" s="1" t="s">
        <v>12</v>
      </c>
      <c r="C2" s="4" t="s">
        <v>6</v>
      </c>
      <c r="D2" s="8">
        <v>2083533.8199999998</v>
      </c>
      <c r="E2" s="9">
        <v>0.47282862244680368</v>
      </c>
      <c r="F2" s="10">
        <v>985154.4259319267</v>
      </c>
      <c r="G2" s="10">
        <v>1098379.3940680733</v>
      </c>
    </row>
    <row r="3" spans="1:7" ht="15.65" outlineLevel="2">
      <c r="A3" s="4" t="s">
        <v>33</v>
      </c>
      <c r="B3" s="1" t="s">
        <v>13</v>
      </c>
      <c r="C3" s="4" t="s">
        <v>6</v>
      </c>
      <c r="D3" s="8">
        <v>1639081.5999999999</v>
      </c>
      <c r="E3" s="9">
        <v>0.24326229247856715</v>
      </c>
      <c r="F3" s="10">
        <v>398726.74757543777</v>
      </c>
      <c r="G3" s="10">
        <v>1240354.852424562</v>
      </c>
    </row>
    <row r="4" spans="1:7" ht="15.65" outlineLevel="2">
      <c r="A4" s="4" t="s">
        <v>34</v>
      </c>
      <c r="B4" s="1" t="s">
        <v>14</v>
      </c>
      <c r="C4" s="4" t="s">
        <v>6</v>
      </c>
      <c r="D4" s="8">
        <v>1768739.1000000001</v>
      </c>
      <c r="E4" s="9">
        <v>0.48881952607667301</v>
      </c>
      <c r="F4" s="10">
        <v>864594.20861528092</v>
      </c>
      <c r="G4" s="10">
        <v>904144.89138471941</v>
      </c>
    </row>
    <row r="5" spans="1:7" ht="15.65" outlineLevel="2">
      <c r="A5" s="4" t="s">
        <v>35</v>
      </c>
      <c r="B5" s="1" t="s">
        <v>15</v>
      </c>
      <c r="C5" s="4" t="s">
        <v>6</v>
      </c>
      <c r="D5" s="8">
        <v>2330662.54</v>
      </c>
      <c r="E5" s="9">
        <v>0.39916259064113446</v>
      </c>
      <c r="F5" s="10">
        <v>930313.29737664666</v>
      </c>
      <c r="G5" s="10">
        <v>1400349.2426233531</v>
      </c>
    </row>
    <row r="6" spans="1:7" ht="15.65" outlineLevel="2">
      <c r="A6" s="4" t="s">
        <v>50</v>
      </c>
      <c r="B6" s="1" t="s">
        <v>16</v>
      </c>
      <c r="C6" s="4" t="s">
        <v>6</v>
      </c>
      <c r="D6" s="8">
        <v>1558725.9999999998</v>
      </c>
      <c r="E6" s="9">
        <v>0.26120356249023574</v>
      </c>
      <c r="F6" s="10">
        <v>407144.78414615517</v>
      </c>
      <c r="G6" s="10">
        <v>1151581.2158538445</v>
      </c>
    </row>
    <row r="7" spans="1:7" ht="15.65" outlineLevel="2">
      <c r="A7" s="4" t="s">
        <v>36</v>
      </c>
      <c r="B7" s="1" t="s">
        <v>9</v>
      </c>
      <c r="C7" s="4" t="s">
        <v>6</v>
      </c>
      <c r="D7" s="8">
        <v>2464130.2999999998</v>
      </c>
      <c r="E7" s="9">
        <v>0.29658341151764978</v>
      </c>
      <c r="F7" s="10">
        <v>730820.17079800984</v>
      </c>
      <c r="G7" s="10">
        <v>1733310.1292019901</v>
      </c>
    </row>
    <row r="8" spans="1:7" ht="15.65" outlineLevel="2">
      <c r="A8" s="4" t="s">
        <v>37</v>
      </c>
      <c r="B8" s="1" t="s">
        <v>17</v>
      </c>
      <c r="C8" s="4" t="s">
        <v>6</v>
      </c>
      <c r="D8" s="8">
        <v>2465331.8999999999</v>
      </c>
      <c r="E8" s="9">
        <v>0.48733705181477893</v>
      </c>
      <c r="F8" s="10">
        <v>1201447.5798909273</v>
      </c>
      <c r="G8" s="10">
        <v>1263884.3201090726</v>
      </c>
    </row>
    <row r="9" spans="1:7" ht="15.65" outlineLevel="2">
      <c r="A9" s="4" t="s">
        <v>51</v>
      </c>
      <c r="B9" s="1" t="s">
        <v>18</v>
      </c>
      <c r="C9" s="4" t="s">
        <v>6</v>
      </c>
      <c r="D9" s="8">
        <v>626923.81000000006</v>
      </c>
      <c r="E9" s="9">
        <v>0.71898953706967184</v>
      </c>
      <c r="F9" s="10">
        <v>450751.65992985491</v>
      </c>
      <c r="G9" s="10">
        <v>176172.15007014509</v>
      </c>
    </row>
    <row r="10" spans="1:7" ht="15.65" outlineLevel="2">
      <c r="A10" s="4" t="s">
        <v>38</v>
      </c>
      <c r="B10" s="1" t="s">
        <v>19</v>
      </c>
      <c r="C10" s="4" t="s">
        <v>6</v>
      </c>
      <c r="D10" s="8">
        <v>2167150.7599999998</v>
      </c>
      <c r="E10" s="9">
        <v>0.46956839311046211</v>
      </c>
      <c r="F10" s="10">
        <v>1017625.5000013167</v>
      </c>
      <c r="G10" s="10">
        <v>1149525.2599986834</v>
      </c>
    </row>
    <row r="11" spans="1:7" ht="15.65" outlineLevel="2">
      <c r="A11" s="4" t="s">
        <v>39</v>
      </c>
      <c r="B11" s="1" t="s">
        <v>20</v>
      </c>
      <c r="C11" s="4" t="s">
        <v>6</v>
      </c>
      <c r="D11" s="8">
        <v>2559414.1599999997</v>
      </c>
      <c r="E11" s="9">
        <v>0.40272547264703151</v>
      </c>
      <c r="F11" s="10">
        <v>1030741.2772855051</v>
      </c>
      <c r="G11" s="10">
        <v>1528672.8827144946</v>
      </c>
    </row>
    <row r="12" spans="1:7" ht="15.65" outlineLevel="2">
      <c r="A12" s="4" t="s">
        <v>40</v>
      </c>
      <c r="B12" s="1" t="s">
        <v>21</v>
      </c>
      <c r="C12" s="4" t="s">
        <v>6</v>
      </c>
      <c r="D12" s="8">
        <v>1143535.3599999999</v>
      </c>
      <c r="E12" s="9">
        <v>0.26534384367352765</v>
      </c>
      <c r="F12" s="10">
        <v>303430.06779899122</v>
      </c>
      <c r="G12" s="10">
        <v>840105.29220100876</v>
      </c>
    </row>
    <row r="13" spans="1:7" ht="15.65" outlineLevel="2">
      <c r="A13" s="4" t="s">
        <v>41</v>
      </c>
      <c r="B13" s="1" t="s">
        <v>22</v>
      </c>
      <c r="C13" s="4" t="s">
        <v>6</v>
      </c>
      <c r="D13" s="8">
        <v>2023428.7499999998</v>
      </c>
      <c r="E13" s="9">
        <v>0.46621570959721675</v>
      </c>
      <c r="F13" s="10">
        <v>943354.27050065948</v>
      </c>
      <c r="G13" s="10">
        <v>1080074.4794993405</v>
      </c>
    </row>
    <row r="14" spans="1:7" ht="15.65" outlineLevel="2">
      <c r="A14" s="4" t="s">
        <v>42</v>
      </c>
      <c r="B14" s="1" t="s">
        <v>10</v>
      </c>
      <c r="C14" s="4" t="s">
        <v>6</v>
      </c>
      <c r="D14" s="8">
        <v>2416301.48</v>
      </c>
      <c r="E14" s="9">
        <v>0.35993619583891978</v>
      </c>
      <c r="F14" s="10">
        <v>869714.36271115171</v>
      </c>
      <c r="G14" s="10">
        <v>1546587.1172888484</v>
      </c>
    </row>
    <row r="15" spans="1:7" ht="15.65" outlineLevel="2">
      <c r="A15" s="4" t="s">
        <v>43</v>
      </c>
      <c r="B15" s="1" t="s">
        <v>23</v>
      </c>
      <c r="C15" s="4" t="s">
        <v>6</v>
      </c>
      <c r="D15" s="8">
        <v>1658122.0500000001</v>
      </c>
      <c r="E15" s="9">
        <v>0.40291261788137023</v>
      </c>
      <c r="F15" s="10">
        <v>668078.29593232425</v>
      </c>
      <c r="G15" s="10">
        <v>990043.75406767556</v>
      </c>
    </row>
    <row r="16" spans="1:7" ht="15.65" outlineLevel="2">
      <c r="A16" s="4" t="s">
        <v>44</v>
      </c>
      <c r="B16" s="1" t="s">
        <v>24</v>
      </c>
      <c r="C16" s="4" t="s">
        <v>6</v>
      </c>
      <c r="D16" s="8">
        <v>2966377.6600000001</v>
      </c>
      <c r="E16" s="9">
        <v>0.33283781471825064</v>
      </c>
      <c r="F16" s="10">
        <v>987322.65798343788</v>
      </c>
      <c r="G16" s="10">
        <v>1979055.002016562</v>
      </c>
    </row>
    <row r="17" spans="1:7" ht="15.65" outlineLevel="2">
      <c r="A17" s="4" t="s">
        <v>45</v>
      </c>
      <c r="B17" s="1" t="s">
        <v>25</v>
      </c>
      <c r="C17" s="4" t="s">
        <v>6</v>
      </c>
      <c r="D17" s="8">
        <v>2301173.8399999999</v>
      </c>
      <c r="E17" s="9">
        <v>0.27569037669659097</v>
      </c>
      <c r="F17" s="10">
        <v>634411.4827939407</v>
      </c>
      <c r="G17" s="10">
        <v>1666762.3572060592</v>
      </c>
    </row>
    <row r="18" spans="1:7" ht="15.65" outlineLevel="2">
      <c r="A18" s="4" t="s">
        <v>46</v>
      </c>
      <c r="B18" s="1" t="s">
        <v>11</v>
      </c>
      <c r="C18" s="4" t="s">
        <v>6</v>
      </c>
      <c r="D18" s="8">
        <v>658230.09999999998</v>
      </c>
      <c r="E18" s="9">
        <v>0.19110045534539991</v>
      </c>
      <c r="F18" s="10">
        <v>125788.07183204813</v>
      </c>
      <c r="G18" s="10">
        <v>532442.02816795185</v>
      </c>
    </row>
    <row r="19" spans="1:7" ht="15.65" outlineLevel="2">
      <c r="A19" s="4" t="s">
        <v>52</v>
      </c>
      <c r="B19" s="1" t="s">
        <v>26</v>
      </c>
      <c r="C19" s="4" t="s">
        <v>6</v>
      </c>
      <c r="D19" s="8">
        <v>70067.289999999994</v>
      </c>
      <c r="E19" s="9">
        <v>0.76136831321326259</v>
      </c>
      <c r="F19" s="10">
        <v>53347.014398724496</v>
      </c>
      <c r="G19" s="10">
        <v>16720.275601275498</v>
      </c>
    </row>
    <row r="20" spans="1:7" ht="15.65" outlineLevel="2">
      <c r="A20" s="4" t="s">
        <v>47</v>
      </c>
      <c r="B20" s="1" t="s">
        <v>27</v>
      </c>
      <c r="C20" s="4" t="s">
        <v>6</v>
      </c>
      <c r="D20" s="8">
        <v>2253239.0100000002</v>
      </c>
      <c r="E20" s="9">
        <v>0.75005122777364719</v>
      </c>
      <c r="F20" s="10">
        <v>1690044.6859179775</v>
      </c>
      <c r="G20" s="10">
        <v>563194.32408202253</v>
      </c>
    </row>
    <row r="21" spans="1:7" ht="15.65" outlineLevel="2">
      <c r="A21" s="4" t="s">
        <v>48</v>
      </c>
      <c r="B21" s="1" t="s">
        <v>28</v>
      </c>
      <c r="C21" s="4" t="s">
        <v>6</v>
      </c>
      <c r="D21" s="8">
        <v>1747352.8799999999</v>
      </c>
      <c r="E21" s="9">
        <v>0.7989639788223587</v>
      </c>
      <c r="F21" s="10">
        <v>1396072.0094115075</v>
      </c>
      <c r="G21" s="10">
        <v>351280.87058849266</v>
      </c>
    </row>
    <row r="22" spans="1:7" ht="15.65" outlineLevel="2">
      <c r="A22" s="4" t="s">
        <v>49</v>
      </c>
      <c r="B22" s="1" t="s">
        <v>29</v>
      </c>
      <c r="C22" s="4" t="s">
        <v>6</v>
      </c>
      <c r="D22" s="8">
        <v>827583.21999999997</v>
      </c>
      <c r="E22" s="9">
        <v>0.42695244511339714</v>
      </c>
      <c r="F22" s="10">
        <v>353338.67931381857</v>
      </c>
      <c r="G22" s="10">
        <v>474244.54068618151</v>
      </c>
    </row>
    <row r="23" spans="3:7" ht="15.65" outlineLevel="1">
      <c r="C23" s="6" t="s">
        <v>30</v>
      </c>
      <c r="D23" s="8">
        <f>SUBTOTAL(9,D2:D22)</f>
        <v>37729105.630000003</v>
      </c>
      <c r="F23" s="10">
        <f>SUBTOTAL(9,F2:F22)</f>
        <v>16042221.250145642</v>
      </c>
      <c r="G23" s="10">
        <f>SUBTOTAL(9,G2:G22)</f>
        <v>21686884.379854355</v>
      </c>
    </row>
    <row r="24" spans="1:7" ht="15.65" outlineLevel="2">
      <c r="A24" s="4" t="s">
        <v>50</v>
      </c>
      <c r="B24" s="1" t="s">
        <v>16</v>
      </c>
      <c r="C24" s="4" t="s">
        <v>7</v>
      </c>
      <c r="D24" s="8">
        <v>34268.769999999997</v>
      </c>
      <c r="E24" s="9">
        <v>0.26120356249023574</v>
      </c>
      <c r="F24" s="10">
        <v>8951.1248061585156</v>
      </c>
      <c r="G24" s="10">
        <v>25317.645193841483</v>
      </c>
    </row>
    <row r="25" spans="1:7" ht="15.65" outlineLevel="2">
      <c r="A25" s="4" t="s">
        <v>45</v>
      </c>
      <c r="B25" s="1" t="s">
        <v>25</v>
      </c>
      <c r="C25" s="4" t="s">
        <v>7</v>
      </c>
      <c r="D25" s="8">
        <v>145700.32999999999</v>
      </c>
      <c r="E25" s="9">
        <v>0.27569037669659097</v>
      </c>
      <c r="F25" s="10">
        <v>40168.178862517612</v>
      </c>
      <c r="G25" s="10">
        <v>105532.15113748238</v>
      </c>
    </row>
    <row r="26" spans="3:7" ht="15.65" outlineLevel="1">
      <c r="C26" s="6" t="s">
        <v>31</v>
      </c>
      <c r="D26" s="8">
        <f>SUBTOTAL(9,D24:D25)</f>
        <v>179969.09999999998</v>
      </c>
      <c r="F26" s="10">
        <f>SUBTOTAL(9,F24:F25)</f>
        <v>49119.303668676126</v>
      </c>
      <c r="G26" s="10">
        <f>SUBTOTAL(9,G24:G25)</f>
        <v>130849.79633132386</v>
      </c>
    </row>
    <row r="27" spans="3:7" ht="15.65">
      <c r="C27" s="6" t="s">
        <v>53</v>
      </c>
      <c r="D27" s="8">
        <f>SUBTOTAL(9,D2:D25)</f>
        <v>37909074.730000004</v>
      </c>
      <c r="F27" s="10">
        <f>SUBTOTAL(9,F2:F25)</f>
        <v>16091340.553814318</v>
      </c>
      <c r="G27" s="10">
        <f>SUBTOTAL(9,G2:G25)</f>
        <v>21817734.176185679</v>
      </c>
    </row>
  </sheetData>
  <pageMargins left="0.7" right="0.7" top="3.53854166666667" bottom="0.75" header="1.5" footer="0.3"/>
  <pageSetup fitToHeight="0" orientation="landscape" scale="86" r:id="rId1"/>
  <headerFooter>
    <oddHeader>&amp;C&amp;"Arial,Bold"&amp;12
2022 RATE CASE
ONCOR ELECTRIC DELIVERY COMPANY LLC
TCOS ALLOCATION OF FERC ACCOUNTS 360, 361 &amp; 374 NTUSU Only
FOR THE TEST YEAR ENDING DECEMBER 31, 2021
SPONSOR: W. A. LEDBETTER&amp;R&amp;"Arial,Bold"&amp;12WP/II-B-1/12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FHHXVRPN3UPD-1807981734-30233</_dlc_DocId>
    <_dlc_DocIdUrl xmlns="4f7156c1-be87-4d1f-9274-ce189f982c1a">
      <Url>http://intranet.corp.oncor.com/sites/Finance/_layouts/15/DocIdRedir.aspx?ID=FHHXVRPN3UPD-1807981734-30233</Url>
      <Description>FHHXVRPN3UPD-1807981734-30233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66673-CFDF-4EF0-90E9-9EB89D5EBB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2.xml><?xml version="1.0" encoding="utf-8"?>
<ds:datastoreItem xmlns:ds="http://schemas.openxmlformats.org/officeDocument/2006/customXml" ds:itemID="{6ED1EB97-E244-448F-BBB5-F59E7C8F3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BB15A-9DC8-428D-AAEA-C923449E68E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5976A27-FFD1-47AB-8926-084758EB1E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II-B-1_12 360 361 &amp; 374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a9e72b94-2402-4e98-86ea-6bbed9e3a091</vt:lpwstr>
  </property>
</Properties>
</file>