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2022 Rate Case\Section II (Test Year Data)\Schedule B (Rate Base)\Sch II-B WP\"/>
    </mc:Choice>
  </mc:AlternateContent>
  <bookViews>
    <workbookView xWindow="0" yWindow="0" windowWidth="28800" windowHeight="12720" activeTab="0"/>
  </bookViews>
  <sheets>
    <sheet name="WP II-B-8_02" sheetId="2" r:id="rId2"/>
  </sheets>
  <definedNames>
    <definedName name="_xlnm.Print_Area" localSheetId="0">'WP II-B-8_02'!$A$6:$AO$35</definedName>
    <definedName name="_xlnm.Print_Titles" localSheetId="0">'WP II-B-8_02'!$A:$A</definedName>
  </definedNames>
  <calcPr calcId="152511"/>
</workbook>
</file>

<file path=xl/calcChain.xml><?xml version="1.0" encoding="utf-8"?>
<calcChain xmlns="http://schemas.openxmlformats.org/spreadsheetml/2006/main">
  <c r="AM32" i="2" l="1"/>
</calcChain>
</file>

<file path=xl/sharedStrings.xml><?xml version="1.0" encoding="utf-8"?>
<sst xmlns="http://schemas.openxmlformats.org/spreadsheetml/2006/main" count="44" uniqueCount="20">
  <si>
    <t xml:space="preserve">General Ledger Balance </t>
  </si>
  <si>
    <t>ACCOUNT 154 FUNCTIONALIZED BY MONTH</t>
  </si>
  <si>
    <t>ONCOR ELECTRIC DELIVERY COMPANY LLC</t>
  </si>
  <si>
    <t>Oncor Electric AMS in Transmission Warehouses</t>
  </si>
  <si>
    <t>Oncor Electric AMS in Distribution Warehouses</t>
  </si>
  <si>
    <r>
      <t xml:space="preserve">Oncor Electric Transmission and AMS Account 154 Balance </t>
    </r>
    <r>
      <rPr>
        <sz val="10"/>
        <rFont val="Arial"/>
        <family val="2"/>
      </rPr>
      <t>(Transmission and some AMS are carried as Business Unit TRAN)</t>
    </r>
  </si>
  <si>
    <r>
      <t xml:space="preserve">Oncor Electric Distribution, Meters and AMS Account 154 Balance </t>
    </r>
    <r>
      <rPr>
        <sz val="10"/>
        <rFont val="Arial"/>
        <family val="2"/>
      </rPr>
      <t>(Distribution, Meters and some AMS are carried as Business Unit DIST)</t>
    </r>
  </si>
  <si>
    <r>
      <t xml:space="preserve">Oncor Electric Transmission Account 154 Balance </t>
    </r>
    <r>
      <rPr>
        <sz val="10"/>
        <rFont val="Arial"/>
        <family val="2"/>
      </rPr>
      <t>(the General Ledger balance by month ties to Schedule II-B-8 column M lines 5-17; 20-22)</t>
    </r>
  </si>
  <si>
    <t>Balance per MAXIMO Database</t>
  </si>
  <si>
    <t>Total General Ledger</t>
  </si>
  <si>
    <t>Percentage of Meters to Total</t>
  </si>
  <si>
    <t>SPONSOR: A. THENMADATHIL</t>
  </si>
  <si>
    <t>II-B-8   MATERIALS AND SUPPLIES</t>
  </si>
  <si>
    <t>2022 RATE CASE</t>
  </si>
  <si>
    <t>TEST YEAR ENDING DECEMBER 31, 2021</t>
  </si>
  <si>
    <t>*There are Known and Measurable Adjustments for October, November and December 2021</t>
  </si>
  <si>
    <r>
      <t xml:space="preserve">Oncor Electric Distribution Account 154 Balance </t>
    </r>
    <r>
      <rPr>
        <sz val="10"/>
        <rFont val="Arial"/>
        <family val="2"/>
      </rPr>
      <t>(the General Ledger balance by month ties to Schedule II-B-8 column Q lines 5-17; 20-22)</t>
    </r>
  </si>
  <si>
    <r>
      <t xml:space="preserve">Oncor Electric Meters Account 154 Balance </t>
    </r>
    <r>
      <rPr>
        <sz val="10"/>
        <rFont val="Arial"/>
        <family val="2"/>
      </rPr>
      <t>(the General Ledger balance by month ties to Schedule II-B-8 column T lines 5-17; 20-22)</t>
    </r>
  </si>
  <si>
    <t>Oncor Electric AMS Account 154 Balance</t>
  </si>
  <si>
    <r>
      <t>Account 154 Totals</t>
    </r>
    <r>
      <rPr>
        <sz val="10"/>
        <rFont val="Arial"/>
        <family val="2"/>
      </rPr>
      <t xml:space="preserve"> (the General Ledger balance by month ties to Schedule II-B-8 column J lines 5-17; 20-22)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</si>
</sst>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0.0000%"/>
  </numFmts>
  <fonts count="11"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color rgb="FFFF0000"/>
      <name val="Arial"/>
      <family val="2"/>
    </font>
    <font>
      <sz val="9"/>
      <color indexed="8"/>
      <name val="Calibri"/>
      <family val="2"/>
      <scheme val="minor"/>
    </font>
    <font>
      <sz val="10"/>
      <color indexed="62"/>
      <name val="Arial"/>
      <family val="2"/>
    </font>
    <font>
      <sz val="9"/>
      <name val="Tahoma"/>
      <family val="2"/>
    </font>
    <font>
      <b/>
      <sz val="9"/>
      <name val="Tahoma"/>
      <family val="2"/>
    </font>
    <font>
      <sz val="12"/>
      <name val="Arial"/>
      <family val="2"/>
    </font>
    <font>
      <sz val="12"/>
      <color indexed="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/>
      <bottom style="thin">
        <color auto="1"/>
      </bottom>
    </border>
    <border>
      <left/>
      <right/>
      <top/>
      <bottom style="medium">
        <color auto="1"/>
      </bottom>
    </border>
    <border>
      <left/>
      <right/>
      <top/>
      <bottom style="double">
        <color auto="1"/>
      </bottom>
    </border>
  </borders>
  <cellStyleXfs count="3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>
      <alignment/>
      <protection/>
    </xf>
    <xf numFmtId="43" fontId="0" fillId="0" borderId="0" applyFont="0" applyFill="0" applyBorder="0" applyAlignment="0" applyProtection="0"/>
    <xf numFmtId="43" fontId="6" fillId="0" borderId="0">
      <alignment/>
      <protection/>
    </xf>
    <xf numFmtId="9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9" fillId="2" borderId="0" applyFill="0" applyBorder="0" applyProtection="0">
      <alignment horizontal="right"/>
    </xf>
    <xf numFmtId="0" fontId="0" fillId="0" borderId="0">
      <alignment/>
      <protection/>
    </xf>
    <xf numFmtId="43" fontId="10" fillId="0" borderId="0">
      <alignment/>
      <protection/>
    </xf>
  </cellStyleXfs>
  <cellXfs count="55">
    <xf numFmtId="0" fontId="0" fillId="0" borderId="0" xfId="0"/>
    <xf numFmtId="0" fontId="2" fillId="0" borderId="0" xfId="0" applyFont="1" applyFill="1" applyBorder="1" applyProtection="1">
      <protection locked="0"/>
    </xf>
    <xf numFmtId="0" fontId="0" fillId="0" borderId="0" xfId="0" applyFill="1"/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14" fontId="2" fillId="0" borderId="0" xfId="0" applyNumberFormat="1" applyFont="1" applyFill="1" applyBorder="1" applyAlignment="1">
      <alignment horizontal="left"/>
    </xf>
    <xf numFmtId="0" fontId="2" fillId="0" borderId="1" xfId="0" applyFont="1" applyFill="1" applyBorder="1" applyAlignment="1">
      <alignment horizontal="center" wrapText="1"/>
    </xf>
    <xf numFmtId="0" fontId="2" fillId="0" borderId="0" xfId="0" applyFont="1" applyFill="1" applyAlignment="1">
      <alignment horizontal="center"/>
    </xf>
    <xf numFmtId="0" fontId="3" fillId="0" borderId="0" xfId="0" applyFont="1" applyFill="1" applyBorder="1" applyAlignment="1">
      <alignment horizontal="center" wrapText="1"/>
    </xf>
    <xf numFmtId="37" fontId="3" fillId="0" borderId="0" xfId="0" applyNumberFormat="1" applyFont="1" applyFill="1" applyBorder="1" applyAlignment="1">
      <alignment horizontal="center" wrapText="1"/>
    </xf>
    <xf numFmtId="37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0" fontId="2" fillId="0" borderId="0" xfId="0" applyFont="1" applyFill="1" applyAlignment="1">
      <alignment wrapText="1"/>
    </xf>
    <xf numFmtId="0" fontId="3" fillId="0" borderId="0" xfId="0" applyFont="1" applyFill="1" applyBorder="1" applyAlignment="1">
      <alignment wrapText="1"/>
    </xf>
    <xf numFmtId="0" fontId="2" fillId="0" borderId="0" xfId="0" applyNumberFormat="1" applyFont="1" applyFill="1" applyAlignment="1">
      <alignment wrapText="1"/>
    </xf>
    <xf numFmtId="0" fontId="0" fillId="0" borderId="0" xfId="0" applyNumberFormat="1" applyFont="1" applyFill="1"/>
    <xf numFmtId="49" fontId="2" fillId="0" borderId="0" xfId="0" applyNumberFormat="1" applyFont="1" applyFill="1" applyAlignment="1">
      <alignment wrapText="1"/>
    </xf>
    <xf numFmtId="0" fontId="0" fillId="0" borderId="0" xfId="0" applyFont="1" applyFill="1"/>
    <xf numFmtId="38" fontId="0" fillId="0" borderId="0" xfId="0" applyNumberFormat="1" applyFill="1"/>
    <xf numFmtId="0" fontId="2" fillId="0" borderId="0" xfId="0" applyNumberFormat="1" applyFont="1" applyFill="1" applyBorder="1" applyAlignment="1">
      <alignment wrapText="1"/>
    </xf>
    <xf numFmtId="0" fontId="0" fillId="0" borderId="0" xfId="0" applyFill="1" applyBorder="1"/>
    <xf numFmtId="0" fontId="2" fillId="0" borderId="0" xfId="0" applyFont="1" applyFill="1" applyBorder="1" applyAlignment="1">
      <alignment wrapText="1"/>
    </xf>
    <xf numFmtId="0" fontId="0" fillId="0" borderId="0" xfId="0" applyNumberFormat="1" applyFont="1" applyFill="1" applyBorder="1"/>
    <xf numFmtId="41" fontId="3" fillId="0" borderId="0" xfId="0" applyNumberFormat="1" applyFont="1" applyFill="1" applyBorder="1" applyAlignment="1">
      <alignment horizontal="center" wrapText="1"/>
    </xf>
    <xf numFmtId="41" fontId="3" fillId="0" borderId="0" xfId="0" applyNumberFormat="1" applyFont="1" applyFill="1" applyAlignment="1">
      <alignment horizontal="center" wrapText="1"/>
    </xf>
    <xf numFmtId="41" fontId="3" fillId="0" borderId="0" xfId="0" applyNumberFormat="1" applyFont="1" applyFill="1" applyAlignment="1">
      <alignment horizontal="center"/>
    </xf>
    <xf numFmtId="41" fontId="0" fillId="0" borderId="2" xfId="0" applyNumberFormat="1" applyFill="1" applyBorder="1"/>
    <xf numFmtId="41" fontId="0" fillId="0" borderId="0" xfId="0" applyNumberFormat="1" applyFill="1"/>
    <xf numFmtId="17" fontId="2" fillId="0" borderId="1" xfId="0" applyNumberFormat="1" applyFont="1" applyFill="1" applyBorder="1" applyAlignment="1">
      <alignment horizontal="center"/>
    </xf>
    <xf numFmtId="41" fontId="4" fillId="0" borderId="0" xfId="0" applyNumberFormat="1" applyFont="1" applyFill="1" applyBorder="1"/>
    <xf numFmtId="41" fontId="4" fillId="0" borderId="0" xfId="0" applyNumberFormat="1" applyFont="1" applyFill="1"/>
    <xf numFmtId="0" fontId="2" fillId="0" borderId="0" xfId="0" applyFont="1" applyFill="1"/>
    <xf numFmtId="164" fontId="0" fillId="0" borderId="0" xfId="15" applyNumberFormat="1" applyFont="1" applyFill="1"/>
    <xf numFmtId="43" fontId="0" fillId="0" borderId="0" xfId="18" applyFont="1" applyFill="1"/>
    <xf numFmtId="43" fontId="2" fillId="0" borderId="1" xfId="18" applyFont="1" applyFill="1" applyBorder="1" applyAlignment="1">
      <alignment horizontal="center"/>
    </xf>
    <xf numFmtId="43" fontId="2" fillId="0" borderId="1" xfId="18" applyFont="1" applyFill="1" applyBorder="1" applyAlignment="1">
      <alignment horizontal="center" wrapText="1"/>
    </xf>
    <xf numFmtId="43" fontId="2" fillId="0" borderId="0" xfId="18" applyFont="1" applyFill="1" applyAlignment="1">
      <alignment horizontal="center" wrapText="1"/>
    </xf>
    <xf numFmtId="43" fontId="3" fillId="0" borderId="0" xfId="18" applyFont="1" applyFill="1" applyAlignment="1">
      <alignment horizontal="center"/>
    </xf>
    <xf numFmtId="0" fontId="0" fillId="0" borderId="1" xfId="0" applyFill="1" applyBorder="1"/>
    <xf numFmtId="41" fontId="0" fillId="0" borderId="0" xfId="0" applyNumberFormat="1" applyFill="1" applyBorder="1"/>
    <xf numFmtId="41" fontId="0" fillId="0" borderId="3" xfId="0" applyNumberFormat="1" applyFill="1" applyBorder="1"/>
    <xf numFmtId="43" fontId="3" fillId="0" borderId="0" xfId="18" applyFont="1" applyFill="1" applyBorder="1" applyAlignment="1">
      <alignment horizontal="center" wrapText="1"/>
    </xf>
    <xf numFmtId="43" fontId="2" fillId="0" borderId="0" xfId="18" applyFont="1" applyFill="1" applyBorder="1"/>
    <xf numFmtId="43" fontId="0" fillId="0" borderId="0" xfId="18" applyFont="1" applyFill="1" applyBorder="1"/>
    <xf numFmtId="43" fontId="2" fillId="0" borderId="2" xfId="18" applyFont="1" applyFill="1" applyBorder="1"/>
    <xf numFmtId="43" fontId="2" fillId="0" borderId="4" xfId="18" applyFont="1" applyFill="1" applyBorder="1"/>
    <xf numFmtId="43" fontId="2" fillId="0" borderId="3" xfId="18" applyFont="1" applyFill="1" applyBorder="1"/>
    <xf numFmtId="41" fontId="0" fillId="0" borderId="4" xfId="0" applyNumberFormat="1" applyFill="1" applyBorder="1"/>
    <xf numFmtId="4" fontId="0" fillId="0" borderId="0" xfId="0" applyNumberFormat="1" applyFill="1"/>
    <xf numFmtId="4" fontId="0" fillId="0" borderId="0" xfId="18" applyNumberFormat="1" applyFont="1" applyFill="1"/>
    <xf numFmtId="40" fontId="5" fillId="0" borderId="0" xfId="0" applyNumberFormat="1" applyFont="1" applyFill="1"/>
    <xf numFmtId="43" fontId="2" fillId="0" borderId="0" xfId="18" applyFont="1" applyFill="1" applyBorder="1" applyAlignment="1">
      <alignment horizontal="center"/>
    </xf>
    <xf numFmtId="37" fontId="3" fillId="0" borderId="0" xfId="0" applyNumberFormat="1" applyFont="1" applyFill="1" applyAlignment="1">
      <alignment horizontal="center"/>
    </xf>
    <xf numFmtId="0" fontId="2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horizontal="center"/>
    </xf>
  </cellXfs>
  <cellStyles count="1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2" xfId="20"/>
    <cellStyle name="Comma 2" xfId="21"/>
    <cellStyle name="nPlosion" xfId="22"/>
    <cellStyle name="Percent 2" xfId="23"/>
    <cellStyle name="Comma 2 2" xfId="24"/>
    <cellStyle name="Comma 3" xfId="25"/>
    <cellStyle name="Normal 3" xfId="26"/>
    <cellStyle name="Comma 4" xfId="27"/>
    <cellStyle name="Normal 2 2" xfId="28"/>
    <cellStyle name="nPlosion 2" xfId="2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ustomXml" Target="../customXml/item1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8" Type="http://schemas.openxmlformats.org/officeDocument/2006/relationships/customXml" Target="../customXml/item4.xml" /><Relationship Id="rId4" Type="http://schemas.openxmlformats.org/officeDocument/2006/relationships/sharedStrings" Target="sharedStrings.xml" /><Relationship Id="rId9" Type="http://schemas.openxmlformats.org/officeDocument/2006/relationships/calcChain" Target="calcChain.xml" /><Relationship Id="rId6" Type="http://schemas.openxmlformats.org/officeDocument/2006/relationships/customXml" Target="../customXml/item2.xml" /><Relationship Id="rId3" Type="http://schemas.openxmlformats.org/officeDocument/2006/relationships/styles" Target="styles.xml" /><Relationship Id="rId7" Type="http://schemas.openxmlformats.org/officeDocument/2006/relationships/customXml" Target="../customXml/item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1"/>
  <dimension ref="A1:AS66"/>
  <sheetViews>
    <sheetView tabSelected="1" view="pageBreakPreview" zoomScale="60" zoomScaleNormal="100" workbookViewId="0" topLeftCell="A1">
      <pane xSplit="1" ySplit="8" topLeftCell="X9" activePane="bottomRight" state="frozen"/>
      <selection pane="topLeft" activeCell="A1" sqref="A1"/>
      <selection pane="bottomLeft" activeCell="A9" sqref="A9"/>
      <selection pane="topRight" activeCell="B1" sqref="B1"/>
      <selection pane="bottomRight" activeCell="A16" sqref="A16"/>
    </sheetView>
  </sheetViews>
  <sheetFormatPr defaultColWidth="9.09428571428571" defaultRowHeight="12.75"/>
  <cols>
    <col min="1" max="1" width="41.1428571428571" style="2" customWidth="1"/>
    <col min="2" max="2" width="14" style="2" customWidth="1"/>
    <col min="3" max="3" width="24.4285714285714" style="2" bestFit="1" customWidth="1"/>
    <col min="4" max="4" width="1.71428571428571" style="2" customWidth="1"/>
    <col min="5" max="5" width="13.4285714285714" style="2" bestFit="1" customWidth="1"/>
    <col min="6" max="6" width="24.8571428571429" style="33" bestFit="1" customWidth="1"/>
    <col min="7" max="7" width="1.71428571428571" style="2" customWidth="1"/>
    <col min="8" max="8" width="13.4285714285714" style="2" bestFit="1" customWidth="1"/>
    <col min="9" max="9" width="24.8571428571429" style="33" bestFit="1" customWidth="1"/>
    <col min="10" max="10" width="1.71428571428571" style="2" customWidth="1"/>
    <col min="11" max="11" width="13.4285714285714" style="2" bestFit="1" customWidth="1"/>
    <col min="12" max="12" width="24.8571428571429" style="33" bestFit="1" customWidth="1"/>
    <col min="13" max="13" width="1.71428571428571" style="2" customWidth="1"/>
    <col min="14" max="14" width="13.4285714285714" style="2" bestFit="1" customWidth="1"/>
    <col min="15" max="15" width="24.8571428571429" style="33" bestFit="1" customWidth="1"/>
    <col min="16" max="16" width="1.71428571428571" style="2" customWidth="1"/>
    <col min="17" max="17" width="13.4285714285714" style="2" bestFit="1" customWidth="1"/>
    <col min="18" max="18" width="24.8571428571429" style="33" bestFit="1" customWidth="1"/>
    <col min="19" max="19" width="1.71428571428571" style="2" customWidth="1"/>
    <col min="20" max="20" width="13.8571428571429" style="2" customWidth="1"/>
    <col min="21" max="21" width="24.8571428571429" style="33" bestFit="1" customWidth="1"/>
    <col min="22" max="22" width="1.71428571428571" style="2" customWidth="1"/>
    <col min="23" max="23" width="13.7142857142857" style="2" customWidth="1"/>
    <col min="24" max="24" width="24.8571428571429" style="33" bestFit="1" customWidth="1"/>
    <col min="25" max="25" width="1.71428571428571" style="2" customWidth="1"/>
    <col min="26" max="26" width="13.7142857142857" style="2" customWidth="1"/>
    <col min="27" max="27" width="24.8571428571429" style="33" bestFit="1" customWidth="1"/>
    <col min="28" max="28" width="1.71428571428571" style="2" customWidth="1"/>
    <col min="29" max="29" width="13.7142857142857" style="2" customWidth="1"/>
    <col min="30" max="30" width="24.8571428571429" style="33" bestFit="1" customWidth="1"/>
    <col min="31" max="31" width="1.71428571428571" style="2" customWidth="1"/>
    <col min="32" max="32" width="13.7142857142857" style="2" customWidth="1"/>
    <col min="33" max="33" width="24.8571428571429" style="33" bestFit="1" customWidth="1"/>
    <col min="34" max="34" width="1.71428571428571" style="2" customWidth="1"/>
    <col min="35" max="35" width="13.7142857142857" style="2" customWidth="1"/>
    <col min="36" max="36" width="24.8571428571429" style="33" bestFit="1" customWidth="1"/>
    <col min="37" max="37" width="1.71428571428571" style="2" customWidth="1"/>
    <col min="38" max="38" width="13.7142857142857" style="2" customWidth="1"/>
    <col min="39" max="39" width="24.8571428571429" style="33" bestFit="1" customWidth="1"/>
    <col min="40" max="40" width="1.71428571428571" style="2" customWidth="1"/>
    <col min="41" max="41" width="9.14285714285714" style="2"/>
    <col min="42" max="42" width="16.4285714285714" style="33" bestFit="1" customWidth="1"/>
    <col min="43" max="43" width="13.8571428571429" style="2" bestFit="1" customWidth="1"/>
    <col min="44" max="16384" width="9.14285714285714" style="2"/>
  </cols>
  <sheetData>
    <row r="1" spans="1:1" ht="13">
      <c r="A1" s="1" t="s">
        <v>13</v>
      </c>
    </row>
    <row r="2" spans="1:2" ht="13">
      <c r="A2" s="3" t="s">
        <v>2</v>
      </c>
      <c r="B2" s="50"/>
    </row>
    <row r="3" spans="1:1" ht="13">
      <c r="A3" s="4" t="s">
        <v>12</v>
      </c>
    </row>
    <row r="4" spans="1:1" ht="13">
      <c r="A4" s="5" t="s">
        <v>14</v>
      </c>
    </row>
    <row r="5" spans="1:1" ht="13">
      <c r="A5" s="4" t="s">
        <v>11</v>
      </c>
    </row>
    <row r="6" spans="1:40" ht="13">
      <c r="A6" s="53"/>
      <c r="B6" s="28">
        <v>44196</v>
      </c>
      <c r="C6" s="34"/>
      <c r="D6" s="38"/>
      <c r="E6" s="28">
        <v>44227</v>
      </c>
      <c r="F6" s="28"/>
      <c r="G6" s="38"/>
      <c r="H6" s="28">
        <v>44255</v>
      </c>
      <c r="I6" s="28"/>
      <c r="J6" s="38"/>
      <c r="K6" s="28">
        <v>44286</v>
      </c>
      <c r="L6" s="28"/>
      <c r="M6" s="38"/>
      <c r="N6" s="38"/>
      <c r="O6" s="28">
        <v>44316</v>
      </c>
      <c r="P6" s="34"/>
      <c r="Q6" s="38"/>
      <c r="R6" s="28">
        <v>44347</v>
      </c>
      <c r="S6" s="38"/>
      <c r="T6" s="38"/>
      <c r="U6" s="28">
        <v>44377</v>
      </c>
      <c r="V6" s="38"/>
      <c r="W6" s="38"/>
      <c r="X6" s="28">
        <v>44408</v>
      </c>
      <c r="Y6" s="38"/>
      <c r="Z6" s="38"/>
      <c r="AA6" s="28">
        <v>44439</v>
      </c>
      <c r="AB6" s="38"/>
      <c r="AC6" s="38"/>
      <c r="AD6" s="28">
        <v>44469</v>
      </c>
      <c r="AE6" s="38"/>
      <c r="AF6" s="38"/>
      <c r="AG6" s="28">
        <v>44500</v>
      </c>
      <c r="AH6" s="38"/>
      <c r="AI6" s="38"/>
      <c r="AJ6" s="28">
        <v>44530</v>
      </c>
      <c r="AK6" s="38"/>
      <c r="AL6" s="38"/>
      <c r="AM6" s="28">
        <v>44561</v>
      </c>
      <c r="AN6" s="51"/>
    </row>
    <row r="7" spans="1:42" s="7" customFormat="1" ht="44.4" customHeight="1">
      <c r="A7" s="54" t="s">
        <v>1</v>
      </c>
      <c r="B7" s="6" t="s">
        <v>8</v>
      </c>
      <c r="C7" s="6" t="s">
        <v>0</v>
      </c>
      <c r="D7" s="6"/>
      <c r="E7" s="6" t="s">
        <v>8</v>
      </c>
      <c r="F7" s="35" t="s">
        <v>0</v>
      </c>
      <c r="G7" s="6"/>
      <c r="H7" s="6" t="s">
        <v>8</v>
      </c>
      <c r="I7" s="35" t="s">
        <v>0</v>
      </c>
      <c r="J7" s="6"/>
      <c r="K7" s="6" t="s">
        <v>8</v>
      </c>
      <c r="L7" s="35" t="s">
        <v>0</v>
      </c>
      <c r="M7" s="6"/>
      <c r="N7" s="6" t="s">
        <v>8</v>
      </c>
      <c r="O7" s="35" t="s">
        <v>0</v>
      </c>
      <c r="P7" s="6"/>
      <c r="Q7" s="6" t="s">
        <v>8</v>
      </c>
      <c r="R7" s="35" t="s">
        <v>0</v>
      </c>
      <c r="S7" s="6"/>
      <c r="T7" s="6" t="s">
        <v>8</v>
      </c>
      <c r="U7" s="35" t="s">
        <v>0</v>
      </c>
      <c r="V7" s="54"/>
      <c r="W7" s="6" t="s">
        <v>8</v>
      </c>
      <c r="X7" s="35" t="s">
        <v>0</v>
      </c>
      <c r="Y7" s="54"/>
      <c r="Z7" s="6" t="s">
        <v>8</v>
      </c>
      <c r="AA7" s="35" t="s">
        <v>0</v>
      </c>
      <c r="AB7" s="54"/>
      <c r="AC7" s="6" t="s">
        <v>8</v>
      </c>
      <c r="AD7" s="35" t="s">
        <v>0</v>
      </c>
      <c r="AE7" s="54"/>
      <c r="AF7" s="6" t="s">
        <v>8</v>
      </c>
      <c r="AG7" s="35" t="s">
        <v>0</v>
      </c>
      <c r="AH7" s="54"/>
      <c r="AI7" s="6" t="s">
        <v>8</v>
      </c>
      <c r="AJ7" s="35" t="s">
        <v>0</v>
      </c>
      <c r="AK7" s="54"/>
      <c r="AL7" s="6" t="s">
        <v>8</v>
      </c>
      <c r="AM7" s="35" t="s">
        <v>0</v>
      </c>
      <c r="AP7" s="36" t="s">
        <v>9</v>
      </c>
    </row>
    <row r="8" spans="1:42" s="11" customFormat="1" ht="15" customHeight="1">
      <c r="A8" s="8"/>
      <c r="B8" s="9"/>
      <c r="C8" s="9"/>
      <c r="D8" s="9"/>
      <c r="E8" s="10"/>
      <c r="F8" s="41"/>
      <c r="G8" s="9"/>
      <c r="H8" s="9"/>
      <c r="I8" s="41"/>
      <c r="J8" s="9"/>
      <c r="K8" s="9"/>
      <c r="L8" s="41"/>
      <c r="M8" s="9"/>
      <c r="N8" s="9"/>
      <c r="O8" s="41"/>
      <c r="P8" s="9"/>
      <c r="Q8" s="9"/>
      <c r="R8" s="41"/>
      <c r="S8" s="9"/>
      <c r="T8" s="9"/>
      <c r="U8" s="41"/>
      <c r="V8" s="52"/>
      <c r="W8" s="9"/>
      <c r="X8" s="41"/>
      <c r="Y8" s="52"/>
      <c r="Z8" s="9"/>
      <c r="AA8" s="41"/>
      <c r="AB8" s="52"/>
      <c r="AC8" s="9"/>
      <c r="AD8" s="41"/>
      <c r="AE8" s="52"/>
      <c r="AF8" s="9"/>
      <c r="AG8" s="41"/>
      <c r="AH8" s="52"/>
      <c r="AI8" s="9"/>
      <c r="AJ8" s="41"/>
      <c r="AK8" s="52"/>
      <c r="AL8" s="9"/>
      <c r="AM8" s="41"/>
      <c r="AN8" s="52"/>
      <c r="AP8" s="37"/>
    </row>
    <row r="9" spans="1:45" s="20" customFormat="1" ht="51.5">
      <c r="A9" s="21" t="s">
        <v>7</v>
      </c>
      <c r="B9" s="39">
        <f>B13-B11</f>
        <v>69850939.430000007</v>
      </c>
      <c r="C9" s="42">
        <f>ROUND(C13-C11,2)</f>
        <v>69660230.349999994</v>
      </c>
      <c r="D9" s="39"/>
      <c r="E9" s="39">
        <f>E13-E11</f>
        <v>73237889.269999996</v>
      </c>
      <c r="F9" s="42">
        <f>F13-F11</f>
        <v>72969783.599999994</v>
      </c>
      <c r="G9" s="39"/>
      <c r="H9" s="39">
        <f>H13-H11</f>
        <v>73002973</v>
      </c>
      <c r="I9" s="42">
        <f>I13-I11</f>
        <v>72322800.760000005</v>
      </c>
      <c r="J9" s="39"/>
      <c r="K9" s="39">
        <f>K13-K11</f>
        <v>72063507.029999986</v>
      </c>
      <c r="L9" s="42">
        <f>L13-L11</f>
        <v>71963110.239999995</v>
      </c>
      <c r="M9" s="39"/>
      <c r="N9" s="39">
        <f>N13-N11</f>
        <v>70375587.150000006</v>
      </c>
      <c r="O9" s="42">
        <f>O13-O11</f>
        <v>70284832.150000006</v>
      </c>
      <c r="P9" s="39"/>
      <c r="Q9" s="39">
        <f>Q13-Q11</f>
        <v>70162409.780000001</v>
      </c>
      <c r="R9" s="42">
        <f>R13-R11</f>
        <v>70060379.910000011</v>
      </c>
      <c r="S9" s="39"/>
      <c r="T9" s="39">
        <f>T13-T11</f>
        <v>72347458.359999999</v>
      </c>
      <c r="U9" s="42">
        <f>U13-U11</f>
        <v>72203629.060000017</v>
      </c>
      <c r="V9" s="39"/>
      <c r="W9" s="39">
        <f>W13-W11</f>
        <v>71044093.909999996</v>
      </c>
      <c r="X9" s="42">
        <f>X13-X11</f>
        <v>70665174.830000028</v>
      </c>
      <c r="Y9" s="39"/>
      <c r="Z9" s="39">
        <f>Z13-Z11</f>
        <v>70790017.930000007</v>
      </c>
      <c r="AA9" s="42">
        <f>AA13-AA11</f>
        <v>70310398.14000003</v>
      </c>
      <c r="AB9" s="39"/>
      <c r="AC9" s="39">
        <f>AC13-AC11</f>
        <v>69574744.590000004</v>
      </c>
      <c r="AD9" s="42">
        <f>AD13-AD11</f>
        <v>69204688.690000027</v>
      </c>
      <c r="AE9" s="39"/>
      <c r="AF9" s="39">
        <f>AF13-AF11</f>
        <v>69466318.24000001</v>
      </c>
      <c r="AG9" s="42">
        <f>AG13-AG11</f>
        <v>69179072.980000034</v>
      </c>
      <c r="AH9" s="39"/>
      <c r="AI9" s="39">
        <f>AI13-AI11</f>
        <v>69008446.38000001</v>
      </c>
      <c r="AJ9" s="42">
        <f>AJ13-AJ11</f>
        <v>68791056.870000035</v>
      </c>
      <c r="AK9" s="39"/>
      <c r="AL9" s="39">
        <f>AL13-AL11</f>
        <v>72728857.780000001</v>
      </c>
      <c r="AM9" s="42">
        <f>AM13-AM11</f>
        <v>71442939.710000023</v>
      </c>
      <c r="AN9" s="39"/>
      <c r="AO9" s="39"/>
      <c r="AP9" s="43">
        <f>+C9+F9+I9+L9+O9+R9+U9+X9+AA9+AD9+AG9+AJ9+AM9</f>
        <v>919058097.2900002</v>
      </c>
      <c r="AQ9" s="29"/>
      <c r="AR9" s="39"/>
      <c r="AS9" s="39"/>
    </row>
    <row r="10" spans="1:45" s="11" customFormat="1" ht="12.75" customHeight="1">
      <c r="A10" s="8"/>
      <c r="B10" s="23"/>
      <c r="C10" s="41"/>
      <c r="D10" s="23"/>
      <c r="E10" s="24"/>
      <c r="F10" s="41"/>
      <c r="G10" s="23"/>
      <c r="H10" s="23"/>
      <c r="I10" s="41"/>
      <c r="J10" s="23"/>
      <c r="K10" s="23"/>
      <c r="L10" s="41"/>
      <c r="M10" s="23"/>
      <c r="N10" s="23"/>
      <c r="O10" s="41"/>
      <c r="P10" s="23"/>
      <c r="Q10" s="23"/>
      <c r="R10" s="41"/>
      <c r="S10" s="23"/>
      <c r="T10" s="23"/>
      <c r="U10" s="41"/>
      <c r="V10" s="25"/>
      <c r="W10" s="23"/>
      <c r="X10" s="41"/>
      <c r="Y10" s="25"/>
      <c r="Z10" s="23"/>
      <c r="AA10" s="41"/>
      <c r="AB10" s="25"/>
      <c r="AC10" s="23"/>
      <c r="AD10" s="41"/>
      <c r="AE10" s="25"/>
      <c r="AF10" s="23"/>
      <c r="AG10" s="41"/>
      <c r="AH10" s="25"/>
      <c r="AI10" s="23"/>
      <c r="AJ10" s="41"/>
      <c r="AK10" s="25"/>
      <c r="AL10" s="23"/>
      <c r="AM10" s="41"/>
      <c r="AN10" s="25"/>
      <c r="AO10" s="25"/>
      <c r="AP10" s="37"/>
      <c r="AQ10" s="25"/>
      <c r="AR10" s="25"/>
      <c r="AS10" s="25"/>
    </row>
    <row r="11" spans="1:45" ht="26">
      <c r="A11" s="12" t="s">
        <v>3</v>
      </c>
      <c r="B11" s="26">
        <v>0</v>
      </c>
      <c r="C11" s="44">
        <v>0</v>
      </c>
      <c r="D11" s="27"/>
      <c r="E11" s="26">
        <v>0</v>
      </c>
      <c r="F11" s="44">
        <v>0</v>
      </c>
      <c r="G11" s="27"/>
      <c r="H11" s="26">
        <v>0</v>
      </c>
      <c r="I11" s="44">
        <v>0</v>
      </c>
      <c r="J11" s="27"/>
      <c r="K11" s="26">
        <v>0</v>
      </c>
      <c r="L11" s="44">
        <v>0</v>
      </c>
      <c r="M11" s="27"/>
      <c r="N11" s="26">
        <v>0</v>
      </c>
      <c r="O11" s="44">
        <v>0</v>
      </c>
      <c r="P11" s="27"/>
      <c r="Q11" s="26">
        <v>0</v>
      </c>
      <c r="R11" s="44">
        <v>0</v>
      </c>
      <c r="S11" s="27"/>
      <c r="T11" s="26"/>
      <c r="U11" s="44"/>
      <c r="V11" s="27"/>
      <c r="W11" s="26"/>
      <c r="X11" s="44"/>
      <c r="Y11" s="27"/>
      <c r="Z11" s="26"/>
      <c r="AA11" s="44"/>
      <c r="AB11" s="27"/>
      <c r="AC11" s="26"/>
      <c r="AD11" s="44"/>
      <c r="AE11" s="27"/>
      <c r="AF11" s="26"/>
      <c r="AG11" s="44"/>
      <c r="AH11" s="27"/>
      <c r="AI11" s="26"/>
      <c r="AJ11" s="44"/>
      <c r="AK11" s="27"/>
      <c r="AL11" s="26"/>
      <c r="AM11" s="44"/>
      <c r="AN11" s="27"/>
      <c r="AO11" s="27"/>
      <c r="AQ11" s="27"/>
      <c r="AR11" s="27"/>
      <c r="AS11" s="27"/>
    </row>
    <row r="12" spans="1:45" s="11" customFormat="1" ht="12.75" customHeight="1">
      <c r="A12" s="8"/>
      <c r="B12" s="23"/>
      <c r="C12" s="41"/>
      <c r="D12" s="23"/>
      <c r="E12" s="24"/>
      <c r="F12" s="41"/>
      <c r="G12" s="23"/>
      <c r="H12" s="23"/>
      <c r="I12" s="41"/>
      <c r="J12" s="23"/>
      <c r="K12" s="23"/>
      <c r="L12" s="41"/>
      <c r="M12" s="23"/>
      <c r="N12" s="23"/>
      <c r="O12" s="41"/>
      <c r="P12" s="23"/>
      <c r="Q12" s="23"/>
      <c r="R12" s="41"/>
      <c r="S12" s="23"/>
      <c r="T12" s="23"/>
      <c r="U12" s="41"/>
      <c r="V12" s="25"/>
      <c r="W12" s="23"/>
      <c r="X12" s="41"/>
      <c r="Y12" s="25"/>
      <c r="Z12" s="23"/>
      <c r="AA12" s="41"/>
      <c r="AB12" s="25"/>
      <c r="AC12" s="23"/>
      <c r="AD12" s="41"/>
      <c r="AE12" s="25"/>
      <c r="AF12" s="23"/>
      <c r="AG12" s="41"/>
      <c r="AH12" s="25"/>
      <c r="AI12" s="23"/>
      <c r="AJ12" s="41"/>
      <c r="AK12" s="25"/>
      <c r="AL12" s="23"/>
      <c r="AM12" s="41"/>
      <c r="AN12" s="25"/>
      <c r="AO12" s="25"/>
      <c r="AP12" s="37"/>
      <c r="AQ12" s="25"/>
      <c r="AR12" s="25"/>
      <c r="AS12" s="25"/>
    </row>
    <row r="13" spans="1:45" ht="39.5" thickBot="1">
      <c r="A13" s="12" t="s">
        <v>5</v>
      </c>
      <c r="B13" s="47">
        <f>69831728.79+19210.64</f>
        <v>69850939.430000007</v>
      </c>
      <c r="C13" s="45">
        <v>69660230.349999994</v>
      </c>
      <c r="D13" s="27"/>
      <c r="E13" s="47">
        <f>73089334.88+148554.39</f>
        <v>73237889.269999996</v>
      </c>
      <c r="F13" s="45">
        <v>72969783.599999994</v>
      </c>
      <c r="G13" s="27"/>
      <c r="H13" s="47">
        <f>72695949.76+307023.24</f>
        <v>73002973</v>
      </c>
      <c r="I13" s="45">
        <v>72322800.760000005</v>
      </c>
      <c r="J13" s="27"/>
      <c r="K13" s="47">
        <f>71939163.21+124343.82</f>
        <v>72063507.029999986</v>
      </c>
      <c r="L13" s="45">
        <v>71963110.239999995</v>
      </c>
      <c r="M13" s="27"/>
      <c r="N13" s="47">
        <f>70215909.2+159677.95</f>
        <v>70375587.150000006</v>
      </c>
      <c r="O13" s="45">
        <v>70284832.150000006</v>
      </c>
      <c r="P13" s="27"/>
      <c r="Q13" s="47">
        <f>69938505.64+223904.14</f>
        <v>70162409.780000001</v>
      </c>
      <c r="R13" s="45">
        <v>70060379.910000011</v>
      </c>
      <c r="S13" s="27"/>
      <c r="T13" s="47">
        <f>72196383.91+151074.45</f>
        <v>72347458.359999999</v>
      </c>
      <c r="U13" s="45">
        <v>72203629.060000017</v>
      </c>
      <c r="V13" s="27"/>
      <c r="W13" s="47">
        <f>70876785.63+167308.28</f>
        <v>71044093.909999996</v>
      </c>
      <c r="X13" s="45">
        <v>70665174.830000028</v>
      </c>
      <c r="Y13" s="27"/>
      <c r="Z13" s="47">
        <f>70672605.65+117412.28</f>
        <v>70790017.930000007</v>
      </c>
      <c r="AA13" s="45">
        <v>70310398.14000003</v>
      </c>
      <c r="AB13" s="27"/>
      <c r="AC13" s="47">
        <f>69431110.67+143633.92</f>
        <v>69574744.590000004</v>
      </c>
      <c r="AD13" s="45">
        <v>69204688.690000027</v>
      </c>
      <c r="AE13" s="27"/>
      <c r="AF13" s="47">
        <f>69183260.59+283057.65</f>
        <v>69466318.24000001</v>
      </c>
      <c r="AG13" s="45">
        <v>69179072.980000034</v>
      </c>
      <c r="AH13" s="27"/>
      <c r="AI13" s="47">
        <f>68906109.43+102336.95</f>
        <v>69008446.38000001</v>
      </c>
      <c r="AJ13" s="45">
        <v>68791056.870000035</v>
      </c>
      <c r="AK13" s="27"/>
      <c r="AL13" s="47">
        <f>72610432.89+118424.89</f>
        <v>72728857.780000001</v>
      </c>
      <c r="AM13" s="45">
        <v>71442939.710000023</v>
      </c>
      <c r="AN13" s="27"/>
      <c r="AO13" s="27"/>
      <c r="AP13" s="43">
        <f>+C13+F13+I13+L13+O13+R13+U13+X13+AA13+AD13+AG13+AJ13+AM13</f>
        <v>919058097.2900002</v>
      </c>
      <c r="AQ13" s="27"/>
      <c r="AR13" s="27"/>
      <c r="AS13" s="27"/>
    </row>
    <row r="14" spans="1:45" s="11" customFormat="1" ht="6" customHeight="1" thickTop="1">
      <c r="A14" s="13"/>
      <c r="B14" s="23"/>
      <c r="C14" s="41"/>
      <c r="D14" s="23"/>
      <c r="E14" s="24"/>
      <c r="F14" s="41"/>
      <c r="G14" s="23"/>
      <c r="H14" s="23"/>
      <c r="I14" s="41"/>
      <c r="J14" s="23"/>
      <c r="K14" s="23"/>
      <c r="L14" s="41"/>
      <c r="M14" s="23"/>
      <c r="N14" s="23"/>
      <c r="O14" s="41"/>
      <c r="P14" s="23"/>
      <c r="Q14" s="23"/>
      <c r="R14" s="41"/>
      <c r="S14" s="23"/>
      <c r="T14" s="23"/>
      <c r="U14" s="41"/>
      <c r="V14" s="25"/>
      <c r="W14" s="23"/>
      <c r="X14" s="41"/>
      <c r="Y14" s="25"/>
      <c r="Z14" s="23"/>
      <c r="AA14" s="41"/>
      <c r="AB14" s="25"/>
      <c r="AC14" s="23"/>
      <c r="AD14" s="41"/>
      <c r="AE14" s="25"/>
      <c r="AF14" s="23"/>
      <c r="AG14" s="41"/>
      <c r="AH14" s="25"/>
      <c r="AI14" s="23"/>
      <c r="AJ14" s="41"/>
      <c r="AK14" s="25"/>
      <c r="AL14" s="23"/>
      <c r="AM14" s="41"/>
      <c r="AN14" s="25"/>
      <c r="AO14" s="25"/>
      <c r="AP14" s="37"/>
      <c r="AQ14" s="25"/>
      <c r="AR14" s="25"/>
      <c r="AS14" s="25"/>
    </row>
    <row r="15" spans="1:45" s="11" customFormat="1" ht="12.75" customHeight="1">
      <c r="A15" s="13"/>
      <c r="B15" s="23"/>
      <c r="C15" s="41"/>
      <c r="D15" s="23"/>
      <c r="E15" s="24"/>
      <c r="F15" s="41"/>
      <c r="G15" s="23"/>
      <c r="H15" s="23"/>
      <c r="I15" s="41"/>
      <c r="J15" s="23"/>
      <c r="K15" s="23"/>
      <c r="L15" s="41"/>
      <c r="M15" s="23"/>
      <c r="N15" s="23"/>
      <c r="O15" s="41"/>
      <c r="P15" s="23"/>
      <c r="Q15" s="23"/>
      <c r="R15" s="41"/>
      <c r="S15" s="23"/>
      <c r="T15" s="23"/>
      <c r="U15" s="41"/>
      <c r="V15" s="25"/>
      <c r="W15" s="23"/>
      <c r="X15" s="41"/>
      <c r="Y15" s="25"/>
      <c r="Z15" s="23"/>
      <c r="AA15" s="41"/>
      <c r="AB15" s="25"/>
      <c r="AC15" s="23"/>
      <c r="AD15" s="41"/>
      <c r="AE15" s="25"/>
      <c r="AF15" s="23"/>
      <c r="AG15" s="41"/>
      <c r="AH15" s="25"/>
      <c r="AI15" s="23"/>
      <c r="AJ15" s="41"/>
      <c r="AK15" s="25"/>
      <c r="AL15" s="23"/>
      <c r="AM15" s="41"/>
      <c r="AN15" s="25"/>
      <c r="AO15" s="25"/>
      <c r="AP15" s="37"/>
      <c r="AQ15" s="25"/>
      <c r="AR15" s="25"/>
      <c r="AS15" s="25"/>
    </row>
    <row r="16" spans="1:45" s="20" customFormat="1" ht="51.5">
      <c r="A16" s="19" t="s">
        <v>16</v>
      </c>
      <c r="B16" s="39">
        <f>B22-B18-B20</f>
        <v>59312610.300000004</v>
      </c>
      <c r="C16" s="42">
        <f>ROUND((B16/(B16+B18))*(C22-C20),2)</f>
        <v>57222175.479999997</v>
      </c>
      <c r="D16" s="39"/>
      <c r="E16" s="39">
        <f>E22-E18-E20</f>
        <v>57859156.019999996</v>
      </c>
      <c r="F16" s="42">
        <f>ROUND((E16/(E16+E18))*(F22-F20),2)</f>
        <v>55937699.030000001</v>
      </c>
      <c r="G16" s="39"/>
      <c r="H16" s="39">
        <f>H22-H18-H20</f>
        <v>70302853.790000007</v>
      </c>
      <c r="I16" s="42">
        <f>ROUND((H16/(H16+H18))*(I22-I20),2)</f>
        <v>58171263.229999997</v>
      </c>
      <c r="J16" s="39"/>
      <c r="K16" s="39">
        <f>K22-K18-K20</f>
        <v>57555618.130000003</v>
      </c>
      <c r="L16" s="42">
        <f>ROUND((K16/(K16+K18))*(L22-L20),2)</f>
        <v>59032726.780000001</v>
      </c>
      <c r="M16" s="39"/>
      <c r="N16" s="39">
        <f>N22-N18-N20</f>
        <v>56180048.990000002</v>
      </c>
      <c r="O16" s="42">
        <f>ROUND((N16/(N16+N18))*(O22-O20),2)</f>
        <v>57455771.159999996</v>
      </c>
      <c r="P16" s="39"/>
      <c r="Q16" s="39">
        <f>Q22-Q18-Q20</f>
        <v>56820403.990000002</v>
      </c>
      <c r="R16" s="42">
        <f>ROUND((Q16/(Q16+Q18))*(R22-R20),2)</f>
        <v>58698861.509999998</v>
      </c>
      <c r="S16" s="39"/>
      <c r="T16" s="39">
        <f>T22-T18-T20</f>
        <v>59770340.960000008</v>
      </c>
      <c r="U16" s="42">
        <f>ROUND((T16/(T16+T18))*(U22-U20),2)</f>
        <v>60696152.909999996</v>
      </c>
      <c r="V16" s="39"/>
      <c r="W16" s="39">
        <f>W22-W18-W20</f>
        <v>64403166.869999997</v>
      </c>
      <c r="X16" s="42">
        <f>ROUND((W16/(W16+W18))*(X22-X20),2)</f>
        <v>64845583.960000001</v>
      </c>
      <c r="Y16" s="39"/>
      <c r="Z16" s="39">
        <f>Z22-Z18-Z20</f>
        <v>66881515.580000006</v>
      </c>
      <c r="AA16" s="42">
        <f>ROUND((Z16/(Z16+Z18))*(AA22-AA20),2)</f>
        <v>66975349.310000002</v>
      </c>
      <c r="AB16" s="39"/>
      <c r="AC16" s="39">
        <f>AC22-AC18-AC20</f>
        <v>70183350.399999991</v>
      </c>
      <c r="AD16" s="42">
        <f>ROUND((AC16/(AC16+AC18))*(AD22-AD20),2)</f>
        <v>70258782.510000005</v>
      </c>
      <c r="AE16" s="39"/>
      <c r="AF16" s="39">
        <f>AF22-AF18-AF20</f>
        <v>71729805.129999995</v>
      </c>
      <c r="AG16" s="42">
        <f>ROUND((AF16/(AF16+AF18))*(AG22-AG20),2)</f>
        <v>72079501.959999993</v>
      </c>
      <c r="AH16" s="39"/>
      <c r="AI16" s="39">
        <f>AI22-AI18-AI20</f>
        <v>75670685.670000002</v>
      </c>
      <c r="AJ16" s="42">
        <f>ROUND((AI16/(AI16+AI18))*(AJ22-AJ20),2)</f>
        <v>76742499.829999998</v>
      </c>
      <c r="AK16" s="39"/>
      <c r="AL16" s="39">
        <f>AL22-AL18-AL20</f>
        <v>77560241.010000005</v>
      </c>
      <c r="AM16" s="42">
        <f>ROUND((AL16/(AL16+AL18))*(AM22-AM20),2)</f>
        <v>78108665.379999995</v>
      </c>
      <c r="AN16" s="39"/>
      <c r="AO16" s="39"/>
      <c r="AP16" s="43">
        <f>+C16+F16+I16+L16+O16+R16+U16+X16+AA16+AD16+AG16+AJ16+AM16</f>
        <v>836225033.04999995</v>
      </c>
      <c r="AQ16" s="39"/>
      <c r="AR16" s="39"/>
      <c r="AS16" s="39"/>
    </row>
    <row r="17" spans="1:45" s="20" customFormat="1" ht="12.75" customHeight="1">
      <c r="A17" s="22"/>
      <c r="B17" s="39"/>
      <c r="C17" s="43"/>
      <c r="D17" s="39"/>
      <c r="E17" s="39"/>
      <c r="F17" s="43"/>
      <c r="G17" s="39"/>
      <c r="H17" s="39"/>
      <c r="I17" s="43"/>
      <c r="J17" s="39"/>
      <c r="K17" s="39"/>
      <c r="L17" s="43"/>
      <c r="M17" s="39"/>
      <c r="N17" s="39"/>
      <c r="O17" s="43"/>
      <c r="P17" s="39"/>
      <c r="Q17" s="39"/>
      <c r="R17" s="43"/>
      <c r="S17" s="39"/>
      <c r="T17" s="39"/>
      <c r="U17" s="43"/>
      <c r="V17" s="39"/>
      <c r="W17" s="39"/>
      <c r="X17" s="43"/>
      <c r="Y17" s="39"/>
      <c r="Z17" s="39"/>
      <c r="AA17" s="43"/>
      <c r="AB17" s="39"/>
      <c r="AC17" s="39"/>
      <c r="AD17" s="43"/>
      <c r="AE17" s="39"/>
      <c r="AF17" s="39"/>
      <c r="AG17" s="43"/>
      <c r="AH17" s="39"/>
      <c r="AI17" s="39"/>
      <c r="AJ17" s="43"/>
      <c r="AK17" s="39"/>
      <c r="AL17" s="39"/>
      <c r="AM17" s="43"/>
      <c r="AN17" s="39"/>
      <c r="AO17" s="39"/>
      <c r="AP17" s="43"/>
      <c r="AQ17" s="39"/>
      <c r="AR17" s="39"/>
      <c r="AS17" s="39"/>
    </row>
    <row r="18" spans="1:45" s="20" customFormat="1" ht="38.5">
      <c r="A18" s="19" t="s">
        <v>17</v>
      </c>
      <c r="B18" s="39">
        <v>84095.830000000002</v>
      </c>
      <c r="C18" s="42">
        <f>ROUND((B18/(B16+B18))*(C22-C20),2)</f>
        <v>81131.929999999993</v>
      </c>
      <c r="D18" s="39"/>
      <c r="E18" s="39">
        <v>84095.830000000002</v>
      </c>
      <c r="F18" s="42">
        <f>ROUND((E18/(E16+E18))*(F22-F20),2)</f>
        <v>81303.070000000007</v>
      </c>
      <c r="G18" s="39"/>
      <c r="H18" s="39">
        <v>84095.830000000002</v>
      </c>
      <c r="I18" s="42">
        <f>ROUND((H18/(H16+H18))*(I22-I20),2)</f>
        <v>69584.100000000006</v>
      </c>
      <c r="J18" s="39"/>
      <c r="K18" s="39">
        <v>84095.830000000002</v>
      </c>
      <c r="L18" s="42">
        <f>ROUND((K18/(K16+K18))*(L22-L20),2)</f>
        <v>86254.070000000007</v>
      </c>
      <c r="M18" s="39"/>
      <c r="N18" s="39">
        <v>84095.830000000002</v>
      </c>
      <c r="O18" s="42">
        <f>ROUND((N18/(N16+N18))*(O22-O20),2)</f>
        <v>86005.460000000006</v>
      </c>
      <c r="P18" s="39"/>
      <c r="Q18" s="39">
        <v>84095.830000000002</v>
      </c>
      <c r="R18" s="42">
        <f>ROUND((Q18/(Q16+Q18))*(R22-R20),2)</f>
        <v>86876</v>
      </c>
      <c r="S18" s="39"/>
      <c r="T18" s="39">
        <v>84095.830000000002</v>
      </c>
      <c r="U18" s="42">
        <f>ROUND((T18/(T16+T18))*(U22-U20),2)</f>
        <v>85398.429999999993</v>
      </c>
      <c r="V18" s="39"/>
      <c r="W18" s="39">
        <v>84095.830000000002</v>
      </c>
      <c r="X18" s="42">
        <f>ROUND((W18/(W16+W18))*(X22-X20),2)</f>
        <v>84673.529999999999</v>
      </c>
      <c r="Y18" s="39"/>
      <c r="Z18" s="39">
        <v>84095.830000000002</v>
      </c>
      <c r="AA18" s="42">
        <f>ROUND((Z18/(Z16+Z18))*(AA22-AA20),2)</f>
        <v>84213.820000000007</v>
      </c>
      <c r="AB18" s="39"/>
      <c r="AC18" s="39">
        <v>84095.830000000002</v>
      </c>
      <c r="AD18" s="42">
        <f>ROUND((AC18/(AC16+AC18))*(AD22-AD20),2)</f>
        <v>84186.220000000001</v>
      </c>
      <c r="AE18" s="39"/>
      <c r="AF18" s="39">
        <v>84095.830000000002</v>
      </c>
      <c r="AG18" s="42">
        <f>ROUND((AF18/(AF16+AF18))*(AG22-AG20),2)</f>
        <v>84505.809999999998</v>
      </c>
      <c r="AH18" s="39"/>
      <c r="AI18" s="39">
        <v>112561.03</v>
      </c>
      <c r="AJ18" s="42">
        <f>ROUND((AI18/(AI16+AI18))*(AJ22-AJ20),2)</f>
        <v>114155.37</v>
      </c>
      <c r="AK18" s="39"/>
      <c r="AL18" s="39">
        <v>154520.82000000001</v>
      </c>
      <c r="AM18" s="42">
        <f>ROUND((AL18/(AL16+AL18))*(AM22-AM20),2)</f>
        <v>155613.42999999999</v>
      </c>
      <c r="AN18" s="39"/>
      <c r="AO18" s="39"/>
      <c r="AP18" s="43">
        <f>+C18+F18+I18+L18+O18+R18+U18+X18+AA18+AD18+AG18+AJ18+AM18</f>
        <v>1183901.2400000002</v>
      </c>
      <c r="AQ18" s="39"/>
      <c r="AR18" s="39"/>
      <c r="AS18" s="39"/>
    </row>
    <row r="19" spans="1:45" ht="12.75" customHeight="1">
      <c r="A19" s="14"/>
      <c r="B19" s="39"/>
      <c r="C19" s="42"/>
      <c r="D19" s="39"/>
      <c r="E19" s="39"/>
      <c r="F19" s="42"/>
      <c r="G19" s="39"/>
      <c r="H19" s="39"/>
      <c r="I19" s="42"/>
      <c r="J19" s="39"/>
      <c r="K19" s="39"/>
      <c r="L19" s="42"/>
      <c r="M19" s="39"/>
      <c r="N19" s="39"/>
      <c r="O19" s="42"/>
      <c r="P19" s="39"/>
      <c r="Q19" s="39"/>
      <c r="R19" s="42"/>
      <c r="S19" s="39"/>
      <c r="T19" s="39"/>
      <c r="U19" s="42"/>
      <c r="V19" s="27"/>
      <c r="W19" s="39"/>
      <c r="X19" s="42"/>
      <c r="Y19" s="27"/>
      <c r="Z19" s="39"/>
      <c r="AA19" s="42"/>
      <c r="AB19" s="27"/>
      <c r="AC19" s="39"/>
      <c r="AD19" s="42"/>
      <c r="AE19" s="27"/>
      <c r="AF19" s="39"/>
      <c r="AG19" s="42"/>
      <c r="AH19" s="27"/>
      <c r="AI19" s="39"/>
      <c r="AJ19" s="42"/>
      <c r="AK19" s="27"/>
      <c r="AL19" s="39"/>
      <c r="AM19" s="42"/>
      <c r="AN19" s="27"/>
      <c r="AO19" s="27"/>
      <c r="AQ19" s="27"/>
      <c r="AR19" s="27"/>
      <c r="AS19" s="27"/>
    </row>
    <row r="20" spans="1:45" ht="26">
      <c r="A20" s="14" t="s">
        <v>4</v>
      </c>
      <c r="B20" s="26"/>
      <c r="C20" s="44"/>
      <c r="D20" s="39"/>
      <c r="E20" s="26"/>
      <c r="F20" s="44"/>
      <c r="G20" s="39"/>
      <c r="H20" s="26"/>
      <c r="I20" s="44"/>
      <c r="J20" s="39"/>
      <c r="K20" s="26"/>
      <c r="L20" s="44"/>
      <c r="M20" s="39"/>
      <c r="N20" s="26"/>
      <c r="O20" s="44"/>
      <c r="P20" s="39"/>
      <c r="Q20" s="26"/>
      <c r="R20" s="44"/>
      <c r="S20" s="39"/>
      <c r="T20" s="26"/>
      <c r="U20" s="44"/>
      <c r="V20" s="27"/>
      <c r="W20" s="26"/>
      <c r="X20" s="44"/>
      <c r="Y20" s="27"/>
      <c r="Z20" s="26"/>
      <c r="AA20" s="44"/>
      <c r="AB20" s="27"/>
      <c r="AC20" s="26"/>
      <c r="AD20" s="44"/>
      <c r="AE20" s="27"/>
      <c r="AF20" s="26"/>
      <c r="AG20" s="44"/>
      <c r="AH20" s="27"/>
      <c r="AI20" s="26"/>
      <c r="AJ20" s="44"/>
      <c r="AK20" s="27"/>
      <c r="AL20" s="26"/>
      <c r="AM20" s="44"/>
      <c r="AN20" s="27"/>
      <c r="AO20" s="27"/>
      <c r="AQ20" s="27"/>
      <c r="AR20" s="27"/>
      <c r="AS20" s="27"/>
    </row>
    <row r="21" spans="1:45" ht="12.75" customHeight="1">
      <c r="A21" s="15"/>
      <c r="B21" s="39"/>
      <c r="C21" s="43"/>
      <c r="D21" s="39"/>
      <c r="E21" s="39"/>
      <c r="F21" s="43"/>
      <c r="G21" s="39"/>
      <c r="H21" s="39"/>
      <c r="I21" s="43"/>
      <c r="J21" s="39"/>
      <c r="K21" s="39"/>
      <c r="L21" s="43"/>
      <c r="M21" s="39"/>
      <c r="N21" s="39"/>
      <c r="O21" s="43"/>
      <c r="P21" s="39"/>
      <c r="Q21" s="39"/>
      <c r="R21" s="43"/>
      <c r="S21" s="39"/>
      <c r="T21" s="39"/>
      <c r="U21" s="43"/>
      <c r="V21" s="27"/>
      <c r="W21" s="39"/>
      <c r="X21" s="43"/>
      <c r="Y21" s="27"/>
      <c r="Z21" s="39"/>
      <c r="AA21" s="43"/>
      <c r="AB21" s="27"/>
      <c r="AC21" s="39"/>
      <c r="AD21" s="43"/>
      <c r="AE21" s="27"/>
      <c r="AF21" s="39"/>
      <c r="AG21" s="43"/>
      <c r="AH21" s="27"/>
      <c r="AI21" s="39"/>
      <c r="AJ21" s="43"/>
      <c r="AK21" s="27"/>
      <c r="AL21" s="39"/>
      <c r="AM21" s="43"/>
      <c r="AN21" s="27"/>
      <c r="AO21" s="27"/>
      <c r="AQ21" s="27"/>
      <c r="AR21" s="27"/>
      <c r="AS21" s="27"/>
    </row>
    <row r="22" spans="1:45" ht="39.15" customHeight="1" thickBot="1">
      <c r="A22" s="14" t="s">
        <v>6</v>
      </c>
      <c r="B22" s="47">
        <f>58850371.94+671663.42-125329.23</f>
        <v>59396706.130000003</v>
      </c>
      <c r="C22" s="45">
        <v>57303307.410000004</v>
      </c>
      <c r="D22" s="39"/>
      <c r="E22" s="47">
        <f>57818131.36+950091.58-824971.09</f>
        <v>57943251.849999994</v>
      </c>
      <c r="F22" s="45">
        <v>56019002.100000009</v>
      </c>
      <c r="G22" s="39"/>
      <c r="H22" s="47">
        <f>68979104.65+1407844.97</f>
        <v>70386949.620000005</v>
      </c>
      <c r="I22" s="45">
        <v>58240847.330000013</v>
      </c>
      <c r="J22" s="39"/>
      <c r="K22" s="47">
        <f>56397001.1+1242712.86</f>
        <v>57639713.960000001</v>
      </c>
      <c r="L22" s="45">
        <v>59118980.850000016</v>
      </c>
      <c r="M22" s="39"/>
      <c r="N22" s="47">
        <f>55278019+986125.82</f>
        <v>56264144.82</v>
      </c>
      <c r="O22" s="45">
        <v>57541776.62000002</v>
      </c>
      <c r="P22" s="39"/>
      <c r="Q22" s="47">
        <f>55432216.42+1472283.4</f>
        <v>56904499.82</v>
      </c>
      <c r="R22" s="45">
        <v>58785737.51000002</v>
      </c>
      <c r="S22" s="39"/>
      <c r="T22" s="47">
        <f>58686966.09+1167470.7</f>
        <v>59854436.790000007</v>
      </c>
      <c r="U22" s="45">
        <v>60781551.340000018</v>
      </c>
      <c r="V22" s="27"/>
      <c r="W22" s="47">
        <f>63442799.37+1044463.33</f>
        <v>64487262.699999996</v>
      </c>
      <c r="X22" s="45">
        <v>64930257.490000017</v>
      </c>
      <c r="Y22" s="27"/>
      <c r="Z22" s="47">
        <f>64955399.99+2010211.42</f>
        <v>66965611.410000004</v>
      </c>
      <c r="AA22" s="45">
        <v>67059563.130000018</v>
      </c>
      <c r="AB22" s="27"/>
      <c r="AC22" s="47">
        <f>68121211.46+2146234.77</f>
        <v>70267446.229999989</v>
      </c>
      <c r="AD22" s="45">
        <v>70342968.730000019</v>
      </c>
      <c r="AE22" s="27"/>
      <c r="AF22" s="47">
        <f>69400420.96+2413740.55-260.55</f>
        <v>71813900.959999993</v>
      </c>
      <c r="AG22" s="45">
        <v>72164007.770000011</v>
      </c>
      <c r="AH22" s="27"/>
      <c r="AI22" s="47">
        <f>73540354.38+2290512.23-47619.91</f>
        <v>75783246.700000003</v>
      </c>
      <c r="AJ22" s="45">
        <v>76856655.200000003</v>
      </c>
      <c r="AK22" s="27"/>
      <c r="AL22" s="47">
        <f>76623150.74+3522990.45-2431379.36</f>
        <v>77714761.829999998</v>
      </c>
      <c r="AM22" s="45">
        <v>78264278.810000002</v>
      </c>
      <c r="AN22" s="27"/>
      <c r="AO22" s="27"/>
      <c r="AP22" s="43">
        <f>+C22+F22+I22+L22+O22+R22+U22+X22+AA22+AD22+AG22+AJ22+AM22</f>
        <v>837408934.2900002</v>
      </c>
      <c r="AQ22" s="30"/>
      <c r="AR22" s="27"/>
      <c r="AS22" s="27"/>
    </row>
    <row r="23" spans="1:45" ht="6" customHeight="1" thickTop="1">
      <c r="A23" s="15"/>
      <c r="B23" s="39"/>
      <c r="C23" s="43"/>
      <c r="D23" s="39"/>
      <c r="E23" s="39"/>
      <c r="F23" s="43"/>
      <c r="G23" s="39"/>
      <c r="H23" s="39"/>
      <c r="I23" s="43"/>
      <c r="J23" s="39"/>
      <c r="K23" s="39"/>
      <c r="L23" s="43"/>
      <c r="M23" s="39"/>
      <c r="N23" s="39"/>
      <c r="O23" s="43"/>
      <c r="P23" s="39"/>
      <c r="Q23" s="39"/>
      <c r="R23" s="43"/>
      <c r="S23" s="39"/>
      <c r="T23" s="39"/>
      <c r="U23" s="43"/>
      <c r="V23" s="27"/>
      <c r="W23" s="39"/>
      <c r="X23" s="43"/>
      <c r="Y23" s="27"/>
      <c r="Z23" s="39"/>
      <c r="AA23" s="43"/>
      <c r="AB23" s="27"/>
      <c r="AC23" s="39"/>
      <c r="AD23" s="43"/>
      <c r="AE23" s="27"/>
      <c r="AF23" s="39"/>
      <c r="AG23" s="43"/>
      <c r="AH23" s="27"/>
      <c r="AI23" s="39"/>
      <c r="AJ23" s="43"/>
      <c r="AK23" s="27"/>
      <c r="AL23" s="39"/>
      <c r="AM23" s="43"/>
      <c r="AN23" s="27"/>
      <c r="AO23" s="27"/>
      <c r="AQ23" s="27"/>
      <c r="AR23" s="27"/>
      <c r="AS23" s="27"/>
    </row>
    <row r="24" spans="1:45" ht="12.75" customHeight="1">
      <c r="A24" s="15"/>
      <c r="B24" s="39"/>
      <c r="C24" s="43"/>
      <c r="D24" s="39"/>
      <c r="E24" s="39"/>
      <c r="F24" s="43"/>
      <c r="G24" s="39"/>
      <c r="H24" s="39"/>
      <c r="I24" s="43"/>
      <c r="J24" s="39"/>
      <c r="K24" s="39"/>
      <c r="L24" s="43"/>
      <c r="M24" s="39"/>
      <c r="N24" s="39"/>
      <c r="O24" s="43"/>
      <c r="P24" s="39"/>
      <c r="Q24" s="39"/>
      <c r="R24" s="43"/>
      <c r="S24" s="39"/>
      <c r="T24" s="39"/>
      <c r="U24" s="43"/>
      <c r="V24" s="27"/>
      <c r="W24" s="39"/>
      <c r="X24" s="43"/>
      <c r="Y24" s="27"/>
      <c r="Z24" s="39"/>
      <c r="AA24" s="43"/>
      <c r="AB24" s="27"/>
      <c r="AC24" s="39"/>
      <c r="AD24" s="43"/>
      <c r="AE24" s="27"/>
      <c r="AF24" s="39"/>
      <c r="AG24" s="43"/>
      <c r="AH24" s="27"/>
      <c r="AI24" s="39"/>
      <c r="AJ24" s="43"/>
      <c r="AK24" s="27"/>
      <c r="AL24" s="39"/>
      <c r="AM24" s="43"/>
      <c r="AN24" s="27"/>
      <c r="AO24" s="27"/>
      <c r="AQ24" s="27"/>
      <c r="AR24" s="27"/>
      <c r="AS24" s="27"/>
    </row>
    <row r="25" spans="1:45" s="20" customFormat="1" ht="13">
      <c r="A25" s="19" t="s">
        <v>18</v>
      </c>
      <c r="B25" s="26">
        <f>B11+B20</f>
        <v>0</v>
      </c>
      <c r="C25" s="44">
        <f>C11+C20</f>
        <v>0</v>
      </c>
      <c r="D25" s="39"/>
      <c r="E25" s="26">
        <f>E11+E20</f>
        <v>0</v>
      </c>
      <c r="F25" s="44">
        <f>F11+F20</f>
        <v>0</v>
      </c>
      <c r="G25" s="39"/>
      <c r="H25" s="26">
        <f>H11+H20</f>
        <v>0</v>
      </c>
      <c r="I25" s="44">
        <f>I11+I20</f>
        <v>0</v>
      </c>
      <c r="J25" s="39"/>
      <c r="K25" s="26">
        <f>K11+K20</f>
        <v>0</v>
      </c>
      <c r="L25" s="44">
        <f>L11+L20</f>
        <v>0</v>
      </c>
      <c r="M25" s="39"/>
      <c r="N25" s="26">
        <f>N11+N20</f>
        <v>0</v>
      </c>
      <c r="O25" s="44">
        <f>O11+O20</f>
        <v>0</v>
      </c>
      <c r="P25" s="39"/>
      <c r="Q25" s="26">
        <f>Q11+Q20</f>
        <v>0</v>
      </c>
      <c r="R25" s="44">
        <f>R11+R20</f>
        <v>0</v>
      </c>
      <c r="S25" s="39"/>
      <c r="T25" s="26">
        <f>T11+T20</f>
        <v>0</v>
      </c>
      <c r="U25" s="44">
        <f>U11+U20</f>
        <v>0</v>
      </c>
      <c r="V25" s="39"/>
      <c r="W25" s="26">
        <f>W11+W20</f>
        <v>0</v>
      </c>
      <c r="X25" s="44">
        <f>X11+X20</f>
        <v>0</v>
      </c>
      <c r="Y25" s="39"/>
      <c r="Z25" s="26">
        <f>Z11+Z20</f>
        <v>0</v>
      </c>
      <c r="AA25" s="44">
        <f>AA11+AA20</f>
        <v>0</v>
      </c>
      <c r="AB25" s="39"/>
      <c r="AC25" s="26">
        <f>AC11+AC20</f>
        <v>0</v>
      </c>
      <c r="AD25" s="44">
        <f>AD11+AD20</f>
        <v>0</v>
      </c>
      <c r="AE25" s="39"/>
      <c r="AF25" s="26">
        <f>AF11+AF20</f>
        <v>0</v>
      </c>
      <c r="AG25" s="44">
        <f>AG11+AG20</f>
        <v>0</v>
      </c>
      <c r="AH25" s="39"/>
      <c r="AI25" s="26">
        <f>AI11+AI20</f>
        <v>0</v>
      </c>
      <c r="AJ25" s="44">
        <f>AJ11+AJ20</f>
        <v>0</v>
      </c>
      <c r="AK25" s="39"/>
      <c r="AL25" s="26">
        <f>AL11+AL20</f>
        <v>0</v>
      </c>
      <c r="AM25" s="44">
        <f>AM11+AM20</f>
        <v>0</v>
      </c>
      <c r="AN25" s="39"/>
      <c r="AO25" s="39"/>
      <c r="AP25" s="43"/>
      <c r="AQ25" s="39"/>
      <c r="AR25" s="39"/>
      <c r="AS25" s="39"/>
    </row>
    <row r="26" spans="1:45" ht="7.5" customHeight="1">
      <c r="A26" s="14"/>
      <c r="B26" s="39"/>
      <c r="C26" s="42"/>
      <c r="D26" s="27"/>
      <c r="E26" s="39"/>
      <c r="F26" s="42"/>
      <c r="G26" s="27"/>
      <c r="H26" s="39"/>
      <c r="I26" s="42"/>
      <c r="J26" s="27"/>
      <c r="K26" s="39"/>
      <c r="L26" s="42"/>
      <c r="M26" s="27"/>
      <c r="N26" s="39"/>
      <c r="O26" s="42"/>
      <c r="P26" s="27"/>
      <c r="Q26" s="39"/>
      <c r="R26" s="42"/>
      <c r="S26" s="27"/>
      <c r="T26" s="39"/>
      <c r="U26" s="42"/>
      <c r="V26" s="27"/>
      <c r="W26" s="39"/>
      <c r="X26" s="42"/>
      <c r="Y26" s="27"/>
      <c r="Z26" s="39"/>
      <c r="AA26" s="42"/>
      <c r="AB26" s="27"/>
      <c r="AC26" s="39"/>
      <c r="AD26" s="42"/>
      <c r="AE26" s="27"/>
      <c r="AF26" s="39"/>
      <c r="AG26" s="42"/>
      <c r="AH26" s="27"/>
      <c r="AI26" s="39"/>
      <c r="AJ26" s="42"/>
      <c r="AK26" s="27"/>
      <c r="AL26" s="39"/>
      <c r="AM26" s="42"/>
      <c r="AN26" s="27"/>
      <c r="AO26" s="27"/>
      <c r="AQ26" s="27"/>
      <c r="AR26" s="27"/>
      <c r="AS26" s="27"/>
    </row>
    <row r="27" spans="1:45" s="20" customFormat="1" ht="13">
      <c r="A27" s="19"/>
      <c r="B27" s="39"/>
      <c r="C27" s="42"/>
      <c r="D27" s="39"/>
      <c r="E27" s="39"/>
      <c r="F27" s="42"/>
      <c r="G27" s="39"/>
      <c r="H27" s="39"/>
      <c r="I27" s="42"/>
      <c r="J27" s="39"/>
      <c r="K27" s="39"/>
      <c r="L27" s="42"/>
      <c r="M27" s="39"/>
      <c r="N27" s="39"/>
      <c r="O27" s="42"/>
      <c r="P27" s="39"/>
      <c r="Q27" s="39"/>
      <c r="R27" s="42"/>
      <c r="S27" s="39"/>
      <c r="T27" s="39"/>
      <c r="U27" s="42"/>
      <c r="V27" s="39"/>
      <c r="W27" s="39"/>
      <c r="X27" s="42"/>
      <c r="Y27" s="39"/>
      <c r="Z27" s="39"/>
      <c r="AA27" s="42"/>
      <c r="AB27" s="39"/>
      <c r="AC27" s="39"/>
      <c r="AD27" s="42"/>
      <c r="AE27" s="39"/>
      <c r="AF27" s="39"/>
      <c r="AG27" s="42"/>
      <c r="AH27" s="39"/>
      <c r="AI27" s="39"/>
      <c r="AJ27" s="42"/>
      <c r="AK27" s="39"/>
      <c r="AL27" s="39"/>
      <c r="AM27" s="42"/>
      <c r="AN27" s="39"/>
      <c r="AO27" s="39"/>
      <c r="AP27" s="43"/>
      <c r="AQ27" s="39"/>
      <c r="AR27" s="39"/>
      <c r="AS27" s="39"/>
    </row>
    <row r="28" spans="1:45" ht="39.15" customHeight="1" thickBot="1">
      <c r="A28" s="16" t="s">
        <v>19</v>
      </c>
      <c r="B28" s="40">
        <f>B9+B16+B18+B25</f>
        <v>129247645.56000002</v>
      </c>
      <c r="C28" s="46">
        <f>+C9+C16+C18+C25</f>
        <v>126963537.75999999</v>
      </c>
      <c r="D28" s="27"/>
      <c r="E28" s="40">
        <f>E9+E16+E18+E25</f>
        <v>131181141.11999999</v>
      </c>
      <c r="F28" s="46">
        <f>F9+F16+F18+F25</f>
        <v>128988785.69999999</v>
      </c>
      <c r="G28" s="27"/>
      <c r="H28" s="40">
        <f>H9+H16+H18+H25</f>
        <v>143389922.62000004</v>
      </c>
      <c r="I28" s="46">
        <f>I9+I16+I18+I25</f>
        <v>130563648.09</v>
      </c>
      <c r="J28" s="27"/>
      <c r="K28" s="40">
        <f>K9+K16+K18+K25</f>
        <v>129703220.99</v>
      </c>
      <c r="L28" s="46">
        <f>L9+L16+L18+L25</f>
        <v>131082091.08999999</v>
      </c>
      <c r="M28" s="27"/>
      <c r="N28" s="40">
        <f>N9+N16+N18+N25</f>
        <v>126639731.97000001</v>
      </c>
      <c r="O28" s="46">
        <f>O9+O16+O18+O25</f>
        <v>127826608.77</v>
      </c>
      <c r="P28" s="27"/>
      <c r="Q28" s="40">
        <f>Q9+Q16+Q18+Q25</f>
        <v>127066909.60000001</v>
      </c>
      <c r="R28" s="46">
        <f>R9+R16+R18+R25</f>
        <v>128846117.42000002</v>
      </c>
      <c r="S28" s="27"/>
      <c r="T28" s="40">
        <f>T9+T16+T18+T25</f>
        <v>132201895.15000001</v>
      </c>
      <c r="U28" s="46">
        <f>U9+U16+U18+U25</f>
        <v>132985180.40000002</v>
      </c>
      <c r="V28" s="27"/>
      <c r="W28" s="40">
        <f>W9+W16+W18+W25</f>
        <v>135531356.61000001</v>
      </c>
      <c r="X28" s="46">
        <f>X9+X16+X18+X25</f>
        <v>135595432.32000002</v>
      </c>
      <c r="Y28" s="27"/>
      <c r="Z28" s="40">
        <f>Z9+Z16+Z18+Z25</f>
        <v>137755629.34000003</v>
      </c>
      <c r="AA28" s="46">
        <f>AA9+AA16+AA18+AA25</f>
        <v>137369961.27000004</v>
      </c>
      <c r="AB28" s="27"/>
      <c r="AC28" s="40">
        <f>AC9+AC16+AC18+AC25</f>
        <v>139842190.82000002</v>
      </c>
      <c r="AD28" s="46">
        <f>AD9+AD16+AD18+AD25</f>
        <v>139547657.42000005</v>
      </c>
      <c r="AE28" s="27"/>
      <c r="AF28" s="40">
        <f>AF9+AF16+AF18+AF25</f>
        <v>141280219.20000002</v>
      </c>
      <c r="AG28" s="46">
        <f>AG9+AG16+AG18+AG25</f>
        <v>141343080.75000003</v>
      </c>
      <c r="AH28" s="27"/>
      <c r="AI28" s="40">
        <f>AI9+AI16+AI18+AI25</f>
        <v>144791693.08000001</v>
      </c>
      <c r="AJ28" s="46">
        <f>AJ9+AJ16+AJ18+AJ25</f>
        <v>145647712.07000005</v>
      </c>
      <c r="AK28" s="27"/>
      <c r="AL28" s="40">
        <f>AL9+AL16+AL18+AL25</f>
        <v>150443619.61000001</v>
      </c>
      <c r="AM28" s="46">
        <f>AM9+AM16+AM18+AM25</f>
        <v>149707218.52000004</v>
      </c>
      <c r="AN28" s="27"/>
      <c r="AO28" s="27"/>
      <c r="AP28" s="43">
        <f>+C28+F28+I28+L28+O28+R28+U28+X28+AA28+AD28+AG28+AJ28+AM28</f>
        <v>1756467031.5799999</v>
      </c>
      <c r="AQ28" s="27">
        <f>B28+E28+H28+K28+N28+Q28+T28+W28+Z28+AC28+AF28+AI28+AL28</f>
        <v>1769075175.6700001</v>
      </c>
      <c r="AR28" s="27"/>
      <c r="AS28" s="27"/>
    </row>
    <row r="29" spans="1:45" ht="12.5">
      <c r="A29" s="17"/>
      <c r="B29" s="27"/>
      <c r="C29" s="27"/>
      <c r="D29" s="27"/>
      <c r="E29" s="27"/>
      <c r="G29" s="27"/>
      <c r="H29" s="27"/>
      <c r="J29" s="27"/>
      <c r="K29" s="27"/>
      <c r="M29" s="27"/>
      <c r="N29" s="27"/>
      <c r="P29" s="27"/>
      <c r="Q29" s="27"/>
      <c r="S29" s="27"/>
      <c r="T29" s="27"/>
      <c r="V29" s="27"/>
      <c r="W29" s="27"/>
      <c r="Y29" s="27"/>
      <c r="Z29" s="27"/>
      <c r="AB29" s="27"/>
      <c r="AC29" s="27"/>
      <c r="AE29" s="27"/>
      <c r="AF29" s="27"/>
      <c r="AH29" s="27"/>
      <c r="AI29" s="27"/>
      <c r="AK29" s="27"/>
      <c r="AL29" s="27"/>
      <c r="AN29" s="27"/>
      <c r="AO29" s="27"/>
      <c r="AQ29" s="27"/>
      <c r="AR29" s="27"/>
      <c r="AS29" s="27"/>
    </row>
    <row r="30" spans="1:45" ht="12.5">
      <c r="A30" s="18"/>
      <c r="B30" s="27"/>
      <c r="C30" s="27"/>
      <c r="D30" s="27"/>
      <c r="E30" s="27"/>
      <c r="G30" s="27"/>
      <c r="H30" s="27"/>
      <c r="J30" s="27"/>
      <c r="K30" s="27"/>
      <c r="M30" s="27"/>
      <c r="N30" s="27"/>
      <c r="P30" s="27"/>
      <c r="Q30" s="27"/>
      <c r="S30" s="27"/>
      <c r="T30" s="27"/>
      <c r="V30" s="27"/>
      <c r="W30" s="27"/>
      <c r="Y30" s="27"/>
      <c r="Z30" s="27"/>
      <c r="AB30" s="27"/>
      <c r="AC30" s="27"/>
      <c r="AE30" s="27"/>
      <c r="AF30" s="27"/>
      <c r="AH30" s="27"/>
      <c r="AI30" s="27"/>
      <c r="AK30" s="27"/>
      <c r="AL30" s="27"/>
      <c r="AN30" s="27"/>
      <c r="AO30" s="27"/>
      <c r="AQ30" s="27"/>
      <c r="AR30" s="27"/>
      <c r="AS30" s="27"/>
    </row>
    <row r="31" spans="2:45" ht="12.5">
      <c r="B31" s="27"/>
      <c r="C31" s="27"/>
      <c r="D31" s="27"/>
      <c r="E31" s="27"/>
      <c r="G31" s="27"/>
      <c r="H31" s="27"/>
      <c r="J31" s="27"/>
      <c r="K31" s="27"/>
      <c r="L31" s="32"/>
      <c r="M31" s="27"/>
      <c r="N31" s="27"/>
      <c r="P31" s="27"/>
      <c r="Q31" s="27"/>
      <c r="S31" s="27"/>
      <c r="T31" s="27"/>
      <c r="V31" s="27"/>
      <c r="W31" s="27"/>
      <c r="Y31" s="27"/>
      <c r="Z31" s="27"/>
      <c r="AB31" s="27"/>
      <c r="AC31" s="27"/>
      <c r="AE31" s="27"/>
      <c r="AF31" s="27"/>
      <c r="AH31" s="27"/>
      <c r="AI31" s="27"/>
      <c r="AK31" s="27"/>
      <c r="AL31" s="27"/>
      <c r="AN31" s="27"/>
      <c r="AO31" s="27"/>
      <c r="AQ31" s="27"/>
      <c r="AR31" s="27"/>
      <c r="AS31" s="27"/>
    </row>
    <row r="32" spans="1:45" ht="13">
      <c r="A32" s="31" t="s">
        <v>10</v>
      </c>
      <c r="B32" s="32"/>
      <c r="C32" s="32">
        <f>+C18/C22</f>
        <v>0.0014158332854944714</v>
      </c>
      <c r="D32" s="27"/>
      <c r="E32" s="27"/>
      <c r="F32" s="32">
        <f>+F18/F22</f>
        <v>0.0014513480596256461</v>
      </c>
      <c r="G32" s="27"/>
      <c r="H32" s="27"/>
      <c r="I32" s="32">
        <f>+I18/I22</f>
        <v>0.0011947645542608213</v>
      </c>
      <c r="J32" s="27"/>
      <c r="K32" s="27"/>
      <c r="L32" s="32">
        <f>+L18/L22</f>
        <v>0.0014589911524159839</v>
      </c>
      <c r="M32" s="27"/>
      <c r="N32" s="27"/>
      <c r="O32" s="32">
        <f>+O18/O22</f>
        <v>0.001494661184481168</v>
      </c>
      <c r="P32" s="27"/>
      <c r="Q32" s="27"/>
      <c r="R32" s="32">
        <f>+R18/R22</f>
        <v>0.0014778414574661337</v>
      </c>
      <c r="S32" s="27"/>
      <c r="T32" s="27"/>
      <c r="U32" s="32">
        <f>+U18/U22</f>
        <v>0.0014050057643691589</v>
      </c>
      <c r="V32" s="27"/>
      <c r="W32" s="27"/>
      <c r="X32" s="32">
        <f>+X18/X22</f>
        <v>0.0013040689082904171</v>
      </c>
      <c r="Y32" s="27"/>
      <c r="Z32" s="27"/>
      <c r="AA32" s="32">
        <f>+AA18/AA22</f>
        <v>0.0012558062723544018</v>
      </c>
      <c r="AB32" s="27"/>
      <c r="AC32" s="27"/>
      <c r="AD32" s="32">
        <f>+AD18/AD22</f>
        <v>0.0011967965174051018</v>
      </c>
      <c r="AE32" s="27"/>
      <c r="AF32" s="27"/>
      <c r="AG32" s="32">
        <f>+AG18/AG22</f>
        <v>0.0011710243459500695</v>
      </c>
      <c r="AH32" s="27"/>
      <c r="AI32" s="27"/>
      <c r="AJ32" s="32">
        <f>+AJ18/AJ22</f>
        <v>0.0014853023424313682</v>
      </c>
      <c r="AK32" s="27"/>
      <c r="AL32" s="27"/>
      <c r="AM32" s="32">
        <f>+AM18/AM22</f>
        <v>0.001988307212001255</v>
      </c>
      <c r="AN32" s="27"/>
      <c r="AO32" s="27"/>
      <c r="AQ32" s="27"/>
      <c r="AR32" s="27"/>
      <c r="AS32" s="27"/>
    </row>
    <row r="33" spans="2:45" ht="12.5">
      <c r="B33" s="27"/>
      <c r="C33" s="27"/>
      <c r="D33" s="27"/>
      <c r="E33" s="27"/>
      <c r="G33" s="27"/>
      <c r="H33" s="27"/>
      <c r="J33" s="27"/>
      <c r="K33" s="27"/>
      <c r="M33" s="27"/>
      <c r="N33" s="27"/>
      <c r="P33" s="27"/>
      <c r="Q33" s="27"/>
      <c r="S33" s="27"/>
      <c r="T33" s="27"/>
      <c r="V33" s="27"/>
      <c r="W33" s="27"/>
      <c r="Y33" s="27"/>
      <c r="Z33" s="27"/>
      <c r="AB33" s="27"/>
      <c r="AC33" s="27"/>
      <c r="AE33" s="27"/>
      <c r="AF33" s="27"/>
      <c r="AH33" s="27"/>
      <c r="AI33" s="27"/>
      <c r="AK33" s="27"/>
      <c r="AL33" s="27"/>
      <c r="AN33" s="27"/>
      <c r="AO33" s="27"/>
      <c r="AQ33" s="27"/>
      <c r="AR33" s="27"/>
      <c r="AS33" s="27"/>
    </row>
    <row r="34" spans="2:3" ht="12.5">
      <c r="B34" s="48"/>
      <c r="C34" s="48"/>
    </row>
    <row r="35" spans="2:32" ht="13">
      <c r="B35" s="48"/>
      <c r="C35" s="48"/>
      <c r="AD35" s="31"/>
      <c r="AF35" s="31" t="s">
        <v>15</v>
      </c>
    </row>
    <row r="36" spans="2:3" ht="12.5">
      <c r="B36" s="48"/>
      <c r="C36" s="48"/>
    </row>
    <row r="37" spans="2:3" ht="12.5">
      <c r="B37" s="48"/>
      <c r="C37" s="48"/>
    </row>
    <row r="38" spans="2:3" ht="12.5">
      <c r="B38" s="49"/>
      <c r="C38" s="48"/>
    </row>
    <row r="39" spans="2:3" ht="12.5">
      <c r="B39" s="48"/>
      <c r="C39" s="48"/>
    </row>
    <row r="40" spans="2:3" ht="12.5">
      <c r="B40" s="48"/>
      <c r="C40" s="48"/>
    </row>
    <row r="41" spans="2:3" ht="12.5">
      <c r="B41" s="49"/>
      <c r="C41" s="48"/>
    </row>
    <row r="42" spans="2:3" ht="12.5">
      <c r="B42" s="48"/>
      <c r="C42" s="48"/>
    </row>
    <row r="43" spans="2:3" ht="12.5">
      <c r="B43" s="49"/>
      <c r="C43" s="48"/>
    </row>
    <row r="44" spans="2:3" ht="12.5">
      <c r="B44" s="48"/>
      <c r="C44" s="48"/>
    </row>
    <row r="45" spans="2:3" ht="12.5">
      <c r="B45" s="48"/>
      <c r="C45" s="48"/>
    </row>
    <row r="46" spans="2:3" ht="12.5">
      <c r="B46" s="49"/>
      <c r="C46" s="48"/>
    </row>
    <row r="53" spans="3:14" ht="13"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</row>
    <row r="54" spans="2:2" ht="13">
      <c r="B54" s="42"/>
    </row>
    <row r="55" spans="2:2" ht="13">
      <c r="B55" s="42"/>
    </row>
    <row r="56" spans="2:2" ht="13">
      <c r="B56" s="42"/>
    </row>
    <row r="57" spans="2:2" ht="13">
      <c r="B57" s="42"/>
    </row>
    <row r="58" spans="2:2" ht="13">
      <c r="B58" s="42"/>
    </row>
    <row r="59" spans="2:2" ht="13">
      <c r="B59" s="42"/>
    </row>
    <row r="60" spans="2:2" ht="13">
      <c r="B60" s="42"/>
    </row>
    <row r="61" spans="2:2" ht="13">
      <c r="B61" s="42"/>
    </row>
    <row r="62" spans="2:2" ht="13">
      <c r="B62" s="42"/>
    </row>
    <row r="63" spans="2:2" ht="13">
      <c r="B63" s="42"/>
    </row>
    <row r="64" spans="2:2" ht="13">
      <c r="B64" s="42"/>
    </row>
    <row r="65" spans="2:2" ht="13">
      <c r="B65" s="42"/>
    </row>
    <row r="66" spans="2:2" ht="13">
      <c r="B66" s="42"/>
    </row>
  </sheetData>
  <pageMargins left="0.7" right="0.7" top="2.5" bottom="0.75" header="1.5" footer="0.3"/>
  <pageSetup fitToHeight="0" fitToWidth="0" orientation="landscape" scale="55" r:id="rId1"/>
  <headerFooter>
    <oddHeader>&amp;C
&amp;"Arial,Bold"
2022 RATE CASE
ONCOR ELECTRIC DELIVERY COMPANY LLC
ACCOUNT 154 FUNCTIONALIZED BY MONTH 2021
FOR THE TEST YEAR ENDING DECEMBER 31, 2021
SPONSOR: A. THENMADATHIL&amp;R&amp;"Arial,Bold"WP/II-B-8/02
Page &amp;P of &amp;N</oddHeader>
  </headerFooter>
  <colBreaks count="3" manualBreakCount="3">
    <brk id="13" min="5" max="34" man="1"/>
    <brk id="25" min="5" max="34" man="1"/>
    <brk id="36" min="5" max="34" man="1"/>
  </colBreaks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_rels/item4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4.xml" 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_dlc_DocId xmlns="4f7156c1-be87-4d1f-9274-ce189f982c1a">FHHXVRPN3UPD-1807981734-31711</_dlc_DocId>
    <_dlc_DocIdUrl xmlns="4f7156c1-be87-4d1f-9274-ce189f982c1a">
      <Url>http://intranet.corp.oncor.com/sites/Finance/_layouts/15/DocIdRedir.aspx?ID=FHHXVRPN3UPD-1807981734-31711</Url>
      <Description>FHHXVRPN3UPD-1807981734-31711</Description>
    </_dlc_DocIdUrl>
  </documentManagement>
</p:properti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27CE8EF2137B4CA3F17065297CF102" ma:contentTypeVersion="5" ma:contentTypeDescription="Create a new document." ma:contentTypeScope="" ma:versionID="c691f8f861fed439a9f9bc405e700cd3">
  <xsd:schema xmlns:xsd="http://www.w3.org/2001/XMLSchema" xmlns:xs="http://www.w3.org/2001/XMLSchema" xmlns:p="http://schemas.microsoft.com/office/2006/metadata/properties" xmlns:ns1="http://schemas.microsoft.com/sharepoint/v3" xmlns:ns2="4f7156c1-be87-4d1f-9274-ce189f982c1a" targetNamespace="http://schemas.microsoft.com/office/2006/metadata/properties" ma:root="true" ma:fieldsID="8690dca1c0a9094a2a6515f869531236" ns1:_="" ns2:_="">
    <xsd:import namespace="http://schemas.microsoft.com/sharepoint/v3"/>
    <xsd:import namespace="4f7156c1-be87-4d1f-9274-ce189f982c1a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156c1-be87-4d1f-9274-ce189f982c1a" elementFormDefault="qualified">
    <xsd:import namespace="http://schemas.microsoft.com/office/2006/documentManagement/types"/>
    <xsd:import namespace="http://schemas.microsoft.com/office/infopath/2007/PartnerControls"/>
    <xsd:element name="_dlc_DocId" ma:index="6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7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716EDB7-CD61-4DF7-9DA5-A647B9DAFDA3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4f7156c1-be87-4d1f-9274-ce189f982c1a"/>
    <ds:schemaRef ds:uri="http://schemas.microsoft.com/sharepoint/v3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BCF6CD1-6FDE-41FE-88B7-38564A258689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5C93F8C7-4355-4157-AAC1-7FC717ED7D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7156c1-be87-4d1f-9274-ce189f982c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C36D4DF-2C79-46D7-8118-06759EED68E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 II-B-8_02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0x0101002027CE8EF2137B4CA3F17065297CF102</vt:lpwstr>
  </property>
  <property fmtid="{D5CDD505-2E9C-101B-9397-08002B2CF9AE}" pid="3" name="_dlc_DocIdItemGuid">
    <vt:lpwstr>d635a258-c60b-4117-8ea5-e451a77ca0c6</vt:lpwstr>
  </property>
</Properties>
</file>