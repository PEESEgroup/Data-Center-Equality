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4" Type="http://schemas.openxmlformats.org/officeDocument/2006/relationships/custom-properties" Target="docProps/custom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 Related Files\"/>
    </mc:Choice>
  </mc:AlternateContent>
  <bookViews>
    <workbookView xWindow="2907" yWindow="2649" windowWidth="24779" windowHeight="8069" activeTab="0"/>
  </bookViews>
  <sheets>
    <sheet name="WP II-B-1_01" sheetId="1" r:id="rId2"/>
  </sheets>
  <definedNames>
    <definedName name="_xlnm.Print_Titles" localSheetId="0">'WP II-B-1_01'!$4:$4</definedName>
  </definedNames>
  <calcPr calcId="152511"/>
</workbook>
</file>

<file path=xl/calcChain.xml><?xml version="1.0" encoding="utf-8"?>
<calcChain xmlns="http://schemas.openxmlformats.org/spreadsheetml/2006/main">
  <c r="M20" i="1" l="1"/>
</calcChain>
</file>

<file path=xl/sharedStrings.xml><?xml version="1.0" encoding="utf-8"?>
<sst xmlns="http://schemas.openxmlformats.org/spreadsheetml/2006/main" count="16" uniqueCount="16">
  <si>
    <t>TRAN</t>
  </si>
  <si>
    <t>DIST</t>
  </si>
  <si>
    <t>MET</t>
  </si>
  <si>
    <t>TDCS</t>
  </si>
  <si>
    <t>Allocation to Texas</t>
  </si>
  <si>
    <t>NTU TRAN</t>
  </si>
  <si>
    <t>DC TIE</t>
  </si>
  <si>
    <t>Consol TRAN</t>
  </si>
  <si>
    <t>NTU DIST</t>
  </si>
  <si>
    <t>Consol DIST</t>
  </si>
  <si>
    <t>TOTAL TRAN, DIST PLANT-GROSS (Lines 20+39) from Schedule II-B-1 Excluding NTU</t>
  </si>
  <si>
    <t>Allocation % for Intangible Asset - Spectrum 700MHz</t>
  </si>
  <si>
    <t>Intangible systems not Direct Assigned are allocated based on Net Plant excluding Intangible, non-AMS computer equipment (391-0215, Function G) &amp; NTU or Transmission &amp; Distribution Gross Plant excluding NTU</t>
  </si>
  <si>
    <t>Total Plant In Service Net (Excl. Intangibles) from Schedule II-B-5 Line 74</t>
  </si>
  <si>
    <t>Less Net Plant Non-AMS Computer Equipment from WP II-B-5_10</t>
  </si>
  <si>
    <t>Total Net Plant Less Intangible, Non-AMS Computer  Equipment (391-0215, Function G), &amp; NTU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</si>
</sst>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0.000%"/>
  </numFmts>
  <fonts count="7">
    <font>
      <sz val="10"/>
      <name val="Arial"/>
      <family val="2"/>
    </font>
    <font>
      <sz val="10"/>
      <color theme="1"/>
      <name val="Arial"/>
      <family val="2"/>
    </font>
    <font>
      <sz val="10"/>
      <color indexed="6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2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2" fillId="0" borderId="0">
      <alignment/>
      <protection/>
    </xf>
    <xf numFmtId="0" fontId="6" fillId="0" borderId="0">
      <alignment/>
      <protection/>
    </xf>
  </cellStyleXfs>
  <cellXfs count="18">
    <xf numFmtId="0" fontId="0" fillId="0" borderId="0" xfId="0"/>
    <xf numFmtId="0" fontId="5" fillId="0" borderId="0" xfId="0" applyFont="1"/>
    <xf numFmtId="40" fontId="5" fillId="0" borderId="0" xfId="0" applyNumberFormat="1" applyFont="1"/>
    <xf numFmtId="0" fontId="5" fillId="0" borderId="0" xfId="0" applyFont="1" applyAlignment="1">
      <alignment horizontal="center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left" wrapText="1"/>
    </xf>
    <xf numFmtId="0" fontId="4" fillId="0" borderId="0" xfId="0" applyFont="1" applyBorder="1" applyAlignment="1">
      <alignment horizontal="center" wrapText="1"/>
    </xf>
    <xf numFmtId="10" fontId="5" fillId="0" borderId="0" xfId="0" applyNumberFormat="1" applyFont="1"/>
    <xf numFmtId="164" fontId="4" fillId="0" borderId="0" xfId="15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40" fontId="5" fillId="0" borderId="0" xfId="0" applyNumberFormat="1" applyFont="1" applyFill="1"/>
    <xf numFmtId="0" fontId="4" fillId="0" borderId="0" xfId="0" applyFont="1" applyFill="1" applyAlignment="1">
      <alignment wrapText="1"/>
    </xf>
    <xf numFmtId="0" fontId="4" fillId="0" borderId="0" xfId="0" applyFont="1" applyAlignment="1">
      <alignment/>
    </xf>
    <xf numFmtId="0" fontId="5" fillId="0" borderId="0" xfId="0" applyFont="1" applyFill="1"/>
    <xf numFmtId="164" fontId="5" fillId="0" borderId="0" xfId="0" applyNumberFormat="1" applyFont="1"/>
    <xf numFmtId="40" fontId="5" fillId="0" borderId="1" xfId="0" applyNumberFormat="1" applyFont="1" applyBorder="1"/>
    <xf numFmtId="40" fontId="4" fillId="0" borderId="2" xfId="0" applyNumberFormat="1" applyFont="1" applyFill="1" applyBorder="1" applyAlignment="1">
      <alignment horizontal="center" wrapText="1"/>
    </xf>
    <xf numFmtId="0" fontId="4" fillId="0" borderId="0" xfId="0" applyFont="1" applyAlignment="1">
      <alignment horizontal="left" vertical="center" wrapText="1"/>
    </xf>
  </cellXfs>
  <cellStyles count="8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nPlosion" xfId="20"/>
    <cellStyle name="Normal 2" xfId="2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customXml" Target="../customXml/item1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8" Type="http://schemas.openxmlformats.org/officeDocument/2006/relationships/customXml" Target="../customXml/item4.xml" /><Relationship Id="rId4" Type="http://schemas.openxmlformats.org/officeDocument/2006/relationships/sharedStrings" Target="sharedStrings.xml" /><Relationship Id="rId9" Type="http://schemas.openxmlformats.org/officeDocument/2006/relationships/calcChain" Target="calcChain.xml" /><Relationship Id="rId6" Type="http://schemas.openxmlformats.org/officeDocument/2006/relationships/customXml" Target="../customXml/item2.xml" /><Relationship Id="rId3" Type="http://schemas.openxmlformats.org/officeDocument/2006/relationships/styles" Target="styles.xml" /><Relationship Id="rId7" Type="http://schemas.openxmlformats.org/officeDocument/2006/relationships/customXml" Target="../customXml/item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M20"/>
  <sheetViews>
    <sheetView tabSelected="1" workbookViewId="0" topLeftCell="A1">
      <selection pane="topLeft" activeCell="A3" sqref="A3"/>
    </sheetView>
  </sheetViews>
  <sheetFormatPr defaultColWidth="9.12428571428571" defaultRowHeight="15.75"/>
  <cols>
    <col min="1" max="1" width="72.8571428571429" style="3" customWidth="1"/>
    <col min="2" max="2" width="22.7142857142857" style="2" customWidth="1"/>
    <col min="3" max="3" width="21.2857142857143" style="2" bestFit="1" customWidth="1"/>
    <col min="4" max="4" width="19.5714285714286" style="2" bestFit="1" customWidth="1"/>
    <col min="5" max="5" width="16.7142857142857" style="2" bestFit="1" customWidth="1"/>
    <col min="6" max="7" width="21.2857142857143" style="2" bestFit="1" customWidth="1"/>
    <col min="8" max="8" width="17.7142857142857" style="1" bestFit="1" customWidth="1"/>
    <col min="9" max="9" width="21.2857142857143" style="1" bestFit="1" customWidth="1"/>
    <col min="10" max="10" width="18.1428571428571" style="1" bestFit="1" customWidth="1"/>
    <col min="11" max="11" width="16.7142857142857" style="1" bestFit="1" customWidth="1"/>
    <col min="12" max="12" width="9.14285714285714" style="1"/>
    <col min="13" max="13" width="11.2857142857143" style="1" bestFit="1" customWidth="1"/>
    <col min="14" max="16384" width="9.14285714285714" style="1"/>
  </cols>
  <sheetData>
    <row r="1" spans="1:11" ht="15.8" customHeight="1">
      <c r="A1" s="17" t="s">
        <v>12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 ht="15.8" customHeight="1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</row>
    <row r="3" spans="1:1" ht="14.95" customHeight="1">
      <c r="A3" s="12"/>
    </row>
    <row r="4" spans="1:11" ht="15.65">
      <c r="A4" s="6"/>
      <c r="B4" s="16" t="s">
        <v>4</v>
      </c>
      <c r="C4" s="16" t="s">
        <v>0</v>
      </c>
      <c r="D4" s="16" t="s">
        <v>5</v>
      </c>
      <c r="E4" s="16" t="s">
        <v>6</v>
      </c>
      <c r="F4" s="16" t="s">
        <v>7</v>
      </c>
      <c r="G4" s="16" t="s">
        <v>1</v>
      </c>
      <c r="H4" s="16" t="s">
        <v>8</v>
      </c>
      <c r="I4" s="16" t="s">
        <v>9</v>
      </c>
      <c r="J4" s="16" t="s">
        <v>2</v>
      </c>
      <c r="K4" s="16" t="s">
        <v>3</v>
      </c>
    </row>
    <row r="6" spans="1:11" ht="31.25">
      <c r="A6" s="4" t="s">
        <v>13</v>
      </c>
      <c r="B6" s="2">
        <v>20471787882.400005</v>
      </c>
      <c r="C6" s="2">
        <v>8930688473.6800003</v>
      </c>
      <c r="D6" s="2">
        <v>1413505644.1699998</v>
      </c>
      <c r="E6" s="2">
        <v>11582390.280000001</v>
      </c>
      <c r="F6" s="2">
        <f>SUM(C6:E6)</f>
        <v>10355776508.130001</v>
      </c>
      <c r="G6" s="2">
        <v>9636452188.4599991</v>
      </c>
      <c r="H6" s="2">
        <v>115590307.41</v>
      </c>
      <c r="I6" s="2">
        <f>SUM(G6:H6)</f>
        <v>9752042495.8699989</v>
      </c>
      <c r="J6" s="2">
        <v>304698421.35000002</v>
      </c>
      <c r="K6" s="2">
        <v>59270457.049999997</v>
      </c>
    </row>
    <row r="7" spans="1:11" ht="15.65">
      <c r="A7" s="12" t="s">
        <v>14</v>
      </c>
      <c r="B7" s="15">
        <v>144639896.40377194</v>
      </c>
      <c r="C7" s="15">
        <v>33542993.124301594</v>
      </c>
      <c r="D7" s="15">
        <v>7023.8450000000003</v>
      </c>
      <c r="E7" s="15"/>
      <c r="F7" s="15">
        <f>SUM(C7:E7)</f>
        <v>33550016.969301593</v>
      </c>
      <c r="G7" s="15">
        <v>43854852.71232117</v>
      </c>
      <c r="H7" s="15"/>
      <c r="I7" s="15">
        <f>SUM(G7:H7)</f>
        <v>43854852.71232117</v>
      </c>
      <c r="J7" s="15">
        <v>25133128.912420534</v>
      </c>
      <c r="K7" s="15">
        <v>42101897.809728667</v>
      </c>
    </row>
    <row r="8" spans="1:11" ht="15.65">
      <c r="A8" s="12"/>
      <c r="B8" s="2">
        <f>B6-B7</f>
        <v>20327147985.996235</v>
      </c>
      <c r="C8" s="2">
        <f t="shared" si="0" ref="C8:K8">C6-C7</f>
        <v>8897145480.5556984</v>
      </c>
      <c r="D8" s="2">
        <f t="shared" si="0"/>
        <v>1413498620.3249998</v>
      </c>
      <c r="E8" s="2">
        <f t="shared" si="0"/>
        <v>11582390.280000001</v>
      </c>
      <c r="F8" s="2">
        <f t="shared" si="0"/>
        <v>10322226491.1607</v>
      </c>
      <c r="G8" s="2">
        <f t="shared" si="0"/>
        <v>9592597335.7476788</v>
      </c>
      <c r="H8" s="2">
        <f t="shared" si="0"/>
        <v>115590307.41</v>
      </c>
      <c r="I8" s="2">
        <f t="shared" si="0"/>
        <v>9708187643.1576786</v>
      </c>
      <c r="J8" s="2">
        <f t="shared" si="0"/>
        <v>279565292.43757951</v>
      </c>
      <c r="K8" s="2">
        <f t="shared" si="0"/>
        <v>17168559.24027133</v>
      </c>
    </row>
    <row r="9" spans="1:11" ht="15.65">
      <c r="A9" s="12"/>
      <c r="H9" s="2"/>
      <c r="I9" s="2"/>
      <c r="J9" s="2"/>
      <c r="K9" s="2"/>
    </row>
    <row r="10" spans="1:11" ht="31.25">
      <c r="A10" s="11" t="s">
        <v>15</v>
      </c>
      <c r="B10" s="2">
        <f>F10+G10+J10+K10</f>
        <v>18798059058.26123</v>
      </c>
      <c r="C10" s="2">
        <f>C8</f>
        <v>8897145480.5556984</v>
      </c>
      <c r="E10" s="2">
        <f>E8</f>
        <v>11582390.280000001</v>
      </c>
      <c r="F10" s="2">
        <f>SUM(C10:E10)</f>
        <v>8908727870.8356991</v>
      </c>
      <c r="G10" s="2">
        <f>G8</f>
        <v>9592597335.7476788</v>
      </c>
      <c r="H10" s="2"/>
      <c r="I10" s="2"/>
      <c r="J10" s="2">
        <f t="shared" si="1" ref="J10:K10">J8</f>
        <v>279565292.43757951</v>
      </c>
      <c r="K10" s="2">
        <f t="shared" si="1"/>
        <v>17168559.24027133</v>
      </c>
    </row>
    <row r="11" spans="1:11" ht="15.65">
      <c r="A11" s="11"/>
      <c r="H11" s="2"/>
      <c r="I11" s="2"/>
      <c r="J11" s="2"/>
      <c r="K11" s="2"/>
    </row>
    <row r="12" spans="6:13" ht="15.65">
      <c r="F12" s="8">
        <f>ROUND(F10/$B$10,5)</f>
        <v>0.47392000000000001</v>
      </c>
      <c r="G12" s="8">
        <f>ROUND(G10/$B$10,5)</f>
        <v>0.51029999999999998</v>
      </c>
      <c r="H12" s="2"/>
      <c r="I12" s="2"/>
      <c r="J12" s="8">
        <f t="shared" si="2" ref="J12:K12">ROUND(J10/$B$10,5)</f>
        <v>0.01487</v>
      </c>
      <c r="K12" s="8">
        <f t="shared" si="2"/>
        <v>0.00091</v>
      </c>
      <c r="M12" s="14">
        <f>SUM(F12:K12)</f>
        <v>1</v>
      </c>
    </row>
    <row r="13" spans="6:13" ht="15.65">
      <c r="F13" s="8"/>
      <c r="G13" s="8"/>
      <c r="H13" s="2"/>
      <c r="I13" s="2"/>
      <c r="J13" s="8"/>
      <c r="K13" s="8"/>
      <c r="M13" s="14"/>
    </row>
    <row r="14" spans="6:13" ht="15.65">
      <c r="F14" s="8"/>
      <c r="G14" s="8"/>
      <c r="H14" s="2"/>
      <c r="I14" s="2"/>
      <c r="J14" s="8"/>
      <c r="K14" s="8"/>
      <c r="M14" s="14"/>
    </row>
    <row r="15" spans="2:13" ht="15.65">
      <c r="B15" s="10"/>
      <c r="C15" s="10"/>
      <c r="D15" s="10"/>
      <c r="E15" s="10"/>
      <c r="F15" s="10"/>
      <c r="G15" s="10"/>
      <c r="H15" s="13"/>
      <c r="I15" s="13"/>
      <c r="J15" s="13"/>
      <c r="K15" s="13"/>
      <c r="M15" s="7"/>
    </row>
    <row r="16" spans="1:13" ht="31.25">
      <c r="A16" s="5" t="s">
        <v>10</v>
      </c>
      <c r="B16" s="10">
        <v>29060374837.27</v>
      </c>
      <c r="C16" s="10">
        <v>11579066102.250002</v>
      </c>
      <c r="D16" s="10">
        <v>1730304248.47</v>
      </c>
      <c r="E16" s="10">
        <v>32539117.650000002</v>
      </c>
      <c r="F16" s="10">
        <f>SUM(C16:E16)</f>
        <v>13341909468.370001</v>
      </c>
      <c r="G16" s="10">
        <v>15000680383.709999</v>
      </c>
      <c r="H16" s="10">
        <v>143637502.12000001</v>
      </c>
      <c r="I16" s="10">
        <f>SUM(G16:H16)</f>
        <v>15144317885.83</v>
      </c>
      <c r="J16" s="10">
        <v>574147483.07000017</v>
      </c>
      <c r="K16" s="10">
        <v>0</v>
      </c>
      <c r="M16" s="7"/>
    </row>
    <row r="17" spans="1:13" ht="15.65">
      <c r="A17" s="5"/>
      <c r="B17" s="10"/>
      <c r="C17" s="10"/>
      <c r="D17" s="10"/>
      <c r="E17" s="10"/>
      <c r="F17" s="10"/>
      <c r="G17" s="10"/>
      <c r="H17" s="10"/>
      <c r="I17" s="10"/>
      <c r="J17" s="10"/>
      <c r="K17" s="10"/>
      <c r="M17" s="7"/>
    </row>
    <row r="18" spans="1:13" ht="15.65">
      <c r="A18" s="5"/>
      <c r="B18" s="10">
        <f>F18+I18+J18+K18</f>
        <v>27186433086.68</v>
      </c>
      <c r="C18" s="10">
        <f>C16</f>
        <v>11579066102.250002</v>
      </c>
      <c r="D18" s="10"/>
      <c r="E18" s="10">
        <f>E16</f>
        <v>32539117.650000002</v>
      </c>
      <c r="F18" s="10">
        <f>SUM(C18:E18)</f>
        <v>11611605219.900002</v>
      </c>
      <c r="G18" s="10">
        <f>G16</f>
        <v>15000680383.709999</v>
      </c>
      <c r="H18" s="10"/>
      <c r="I18" s="10">
        <f>SUM(G18:H18)</f>
        <v>15000680383.709999</v>
      </c>
      <c r="J18" s="10">
        <f>J16</f>
        <v>574147483.07000017</v>
      </c>
      <c r="K18" s="10">
        <f>K16</f>
        <v>0</v>
      </c>
      <c r="M18" s="7"/>
    </row>
    <row r="19" spans="13:13" ht="15.65">
      <c r="M19" s="7"/>
    </row>
    <row r="20" spans="1:13" ht="15.65">
      <c r="A20" s="4" t="s">
        <v>11</v>
      </c>
      <c r="F20" s="8">
        <f>ROUND(F18/$B$18,5)</f>
        <v>0.42710999999999999</v>
      </c>
      <c r="G20" s="8">
        <f>ROUND(G18/$B$18,5)</f>
        <v>0.55176999999999998</v>
      </c>
      <c r="H20" s="9"/>
      <c r="I20" s="8"/>
      <c r="J20" s="8">
        <f>ROUND(J18/$B$18,5)</f>
        <v>0.02112</v>
      </c>
      <c r="K20" s="8">
        <f>ROUND(K18/$B$18,5)</f>
        <v>0</v>
      </c>
      <c r="M20" s="14">
        <f>SUM(F20:K20)</f>
        <v>1</v>
      </c>
    </row>
  </sheetData>
  <sortState ref="A2:P207">
    <sortCondition sortBy="value" ref="A2:A207"/>
  </sortState>
  <mergeCells count="1">
    <mergeCell ref="A1:K2"/>
  </mergeCells>
  <pageMargins left="0.7" right="0.7" top="2.5" bottom="0.75" header="1.5" footer="0.3"/>
  <pageSetup fitToHeight="0" orientation="landscape" scale="43" r:id="rId1"/>
  <headerFooter alignWithMargins="0">
    <oddHeader>&amp;C&amp;"Arial,Bold"&amp;12
2022 RATE CASE
ONCOR ELECTRIC DELIVERY COMPANY LLC
NET PLANT FACTORS FOR INTANGIBLE PLANT
FOR THE TEST YEAR ENDING DECEMBER 31, 2021
SPONSOR: W. A. LEDBETTER
&amp;R&amp;"Arial,Bold"&amp;12WP/II-B-1/01
Page &amp;P of &amp;N</oddHeader>
  </headerFooter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 /></Relationships>
</file>

<file path=customXml/_rels/item4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4.xml" 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27CE8EF2137B4CA3F17065297CF102" ma:contentTypeVersion="5" ma:contentTypeDescription="Create a new document." ma:contentTypeScope="" ma:versionID="c691f8f861fed439a9f9bc405e700cd3">
  <xsd:schema xmlns:xsd="http://www.w3.org/2001/XMLSchema" xmlns:xs="http://www.w3.org/2001/XMLSchema" xmlns:p="http://schemas.microsoft.com/office/2006/metadata/properties" xmlns:ns1="http://schemas.microsoft.com/sharepoint/v3" xmlns:ns2="4f7156c1-be87-4d1f-9274-ce189f982c1a" targetNamespace="http://schemas.microsoft.com/office/2006/metadata/properties" ma:root="true" ma:fieldsID="8690dca1c0a9094a2a6515f869531236" ns1:_="" ns2:_="">
    <xsd:import namespace="http://schemas.microsoft.com/sharepoint/v3"/>
    <xsd:import namespace="4f7156c1-be87-4d1f-9274-ce189f982c1a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_dlc_DocId" minOccurs="0"/>
                <xsd:element ref="ns2:_dlc_DocIdUrl" minOccurs="0"/>
                <xsd:element ref="ns2:_dlc_DocIdPersistId" minOccurs="0"/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4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5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7156c1-be87-4d1f-9274-ce189f982c1a" elementFormDefault="qualified">
    <xsd:import namespace="http://schemas.microsoft.com/office/2006/documentManagement/types"/>
    <xsd:import namespace="http://schemas.microsoft.com/office/infopath/2007/PartnerControls"/>
    <xsd:element name="_dlc_DocId" ma:index="6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7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8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3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9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_dlc_DocId xmlns="4f7156c1-be87-4d1f-9274-ce189f982c1a">FHHXVRPN3UPD-1807981734-30289</_dlc_DocId>
    <_dlc_DocIdUrl xmlns="4f7156c1-be87-4d1f-9274-ce189f982c1a">
      <Url>http://intranet.corp.oncor.com/sites/Finance/_layouts/15/DocIdRedir.aspx?ID=FHHXVRPN3UPD-1807981734-30289</Url>
      <Description>FHHXVRPN3UPD-1807981734-30289</Description>
    </_dlc_DocIdUrl>
  </documentManagement>
</p:properties>
</file>

<file path=customXml/itemProps1.xml><?xml version="1.0" encoding="utf-8"?>
<ds:datastoreItem xmlns:ds="http://schemas.openxmlformats.org/officeDocument/2006/customXml" ds:itemID="{87F0067D-06DF-49B6-81A5-0379A63727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7156c1-be87-4d1f-9274-ce189f982c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8308583-5117-4BA2-BB48-9D3CF9BDC4F2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0A80C778-0878-4C68-90CD-2FB314AC49C9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B989D8D7-75AB-4757-BCF7-BC8D396BFBA7}">
  <ds:schemaRefs>
    <ds:schemaRef ds:uri="http://schemas.microsoft.com/sharepoint/v3"/>
    <ds:schemaRef ds:uri="http://purl.org/dc/terms/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4f7156c1-be87-4d1f-9274-ce189f982c1a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WP II-B-1_01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0x0101002027CE8EF2137B4CA3F17065297CF102</vt:lpwstr>
  </property>
  <property fmtid="{D5CDD505-2E9C-101B-9397-08002B2CF9AE}" pid="3" name="_dlc_DocIdItemGuid">
    <vt:lpwstr>00cc29ff-3761-4179-b85f-4c01384dfeef</vt:lpwstr>
  </property>
</Properties>
</file>