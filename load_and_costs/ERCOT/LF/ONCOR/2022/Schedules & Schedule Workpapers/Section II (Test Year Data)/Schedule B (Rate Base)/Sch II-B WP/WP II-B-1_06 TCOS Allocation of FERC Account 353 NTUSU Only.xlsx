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1956" yWindow="4442" windowWidth="22741" windowHeight="8069" activeTab="0"/>
  </bookViews>
  <sheets>
    <sheet name="WP II-B-1_06 TCOS - 353 NTU" sheetId="2" r:id="rId2"/>
  </sheets>
  <definedNames>
    <definedName name="_xlnm.Print_Titles" localSheetId="0">'WP II-B-1_06 TCOS - 353 NTU'!$1:$1</definedName>
  </definedNames>
  <calcPr calcId="152511" iterate="1" iterateCount="100" iterateDelta="0.001"/>
</workbook>
</file>

<file path=xl/calcChain.xml><?xml version="1.0" encoding="utf-8"?>
<calcChain xmlns="http://schemas.openxmlformats.org/spreadsheetml/2006/main">
  <c r="I33" i="2" l="1"/>
</calcChain>
</file>

<file path=xl/sharedStrings.xml><?xml version="1.0" encoding="utf-8"?>
<sst xmlns="http://schemas.openxmlformats.org/spreadsheetml/2006/main" count="70" uniqueCount="70">
  <si>
    <t>Location</t>
  </si>
  <si>
    <t>Location Name</t>
  </si>
  <si>
    <t>(C)         Common Investment Based on Property Unit</t>
  </si>
  <si>
    <t>(D)                 DIST Investment Based on Property Unit</t>
  </si>
  <si>
    <t>(E)          TCOS % Based on Property Unit                  (T / (D + T))</t>
  </si>
  <si>
    <t>(D + T)              DIST &amp; TCOS Investment Total Only</t>
  </si>
  <si>
    <t>(G)               TCOS % of Common Investment          (C * E)</t>
  </si>
  <si>
    <t>(H)               DIST % of Common Investment         (C - G)</t>
  </si>
  <si>
    <t>Total TCOS of 353                           (T +G)</t>
  </si>
  <si>
    <t>Total DIST of 353                           (D +H)</t>
  </si>
  <si>
    <t>(T)                   TCOS Investment Based on Property Unit</t>
  </si>
  <si>
    <t>Total 353</t>
  </si>
  <si>
    <t xml:space="preserve">Investment to Allocate to TCOS or DIST                 </t>
  </si>
  <si>
    <t>(F)             DIST % Based on Property Unit              (1 - E)</t>
  </si>
  <si>
    <t>Koch Tap</t>
  </si>
  <si>
    <t>Clearfork 345KV</t>
  </si>
  <si>
    <t>Tule Canyon 345KV</t>
  </si>
  <si>
    <t>Vealmoor 345 kV Station</t>
  </si>
  <si>
    <t>Windmill 345KV</t>
  </si>
  <si>
    <t>Pronghorn 138 - 25KV</t>
  </si>
  <si>
    <t>Roughneck Tap</t>
  </si>
  <si>
    <t>Blue Acres 138 - 25KV</t>
  </si>
  <si>
    <t>Buffalo 138 - 25KV</t>
  </si>
  <si>
    <t>Bulldog 138 - 12.5KV</t>
  </si>
  <si>
    <t>Eiland 138 - 25KV</t>
  </si>
  <si>
    <t>Einstein 345 - 138 - 25KV</t>
  </si>
  <si>
    <t>Pemkiff 138KV</t>
  </si>
  <si>
    <t>Rocky Road 138 - 25KV</t>
  </si>
  <si>
    <t>Sale Ranch 138 - 25KV</t>
  </si>
  <si>
    <t>Skywest 138KV</t>
  </si>
  <si>
    <t>South Midland 138 - 25KV</t>
  </si>
  <si>
    <t>Stiles 138 - 25KV</t>
  </si>
  <si>
    <t>Tall City 138 - 25KV</t>
  </si>
  <si>
    <t>Telephone Road 345 kV Station</t>
  </si>
  <si>
    <t>Alibates 345KV</t>
  </si>
  <si>
    <t>Ogallala 345KV</t>
  </si>
  <si>
    <t>AJ Swope 345 KV</t>
  </si>
  <si>
    <t>Farmland 345 KV</t>
  </si>
  <si>
    <t>White River 345KV</t>
  </si>
  <si>
    <t>N006340</t>
  </si>
  <si>
    <t>N006390</t>
  </si>
  <si>
    <t>N006520</t>
  </si>
  <si>
    <t>N006130</t>
  </si>
  <si>
    <t>N006280</t>
  </si>
  <si>
    <t>N006370</t>
  </si>
  <si>
    <t>N006300</t>
  </si>
  <si>
    <t>N006120</t>
  </si>
  <si>
    <t>N006040</t>
  </si>
  <si>
    <t>N006050</t>
  </si>
  <si>
    <t>N006330</t>
  </si>
  <si>
    <t>N006410</t>
  </si>
  <si>
    <t>N006450</t>
  </si>
  <si>
    <t>N006570</t>
  </si>
  <si>
    <t>N006660</t>
  </si>
  <si>
    <t>N006440</t>
  </si>
  <si>
    <t>N006080</t>
  </si>
  <si>
    <t>N006380</t>
  </si>
  <si>
    <t>N006650</t>
  </si>
  <si>
    <t>N006020</t>
  </si>
  <si>
    <t>N006240</t>
  </si>
  <si>
    <t>N006250</t>
  </si>
  <si>
    <t>N006430</t>
  </si>
  <si>
    <t>N006290</t>
  </si>
  <si>
    <t>N006460</t>
  </si>
  <si>
    <t>N006510</t>
  </si>
  <si>
    <t>N006640</t>
  </si>
  <si>
    <t>N006630</t>
  </si>
  <si>
    <t>Abernathy 345KV</t>
  </si>
  <si>
    <t>Alibates Synchronous Condenser</t>
  </si>
  <si>
    <t>Tule Canyon Synchronous Conden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</si>
</sst>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0000_);[Red]\(#,##0.00000000\)"/>
    <numFmt numFmtId="165" formatCode="#,##0.0000000_);[Red]\(#,##0.0000000\)"/>
  </numFmts>
  <fonts count="6"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 Unicode MS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</cellStyleXfs>
  <cellXfs count="17">
    <xf numFmtId="0" fontId="0" fillId="0" borderId="0" xfId="0"/>
    <xf numFmtId="165" fontId="2" fillId="0" borderId="0" xfId="20" applyNumberFormat="1" applyFont="1" applyFill="1">
      <alignment/>
      <protection/>
    </xf>
    <xf numFmtId="0" fontId="3" fillId="0" borderId="1" xfId="0" applyFont="1" applyFill="1" applyBorder="1" applyAlignment="1">
      <alignment horizontal="center" vertical="center" wrapText="1"/>
    </xf>
    <xf numFmtId="40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/>
    </xf>
    <xf numFmtId="40" fontId="2" fillId="0" borderId="0" xfId="0" applyNumberFormat="1" applyFont="1" applyFill="1"/>
    <xf numFmtId="165" fontId="2" fillId="0" borderId="0" xfId="0" applyNumberFormat="1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/>
    </xf>
    <xf numFmtId="39" fontId="2" fillId="0" borderId="0" xfId="0" applyNumberFormat="1" applyFont="1" applyFill="1"/>
    <xf numFmtId="39" fontId="2" fillId="0" borderId="0" xfId="20" applyNumberFormat="1" applyFont="1" applyFill="1">
      <alignment/>
      <protection/>
    </xf>
    <xf numFmtId="39" fontId="2" fillId="0" borderId="2" xfId="0" applyNumberFormat="1" applyFont="1" applyFill="1" applyBorder="1"/>
    <xf numFmtId="40" fontId="5" fillId="0" borderId="3" xfId="20" applyNumberFormat="1" applyFont="1" applyFill="1" applyBorder="1" applyAlignment="1">
      <alignment horizontal="center"/>
      <protection/>
    </xf>
    <xf numFmtId="165" fontId="5" fillId="0" borderId="4" xfId="20" applyNumberFormat="1" applyFont="1" applyFill="1" applyBorder="1" applyAlignment="1">
      <alignment horizontal="center"/>
      <protection/>
    </xf>
    <xf numFmtId="165" fontId="5" fillId="0" borderId="5" xfId="20" applyNumberFormat="1" applyFont="1" applyFill="1" applyBorder="1" applyAlignment="1">
      <alignment horizontal="center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 2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M33"/>
  <sheetViews>
    <sheetView tabSelected="1" workbookViewId="0" topLeftCell="B1">
      <pane ySplit="1" topLeftCell="A2" activePane="bottomLeft" state="frozen"/>
      <selection pane="topLeft" activeCell="B1" sqref="B1"/>
      <selection pane="bottomLeft" activeCell="B2" sqref="B2"/>
    </sheetView>
  </sheetViews>
  <sheetFormatPr defaultColWidth="9.12428571428571" defaultRowHeight="15.75"/>
  <cols>
    <col min="1" max="1" width="13.7142857142857" style="9" customWidth="1"/>
    <col min="2" max="2" width="46.8571428571429" style="6" customWidth="1"/>
    <col min="3" max="4" width="18.2857142857143" style="7" customWidth="1"/>
    <col min="5" max="7" width="20.1428571428571" style="7" customWidth="1"/>
    <col min="8" max="8" width="13.7142857142857" style="7" customWidth="1"/>
    <col min="9" max="9" width="15.4285714285714" style="8" bestFit="1" customWidth="1"/>
    <col min="10" max="10" width="18.2857142857143" style="8" customWidth="1"/>
    <col min="11" max="11" width="16.8571428571429" style="7" customWidth="1"/>
    <col min="12" max="12" width="20.1428571428571" style="7" customWidth="1"/>
    <col min="13" max="13" width="18.2857142857143" style="7" customWidth="1"/>
    <col min="14" max="16384" width="9.14285714285714" style="5"/>
  </cols>
  <sheetData>
    <row r="1" spans="1:13" ht="93.75">
      <c r="A1" s="2" t="s">
        <v>0</v>
      </c>
      <c r="B1" s="2" t="s">
        <v>1</v>
      </c>
      <c r="C1" s="3" t="s">
        <v>2</v>
      </c>
      <c r="D1" s="3" t="s">
        <v>3</v>
      </c>
      <c r="E1" s="3" t="s">
        <v>10</v>
      </c>
      <c r="F1" s="3" t="s">
        <v>12</v>
      </c>
      <c r="G1" s="3" t="s">
        <v>5</v>
      </c>
      <c r="H1" s="4" t="s">
        <v>4</v>
      </c>
      <c r="I1" s="4" t="s">
        <v>13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ht="15.65">
      <c r="A2" s="9" t="s">
        <v>39</v>
      </c>
      <c r="B2" s="10" t="s">
        <v>30</v>
      </c>
      <c r="C2" s="11">
        <v>950280.67000000004</v>
      </c>
      <c r="D2" s="11">
        <v>2831242.3700000001</v>
      </c>
      <c r="E2" s="11">
        <v>1120596.45</v>
      </c>
      <c r="F2" s="11">
        <v>4902119.4900000002</v>
      </c>
      <c r="G2" s="12">
        <v>3951838.8200000003</v>
      </c>
      <c r="H2" s="1">
        <v>0.28356329826225046</v>
      </c>
      <c r="I2" s="1">
        <v>0.71643670173774954</v>
      </c>
      <c r="J2" s="12">
        <v>269464.71999999997</v>
      </c>
      <c r="K2" s="12">
        <v>680815.95000000007</v>
      </c>
      <c r="L2" s="12">
        <v>1390061.1699999999</v>
      </c>
      <c r="M2" s="12">
        <v>3512058.3200000003</v>
      </c>
    </row>
    <row r="3" spans="1:13" ht="15.65">
      <c r="A3" s="9" t="s">
        <v>40</v>
      </c>
      <c r="B3" s="10" t="s">
        <v>33</v>
      </c>
      <c r="C3" s="11">
        <v>2372154.9199999999</v>
      </c>
      <c r="D3" s="11">
        <v>5505929.1799999997</v>
      </c>
      <c r="E3" s="11">
        <v>22062286.309999999</v>
      </c>
      <c r="F3" s="11">
        <v>29940370.409999996</v>
      </c>
      <c r="G3" s="12">
        <v>27568215.489999998</v>
      </c>
      <c r="H3" s="1">
        <v>0.80027981201767662</v>
      </c>
      <c r="I3" s="1">
        <v>0.19972018798232338</v>
      </c>
      <c r="J3" s="12">
        <v>1898387.6899999999</v>
      </c>
      <c r="K3" s="12">
        <v>473767.22999999998</v>
      </c>
      <c r="L3" s="12">
        <v>23960674</v>
      </c>
      <c r="M3" s="12">
        <v>5979696.4100000001</v>
      </c>
    </row>
    <row r="4" spans="1:13" ht="15.65">
      <c r="A4" s="9" t="s">
        <v>41</v>
      </c>
      <c r="B4" s="10" t="s">
        <v>14</v>
      </c>
      <c r="C4" s="11">
        <v>3302438.9100000001</v>
      </c>
      <c r="D4" s="11">
        <v>7271924.1699999999</v>
      </c>
      <c r="E4" s="11">
        <v>561652.18000000005</v>
      </c>
      <c r="F4" s="11">
        <v>11136015.26</v>
      </c>
      <c r="G4" s="12">
        <v>7833576.3499999996</v>
      </c>
      <c r="H4" s="1">
        <v>0.07169805398015941</v>
      </c>
      <c r="I4" s="1">
        <v>0.92830194601984062</v>
      </c>
      <c r="J4" s="12">
        <v>236778.44</v>
      </c>
      <c r="K4" s="12">
        <v>3065660.4700000002</v>
      </c>
      <c r="L4" s="12">
        <v>798430.62000000011</v>
      </c>
      <c r="M4" s="12">
        <v>10337584.640000001</v>
      </c>
    </row>
    <row r="5" spans="1:13" ht="15.65">
      <c r="A5" s="9" t="s">
        <v>42</v>
      </c>
      <c r="B5" s="10" t="s">
        <v>25</v>
      </c>
      <c r="C5" s="11">
        <v>306806.64000000001</v>
      </c>
      <c r="D5" s="11">
        <v>2382394.9300000002</v>
      </c>
      <c r="E5" s="11">
        <v>12813062.18</v>
      </c>
      <c r="F5" s="11">
        <v>15502263.75</v>
      </c>
      <c r="G5" s="12">
        <v>15195457.109999999</v>
      </c>
      <c r="H5" s="1">
        <v>0.84321663292167981</v>
      </c>
      <c r="I5" s="1">
        <v>0.15678336707832019</v>
      </c>
      <c r="J5" s="12">
        <v>258704.45999999999</v>
      </c>
      <c r="K5" s="12">
        <v>48102.180000000022</v>
      </c>
      <c r="L5" s="12">
        <v>13071766.640000001</v>
      </c>
      <c r="M5" s="12">
        <v>2430497.1100000003</v>
      </c>
    </row>
    <row r="6" spans="1:13" ht="15.65">
      <c r="A6" s="9" t="s">
        <v>43</v>
      </c>
      <c r="B6" s="10" t="s">
        <v>27</v>
      </c>
      <c r="C6" s="11">
        <v>159064.88000000001</v>
      </c>
      <c r="D6" s="11">
        <v>2188584.73</v>
      </c>
      <c r="E6" s="11">
        <v>1976891.1200000001</v>
      </c>
      <c r="F6" s="11">
        <v>4324540.7300000004</v>
      </c>
      <c r="G6" s="12">
        <v>4165475.8500000001</v>
      </c>
      <c r="H6" s="1">
        <v>0.47458950458205157</v>
      </c>
      <c r="I6" s="1">
        <v>0.52541049541794838</v>
      </c>
      <c r="J6" s="12">
        <v>75490.520000000004</v>
      </c>
      <c r="K6" s="12">
        <v>83574.360000000001</v>
      </c>
      <c r="L6" s="12">
        <v>2052381.6400000001</v>
      </c>
      <c r="M6" s="12">
        <v>2272159.0899999999</v>
      </c>
    </row>
    <row r="7" spans="1:13" ht="15.65">
      <c r="A7" s="9" t="s">
        <v>44</v>
      </c>
      <c r="B7" s="10" t="s">
        <v>31</v>
      </c>
      <c r="C7" s="11">
        <v>754449.96999999997</v>
      </c>
      <c r="D7" s="11">
        <v>4873835.6900000004</v>
      </c>
      <c r="E7" s="11">
        <v>3897574.7400000002</v>
      </c>
      <c r="F7" s="11">
        <v>9525860.4000000004</v>
      </c>
      <c r="G7" s="12">
        <v>8771410.4299999997</v>
      </c>
      <c r="H7" s="1">
        <v>0.44434983074894152</v>
      </c>
      <c r="I7" s="1">
        <v>0.55565016925105848</v>
      </c>
      <c r="J7" s="12">
        <v>335239.71999999997</v>
      </c>
      <c r="K7" s="12">
        <v>419210.25</v>
      </c>
      <c r="L7" s="12">
        <v>4232814.46</v>
      </c>
      <c r="M7" s="12">
        <v>5293045.9400000004</v>
      </c>
    </row>
    <row r="8" spans="1:13" ht="15.65">
      <c r="A8" s="9" t="s">
        <v>45</v>
      </c>
      <c r="B8" s="10" t="s">
        <v>28</v>
      </c>
      <c r="C8" s="11">
        <v>247968.57999999999</v>
      </c>
      <c r="D8" s="11">
        <v>1992374.0600000001</v>
      </c>
      <c r="E8" s="11">
        <v>3699961.1200000001</v>
      </c>
      <c r="F8" s="11">
        <v>5940303.7599999998</v>
      </c>
      <c r="G8" s="12">
        <v>5692335.1799999997</v>
      </c>
      <c r="H8" s="1">
        <v>0.64999003098057206</v>
      </c>
      <c r="I8" s="1">
        <v>0.35000996901942794</v>
      </c>
      <c r="J8" s="12">
        <v>161177.10000000001</v>
      </c>
      <c r="K8" s="12">
        <v>86791.479999999981</v>
      </c>
      <c r="L8" s="12">
        <v>3861138.2200000002</v>
      </c>
      <c r="M8" s="12">
        <v>2079165.54</v>
      </c>
    </row>
    <row r="9" spans="1:13" ht="15.65">
      <c r="A9" s="9" t="s">
        <v>46</v>
      </c>
      <c r="B9" s="10" t="s">
        <v>24</v>
      </c>
      <c r="C9" s="11">
        <v>1039848.1800000001</v>
      </c>
      <c r="D9" s="11">
        <v>2258866.7400000002</v>
      </c>
      <c r="E9" s="11">
        <v>2473124.3100000001</v>
      </c>
      <c r="F9" s="11">
        <v>5771839.2300000004</v>
      </c>
      <c r="G9" s="12">
        <v>4731991.0500000007</v>
      </c>
      <c r="H9" s="1">
        <v>0.52263926196563704</v>
      </c>
      <c r="I9" s="1">
        <v>0.47736073803436296</v>
      </c>
      <c r="J9" s="12">
        <v>543465.48999999999</v>
      </c>
      <c r="K9" s="12">
        <v>496382.69000000006</v>
      </c>
      <c r="L9" s="12">
        <v>3016589.7999999998</v>
      </c>
      <c r="M9" s="12">
        <v>2755249.4300000002</v>
      </c>
    </row>
    <row r="10" spans="1:13" ht="15.65">
      <c r="A10" s="9" t="s">
        <v>47</v>
      </c>
      <c r="B10" s="10" t="s">
        <v>22</v>
      </c>
      <c r="C10" s="11">
        <v>629808.26000000001</v>
      </c>
      <c r="D10" s="11">
        <v>500581.69</v>
      </c>
      <c r="E10" s="11">
        <v>1954443.77</v>
      </c>
      <c r="F10" s="11">
        <v>3084833.7199999997</v>
      </c>
      <c r="G10" s="12">
        <v>2455025.46</v>
      </c>
      <c r="H10" s="1">
        <v>0.79609918587157957</v>
      </c>
      <c r="I10" s="1">
        <v>0.20390081412842043</v>
      </c>
      <c r="J10" s="12">
        <v>501389.84000000003</v>
      </c>
      <c r="K10" s="12">
        <v>128418.41999999998</v>
      </c>
      <c r="L10" s="12">
        <v>2455833.6099999999</v>
      </c>
      <c r="M10" s="12">
        <v>629000.10999999999</v>
      </c>
    </row>
    <row r="11" spans="1:13" ht="15.65">
      <c r="A11" s="9" t="s">
        <v>48</v>
      </c>
      <c r="B11" s="10" t="s">
        <v>23</v>
      </c>
      <c r="C11" s="11">
        <v>422963.96999999997</v>
      </c>
      <c r="D11" s="11">
        <v>2041947.6000000001</v>
      </c>
      <c r="E11" s="11">
        <v>4063275.9100000001</v>
      </c>
      <c r="F11" s="11">
        <v>6528187.4800000004</v>
      </c>
      <c r="G11" s="12">
        <v>6105223.5099999998</v>
      </c>
      <c r="H11" s="1">
        <v>0.66554089352250434</v>
      </c>
      <c r="I11" s="1">
        <v>0.33445910647749566</v>
      </c>
      <c r="J11" s="12">
        <v>281499.82000000001</v>
      </c>
      <c r="K11" s="12">
        <v>141464.14999999997</v>
      </c>
      <c r="L11" s="12">
        <v>4344775.7300000004</v>
      </c>
      <c r="M11" s="12">
        <v>2183411.75</v>
      </c>
    </row>
    <row r="12" spans="1:13" ht="15.65">
      <c r="A12" s="9" t="s">
        <v>49</v>
      </c>
      <c r="B12" s="10" t="s">
        <v>29</v>
      </c>
      <c r="C12" s="11">
        <v>271085.65999999997</v>
      </c>
      <c r="D12" s="11">
        <v>252172</v>
      </c>
      <c r="E12" s="11">
        <v>1320016.24</v>
      </c>
      <c r="F12" s="11">
        <v>1843273.8999999999</v>
      </c>
      <c r="G12" s="12">
        <v>1572188.24</v>
      </c>
      <c r="H12" s="1">
        <v>0.83960444838335646</v>
      </c>
      <c r="I12" s="1">
        <v>0.16039555161664354</v>
      </c>
      <c r="J12" s="12">
        <v>227604.73000000001</v>
      </c>
      <c r="K12" s="12">
        <v>43480.929999999964</v>
      </c>
      <c r="L12" s="12">
        <v>1547620.97</v>
      </c>
      <c r="M12" s="12">
        <v>295652.92999999993</v>
      </c>
    </row>
    <row r="13" spans="1:13" ht="15.65">
      <c r="A13" s="9" t="s">
        <v>50</v>
      </c>
      <c r="B13" s="10" t="s">
        <v>17</v>
      </c>
      <c r="C13" s="11">
        <v>180626.35999999999</v>
      </c>
      <c r="D13" s="11">
        <v>287012.84999999998</v>
      </c>
      <c r="E13" s="11">
        <v>9596749.8800000008</v>
      </c>
      <c r="F13" s="11">
        <v>10064389.09</v>
      </c>
      <c r="G13" s="12">
        <v>9883762.7300000004</v>
      </c>
      <c r="H13" s="1">
        <v>0.97096117563315898</v>
      </c>
      <c r="I13" s="1">
        <v>0.029038824366841021</v>
      </c>
      <c r="J13" s="12">
        <v>175381.17999999999</v>
      </c>
      <c r="K13" s="12">
        <v>5245.179999999993</v>
      </c>
      <c r="L13" s="12">
        <v>9772131.0600000005</v>
      </c>
      <c r="M13" s="12">
        <v>292258.02999999997</v>
      </c>
    </row>
    <row r="14" spans="1:13" ht="15.65">
      <c r="A14" s="9" t="s">
        <v>51</v>
      </c>
      <c r="B14" s="10" t="s">
        <v>34</v>
      </c>
      <c r="C14" s="11">
        <v>900374.62</v>
      </c>
      <c r="D14" s="11">
        <v>627710.70999999996</v>
      </c>
      <c r="E14" s="11">
        <v>22175257.940000001</v>
      </c>
      <c r="F14" s="11">
        <v>23703343.270000003</v>
      </c>
      <c r="G14" s="12">
        <v>22802968.650000002</v>
      </c>
      <c r="H14" s="1">
        <v>0.97247241270929863</v>
      </c>
      <c r="I14" s="1">
        <v>0.027527587290701372</v>
      </c>
      <c r="J14" s="12">
        <v>875589.47999999998</v>
      </c>
      <c r="K14" s="12">
        <v>24785.140000000014</v>
      </c>
      <c r="L14" s="12">
        <v>23050847.420000002</v>
      </c>
      <c r="M14" s="12">
        <v>652495.84999999998</v>
      </c>
    </row>
    <row r="15" spans="1:13" ht="15.65">
      <c r="A15" s="9" t="s">
        <v>52</v>
      </c>
      <c r="B15" s="10" t="s">
        <v>35</v>
      </c>
      <c r="C15" s="11">
        <v>1382070.3400000001</v>
      </c>
      <c r="D15" s="11">
        <v>416321.45000000001</v>
      </c>
      <c r="E15" s="11">
        <v>19649454.280000001</v>
      </c>
      <c r="F15" s="11">
        <v>21447846.07</v>
      </c>
      <c r="G15" s="12">
        <v>20065775.73</v>
      </c>
      <c r="H15" s="1">
        <v>0.97925216270719284</v>
      </c>
      <c r="I15" s="1">
        <v>0.020747837292807159</v>
      </c>
      <c r="J15" s="12">
        <v>1353395.3700000001</v>
      </c>
      <c r="K15" s="12">
        <v>28674.969999999972</v>
      </c>
      <c r="L15" s="12">
        <v>21002849.650000002</v>
      </c>
      <c r="M15" s="12">
        <v>444996.41999999998</v>
      </c>
    </row>
    <row r="16" spans="1:13" ht="15.65">
      <c r="A16" s="9" t="s">
        <v>53</v>
      </c>
      <c r="B16" s="10" t="s">
        <v>18</v>
      </c>
      <c r="C16" s="11">
        <v>1740812.9399999999</v>
      </c>
      <c r="D16" s="11">
        <v>599952.70999999996</v>
      </c>
      <c r="E16" s="11">
        <v>27150727.059999999</v>
      </c>
      <c r="F16" s="11">
        <v>29491492.709999997</v>
      </c>
      <c r="G16" s="12">
        <v>27750679.77</v>
      </c>
      <c r="H16" s="1">
        <v>0.97838061211572258</v>
      </c>
      <c r="I16" s="1">
        <v>0.021619387884277419</v>
      </c>
      <c r="J16" s="12">
        <v>1703177.6299999999</v>
      </c>
      <c r="K16" s="12">
        <v>37635.310000000056</v>
      </c>
      <c r="L16" s="12">
        <v>28853904.689999998</v>
      </c>
      <c r="M16" s="12">
        <v>637588.02000000002</v>
      </c>
    </row>
    <row r="17" spans="1:13" ht="15.65">
      <c r="A17" s="9" t="s">
        <v>54</v>
      </c>
      <c r="B17" s="10" t="s">
        <v>36</v>
      </c>
      <c r="C17" s="11">
        <v>1356502.29</v>
      </c>
      <c r="D17" s="11">
        <v>601881.64000000001</v>
      </c>
      <c r="E17" s="11">
        <v>18815030.91</v>
      </c>
      <c r="F17" s="11">
        <v>20773414.84</v>
      </c>
      <c r="G17" s="12">
        <v>19416912.550000001</v>
      </c>
      <c r="H17" s="1">
        <v>0.96900219648978125</v>
      </c>
      <c r="I17" s="1">
        <v>0.030997803510218747</v>
      </c>
      <c r="J17" s="12">
        <v>1314453.7</v>
      </c>
      <c r="K17" s="12">
        <v>42048.590000000084</v>
      </c>
      <c r="L17" s="12">
        <v>20129484.609999999</v>
      </c>
      <c r="M17" s="12">
        <v>643930.2300000001</v>
      </c>
    </row>
    <row r="18" spans="1:13" ht="15.65">
      <c r="A18" s="9" t="s">
        <v>55</v>
      </c>
      <c r="B18" s="10" t="s">
        <v>15</v>
      </c>
      <c r="C18" s="11">
        <v>399026.59000000003</v>
      </c>
      <c r="D18" s="11">
        <v>0</v>
      </c>
      <c r="E18" s="11">
        <v>2660691.3700000001</v>
      </c>
      <c r="F18" s="11">
        <v>3059717.96</v>
      </c>
      <c r="G18" s="12">
        <v>2660691.3700000001</v>
      </c>
      <c r="H18" s="1">
        <v>1</v>
      </c>
      <c r="I18" s="1">
        <v>0</v>
      </c>
      <c r="J18" s="12">
        <v>399026.59000000003</v>
      </c>
      <c r="K18" s="12">
        <v>0</v>
      </c>
      <c r="L18" s="12">
        <v>3059717.96</v>
      </c>
      <c r="M18" s="12">
        <v>0</v>
      </c>
    </row>
    <row r="19" spans="1:13" ht="15.65">
      <c r="A19" s="9" t="s">
        <v>56</v>
      </c>
      <c r="B19" s="10" t="s">
        <v>32</v>
      </c>
      <c r="C19" s="11">
        <v>874626.76000000001</v>
      </c>
      <c r="D19" s="11">
        <v>1600465.8700000001</v>
      </c>
      <c r="E19" s="11">
        <v>2619670.5499999998</v>
      </c>
      <c r="F19" s="11">
        <v>5094763.1799999997</v>
      </c>
      <c r="G19" s="12">
        <v>4220136.4199999999</v>
      </c>
      <c r="H19" s="1">
        <v>0.62075494469441816</v>
      </c>
      <c r="I19" s="1">
        <v>0.37924505530558184</v>
      </c>
      <c r="J19" s="12">
        <v>542928.89000000001</v>
      </c>
      <c r="K19" s="12">
        <v>331697.87</v>
      </c>
      <c r="L19" s="12">
        <v>3162599.4399999999</v>
      </c>
      <c r="M19" s="12">
        <v>1932163.7400000002</v>
      </c>
    </row>
    <row r="20" spans="1:13" ht="15.65">
      <c r="A20" s="9" t="s">
        <v>57</v>
      </c>
      <c r="B20" s="10" t="s">
        <v>38</v>
      </c>
      <c r="C20" s="11">
        <v>3901880.8199999998</v>
      </c>
      <c r="D20" s="11">
        <v>0</v>
      </c>
      <c r="E20" s="11">
        <v>16886216</v>
      </c>
      <c r="F20" s="11">
        <v>20788096.82</v>
      </c>
      <c r="G20" s="12">
        <v>16886216</v>
      </c>
      <c r="H20" s="1">
        <v>1</v>
      </c>
      <c r="I20" s="1">
        <v>0</v>
      </c>
      <c r="J20" s="12">
        <v>3901880.8199999998</v>
      </c>
      <c r="K20" s="12">
        <v>0</v>
      </c>
      <c r="L20" s="12">
        <v>20788096.82</v>
      </c>
      <c r="M20" s="12">
        <v>0</v>
      </c>
    </row>
    <row r="21" spans="1:13" ht="15.65">
      <c r="A21" s="9" t="s">
        <v>58</v>
      </c>
      <c r="B21" s="10" t="s">
        <v>21</v>
      </c>
      <c r="C21" s="11">
        <v>241133.53</v>
      </c>
      <c r="D21" s="11">
        <v>3754641.9199999999</v>
      </c>
      <c r="E21" s="11">
        <v>2357987.7400000002</v>
      </c>
      <c r="F21" s="11">
        <v>6353763.1899999995</v>
      </c>
      <c r="G21" s="12">
        <v>6112629.6600000001</v>
      </c>
      <c r="H21" s="1">
        <v>0.38575668266478952</v>
      </c>
      <c r="I21" s="1">
        <v>0.61424331733521043</v>
      </c>
      <c r="J21" s="12">
        <v>93018.869999999995</v>
      </c>
      <c r="K21" s="12">
        <v>148114.66</v>
      </c>
      <c r="L21" s="12">
        <v>2451006.6100000003</v>
      </c>
      <c r="M21" s="12">
        <v>3902756.5800000001</v>
      </c>
    </row>
    <row r="22" spans="1:13" ht="15.65">
      <c r="A22" s="9" t="s">
        <v>59</v>
      </c>
      <c r="B22" s="10" t="s">
        <v>26</v>
      </c>
      <c r="C22" s="11">
        <v>122908.19</v>
      </c>
      <c r="D22" s="11">
        <v>0</v>
      </c>
      <c r="E22" s="11">
        <v>2755266.3799999999</v>
      </c>
      <c r="F22" s="11">
        <v>2878174.5699999998</v>
      </c>
      <c r="G22" s="12">
        <v>2755266.3799999999</v>
      </c>
      <c r="H22" s="1">
        <v>1</v>
      </c>
      <c r="I22" s="1">
        <v>0</v>
      </c>
      <c r="J22" s="12">
        <v>122908.19</v>
      </c>
      <c r="K22" s="12">
        <v>0</v>
      </c>
      <c r="L22" s="12">
        <v>2878174.5699999998</v>
      </c>
      <c r="M22" s="12">
        <v>0</v>
      </c>
    </row>
    <row r="23" spans="1:13" ht="15.65">
      <c r="A23" s="9" t="s">
        <v>60</v>
      </c>
      <c r="B23" s="10" t="s">
        <v>19</v>
      </c>
      <c r="C23" s="11">
        <v>1008955.57</v>
      </c>
      <c r="D23" s="11">
        <v>4066815.9900000002</v>
      </c>
      <c r="E23" s="11">
        <v>1103092.9199999999</v>
      </c>
      <c r="F23" s="11">
        <v>6178864.4800000004</v>
      </c>
      <c r="G23" s="12">
        <v>5169908.9100000001</v>
      </c>
      <c r="H23" s="1">
        <v>0.21336796048114509</v>
      </c>
      <c r="I23" s="1">
        <v>0.78663203951885485</v>
      </c>
      <c r="J23" s="12">
        <v>215278.79000000001</v>
      </c>
      <c r="K23" s="12">
        <v>793676.77999999991</v>
      </c>
      <c r="L23" s="12">
        <v>1318371.71</v>
      </c>
      <c r="M23" s="12">
        <v>4860492.7700000005</v>
      </c>
    </row>
    <row r="24" spans="1:13" ht="15.65">
      <c r="A24" s="9" t="s">
        <v>61</v>
      </c>
      <c r="B24" s="10" t="s">
        <v>67</v>
      </c>
      <c r="C24" s="11">
        <v>0</v>
      </c>
      <c r="D24" s="11">
        <v>0</v>
      </c>
      <c r="E24" s="11">
        <v>253422.57000000001</v>
      </c>
      <c r="F24" s="11">
        <v>253422.57000000001</v>
      </c>
      <c r="G24" s="12">
        <v>253422.57000000001</v>
      </c>
      <c r="H24" s="1">
        <v>1</v>
      </c>
      <c r="I24" s="1">
        <v>0</v>
      </c>
      <c r="J24" s="12">
        <v>0</v>
      </c>
      <c r="K24" s="12">
        <v>0</v>
      </c>
      <c r="L24" s="12">
        <v>253422.57000000001</v>
      </c>
      <c r="M24" s="12">
        <v>0</v>
      </c>
    </row>
    <row r="25" spans="1:13" ht="15.65">
      <c r="A25" s="9" t="s">
        <v>62</v>
      </c>
      <c r="B25" s="10" t="s">
        <v>20</v>
      </c>
      <c r="C25" s="11">
        <v>1023.09</v>
      </c>
      <c r="D25" s="11">
        <v>0</v>
      </c>
      <c r="E25" s="11">
        <v>532687.21999999997</v>
      </c>
      <c r="F25" s="11">
        <v>533710.30999999994</v>
      </c>
      <c r="G25" s="12">
        <v>532687.21999999997</v>
      </c>
      <c r="H25" s="1">
        <v>1</v>
      </c>
      <c r="I25" s="1">
        <v>0</v>
      </c>
      <c r="J25" s="12">
        <v>1023.09</v>
      </c>
      <c r="K25" s="12">
        <v>0</v>
      </c>
      <c r="L25" s="12">
        <v>533710.30999999994</v>
      </c>
      <c r="M25" s="12">
        <v>0</v>
      </c>
    </row>
    <row r="26" spans="1:13" ht="15.65">
      <c r="A26" s="9" t="s">
        <v>63</v>
      </c>
      <c r="B26" s="10" t="s">
        <v>68</v>
      </c>
      <c r="C26" s="11">
        <v>14872247.68</v>
      </c>
      <c r="D26" s="11">
        <v>0</v>
      </c>
      <c r="E26" s="11">
        <v>17946289.210000001</v>
      </c>
      <c r="F26" s="11">
        <v>32818536.890000001</v>
      </c>
      <c r="G26" s="12">
        <v>17946289.210000001</v>
      </c>
      <c r="H26" s="1">
        <v>1</v>
      </c>
      <c r="I26" s="1">
        <v>0</v>
      </c>
      <c r="J26" s="12">
        <v>14872247.68</v>
      </c>
      <c r="K26" s="12">
        <v>0</v>
      </c>
      <c r="L26" s="12">
        <v>32818536.890000001</v>
      </c>
      <c r="M26" s="12">
        <v>0</v>
      </c>
    </row>
    <row r="27" spans="1:13" ht="15.65">
      <c r="A27" s="9" t="s">
        <v>64</v>
      </c>
      <c r="B27" s="10" t="s">
        <v>37</v>
      </c>
      <c r="C27" s="11">
        <v>205223.91</v>
      </c>
      <c r="D27" s="11">
        <v>0</v>
      </c>
      <c r="E27" s="11">
        <v>3046421.21</v>
      </c>
      <c r="F27" s="11">
        <v>3251645.1200000001</v>
      </c>
      <c r="G27" s="12">
        <v>3046421.21</v>
      </c>
      <c r="H27" s="1">
        <v>1</v>
      </c>
      <c r="I27" s="1">
        <v>0</v>
      </c>
      <c r="J27" s="12">
        <v>205223.91</v>
      </c>
      <c r="K27" s="12">
        <v>0</v>
      </c>
      <c r="L27" s="12">
        <v>3251645.1200000001</v>
      </c>
      <c r="M27" s="12">
        <v>0</v>
      </c>
    </row>
    <row r="28" spans="1:13" ht="15.65">
      <c r="A28" s="9" t="s">
        <v>65</v>
      </c>
      <c r="B28" s="10" t="s">
        <v>69</v>
      </c>
      <c r="C28" s="11">
        <v>14985910.32</v>
      </c>
      <c r="D28" s="11">
        <v>0</v>
      </c>
      <c r="E28" s="11">
        <v>17553664.559999999</v>
      </c>
      <c r="F28" s="11">
        <v>32539574.879999999</v>
      </c>
      <c r="G28" s="12">
        <v>17553664.559999999</v>
      </c>
      <c r="H28" s="1">
        <v>1</v>
      </c>
      <c r="I28" s="1">
        <v>0</v>
      </c>
      <c r="J28" s="12">
        <v>14985910.32</v>
      </c>
      <c r="K28" s="12">
        <v>0</v>
      </c>
      <c r="L28" s="12">
        <v>32539574.879999999</v>
      </c>
      <c r="M28" s="12">
        <v>0</v>
      </c>
    </row>
    <row r="29" spans="1:13" ht="15.65">
      <c r="A29" s="9" t="s">
        <v>66</v>
      </c>
      <c r="B29" s="10" t="s">
        <v>16</v>
      </c>
      <c r="C29" s="11">
        <v>698916.51000000001</v>
      </c>
      <c r="D29" s="11">
        <v>706102.98999999999</v>
      </c>
      <c r="E29" s="11">
        <v>29567340.460000001</v>
      </c>
      <c r="F29" s="11">
        <v>30972359.960000001</v>
      </c>
      <c r="G29" s="12">
        <v>30273443.449999999</v>
      </c>
      <c r="H29" s="1">
        <v>0.97667582839837142</v>
      </c>
      <c r="I29" s="1">
        <v>0.023324171601628585</v>
      </c>
      <c r="J29" s="12">
        <v>682614.85999999999</v>
      </c>
      <c r="K29" s="12">
        <v>16301.650000000023</v>
      </c>
      <c r="L29" s="12">
        <v>30249955.32</v>
      </c>
      <c r="M29" s="12">
        <v>722404.64000000001</v>
      </c>
    </row>
    <row r="30" spans="2:13" ht="15.65">
      <c r="B30" s="10"/>
      <c r="C30" s="11"/>
      <c r="D30" s="11"/>
      <c r="E30" s="11"/>
      <c r="F30" s="11"/>
      <c r="G30" s="12"/>
      <c r="H30" s="1"/>
      <c r="I30" s="1"/>
      <c r="J30" s="12"/>
      <c r="K30" s="12"/>
      <c r="L30" s="12"/>
      <c r="M30" s="12"/>
    </row>
    <row r="31" spans="3:13" ht="16.3" thickBot="1">
      <c r="C31" s="13">
        <f>SUM(C2:C30)</f>
        <v>53329110.159999996</v>
      </c>
      <c r="D31" s="13">
        <f>SUM(D2:D30)</f>
        <v>44760759.290000007</v>
      </c>
      <c r="E31" s="13">
        <f>SUM(E2:E30)</f>
        <v>250612854.59000003</v>
      </c>
      <c r="F31" s="13">
        <f>SUM(F2:F30)</f>
        <v>348702724.04000002</v>
      </c>
      <c r="G31" s="13">
        <f>SUM(G2:G30)</f>
        <v>295373613.88</v>
      </c>
      <c r="J31" s="13">
        <f>SUM(J2:J30)</f>
        <v>46233261.899999991</v>
      </c>
      <c r="K31" s="13">
        <f>SUM(K2:K30)</f>
        <v>7095848.2599999998</v>
      </c>
      <c r="L31" s="13">
        <f>SUM(L2:L30)</f>
        <v>296846116.49000001</v>
      </c>
      <c r="M31" s="13">
        <f>SUM(M2:M30)</f>
        <v>51856607.550000012</v>
      </c>
    </row>
    <row r="32" ht="17" thickTop="1" thickBot="1"/>
    <row r="33" spans="7:9" ht="16.3" thickBot="1">
      <c r="G33" s="14" t="s">
        <v>11</v>
      </c>
      <c r="H33" s="15">
        <f>E31/G31</f>
        <v>0.84846053544855671</v>
      </c>
      <c r="I33" s="16">
        <f>1-H33</f>
        <v>0.15153946455144329</v>
      </c>
    </row>
  </sheetData>
  <pageMargins left="0.7" right="0.7" top="2.5" bottom="0.75" header="1.5" footer="0.3"/>
  <pageSetup fitToHeight="0" orientation="landscape" scale="48" r:id="rId1"/>
  <headerFooter>
    <oddHeader>&amp;C
&amp;"Arial,Bold"&amp;12 2022 RATE CASE
ONCOR ELECTRIC DELIVERY COMPANY LLC
TCOS ALLOCATION OF FERC ACCOUNT 353 NTUSU ONLY
FOR THE TEST YEAR ENDING DECEMBER 31, 2021
SPONSOR: W. A. LEDBETTER&amp;R&amp;"Arial,Bold"&amp;12WP/II-B-1/06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FHHXVRPN3UPD-1807981734-30095</_dlc_DocId>
    <_dlc_DocIdUrl xmlns="4f7156c1-be87-4d1f-9274-ce189f982c1a">
      <Url>http://intranet.corp.oncor.com/sites/Finance/_layouts/15/DocIdRedir.aspx?ID=FHHXVRPN3UPD-1807981734-30095</Url>
      <Description>FHHXVRPN3UPD-1807981734-30095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7FB871-EE87-4495-AFE6-98036476B653}">
  <ds:schemaRefs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D06B35-713F-4D31-968E-3C4F24496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9089FB-B4CD-4D2C-BDE1-ED188D6604E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FC415BD-B953-4AA5-A292-D38ED6BC5E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II-B-1_06 TCOS - 353 NTU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7ed9b482-b23f-47c2-a4c1-de48277aeadc</vt:lpwstr>
  </property>
</Properties>
</file>