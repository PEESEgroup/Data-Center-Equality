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6085" windowHeight="11070" activeTab="0"/>
  </bookViews>
  <sheets>
    <sheet name="WP II-B-5_02" sheetId="1" r:id="rId2"/>
  </sheets>
  <definedNames>
    <definedName name="_xlnm.Print_Area" localSheetId="0">'WP II-B-5_02'!$A$3:$P$100</definedName>
    <definedName name="_xlnm.Print_Titles" localSheetId="0">'WP II-B-5_02'!$A:$B,'WP II-B-5_02'!$2:$2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8" i="1" l="1"/>
</calcChain>
</file>

<file path=xl/sharedStrings.xml><?xml version="1.0" encoding="utf-8"?>
<sst xmlns="http://schemas.openxmlformats.org/spreadsheetml/2006/main" count="130" uniqueCount="37">
  <si>
    <t>350</t>
  </si>
  <si>
    <t>352</t>
  </si>
  <si>
    <t>352 SVC</t>
  </si>
  <si>
    <t>353</t>
  </si>
  <si>
    <t>353 SVC</t>
  </si>
  <si>
    <t>354</t>
  </si>
  <si>
    <t>355</t>
  </si>
  <si>
    <t>356</t>
  </si>
  <si>
    <t xml:space="preserve">Plant </t>
  </si>
  <si>
    <t>NTU DIST</t>
  </si>
  <si>
    <t>NTU TRN</t>
  </si>
  <si>
    <t>ASL</t>
  </si>
  <si>
    <t>RL</t>
  </si>
  <si>
    <t>Net Salvage</t>
  </si>
  <si>
    <t>Theo Res</t>
  </si>
  <si>
    <t>Alloc Reserve</t>
  </si>
  <si>
    <t xml:space="preserve">NTU DIST </t>
  </si>
  <si>
    <t>350 Total</t>
  </si>
  <si>
    <t>352 Total</t>
  </si>
  <si>
    <t>352 SVC Total</t>
  </si>
  <si>
    <t>353 Total</t>
  </si>
  <si>
    <t>353 SVC Total</t>
  </si>
  <si>
    <t>354 Total</t>
  </si>
  <si>
    <t>355 Total</t>
  </si>
  <si>
    <t>356 Total</t>
  </si>
  <si>
    <t>Grand Total</t>
  </si>
  <si>
    <t>Difference</t>
  </si>
  <si>
    <t xml:space="preserve"> </t>
  </si>
  <si>
    <t>Vintage</t>
  </si>
  <si>
    <t>2018</t>
  </si>
  <si>
    <t>DC Tie</t>
  </si>
  <si>
    <t>`</t>
  </si>
  <si>
    <t>Per Book</t>
  </si>
  <si>
    <t>Proration</t>
  </si>
  <si>
    <t>Total Plant</t>
  </si>
  <si>
    <t>Plant Functionalization</t>
  </si>
  <si>
    <t>Reserve Functionalization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</si>
</sst>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39" fontId="2" fillId="0" borderId="0" xfId="0" applyNumberFormat="1" applyFont="1"/>
    <xf numFmtId="10" fontId="2" fillId="0" borderId="0" xfId="0" applyNumberFormat="1" applyFont="1"/>
    <xf numFmtId="0" fontId="2" fillId="0" borderId="0" xfId="0" applyNumberFormat="1" applyFont="1"/>
    <xf numFmtId="0" fontId="3" fillId="0" borderId="0" xfId="0" applyFont="1"/>
    <xf numFmtId="39" fontId="4" fillId="0" borderId="0" xfId="0" applyNumberFormat="1" applyFont="1"/>
    <xf numFmtId="39" fontId="5" fillId="0" borderId="0" xfId="0" applyNumberFormat="1" applyFont="1"/>
    <xf numFmtId="0" fontId="5" fillId="0" borderId="0" xfId="0" applyNumberFormat="1" applyFont="1"/>
    <xf numFmtId="10" fontId="5" fillId="0" borderId="0" xfId="0" applyNumberFormat="1" applyFont="1"/>
    <xf numFmtId="39" fontId="5" fillId="0" borderId="1" xfId="0" applyNumberFormat="1" applyFont="1" applyBorder="1" applyAlignment="1">
      <alignment horizontal="center"/>
    </xf>
    <xf numFmtId="39" fontId="5" fillId="0" borderId="2" xfId="0" applyNumberFormat="1" applyFont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99"/>
  <sheetViews>
    <sheetView tabSelected="1" workbookViewId="0" topLeftCell="A1">
      <selection pane="topLeft" activeCell="P100" sqref="P100"/>
    </sheetView>
  </sheetViews>
  <sheetFormatPr defaultRowHeight="15.75" outlineLevelRow="2"/>
  <cols>
    <col min="1" max="1" width="12.7142857142857" bestFit="1" customWidth="1"/>
    <col min="2" max="2" width="10.5714285714286" style="1" bestFit="1" customWidth="1"/>
    <col min="3" max="3" width="9.57142857142857" style="3" bestFit="1" customWidth="1"/>
    <col min="4" max="4" width="20" style="1" bestFit="1" customWidth="1"/>
    <col min="5" max="5" width="8.57142857142857" style="1" bestFit="1" customWidth="1"/>
    <col min="6" max="6" width="16.7142857142857" style="1" bestFit="1" customWidth="1"/>
    <col min="7" max="7" width="20" style="1" bestFit="1" customWidth="1"/>
    <col min="8" max="8" width="7.14285714285714" style="1" bestFit="1" customWidth="1"/>
    <col min="9" max="9" width="9" style="1" bestFit="1" customWidth="1"/>
    <col min="10" max="10" width="7.71428571428571" style="1" bestFit="1" customWidth="1"/>
    <col min="11" max="11" width="14.4285714285714" style="2" bestFit="1" customWidth="1"/>
    <col min="12" max="12" width="18.1428571428571" style="1" bestFit="1" customWidth="1"/>
    <col min="13" max="13" width="11.5714285714286" style="1" bestFit="1" customWidth="1"/>
    <col min="14" max="14" width="18.8571428571429" style="1" bestFit="1" customWidth="1"/>
    <col min="15" max="15" width="15.4285714285714" style="1" bestFit="1" customWidth="1"/>
    <col min="16" max="16" width="18.1428571428571" style="1" bestFit="1" customWidth="1"/>
    <col min="17" max="17" width="16.7142857142857" style="1" bestFit="1" customWidth="1"/>
  </cols>
  <sheetData>
    <row r="1" spans="6:16" ht="15.6">
      <c r="F1" s="9" t="s">
        <v>35</v>
      </c>
      <c r="G1" s="10"/>
      <c r="O1" s="9" t="s">
        <v>36</v>
      </c>
      <c r="P1" s="10"/>
    </row>
    <row r="2" spans="2:17" s="4" customFormat="1" ht="15.6">
      <c r="B2" s="6" t="s">
        <v>8</v>
      </c>
      <c r="C2" s="7" t="s">
        <v>28</v>
      </c>
      <c r="D2" s="6" t="s">
        <v>34</v>
      </c>
      <c r="E2" s="6" t="s">
        <v>30</v>
      </c>
      <c r="F2" s="6" t="s">
        <v>9</v>
      </c>
      <c r="G2" s="6" t="s">
        <v>10</v>
      </c>
      <c r="H2" s="6"/>
      <c r="I2" s="6" t="s">
        <v>11</v>
      </c>
      <c r="J2" s="6" t="s">
        <v>12</v>
      </c>
      <c r="K2" s="8" t="s">
        <v>13</v>
      </c>
      <c r="L2" s="6" t="s">
        <v>14</v>
      </c>
      <c r="M2" s="6" t="s">
        <v>33</v>
      </c>
      <c r="N2" s="6" t="s">
        <v>15</v>
      </c>
      <c r="O2" s="6" t="s">
        <v>16</v>
      </c>
      <c r="P2" s="6" t="s">
        <v>10</v>
      </c>
      <c r="Q2" s="6"/>
    </row>
    <row r="3" spans="2:16" ht="15.6" outlineLevel="2">
      <c r="B3" s="1" t="s">
        <v>0</v>
      </c>
      <c r="C3" s="3">
        <v>2017</v>
      </c>
      <c r="D3" s="1">
        <v>406564.90999999997</v>
      </c>
      <c r="G3" s="1">
        <v>406564.90999999997</v>
      </c>
      <c r="H3" s="1">
        <f>+D3-E3-F3-G3</f>
        <v>0</v>
      </c>
      <c r="I3" s="1">
        <v>100</v>
      </c>
      <c r="J3" s="1">
        <v>95.504812000000001</v>
      </c>
      <c r="K3" s="2">
        <v>0</v>
      </c>
      <c r="L3" s="1">
        <f>(1-K3)*(1-J3/I3)*D3</f>
        <v>18275.857046530775</v>
      </c>
      <c r="M3" s="1">
        <f t="shared" si="0" ref="M3:M39">$N$99</f>
        <v>1.0686461159324077</v>
      </c>
      <c r="N3" s="1">
        <f t="shared" si="1" ref="N3:N39">IF((D3*(1-K3)-L3*M3)&lt;0,D3*(1-K3),L3*M3)</f>
        <v>19530.423648111035</v>
      </c>
      <c r="P3" s="1">
        <f>+G3/D3*N3</f>
        <v>19530.423648111035</v>
      </c>
    </row>
    <row r="4" spans="2:16" ht="15.6" outlineLevel="2">
      <c r="B4" s="1" t="s">
        <v>0</v>
      </c>
      <c r="C4" s="3">
        <v>2014</v>
      </c>
      <c r="D4" s="1">
        <v>13842246.949999999</v>
      </c>
      <c r="G4" s="1">
        <v>13842246.949999999</v>
      </c>
      <c r="H4" s="1">
        <f t="shared" si="2" ref="H4:H39">+D4-E4-F4-G4</f>
        <v>0</v>
      </c>
      <c r="I4" s="1">
        <v>100</v>
      </c>
      <c r="J4" s="1">
        <v>92.510024999999999</v>
      </c>
      <c r="K4" s="2">
        <v>0</v>
      </c>
      <c r="L4" s="1">
        <f t="shared" si="3" ref="L4:L41">(1-K4)*(1-J4/I4)*D4</f>
        <v>1036780.8359932631</v>
      </c>
      <c r="M4" s="1">
        <f t="shared" si="0"/>
        <v>1.0686461159324077</v>
      </c>
      <c r="N4" s="1">
        <f t="shared" si="1"/>
        <v>1107951.8134573551</v>
      </c>
      <c r="P4" s="1">
        <f>+G4/D4*N4</f>
        <v>1107951.8134573551</v>
      </c>
    </row>
    <row r="5" spans="2:16" ht="15.6" outlineLevel="2">
      <c r="B5" s="1" t="s">
        <v>0</v>
      </c>
      <c r="C5" s="3">
        <v>2013</v>
      </c>
      <c r="D5" s="1">
        <v>78591969.200000003</v>
      </c>
      <c r="G5" s="1">
        <v>78591969.200000003</v>
      </c>
      <c r="H5" s="1">
        <f t="shared" si="2"/>
        <v>0</v>
      </c>
      <c r="I5" s="1">
        <v>100</v>
      </c>
      <c r="J5" s="1">
        <v>91.512247000000002</v>
      </c>
      <c r="K5" s="2">
        <v>0</v>
      </c>
      <c r="L5" s="1">
        <f t="shared" si="3"/>
        <v>6670692.2235320741</v>
      </c>
      <c r="M5" s="1">
        <f t="shared" si="0"/>
        <v>1.0686461159324077</v>
      </c>
      <c r="N5" s="1">
        <f t="shared" si="1"/>
        <v>7128609.3352580667</v>
      </c>
      <c r="P5" s="1">
        <f>+G5/D5*N5</f>
        <v>7128609.3352580667</v>
      </c>
    </row>
    <row r="6" spans="2:16" ht="15.6" outlineLevel="2">
      <c r="B6" s="1" t="s">
        <v>0</v>
      </c>
      <c r="C6" s="3">
        <v>2012</v>
      </c>
      <c r="D6" s="1">
        <v>1519240.9099999999</v>
      </c>
      <c r="G6" s="1">
        <v>1519240.9099999999</v>
      </c>
      <c r="H6" s="1">
        <f t="shared" si="2"/>
        <v>0</v>
      </c>
      <c r="I6" s="1">
        <v>100</v>
      </c>
      <c r="J6" s="1">
        <v>90.514759999999995</v>
      </c>
      <c r="K6" s="2">
        <v>0</v>
      </c>
      <c r="L6" s="1">
        <f t="shared" si="3"/>
        <v>144103.64649168408</v>
      </c>
      <c r="M6" s="1">
        <f t="shared" si="0"/>
        <v>1.0686461159324077</v>
      </c>
      <c r="N6" s="1">
        <f t="shared" si="1"/>
        <v>153995.80211503492</v>
      </c>
      <c r="P6" s="1">
        <f>+G6/D6*N6</f>
        <v>153995.80211503492</v>
      </c>
    </row>
    <row r="7" spans="1:16" ht="15.6" outlineLevel="1">
      <c r="A7" s="4" t="s">
        <v>17</v>
      </c>
      <c r="B7" s="1" t="s">
        <v>27</v>
      </c>
      <c r="D7" s="1">
        <f t="shared" si="4" ref="D7:F7">SUBTOTAL(9,D3:D6)</f>
        <v>94360021.969999999</v>
      </c>
      <c r="E7" s="1">
        <f t="shared" si="4"/>
        <v>0</v>
      </c>
      <c r="F7" s="1">
        <f t="shared" si="4"/>
        <v>0</v>
      </c>
      <c r="G7" s="1">
        <f>SUBTOTAL(9,G3:G6)</f>
        <v>94360021.969999999</v>
      </c>
      <c r="L7" s="1">
        <f>SUBTOTAL(9,L3:L6)</f>
        <v>7869852.5630635517</v>
      </c>
      <c r="M7" s="1">
        <f t="shared" si="0"/>
        <v>1.0686461159324077</v>
      </c>
      <c r="N7" s="1">
        <f>SUBTOTAL(9,N3:N6)</f>
        <v>8410087.3744785674</v>
      </c>
      <c r="O7" s="1">
        <f>SUBTOTAL(9,O3:O6)</f>
        <v>0</v>
      </c>
      <c r="P7" s="1">
        <f>SUBTOTAL(9,P3:P6)</f>
        <v>8410087.3744785674</v>
      </c>
    </row>
    <row r="8" spans="2:16" ht="15.6" outlineLevel="2">
      <c r="B8" s="1" t="s">
        <v>1</v>
      </c>
      <c r="C8" s="3">
        <v>2018</v>
      </c>
      <c r="D8" s="1">
        <v>4270117.5300000012</v>
      </c>
      <c r="G8" s="1">
        <v>4270117.5300000012</v>
      </c>
      <c r="H8" s="1">
        <f t="shared" si="2"/>
        <v>0</v>
      </c>
      <c r="I8" s="1">
        <v>55</v>
      </c>
      <c r="J8" s="1">
        <v>51.504297000000001</v>
      </c>
      <c r="K8" s="2">
        <v>-0.5</v>
      </c>
      <c r="L8" s="1">
        <f t="shared" si="3"/>
        <v>407101.70890837058</v>
      </c>
      <c r="M8" s="1">
        <f t="shared" si="0"/>
        <v>1.0686461159324077</v>
      </c>
      <c r="N8" s="1">
        <f t="shared" si="1"/>
        <v>435047.66001437587</v>
      </c>
      <c r="P8" s="1">
        <f t="shared" si="5" ref="P8:P18">+G8/D8*N8</f>
        <v>435047.66001437587</v>
      </c>
    </row>
    <row r="9" spans="2:16" ht="15.6" outlineLevel="2">
      <c r="B9" s="1" t="s">
        <v>1</v>
      </c>
      <c r="C9" s="3">
        <v>2017</v>
      </c>
      <c r="D9" s="1">
        <v>2707460.6499999999</v>
      </c>
      <c r="G9" s="1">
        <v>2707460.6499999999</v>
      </c>
      <c r="H9" s="1">
        <f t="shared" si="2"/>
        <v>0</v>
      </c>
      <c r="I9" s="1">
        <v>55</v>
      </c>
      <c r="J9" s="1">
        <v>50.506323999999999</v>
      </c>
      <c r="K9" s="2">
        <v>-0.5</v>
      </c>
      <c r="L9" s="1">
        <f t="shared" si="3"/>
        <v>331812.29846861988</v>
      </c>
      <c r="M9" s="1">
        <f t="shared" si="0"/>
        <v>1.0686461159324077</v>
      </c>
      <c r="N9" s="1">
        <f t="shared" si="1"/>
        <v>354589.9239770954</v>
      </c>
      <c r="P9" s="1">
        <f t="shared" si="5"/>
        <v>354589.9239770954</v>
      </c>
    </row>
    <row r="10" spans="2:16" ht="15.6" outlineLevel="2">
      <c r="B10" s="1" t="s">
        <v>1</v>
      </c>
      <c r="C10" s="3">
        <v>2016</v>
      </c>
      <c r="D10" s="1">
        <v>18907672.739999998</v>
      </c>
      <c r="G10" s="1">
        <v>18907672.739999998</v>
      </c>
      <c r="H10" s="1">
        <f t="shared" si="2"/>
        <v>0</v>
      </c>
      <c r="I10" s="1">
        <v>55</v>
      </c>
      <c r="J10" s="1">
        <v>49.508850000000002</v>
      </c>
      <c r="K10" s="2">
        <v>-0.5</v>
      </c>
      <c r="L10" s="1">
        <f t="shared" si="3"/>
        <v>2831587.2863522973</v>
      </c>
      <c r="M10" s="1">
        <f t="shared" si="0"/>
        <v>1.0686461159324077</v>
      </c>
      <c r="N10" s="1">
        <f t="shared" si="1"/>
        <v>3025964.7554839686</v>
      </c>
      <c r="P10" s="1">
        <f t="shared" si="5"/>
        <v>3025964.7554839686</v>
      </c>
    </row>
    <row r="11" spans="2:16" ht="15.6" outlineLevel="2">
      <c r="B11" s="1" t="s">
        <v>1</v>
      </c>
      <c r="C11" s="3">
        <v>2015</v>
      </c>
      <c r="D11" s="1">
        <v>15532616.539999999</v>
      </c>
      <c r="G11" s="1">
        <v>15532616.539999999</v>
      </c>
      <c r="H11" s="1">
        <f t="shared" si="2"/>
        <v>0</v>
      </c>
      <c r="I11" s="1">
        <v>55</v>
      </c>
      <c r="J11" s="1">
        <v>48.512023999999997</v>
      </c>
      <c r="K11" s="2">
        <v>-0.5</v>
      </c>
      <c r="L11" s="1">
        <f t="shared" si="3"/>
        <v>2748415.7271469929</v>
      </c>
      <c r="M11" s="1">
        <f t="shared" si="0"/>
        <v>1.0686461159324077</v>
      </c>
      <c r="N11" s="1">
        <f t="shared" si="1"/>
        <v>2937083.7917831778</v>
      </c>
      <c r="P11" s="1">
        <f t="shared" si="5"/>
        <v>2937083.7917831778</v>
      </c>
    </row>
    <row r="12" spans="2:16" ht="15.6" outlineLevel="2">
      <c r="B12" s="1" t="s">
        <v>1</v>
      </c>
      <c r="C12" s="3">
        <v>2014</v>
      </c>
      <c r="D12" s="1">
        <v>5480980.9100000001</v>
      </c>
      <c r="G12" s="1">
        <v>5480980.9100000001</v>
      </c>
      <c r="H12" s="1">
        <f t="shared" si="2"/>
        <v>0</v>
      </c>
      <c r="I12" s="1">
        <v>55</v>
      </c>
      <c r="J12" s="1">
        <v>47.515937999999998</v>
      </c>
      <c r="K12" s="2">
        <v>-0.5</v>
      </c>
      <c r="L12" s="1">
        <f t="shared" si="3"/>
        <v>1118727.2986706302</v>
      </c>
      <c r="M12" s="1">
        <f t="shared" si="0"/>
        <v>1.0686461159324077</v>
      </c>
      <c r="N12" s="1">
        <f t="shared" si="1"/>
        <v>1195523.5825119235</v>
      </c>
      <c r="P12" s="1">
        <f t="shared" si="5"/>
        <v>1195523.5825119235</v>
      </c>
    </row>
    <row r="13" spans="2:16" ht="15.6" outlineLevel="2">
      <c r="B13" s="1" t="s">
        <v>1</v>
      </c>
      <c r="C13" s="3">
        <v>2013</v>
      </c>
      <c r="D13" s="1">
        <v>35476029.990000002</v>
      </c>
      <c r="G13" s="1">
        <v>35476029.990000002</v>
      </c>
      <c r="H13" s="1">
        <f t="shared" si="2"/>
        <v>0</v>
      </c>
      <c r="I13" s="1">
        <v>55</v>
      </c>
      <c r="J13" s="1">
        <v>46.520733</v>
      </c>
      <c r="K13" s="2">
        <v>-0.5</v>
      </c>
      <c r="L13" s="1">
        <f t="shared" si="3"/>
        <v>8203929.0105059277</v>
      </c>
      <c r="M13" s="1">
        <f t="shared" si="0"/>
        <v>1.0686461159324077</v>
      </c>
      <c r="N13" s="1">
        <f t="shared" si="1"/>
        <v>8767096.8724623602</v>
      </c>
      <c r="P13" s="1">
        <f t="shared" si="5"/>
        <v>8767096.8724623602</v>
      </c>
    </row>
    <row r="14" spans="2:16" ht="15.6" outlineLevel="2">
      <c r="B14" s="1" t="s">
        <v>1</v>
      </c>
      <c r="C14" s="3">
        <v>2012</v>
      </c>
      <c r="D14" s="1">
        <v>403435.31</v>
      </c>
      <c r="G14" s="1">
        <v>403435.31</v>
      </c>
      <c r="H14" s="1">
        <f t="shared" si="2"/>
        <v>0</v>
      </c>
      <c r="I14" s="1">
        <v>55</v>
      </c>
      <c r="J14" s="1">
        <v>45.526567999999997</v>
      </c>
      <c r="K14" s="2">
        <v>-0.5</v>
      </c>
      <c r="L14" s="1">
        <f t="shared" si="3"/>
        <v>104234.09933683422</v>
      </c>
      <c r="M14" s="1">
        <f t="shared" si="0"/>
        <v>1.0686461159324077</v>
      </c>
      <c r="N14" s="1">
        <f t="shared" si="1"/>
        <v>111389.36540402063</v>
      </c>
      <c r="P14" s="1">
        <f t="shared" si="5"/>
        <v>111389.36540402063</v>
      </c>
    </row>
    <row r="15" spans="2:16" ht="15.6" outlineLevel="2">
      <c r="B15" s="1" t="s">
        <v>1</v>
      </c>
      <c r="C15" s="3">
        <v>2011</v>
      </c>
      <c r="D15" s="1">
        <v>5369.6199999999999</v>
      </c>
      <c r="G15" s="1">
        <v>5369.6199999999999</v>
      </c>
      <c r="H15" s="1">
        <f t="shared" si="2"/>
        <v>0</v>
      </c>
      <c r="I15" s="1">
        <v>55</v>
      </c>
      <c r="J15" s="1">
        <v>44.533619999999999</v>
      </c>
      <c r="K15" s="2">
        <v>-0.5</v>
      </c>
      <c r="L15" s="1">
        <f t="shared" si="3"/>
        <v>1532.7404556981821</v>
      </c>
      <c r="M15" s="1">
        <f t="shared" si="0"/>
        <v>1.0686461159324077</v>
      </c>
      <c r="N15" s="1">
        <f t="shared" si="1"/>
        <v>1637.9571347143308</v>
      </c>
      <c r="P15" s="1">
        <f t="shared" si="5"/>
        <v>1637.9571347143308</v>
      </c>
    </row>
    <row r="16" spans="2:16" ht="15.6" outlineLevel="2">
      <c r="B16" s="1" t="s">
        <v>1</v>
      </c>
      <c r="C16" s="3">
        <v>2009</v>
      </c>
      <c r="D16" s="1">
        <v>1548.3299999999999</v>
      </c>
      <c r="G16" s="1">
        <v>1548.3299999999999</v>
      </c>
      <c r="H16" s="1">
        <f t="shared" si="2"/>
        <v>0</v>
      </c>
      <c r="I16" s="1">
        <v>55</v>
      </c>
      <c r="J16" s="1">
        <v>42.552402999999998</v>
      </c>
      <c r="K16" s="2">
        <v>-0.5</v>
      </c>
      <c r="L16" s="1">
        <f t="shared" si="3"/>
        <v>525.62694171845453</v>
      </c>
      <c r="M16" s="1">
        <f t="shared" si="0"/>
        <v>1.0686461159324077</v>
      </c>
      <c r="N16" s="1">
        <f t="shared" si="1"/>
        <v>561.70918969685647</v>
      </c>
      <c r="P16" s="1">
        <f t="shared" si="5"/>
        <v>561.70918969685647</v>
      </c>
    </row>
    <row r="17" spans="2:16" ht="15.6" outlineLevel="2">
      <c r="B17" s="1" t="s">
        <v>1</v>
      </c>
      <c r="C17" s="3">
        <v>2004</v>
      </c>
      <c r="D17" s="1">
        <v>30470.349999999999</v>
      </c>
      <c r="G17" s="1">
        <v>30470.349999999999</v>
      </c>
      <c r="H17" s="1">
        <f t="shared" si="2"/>
        <v>0</v>
      </c>
      <c r="I17" s="1">
        <v>55</v>
      </c>
      <c r="J17" s="1">
        <v>37.639279000000002</v>
      </c>
      <c r="K17" s="2">
        <v>-0.5</v>
      </c>
      <c r="L17" s="1">
        <f t="shared" si="3"/>
        <v>14426.924866973181</v>
      </c>
      <c r="M17" s="1">
        <f t="shared" si="0"/>
        <v>1.0686461159324077</v>
      </c>
      <c r="N17" s="1">
        <f t="shared" si="1"/>
        <v>15417.277223939556</v>
      </c>
      <c r="P17" s="1">
        <f t="shared" si="5"/>
        <v>15417.277223939556</v>
      </c>
    </row>
    <row r="18" spans="2:16" ht="15.6" outlineLevel="2">
      <c r="B18" s="1" t="s">
        <v>1</v>
      </c>
      <c r="C18" s="3">
        <v>1993</v>
      </c>
      <c r="D18" s="1">
        <v>2726221.7400000002</v>
      </c>
      <c r="G18" s="1">
        <v>2726221.7400000002</v>
      </c>
      <c r="H18" s="1">
        <f t="shared" si="2"/>
        <v>0</v>
      </c>
      <c r="I18" s="1">
        <v>55</v>
      </c>
      <c r="J18" s="1">
        <v>27.254593</v>
      </c>
      <c r="K18" s="2">
        <v>-0.5</v>
      </c>
      <c r="L18" s="1">
        <f t="shared" si="3"/>
        <v>2062912.6840513144</v>
      </c>
      <c r="M18" s="1">
        <f t="shared" si="0"/>
        <v>1.0686461159324077</v>
      </c>
      <c r="N18" s="1">
        <f t="shared" si="1"/>
        <v>2204523.6273191352</v>
      </c>
      <c r="P18" s="1">
        <f t="shared" si="5"/>
        <v>2204523.6273191352</v>
      </c>
    </row>
    <row r="19" spans="1:16" ht="15.6" outlineLevel="1">
      <c r="A19" s="4" t="s">
        <v>18</v>
      </c>
      <c r="B19" s="1" t="s">
        <v>27</v>
      </c>
      <c r="D19" s="1">
        <f t="shared" si="6" ref="D19:E19">SUBTOTAL(9,D8:D18)</f>
        <v>85541923.710000008</v>
      </c>
      <c r="E19" s="1">
        <f t="shared" si="6"/>
        <v>0</v>
      </c>
      <c r="F19" s="1" t="s">
        <v>31</v>
      </c>
      <c r="G19" s="1">
        <f>SUBTOTAL(9,G8:G18)</f>
        <v>85541923.710000008</v>
      </c>
      <c r="L19" s="1">
        <f>SUBTOTAL(9,L8:L18)</f>
        <v>17825205.405705377</v>
      </c>
      <c r="M19" s="1">
        <f t="shared" si="0"/>
        <v>1.0686461159324077</v>
      </c>
      <c r="N19" s="1">
        <f>SUBTOTAL(9,N8:N18)</f>
        <v>19048836.522504408</v>
      </c>
      <c r="O19" s="1">
        <f>SUBTOTAL(9,O8:O18)</f>
        <v>0</v>
      </c>
      <c r="P19" s="1">
        <f>SUBTOTAL(9,P8:P18)</f>
        <v>19048836.522504408</v>
      </c>
    </row>
    <row r="20" spans="2:16" ht="15.6" outlineLevel="2">
      <c r="B20" s="1" t="s">
        <v>2</v>
      </c>
      <c r="C20" s="3">
        <v>2018</v>
      </c>
      <c r="D20" s="1">
        <v>7695877.1999999993</v>
      </c>
      <c r="G20" s="1">
        <v>7695877.1999999993</v>
      </c>
      <c r="H20" s="1">
        <f t="shared" si="2"/>
        <v>0</v>
      </c>
      <c r="I20" s="1">
        <v>55</v>
      </c>
      <c r="J20" s="1">
        <v>51.504297000000001</v>
      </c>
      <c r="K20" s="2">
        <v>-0.5</v>
      </c>
      <c r="L20" s="1">
        <f t="shared" si="3"/>
        <v>733704.57315467962</v>
      </c>
      <c r="M20" s="1">
        <f t="shared" si="0"/>
        <v>1.0686461159324077</v>
      </c>
      <c r="N20" s="1">
        <f t="shared" si="1"/>
        <v>784070.54234359344</v>
      </c>
      <c r="P20" s="1">
        <f>+G20/D20*N20</f>
        <v>784070.54234359344</v>
      </c>
    </row>
    <row r="21" spans="1:16" ht="15.6" outlineLevel="1">
      <c r="A21" s="4" t="s">
        <v>19</v>
      </c>
      <c r="B21" s="1" t="s">
        <v>27</v>
      </c>
      <c r="D21" s="1">
        <f t="shared" si="7" ref="D21:F21">SUBTOTAL(9,D20:D20)</f>
        <v>7695877.1999999993</v>
      </c>
      <c r="E21" s="1">
        <f t="shared" si="7"/>
        <v>0</v>
      </c>
      <c r="F21" s="1">
        <f t="shared" si="7"/>
        <v>0</v>
      </c>
      <c r="G21" s="1">
        <f>SUBTOTAL(9,G20:G20)</f>
        <v>7695877.1999999993</v>
      </c>
      <c r="L21" s="1">
        <f>SUBTOTAL(9,L20:L20)</f>
        <v>733704.57315467962</v>
      </c>
      <c r="M21" s="1">
        <f t="shared" si="0"/>
        <v>1.0686461159324077</v>
      </c>
      <c r="N21" s="1">
        <f>SUBTOTAL(9,N20:N20)</f>
        <v>784070.54234359344</v>
      </c>
      <c r="O21" s="1">
        <f>SUBTOTAL(9,O20:O20)</f>
        <v>0</v>
      </c>
      <c r="P21" s="1">
        <f>SUBTOTAL(9,P20:P20)</f>
        <v>784070.54234359344</v>
      </c>
    </row>
    <row r="22" spans="2:16" ht="15.6" outlineLevel="2">
      <c r="B22" s="1" t="s">
        <v>3</v>
      </c>
      <c r="C22" s="3">
        <v>2021</v>
      </c>
      <c r="D22" s="1">
        <v>24553.02</v>
      </c>
      <c r="F22" s="1">
        <v>9064.2700000000004</v>
      </c>
      <c r="G22" s="1">
        <v>15488.75</v>
      </c>
      <c r="H22" s="1">
        <f t="shared" si="2"/>
        <v>0</v>
      </c>
      <c r="I22" s="1">
        <v>50</v>
      </c>
      <c r="J22" s="1">
        <v>49.546653999999997</v>
      </c>
      <c r="K22" s="2">
        <v>-0.14999999999999999</v>
      </c>
      <c r="L22" s="1">
        <f t="shared" si="3"/>
        <v>256.0133083131625</v>
      </c>
      <c r="M22" s="1">
        <f t="shared" si="0"/>
        <v>1.0686461159324077</v>
      </c>
      <c r="N22" s="1">
        <f t="shared" si="1"/>
        <v>273.58762755586707</v>
      </c>
      <c r="O22" s="1">
        <f>+F22/D22*N22</f>
        <v>101.00069664855155</v>
      </c>
      <c r="P22" s="1">
        <f t="shared" si="8" ref="P22:P39">+G22/D22*N22</f>
        <v>172.58693090731552</v>
      </c>
    </row>
    <row r="23" spans="2:16" ht="15.6" outlineLevel="2">
      <c r="B23" s="1" t="s">
        <v>3</v>
      </c>
      <c r="C23" s="3">
        <v>2020</v>
      </c>
      <c r="D23" s="1">
        <v>34300.529999999999</v>
      </c>
      <c r="G23" s="1">
        <v>34300.529999999999</v>
      </c>
      <c r="H23" s="1">
        <f t="shared" si="2"/>
        <v>0</v>
      </c>
      <c r="I23" s="1">
        <v>50</v>
      </c>
      <c r="J23" s="1">
        <v>48.684268000000003</v>
      </c>
      <c r="K23" s="2">
        <v>-0.14999999999999999</v>
      </c>
      <c r="L23" s="1">
        <f t="shared" si="3"/>
        <v>1037.9970135730778</v>
      </c>
      <c r="M23" s="1">
        <f t="shared" si="0"/>
        <v>1.0686461159324077</v>
      </c>
      <c r="N23" s="1">
        <f t="shared" si="1"/>
        <v>1109.2514769043082</v>
      </c>
      <c r="P23" s="1">
        <f t="shared" si="8"/>
        <v>1109.2514769043082</v>
      </c>
    </row>
    <row r="24" spans="2:16" ht="15.6" outlineLevel="2">
      <c r="B24" s="1" t="s">
        <v>3</v>
      </c>
      <c r="C24" s="3">
        <v>2019</v>
      </c>
      <c r="D24" s="1">
        <v>1103160.79</v>
      </c>
      <c r="F24" s="1">
        <v>24893.189999999999</v>
      </c>
      <c r="G24" s="1">
        <v>1078267.6000000001</v>
      </c>
      <c r="H24" s="1">
        <f t="shared" si="2"/>
        <v>0</v>
      </c>
      <c r="I24" s="1">
        <v>50</v>
      </c>
      <c r="J24" s="1">
        <v>47.860689000000001</v>
      </c>
      <c r="K24" s="2">
        <v>-0.14999999999999999</v>
      </c>
      <c r="L24" s="1">
        <f t="shared" si="3"/>
        <v>54280.092294760849</v>
      </c>
      <c r="M24" s="1">
        <f t="shared" si="0"/>
        <v>1.0686461159324077</v>
      </c>
      <c r="N24" s="1">
        <f t="shared" si="1"/>
        <v>58006.209803248792</v>
      </c>
      <c r="O24" s="1">
        <f t="shared" si="9" ref="O24:O34">+F24/D24*N24</f>
        <v>1308.9294098389182</v>
      </c>
      <c r="P24" s="1">
        <f t="shared" si="8"/>
        <v>56697.280393409877</v>
      </c>
    </row>
    <row r="25" spans="2:16" ht="15.6" outlineLevel="2">
      <c r="B25" s="1" t="s">
        <v>3</v>
      </c>
      <c r="C25" s="3">
        <v>2018</v>
      </c>
      <c r="D25" s="1">
        <v>11525577.539999969</v>
      </c>
      <c r="F25" s="1">
        <v>2382435.25</v>
      </c>
      <c r="G25" s="1">
        <v>9143142.2899999693</v>
      </c>
      <c r="H25" s="1">
        <f t="shared" si="2"/>
        <v>0</v>
      </c>
      <c r="I25" s="1">
        <v>50</v>
      </c>
      <c r="J25" s="1">
        <v>47.067028000000001</v>
      </c>
      <c r="K25" s="2">
        <v>-0.14999999999999999</v>
      </c>
      <c r="L25" s="1">
        <f t="shared" si="3"/>
        <v>777496.51279892214</v>
      </c>
      <c r="M25" s="1">
        <f t="shared" si="0"/>
        <v>1.0686461159324077</v>
      </c>
      <c r="N25" s="1">
        <f t="shared" si="1"/>
        <v>830868.62855355965</v>
      </c>
      <c r="O25" s="1">
        <f t="shared" si="9"/>
        <v>171747.63710670956</v>
      </c>
      <c r="P25" s="1">
        <f t="shared" si="8"/>
        <v>659120.99144685012</v>
      </c>
    </row>
    <row r="26" spans="2:16" ht="15.6" outlineLevel="2">
      <c r="B26" s="1" t="s">
        <v>3</v>
      </c>
      <c r="C26" s="3">
        <v>2017</v>
      </c>
      <c r="D26" s="1">
        <v>25649573.600000001</v>
      </c>
      <c r="F26" s="1">
        <v>9959299.5800000001</v>
      </c>
      <c r="G26" s="1">
        <v>15690274.02</v>
      </c>
      <c r="H26" s="1">
        <f t="shared" si="2"/>
        <v>0</v>
      </c>
      <c r="I26" s="1">
        <v>50</v>
      </c>
      <c r="J26" s="1">
        <v>46.299014999999997</v>
      </c>
      <c r="K26" s="2">
        <v>-0.14999999999999999</v>
      </c>
      <c r="L26" s="1">
        <f t="shared" si="3"/>
        <v>2183359.8044499084</v>
      </c>
      <c r="M26" s="1">
        <f t="shared" si="0"/>
        <v>1.0686461159324077</v>
      </c>
      <c r="N26" s="1">
        <f t="shared" si="1"/>
        <v>2333238.9747083359</v>
      </c>
      <c r="O26" s="1">
        <f t="shared" si="9"/>
        <v>905957.59224833117</v>
      </c>
      <c r="P26" s="1">
        <f t="shared" si="8"/>
        <v>1427281.3824600047</v>
      </c>
    </row>
    <row r="27" spans="2:16" ht="15.6" outlineLevel="2">
      <c r="B27" s="1" t="s">
        <v>3</v>
      </c>
      <c r="C27" s="3">
        <v>2016</v>
      </c>
      <c r="D27" s="1">
        <v>63210688.300000004</v>
      </c>
      <c r="F27" s="1">
        <v>11839234.99</v>
      </c>
      <c r="G27" s="1">
        <v>51371453.310000002</v>
      </c>
      <c r="H27" s="1">
        <f t="shared" si="2"/>
        <v>0</v>
      </c>
      <c r="I27" s="1">
        <v>50</v>
      </c>
      <c r="J27" s="1">
        <v>45.554161000000001</v>
      </c>
      <c r="K27" s="2">
        <v>-0.14999999999999999</v>
      </c>
      <c r="L27" s="1">
        <f t="shared" si="3"/>
        <v>6463564.4950026274</v>
      </c>
      <c r="M27" s="1">
        <f t="shared" si="0"/>
        <v>1.0686461159324077</v>
      </c>
      <c r="N27" s="1">
        <f t="shared" si="1"/>
        <v>6907263.0926631717</v>
      </c>
      <c r="O27" s="1">
        <f t="shared" si="9"/>
        <v>1293716.5073045634</v>
      </c>
      <c r="P27" s="1">
        <f t="shared" si="8"/>
        <v>5613546.5853586085</v>
      </c>
    </row>
    <row r="28" spans="2:16" ht="15.6" outlineLevel="2">
      <c r="B28" s="1" t="s">
        <v>3</v>
      </c>
      <c r="C28" s="3">
        <v>2015</v>
      </c>
      <c r="D28" s="1">
        <v>39938046.689999998</v>
      </c>
      <c r="F28" s="1">
        <v>6601354.5</v>
      </c>
      <c r="G28" s="1">
        <v>33336692.190000001</v>
      </c>
      <c r="H28" s="1">
        <f t="shared" si="2"/>
        <v>0</v>
      </c>
      <c r="I28" s="1">
        <v>50</v>
      </c>
      <c r="J28" s="1">
        <v>44.830908999999998</v>
      </c>
      <c r="K28" s="2">
        <v>-0.14999999999999999</v>
      </c>
      <c r="L28" s="1">
        <f t="shared" si="3"/>
        <v>4748198.1471657548</v>
      </c>
      <c r="M28" s="1">
        <f t="shared" si="0"/>
        <v>1.0686461159324077</v>
      </c>
      <c r="N28" s="1">
        <f t="shared" si="1"/>
        <v>5074143.5076461388</v>
      </c>
      <c r="O28" s="1">
        <f t="shared" si="9"/>
        <v>838704.51496649359</v>
      </c>
      <c r="P28" s="1">
        <f t="shared" si="8"/>
        <v>4235438.9926796453</v>
      </c>
    </row>
    <row r="29" spans="2:16" ht="15.6" outlineLevel="2">
      <c r="B29" s="1" t="s">
        <v>3</v>
      </c>
      <c r="C29" s="3">
        <v>2014</v>
      </c>
      <c r="D29" s="1">
        <v>19343341.880000003</v>
      </c>
      <c r="F29" s="1">
        <v>1108021.1899999999</v>
      </c>
      <c r="G29" s="1">
        <v>18235320.690000001</v>
      </c>
      <c r="H29" s="1">
        <f t="shared" si="2"/>
        <v>0</v>
      </c>
      <c r="I29" s="1">
        <v>50</v>
      </c>
      <c r="J29" s="1">
        <v>44.128194999999998</v>
      </c>
      <c r="K29" s="2">
        <v>-0.14999999999999999</v>
      </c>
      <c r="L29" s="1">
        <f t="shared" si="3"/>
        <v>2612347.6260569491</v>
      </c>
      <c r="M29" s="1">
        <f t="shared" si="0"/>
        <v>1.0686461159324077</v>
      </c>
      <c r="N29" s="1">
        <f t="shared" si="1"/>
        <v>2791675.1440510042</v>
      </c>
      <c r="O29" s="1">
        <f t="shared" si="9"/>
        <v>159912.14105578401</v>
      </c>
      <c r="P29" s="1">
        <f t="shared" si="8"/>
        <v>2631763.00299522</v>
      </c>
    </row>
    <row r="30" spans="2:16" ht="15.6" outlineLevel="2">
      <c r="B30" s="1" t="s">
        <v>3</v>
      </c>
      <c r="C30" s="3">
        <v>2013</v>
      </c>
      <c r="D30" s="1">
        <v>107920410.83</v>
      </c>
      <c r="F30" s="1">
        <v>7312753.9500000002</v>
      </c>
      <c r="G30" s="1">
        <v>100607656.88</v>
      </c>
      <c r="H30" s="1">
        <f t="shared" si="2"/>
        <v>0</v>
      </c>
      <c r="I30" s="1">
        <v>50</v>
      </c>
      <c r="J30" s="1">
        <v>43.445310999999997</v>
      </c>
      <c r="K30" s="2">
        <v>-0.14999999999999999</v>
      </c>
      <c r="L30" s="1">
        <f t="shared" si="3"/>
        <v>16269848.784086289</v>
      </c>
      <c r="M30" s="1">
        <f t="shared" si="0"/>
        <v>1.0686461159324077</v>
      </c>
      <c r="N30" s="1">
        <f t="shared" si="1"/>
        <v>17386710.70992142</v>
      </c>
      <c r="O30" s="1">
        <f t="shared" si="9"/>
        <v>1178134.2977072985</v>
      </c>
      <c r="P30" s="1">
        <f t="shared" si="8"/>
        <v>16208576.412214121</v>
      </c>
    </row>
    <row r="31" spans="2:16" ht="15.6" outlineLevel="2">
      <c r="B31" s="1" t="s">
        <v>3</v>
      </c>
      <c r="C31" s="3">
        <v>2012</v>
      </c>
      <c r="D31" s="1">
        <v>808176.47999999998</v>
      </c>
      <c r="F31" s="1">
        <v>527213.17000000004</v>
      </c>
      <c r="G31" s="1">
        <v>280963.31</v>
      </c>
      <c r="H31" s="1">
        <f t="shared" si="2"/>
        <v>0</v>
      </c>
      <c r="I31" s="1">
        <v>50</v>
      </c>
      <c r="J31" s="1">
        <v>42.781726999999997</v>
      </c>
      <c r="K31" s="2">
        <v>-0.14999999999999999</v>
      </c>
      <c r="L31" s="1">
        <f t="shared" si="3"/>
        <v>134173.68469083795</v>
      </c>
      <c r="M31" s="1">
        <f t="shared" si="0"/>
        <v>1.0686461159324077</v>
      </c>
      <c r="N31" s="1">
        <f t="shared" si="1"/>
        <v>143384.18700520354</v>
      </c>
      <c r="O31" s="1">
        <f t="shared" si="9"/>
        <v>93536.540136488722</v>
      </c>
      <c r="P31" s="1">
        <f t="shared" si="8"/>
        <v>49847.64686871483</v>
      </c>
    </row>
    <row r="32" spans="2:16" ht="15.6" outlineLevel="2">
      <c r="B32" s="1" t="s">
        <v>3</v>
      </c>
      <c r="C32" s="3">
        <v>2011</v>
      </c>
      <c r="D32" s="1">
        <v>46064.060000000005</v>
      </c>
      <c r="F32" s="1">
        <v>-1947.0999999999999</v>
      </c>
      <c r="G32" s="1">
        <v>48011.160000000003</v>
      </c>
      <c r="H32" s="1">
        <f t="shared" si="2"/>
        <v>0</v>
      </c>
      <c r="I32" s="1">
        <v>50</v>
      </c>
      <c r="J32" s="1">
        <v>42.137053000000002</v>
      </c>
      <c r="K32" s="2">
        <v>-0.14999999999999999</v>
      </c>
      <c r="L32" s="1">
        <f t="shared" si="3"/>
        <v>8330.5830348508571</v>
      </c>
      <c r="M32" s="1">
        <f t="shared" si="0"/>
        <v>1.0686461159324077</v>
      </c>
      <c r="N32" s="1">
        <f t="shared" si="1"/>
        <v>8902.4452036457769</v>
      </c>
      <c r="O32" s="1">
        <f t="shared" si="9"/>
        <v>-376.30098293590902</v>
      </c>
      <c r="P32" s="1">
        <f t="shared" si="8"/>
        <v>9278.7461865816858</v>
      </c>
    </row>
    <row r="33" spans="2:16" ht="15.6" outlineLevel="2">
      <c r="B33" s="1" t="s">
        <v>3</v>
      </c>
      <c r="C33" s="3">
        <v>2010</v>
      </c>
      <c r="D33" s="1">
        <v>609801.38</v>
      </c>
      <c r="F33" s="1">
        <v>608405.39000000001</v>
      </c>
      <c r="G33" s="1">
        <v>1395.99</v>
      </c>
      <c r="H33" s="1">
        <f t="shared" si="2"/>
        <v>-9.3223206931725144E-12</v>
      </c>
      <c r="I33" s="1">
        <v>50</v>
      </c>
      <c r="J33" s="1">
        <v>41.510976999999997</v>
      </c>
      <c r="K33" s="2">
        <v>-0.14999999999999999</v>
      </c>
      <c r="L33" s="1">
        <f t="shared" si="3"/>
        <v>119062.21262579002</v>
      </c>
      <c r="M33" s="1">
        <f t="shared" si="0"/>
        <v>1.0686461159324077</v>
      </c>
      <c r="N33" s="1">
        <f t="shared" si="1"/>
        <v>127235.37107686898</v>
      </c>
      <c r="O33" s="1">
        <f t="shared" si="9"/>
        <v>126944.09704651241</v>
      </c>
      <c r="P33" s="1">
        <f t="shared" si="8"/>
        <v>291.27403035657005</v>
      </c>
    </row>
    <row r="34" spans="2:16" ht="15.6" outlineLevel="2">
      <c r="B34" s="1" t="s">
        <v>3</v>
      </c>
      <c r="C34" s="3">
        <v>2009</v>
      </c>
      <c r="D34" s="1">
        <v>1413990.0800000001</v>
      </c>
      <c r="F34" s="1">
        <v>1025759.96</v>
      </c>
      <c r="G34" s="1">
        <v>388230.12</v>
      </c>
      <c r="H34" s="1">
        <f t="shared" si="2"/>
        <v>0</v>
      </c>
      <c r="I34" s="1">
        <v>50</v>
      </c>
      <c r="J34" s="1">
        <v>40.903224000000002</v>
      </c>
      <c r="K34" s="2">
        <v>-0.14999999999999999</v>
      </c>
      <c r="L34" s="1">
        <f t="shared" si="3"/>
        <v>295843.27355158783</v>
      </c>
      <c r="M34" s="1">
        <f t="shared" si="0"/>
        <v>1.0686461159324077</v>
      </c>
      <c r="N34" s="1">
        <f t="shared" si="1"/>
        <v>316151.76520563313</v>
      </c>
      <c r="O34" s="1">
        <f t="shared" si="9"/>
        <v>229348.01779603688</v>
      </c>
      <c r="P34" s="1">
        <f t="shared" si="8"/>
        <v>86803.747409596224</v>
      </c>
    </row>
    <row r="35" spans="2:16" ht="15.6" outlineLevel="2">
      <c r="B35" s="1" t="s">
        <v>3</v>
      </c>
      <c r="C35" s="3">
        <v>2008</v>
      </c>
      <c r="D35" s="1">
        <v>285382.76000000001</v>
      </c>
      <c r="G35" s="1">
        <v>285382.76000000001</v>
      </c>
      <c r="H35" s="1">
        <f t="shared" si="2"/>
        <v>0</v>
      </c>
      <c r="I35" s="1">
        <v>50</v>
      </c>
      <c r="J35" s="1">
        <v>40.313519999999997</v>
      </c>
      <c r="K35" s="2">
        <v>-0.14999999999999999</v>
      </c>
      <c r="L35" s="1">
        <f t="shared" si="3"/>
        <v>63580.151132950414</v>
      </c>
      <c r="M35" s="1">
        <f t="shared" si="0"/>
        <v>1.0686461159324077</v>
      </c>
      <c r="N35" s="1">
        <f t="shared" si="1"/>
        <v>67944.681558622935</v>
      </c>
      <c r="P35" s="1">
        <f t="shared" si="8"/>
        <v>67944.681558622935</v>
      </c>
    </row>
    <row r="36" spans="2:16" ht="15.6" outlineLevel="2">
      <c r="B36" s="1" t="s">
        <v>3</v>
      </c>
      <c r="C36" s="3">
        <v>2007</v>
      </c>
      <c r="D36" s="1">
        <v>222357.51999999999</v>
      </c>
      <c r="F36" s="1">
        <v>31361.189999999999</v>
      </c>
      <c r="G36" s="1">
        <v>190996.32999999999</v>
      </c>
      <c r="H36" s="1">
        <f t="shared" si="2"/>
        <v>0</v>
      </c>
      <c r="I36" s="1">
        <v>50</v>
      </c>
      <c r="J36" s="1">
        <v>39.741591999999997</v>
      </c>
      <c r="K36" s="2">
        <v>-0.14999999999999999</v>
      </c>
      <c r="L36" s="1">
        <f t="shared" si="3"/>
        <v>52463.785726647686</v>
      </c>
      <c r="M36" s="1">
        <f t="shared" si="0"/>
        <v>1.0686461159324077</v>
      </c>
      <c r="N36" s="1">
        <f t="shared" si="1"/>
        <v>56065.220843892137</v>
      </c>
      <c r="O36" s="1">
        <f>+F36/D36*N36</f>
        <v>7907.4098473362255</v>
      </c>
      <c r="P36" s="1">
        <f t="shared" si="8"/>
        <v>48157.810996555912</v>
      </c>
    </row>
    <row r="37" spans="2:16" ht="15.6" outlineLevel="2">
      <c r="B37" s="1" t="s">
        <v>3</v>
      </c>
      <c r="C37" s="3">
        <v>2006</v>
      </c>
      <c r="D37" s="1">
        <v>309942.97999999998</v>
      </c>
      <c r="F37" s="1">
        <v>66964.240000000005</v>
      </c>
      <c r="G37" s="1">
        <v>242978.73999999999</v>
      </c>
      <c r="H37" s="1">
        <f t="shared" si="2"/>
        <v>0</v>
      </c>
      <c r="I37" s="1">
        <v>50</v>
      </c>
      <c r="J37" s="1">
        <v>39.187137999999997</v>
      </c>
      <c r="K37" s="2">
        <v>-0.14999999999999999</v>
      </c>
      <c r="L37" s="1">
        <f t="shared" si="3"/>
        <v>77081.525424001476</v>
      </c>
      <c r="M37" s="1">
        <f t="shared" si="0"/>
        <v>1.0686461159324077</v>
      </c>
      <c r="N37" s="1">
        <f t="shared" si="1"/>
        <v>82372.872754504308</v>
      </c>
      <c r="O37" s="1">
        <f>+F37/D37*N37</f>
        <v>17796.940652187342</v>
      </c>
      <c r="P37" s="1">
        <f t="shared" si="8"/>
        <v>64575.932102316969</v>
      </c>
    </row>
    <row r="38" spans="2:16" ht="15.6" outlineLevel="2">
      <c r="B38" s="1" t="s">
        <v>3</v>
      </c>
      <c r="C38" s="3">
        <v>2004</v>
      </c>
      <c r="D38" s="1">
        <v>146775.28</v>
      </c>
      <c r="F38" s="1">
        <v>50889.730000000003</v>
      </c>
      <c r="G38" s="1">
        <v>95885.550000000003</v>
      </c>
      <c r="H38" s="1">
        <f t="shared" si="2"/>
        <v>0</v>
      </c>
      <c r="I38" s="1">
        <v>50</v>
      </c>
      <c r="J38" s="1">
        <v>38.649794999999997</v>
      </c>
      <c r="K38" s="2">
        <v>-0.14999999999999999</v>
      </c>
      <c r="L38" s="1">
        <f t="shared" si="3"/>
        <v>38316.378889445208</v>
      </c>
      <c r="M38" s="1">
        <f t="shared" si="0"/>
        <v>1.0686461159324077</v>
      </c>
      <c r="N38" s="1">
        <f t="shared" si="1"/>
        <v>40946.649476800121</v>
      </c>
      <c r="O38" s="1">
        <f>+F38/D38*N38</f>
        <v>14196.96788368586</v>
      </c>
      <c r="P38" s="1">
        <f t="shared" si="8"/>
        <v>26749.681593114263</v>
      </c>
    </row>
    <row r="39" spans="2:16" ht="15.6" outlineLevel="2">
      <c r="B39" s="1" t="s">
        <v>3</v>
      </c>
      <c r="C39" s="3">
        <v>1993</v>
      </c>
      <c r="D39" s="1">
        <v>10752468.549999999</v>
      </c>
      <c r="F39" s="1">
        <v>10310904.02</v>
      </c>
      <c r="G39" s="1">
        <v>441564.53000000003</v>
      </c>
      <c r="H39" s="1">
        <f t="shared" si="2"/>
        <v>-6.9849193096160889E-10</v>
      </c>
      <c r="I39" s="1">
        <v>50</v>
      </c>
      <c r="J39" s="1">
        <v>33.699021999999999</v>
      </c>
      <c r="K39" s="2">
        <v>-0.14999999999999999</v>
      </c>
      <c r="L39" s="1">
        <f t="shared" si="3"/>
        <v>4031342.3254225627</v>
      </c>
      <c r="M39" s="1">
        <f t="shared" si="0"/>
        <v>1.0686461159324077</v>
      </c>
      <c r="N39" s="1">
        <f t="shared" si="1"/>
        <v>4308078.3180567417</v>
      </c>
      <c r="O39" s="1">
        <f>+F39/D39*N39</f>
        <v>4131161.3088257858</v>
      </c>
      <c r="P39" s="1">
        <f t="shared" si="8"/>
        <v>176917.00923095617</v>
      </c>
    </row>
    <row r="40" spans="1:17" ht="15.75" outlineLevel="1">
      <c r="A40" s="4" t="s">
        <v>20</v>
      </c>
      <c r="B40" s="1" t="s">
        <v>27</v>
      </c>
      <c r="D40" s="1">
        <f>SUBTOTAL(9,D22:D39)</f>
        <v>283344612.26999992</v>
      </c>
      <c r="F40" s="1">
        <f>SUBTOTAL(9,F22:F39)</f>
        <v>51856607.519999996</v>
      </c>
      <c r="G40" s="1">
        <f>SUBTOTAL(9,G22:G39)</f>
        <v>231488004.75</v>
      </c>
      <c r="L40" s="1">
        <f>SUBTOTAL(9,L22:L39)</f>
        <v>37930583.392675765</v>
      </c>
      <c r="M40" s="1" t="s">
        <v>27</v>
      </c>
      <c r="N40" s="1">
        <f>SUBTOTAL(9,N22:N39)</f>
        <v>40534370.617633261</v>
      </c>
      <c r="O40" s="1">
        <f>SUBTOTAL(9,O22:O39)</f>
        <v>9170097.6017007641</v>
      </c>
      <c r="P40" s="1">
        <f>SUBTOTAL(9,P22:P39)</f>
        <v>31364273.015932482</v>
      </c>
      <c r="Q40" s="1" t="s">
        <v>27</v>
      </c>
    </row>
    <row r="41" spans="2:16" ht="15.75" outlineLevel="2">
      <c r="B41" s="1" t="s">
        <v>4</v>
      </c>
      <c r="C41" s="3" t="s">
        <v>29</v>
      </c>
      <c r="D41" s="1">
        <v>65358111.770000003</v>
      </c>
      <c r="G41" s="1">
        <f>+D41</f>
        <v>65358111.770000003</v>
      </c>
      <c r="H41" s="1">
        <f t="shared" si="10" ref="H41">+D41-E41-F41-G41</f>
        <v>0</v>
      </c>
      <c r="I41" s="1">
        <v>30</v>
      </c>
      <c r="J41" s="1">
        <v>26.879031999999999</v>
      </c>
      <c r="K41" s="2">
        <v>-0.14999999999999999</v>
      </c>
      <c r="L41" s="1">
        <f t="shared" si="3"/>
        <v>7819255.3893594192</v>
      </c>
      <c r="M41" s="1">
        <f t="shared" si="11" ref="M41:M52">$N$99</f>
        <v>1.0686461159324077</v>
      </c>
      <c r="N41" s="1">
        <f t="shared" si="12" ref="N41">IF((D41*(1-K41)-L41*M41)&lt;0,D41*(1-K41),L41*M41)</f>
        <v>8356016.9013224896</v>
      </c>
      <c r="O41" s="1">
        <f>+F41/D41*N41</f>
        <v>0</v>
      </c>
      <c r="P41" s="1">
        <f>+G41/D41*N41</f>
        <v>8356016.9013224896</v>
      </c>
    </row>
    <row r="42" spans="1:16" ht="15.75" outlineLevel="1">
      <c r="A42" s="4" t="s">
        <v>21</v>
      </c>
      <c r="B42" s="1" t="s">
        <v>27</v>
      </c>
      <c r="D42" s="1">
        <f>SUBTOTAL(9,D41:D41)</f>
        <v>65358111.770000003</v>
      </c>
      <c r="F42" s="1" t="s">
        <v>27</v>
      </c>
      <c r="G42" s="1">
        <f>SUBTOTAL(9,G41:G41)</f>
        <v>65358111.770000003</v>
      </c>
      <c r="L42" s="1">
        <f>SUBTOTAL(9,L41:L41)</f>
        <v>7819255.3893594192</v>
      </c>
      <c r="M42" s="1">
        <f t="shared" si="11"/>
        <v>1.0686461159324077</v>
      </c>
      <c r="N42" s="1">
        <f t="shared" si="13" ref="N42:P42">SUBTOTAL(9,N41:N41)</f>
        <v>8356016.9013224896</v>
      </c>
      <c r="O42" s="1">
        <f t="shared" si="13"/>
        <v>0</v>
      </c>
      <c r="P42" s="1">
        <f t="shared" si="13"/>
        <v>8356016.9013224896</v>
      </c>
    </row>
    <row r="43" spans="2:16" ht="15.75" outlineLevel="2">
      <c r="B43" s="1" t="s">
        <v>5</v>
      </c>
      <c r="C43" s="3">
        <v>2020</v>
      </c>
      <c r="D43" s="1">
        <v>831.88999999999999</v>
      </c>
      <c r="G43" s="1">
        <v>831.88999999999999</v>
      </c>
      <c r="H43" s="1">
        <f t="shared" si="14" ref="H43:H52">+D43-E43-F43-G43</f>
        <v>0</v>
      </c>
      <c r="I43" s="1">
        <v>70</v>
      </c>
      <c r="J43" s="1">
        <v>68.584007</v>
      </c>
      <c r="K43" s="2">
        <v>-0.40000000000000002</v>
      </c>
      <c r="L43" s="1">
        <f t="shared" si="15" ref="L43:L52">(1-K43)*(1-J43/I43)*D43</f>
        <v>23.559008335399994</v>
      </c>
      <c r="M43" s="1">
        <f t="shared" si="11"/>
        <v>1.0686461159324077</v>
      </c>
      <c r="N43" s="1">
        <f t="shared" si="16" ref="N43:N52">IF((D43*(1-K43)-L43*M43)&lt;0,D43*(1-K43),L43*M43)</f>
        <v>25.17624275284442</v>
      </c>
      <c r="P43" s="1">
        <f t="shared" si="17" ref="P43:P52">+G43/D43*N43</f>
        <v>25.17624275284442</v>
      </c>
    </row>
    <row r="44" spans="2:16" ht="15.75" outlineLevel="2">
      <c r="B44" s="1" t="s">
        <v>5</v>
      </c>
      <c r="C44" s="3">
        <v>2019</v>
      </c>
      <c r="D44" s="1">
        <v>1550195.8300000001</v>
      </c>
      <c r="G44" s="1">
        <v>1550195.8300000001</v>
      </c>
      <c r="H44" s="1">
        <f t="shared" si="14"/>
        <v>0</v>
      </c>
      <c r="I44" s="1">
        <v>70</v>
      </c>
      <c r="J44" s="1">
        <v>67.643344999999997</v>
      </c>
      <c r="K44" s="2">
        <v>-0.40000000000000002</v>
      </c>
      <c r="L44" s="1">
        <f t="shared" si="15"/>
        <v>73065.535074973101</v>
      </c>
      <c r="M44" s="1">
        <f t="shared" si="11"/>
        <v>1.0686461159324077</v>
      </c>
      <c r="N44" s="1">
        <f t="shared" si="16"/>
        <v>78081.200266393105</v>
      </c>
      <c r="P44" s="1">
        <f t="shared" si="17"/>
        <v>78081.200266393105</v>
      </c>
    </row>
    <row r="45" spans="2:16" ht="15.75" outlineLevel="2">
      <c r="B45" s="1" t="s">
        <v>5</v>
      </c>
      <c r="C45" s="3">
        <v>2018</v>
      </c>
      <c r="D45" s="1">
        <v>448253.57000000001</v>
      </c>
      <c r="G45" s="1">
        <v>448253.57000000001</v>
      </c>
      <c r="H45" s="1">
        <f t="shared" si="14"/>
        <v>0</v>
      </c>
      <c r="I45" s="1">
        <v>70</v>
      </c>
      <c r="J45" s="1">
        <v>66.705117000000001</v>
      </c>
      <c r="K45" s="2">
        <v>-0.40000000000000002</v>
      </c>
      <c r="L45" s="1">
        <f t="shared" si="15"/>
        <v>29538.861349646173</v>
      </c>
      <c r="M45" s="1">
        <f t="shared" si="11"/>
        <v>1.0686461159324077</v>
      </c>
      <c r="N45" s="1">
        <f t="shared" si="16"/>
        <v>31566.5894503653</v>
      </c>
      <c r="P45" s="1">
        <f t="shared" si="17"/>
        <v>31566.5894503653</v>
      </c>
    </row>
    <row r="46" spans="2:16" ht="15.75" outlineLevel="2">
      <c r="B46" s="1" t="s">
        <v>5</v>
      </c>
      <c r="C46" s="3">
        <v>2017</v>
      </c>
      <c r="D46" s="1">
        <v>256794.76999999999</v>
      </c>
      <c r="G46" s="1">
        <v>256794.76999999999</v>
      </c>
      <c r="H46" s="1">
        <f t="shared" si="14"/>
        <v>0</v>
      </c>
      <c r="I46" s="1">
        <v>70</v>
      </c>
      <c r="J46" s="1">
        <v>65.770180999999994</v>
      </c>
      <c r="K46" s="2">
        <v>-0.40000000000000002</v>
      </c>
      <c r="L46" s="1">
        <f t="shared" si="15"/>
        <v>21723.907944932635</v>
      </c>
      <c r="M46" s="1">
        <f t="shared" si="11"/>
        <v>1.0686461159324077</v>
      </c>
      <c r="N46" s="1">
        <f t="shared" si="16"/>
        <v>23215.169848225432</v>
      </c>
      <c r="P46" s="1">
        <f t="shared" si="17"/>
        <v>23215.169848225432</v>
      </c>
    </row>
    <row r="47" spans="2:16" ht="15.75" outlineLevel="2">
      <c r="B47" s="1" t="s">
        <v>5</v>
      </c>
      <c r="C47" s="3">
        <v>2016</v>
      </c>
      <c r="D47" s="1">
        <v>27124250.850000001</v>
      </c>
      <c r="G47" s="1">
        <v>27124250.850000001</v>
      </c>
      <c r="H47" s="1">
        <f t="shared" si="14"/>
        <v>0</v>
      </c>
      <c r="I47" s="1">
        <v>70</v>
      </c>
      <c r="J47" s="1">
        <v>64.837871000000007</v>
      </c>
      <c r="K47" s="2">
        <v>-0.40000000000000002</v>
      </c>
      <c r="L47" s="1">
        <f t="shared" si="15"/>
        <v>2800377.6383211887</v>
      </c>
      <c r="M47" s="1">
        <f t="shared" si="11"/>
        <v>1.0686461159324077</v>
      </c>
      <c r="N47" s="1">
        <f t="shared" si="16"/>
        <v>2992612.6863359069</v>
      </c>
      <c r="P47" s="1">
        <f t="shared" si="17"/>
        <v>2992612.6863359069</v>
      </c>
    </row>
    <row r="48" spans="2:16" ht="15.75" outlineLevel="2">
      <c r="B48" s="1" t="s">
        <v>5</v>
      </c>
      <c r="C48" s="3">
        <v>2015</v>
      </c>
      <c r="D48" s="1">
        <v>2241080.8999999999</v>
      </c>
      <c r="G48" s="1">
        <v>2241080.8999999999</v>
      </c>
      <c r="H48" s="1">
        <f t="shared" si="14"/>
        <v>0</v>
      </c>
      <c r="I48" s="1">
        <v>70</v>
      </c>
      <c r="J48" s="1">
        <v>63.908850999999999</v>
      </c>
      <c r="K48" s="2">
        <v>-0.40000000000000002</v>
      </c>
      <c r="L48" s="1">
        <f t="shared" si="15"/>
        <v>273015.1536590819</v>
      </c>
      <c r="M48" s="1">
        <f t="shared" si="11"/>
        <v>1.0686461159324077</v>
      </c>
      <c r="N48" s="1">
        <f t="shared" si="16"/>
        <v>291756.58354846732</v>
      </c>
      <c r="P48" s="1">
        <f t="shared" si="17"/>
        <v>291756.58354846732</v>
      </c>
    </row>
    <row r="49" spans="2:16" ht="15.75" outlineLevel="2">
      <c r="B49" s="1" t="s">
        <v>5</v>
      </c>
      <c r="C49" s="3">
        <v>2014</v>
      </c>
      <c r="D49" s="1">
        <v>59042700.68</v>
      </c>
      <c r="G49" s="1">
        <v>59042700.68</v>
      </c>
      <c r="H49" s="1">
        <f t="shared" si="14"/>
        <v>0</v>
      </c>
      <c r="I49" s="1">
        <v>70</v>
      </c>
      <c r="J49" s="1">
        <v>62.982939000000002</v>
      </c>
      <c r="K49" s="2">
        <v>-0.40000000000000002</v>
      </c>
      <c r="L49" s="1">
        <f t="shared" si="15"/>
        <v>8286124.6455260226</v>
      </c>
      <c r="M49" s="1">
        <f t="shared" si="11"/>
        <v>1.0686461159324077</v>
      </c>
      <c r="N49" s="1">
        <f t="shared" si="16"/>
        <v>8854934.9185731821</v>
      </c>
      <c r="P49" s="1">
        <f t="shared" si="17"/>
        <v>8854934.9185731821</v>
      </c>
    </row>
    <row r="50" spans="2:16" ht="15.75" outlineLevel="2">
      <c r="B50" s="1" t="s">
        <v>5</v>
      </c>
      <c r="C50" s="3">
        <v>2013</v>
      </c>
      <c r="D50" s="1">
        <v>396644580.88</v>
      </c>
      <c r="G50" s="1">
        <v>396644580.88</v>
      </c>
      <c r="H50" s="1">
        <f t="shared" si="14"/>
        <v>0</v>
      </c>
      <c r="I50" s="1">
        <v>70</v>
      </c>
      <c r="J50" s="1">
        <v>62.060254999999998</v>
      </c>
      <c r="K50" s="2">
        <v>-0.40000000000000002</v>
      </c>
      <c r="L50" s="1">
        <f t="shared" si="15"/>
        <v>62985136.556381531</v>
      </c>
      <c r="M50" s="1">
        <f t="shared" si="11"/>
        <v>1.0686461159324077</v>
      </c>
      <c r="N50" s="1">
        <f t="shared" si="16"/>
        <v>67308821.54244943</v>
      </c>
      <c r="P50" s="1">
        <f t="shared" si="17"/>
        <v>67308821.54244943</v>
      </c>
    </row>
    <row r="51" spans="2:16" ht="15.75" outlineLevel="2">
      <c r="B51" s="1" t="s">
        <v>5</v>
      </c>
      <c r="C51" s="3">
        <v>2012</v>
      </c>
      <c r="D51" s="1">
        <v>7814086.6900000004</v>
      </c>
      <c r="G51" s="1">
        <v>7814086.6900000004</v>
      </c>
      <c r="H51" s="1">
        <f t="shared" si="14"/>
        <v>0</v>
      </c>
      <c r="I51" s="1">
        <v>70</v>
      </c>
      <c r="J51" s="1">
        <v>61.141221999999999</v>
      </c>
      <c r="K51" s="2">
        <v>-0.40000000000000002</v>
      </c>
      <c r="L51" s="1">
        <f t="shared" si="15"/>
        <v>1384465.1851892958</v>
      </c>
      <c r="M51" s="1">
        <f t="shared" si="11"/>
        <v>1.0686461159324077</v>
      </c>
      <c r="N51" s="1">
        <f t="shared" si="16"/>
        <v>1479503.3427961825</v>
      </c>
      <c r="P51" s="1">
        <f t="shared" si="17"/>
        <v>1479503.3427961825</v>
      </c>
    </row>
    <row r="52" spans="2:16" ht="15.75" outlineLevel="2">
      <c r="B52" s="1" t="s">
        <v>5</v>
      </c>
      <c r="C52" s="3">
        <v>1996</v>
      </c>
      <c r="D52" s="1">
        <v>1282780.3300000001</v>
      </c>
      <c r="G52" s="1">
        <v>1282780.3300000001</v>
      </c>
      <c r="H52" s="1">
        <f t="shared" si="14"/>
        <v>0</v>
      </c>
      <c r="I52" s="1">
        <v>70</v>
      </c>
      <c r="J52" s="1">
        <v>47.001193999999998</v>
      </c>
      <c r="K52" s="2">
        <v>-0.40000000000000002</v>
      </c>
      <c r="L52" s="1">
        <f t="shared" si="15"/>
        <v>590048.31900571974</v>
      </c>
      <c r="M52" s="1">
        <f t="shared" si="11"/>
        <v>1.0686461159324077</v>
      </c>
      <c r="N52" s="1">
        <f t="shared" si="16"/>
        <v>630552.84431790863</v>
      </c>
      <c r="P52" s="1">
        <f t="shared" si="17"/>
        <v>630552.84431790863</v>
      </c>
    </row>
    <row r="53" spans="1:16" ht="15.75" outlineLevel="1">
      <c r="A53" s="4" t="s">
        <v>22</v>
      </c>
      <c r="B53" s="1" t="s">
        <v>27</v>
      </c>
      <c r="D53" s="1">
        <f>SUBTOTAL(9,D43:D52)</f>
        <v>496405556.38999999</v>
      </c>
      <c r="G53" s="1">
        <f>SUBTOTAL(9,G43:G52)</f>
        <v>496405556.38999999</v>
      </c>
      <c r="L53" s="1">
        <f>SUBTOTAL(9,L43:L52)</f>
        <v>76443519.361460716</v>
      </c>
      <c r="M53" s="1" t="s">
        <v>27</v>
      </c>
      <c r="N53" s="1">
        <f>SUBTOTAL(9,N43:N52)</f>
        <v>81691070.053828806</v>
      </c>
      <c r="O53" s="1">
        <f>SUBTOTAL(9,O43:O52)</f>
        <v>0</v>
      </c>
      <c r="P53" s="1">
        <f>SUBTOTAL(9,P43:P52)</f>
        <v>81691070.053828806</v>
      </c>
    </row>
    <row r="54" spans="2:16" ht="15.75" outlineLevel="2">
      <c r="B54" s="1" t="s">
        <v>6</v>
      </c>
      <c r="C54" s="3">
        <v>2021</v>
      </c>
      <c r="D54" s="1">
        <v>0</v>
      </c>
      <c r="G54" s="1">
        <v>0</v>
      </c>
      <c r="H54" s="1">
        <f t="shared" si="18" ref="H54:H74">+D54-E54-F54-G54</f>
        <v>0</v>
      </c>
      <c r="I54" s="1">
        <v>55</v>
      </c>
      <c r="J54" s="1">
        <v>54.587964999999997</v>
      </c>
      <c r="K54" s="2">
        <v>-0.75</v>
      </c>
      <c r="L54" s="1">
        <f t="shared" si="19" ref="L54:L74">(1-K54)*(1-J54/I54)*D54</f>
        <v>0</v>
      </c>
      <c r="M54" s="1">
        <f t="shared" si="20" ref="M54:M74">$N$99</f>
        <v>1.0686461159324077</v>
      </c>
      <c r="N54" s="1">
        <f t="shared" si="21" ref="N54:N74">IF((D54*(1-K54)-L54*M54)&lt;0,D54*(1-K54),L54*M54)</f>
        <v>0</v>
      </c>
      <c r="P54" s="1">
        <v>0</v>
      </c>
    </row>
    <row r="55" spans="2:16" ht="15.75" outlineLevel="2">
      <c r="B55" s="1" t="s">
        <v>6</v>
      </c>
      <c r="C55" s="3">
        <v>2020</v>
      </c>
      <c r="D55" s="1">
        <v>1383345.0099999998</v>
      </c>
      <c r="G55" s="1">
        <v>1383345.0099999998</v>
      </c>
      <c r="H55" s="1">
        <f t="shared" si="18"/>
        <v>0</v>
      </c>
      <c r="I55" s="1">
        <v>55</v>
      </c>
      <c r="J55" s="1">
        <v>53.766975000000002</v>
      </c>
      <c r="K55" s="2">
        <v>-0.75</v>
      </c>
      <c r="L55" s="1">
        <f t="shared" si="19"/>
        <v>54272.240303121376</v>
      </c>
      <c r="M55" s="1">
        <f t="shared" si="20"/>
        <v>1.0686461159324077</v>
      </c>
      <c r="N55" s="1">
        <f t="shared" si="21"/>
        <v>57997.818802880931</v>
      </c>
      <c r="P55" s="1">
        <f t="shared" si="22" ref="P55:P74">+G55/D55*N55</f>
        <v>57997.818802880931</v>
      </c>
    </row>
    <row r="56" spans="2:16" ht="15.75" outlineLevel="2">
      <c r="B56" s="1" t="s">
        <v>6</v>
      </c>
      <c r="C56" s="3">
        <v>2019</v>
      </c>
      <c r="D56" s="1">
        <v>1662563.22</v>
      </c>
      <c r="G56" s="1">
        <v>1662563.22</v>
      </c>
      <c r="H56" s="1">
        <f t="shared" si="18"/>
        <v>0</v>
      </c>
      <c r="I56" s="1">
        <v>55</v>
      </c>
      <c r="J56" s="1">
        <v>52.950091999999998</v>
      </c>
      <c r="K56" s="2">
        <v>-0.75</v>
      </c>
      <c r="L56" s="1">
        <f t="shared" si="19"/>
        <v>108439.59780130144</v>
      </c>
      <c r="M56" s="1">
        <f t="shared" si="20"/>
        <v>1.0686461159324077</v>
      </c>
      <c r="N56" s="1">
        <f t="shared" si="21"/>
        <v>115883.55500363324</v>
      </c>
      <c r="P56" s="1">
        <f t="shared" si="22"/>
        <v>115883.55500363324</v>
      </c>
    </row>
    <row r="57" spans="2:16" ht="15.75" outlineLevel="2">
      <c r="B57" s="1" t="s">
        <v>6</v>
      </c>
      <c r="C57" s="3">
        <v>2018</v>
      </c>
      <c r="D57" s="1">
        <v>6983492.29</v>
      </c>
      <c r="G57" s="1">
        <v>6983492.29</v>
      </c>
      <c r="H57" s="1">
        <f t="shared" si="18"/>
        <v>0</v>
      </c>
      <c r="I57" s="1">
        <v>55</v>
      </c>
      <c r="J57" s="1">
        <v>52.137321</v>
      </c>
      <c r="K57" s="2">
        <v>-0.75</v>
      </c>
      <c r="L57" s="1">
        <f t="shared" si="19"/>
        <v>636093.07762142888</v>
      </c>
      <c r="M57" s="1">
        <f t="shared" si="20"/>
        <v>1.0686461159324077</v>
      </c>
      <c r="N57" s="1">
        <f t="shared" si="21"/>
        <v>679758.39677163144</v>
      </c>
      <c r="P57" s="1">
        <f t="shared" si="22"/>
        <v>679758.39677163144</v>
      </c>
    </row>
    <row r="58" spans="2:16" ht="15.75" outlineLevel="2">
      <c r="B58" s="1" t="s">
        <v>6</v>
      </c>
      <c r="C58" s="3">
        <v>2017</v>
      </c>
      <c r="D58" s="1">
        <v>11717995.15</v>
      </c>
      <c r="G58" s="1">
        <v>11717995.15</v>
      </c>
      <c r="H58" s="1">
        <f t="shared" si="18"/>
        <v>0</v>
      </c>
      <c r="I58" s="1">
        <v>55</v>
      </c>
      <c r="J58" s="1">
        <v>51.328674999999997</v>
      </c>
      <c r="K58" s="2">
        <v>-0.75</v>
      </c>
      <c r="L58" s="1">
        <f t="shared" si="19"/>
        <v>1368836.2718568933</v>
      </c>
      <c r="M58" s="1">
        <f t="shared" si="20"/>
        <v>1.0686461159324077</v>
      </c>
      <c r="N58" s="1">
        <f t="shared" si="21"/>
        <v>1462801.5652672662</v>
      </c>
      <c r="P58" s="1">
        <f t="shared" si="22"/>
        <v>1462801.5652672662</v>
      </c>
    </row>
    <row r="59" spans="2:16" ht="15.75" outlineLevel="2">
      <c r="B59" s="1" t="s">
        <v>6</v>
      </c>
      <c r="C59" s="3">
        <v>2016</v>
      </c>
      <c r="D59" s="1">
        <v>57879524.770000003</v>
      </c>
      <c r="G59" s="1">
        <v>57879524.770000003</v>
      </c>
      <c r="H59" s="1">
        <f t="shared" si="18"/>
        <v>0</v>
      </c>
      <c r="I59" s="1">
        <v>55</v>
      </c>
      <c r="J59" s="1">
        <v>50.524169999999998</v>
      </c>
      <c r="K59" s="2">
        <v>-0.75</v>
      </c>
      <c r="L59" s="1">
        <f t="shared" si="19"/>
        <v>8242783.6066325679</v>
      </c>
      <c r="M59" s="1">
        <f t="shared" si="20"/>
        <v>1.0686461159324077</v>
      </c>
      <c r="N59" s="1">
        <f t="shared" si="21"/>
        <v>8808618.685699217</v>
      </c>
      <c r="P59" s="1">
        <f t="shared" si="22"/>
        <v>8808618.685699217</v>
      </c>
    </row>
    <row r="60" spans="2:16" ht="15.75" outlineLevel="2">
      <c r="B60" s="1" t="s">
        <v>6</v>
      </c>
      <c r="C60" s="3">
        <v>2015</v>
      </c>
      <c r="D60" s="1">
        <v>5520782.5800000001</v>
      </c>
      <c r="G60" s="1">
        <v>5520782.5800000001</v>
      </c>
      <c r="H60" s="1">
        <f t="shared" si="18"/>
        <v>0</v>
      </c>
      <c r="I60" s="1">
        <v>55</v>
      </c>
      <c r="J60" s="1">
        <v>49.724181000000002</v>
      </c>
      <c r="K60" s="2">
        <v>-0.75</v>
      </c>
      <c r="L60" s="1">
        <f t="shared" si="19"/>
        <v>926757.03369559534</v>
      </c>
      <c r="M60" s="1">
        <f t="shared" si="20"/>
        <v>1.0686461159324077</v>
      </c>
      <c r="N60" s="1">
        <f t="shared" si="21"/>
        <v>990375.30447183736</v>
      </c>
      <c r="P60" s="1">
        <f t="shared" si="22"/>
        <v>990375.30447183736</v>
      </c>
    </row>
    <row r="61" spans="2:16" ht="15.75" outlineLevel="2">
      <c r="B61" s="1" t="s">
        <v>6</v>
      </c>
      <c r="C61" s="3">
        <v>2014</v>
      </c>
      <c r="D61" s="1">
        <v>25659794.18</v>
      </c>
      <c r="G61" s="1">
        <v>25659794.18</v>
      </c>
      <c r="H61" s="1">
        <f t="shared" si="18"/>
        <v>0</v>
      </c>
      <c r="I61" s="1">
        <v>55</v>
      </c>
      <c r="J61" s="1">
        <v>48.928370000000001</v>
      </c>
      <c r="K61" s="2">
        <v>-0.75</v>
      </c>
      <c r="L61" s="1">
        <f t="shared" si="19"/>
        <v>4957170.1498172441</v>
      </c>
      <c r="M61" s="1">
        <f t="shared" si="20"/>
        <v>1.0686461159324077</v>
      </c>
      <c r="N61" s="1">
        <f t="shared" si="21"/>
        <v>5297460.6266182689</v>
      </c>
      <c r="P61" s="1">
        <f t="shared" si="22"/>
        <v>5297460.6266182689</v>
      </c>
    </row>
    <row r="62" spans="2:16" ht="15.75" outlineLevel="2">
      <c r="B62" s="1" t="s">
        <v>6</v>
      </c>
      <c r="C62" s="3">
        <v>2013</v>
      </c>
      <c r="D62" s="1">
        <v>94121614.010000005</v>
      </c>
      <c r="G62" s="1">
        <v>94121614.010000005</v>
      </c>
      <c r="H62" s="1">
        <f t="shared" si="18"/>
        <v>0</v>
      </c>
      <c r="I62" s="1">
        <v>55</v>
      </c>
      <c r="J62" s="1">
        <v>48.136744</v>
      </c>
      <c r="K62" s="2">
        <v>-0.75</v>
      </c>
      <c r="L62" s="1">
        <f t="shared" si="19"/>
        <v>20553932.384485073</v>
      </c>
      <c r="M62" s="1">
        <f t="shared" si="20"/>
        <v>1.0686461159324077</v>
      </c>
      <c r="N62" s="1">
        <f t="shared" si="21"/>
        <v>21964880.009817302</v>
      </c>
      <c r="P62" s="1">
        <f t="shared" si="22"/>
        <v>21964880.009817302</v>
      </c>
    </row>
    <row r="63" spans="2:16" ht="15.75" outlineLevel="2">
      <c r="B63" s="1" t="s">
        <v>6</v>
      </c>
      <c r="C63" s="3">
        <v>2012</v>
      </c>
      <c r="D63" s="1">
        <v>781408.68000000005</v>
      </c>
      <c r="G63" s="1">
        <v>781408.68000000005</v>
      </c>
      <c r="H63" s="1">
        <f t="shared" si="18"/>
        <v>0</v>
      </c>
      <c r="I63" s="1">
        <v>55</v>
      </c>
      <c r="J63" s="1">
        <v>47.349316999999999</v>
      </c>
      <c r="K63" s="2">
        <v>-0.75</v>
      </c>
      <c r="L63" s="1">
        <f t="shared" si="19"/>
        <v>190218.95785863229</v>
      </c>
      <c r="M63" s="1">
        <f t="shared" si="20"/>
        <v>1.0686461159324077</v>
      </c>
      <c r="N63" s="1">
        <f t="shared" si="21"/>
        <v>203276.75049233774</v>
      </c>
      <c r="P63" s="1">
        <f t="shared" si="22"/>
        <v>203276.75049233774</v>
      </c>
    </row>
    <row r="64" spans="2:16" ht="10.9" customHeight="1" outlineLevel="2">
      <c r="B64" s="1" t="s">
        <v>6</v>
      </c>
      <c r="C64" s="3">
        <v>2011</v>
      </c>
      <c r="D64" s="1">
        <v>379676.01000000001</v>
      </c>
      <c r="G64" s="1">
        <v>379676.01000000001</v>
      </c>
      <c r="H64" s="1">
        <f t="shared" si="18"/>
        <v>0</v>
      </c>
      <c r="I64" s="1">
        <v>55</v>
      </c>
      <c r="J64" s="1">
        <v>46.566093000000002</v>
      </c>
      <c r="K64" s="2">
        <v>-0.75</v>
      </c>
      <c r="L64" s="1">
        <f t="shared" si="19"/>
        <v>101886.65958771585</v>
      </c>
      <c r="M64" s="1">
        <f t="shared" si="20"/>
        <v>1.0686461159324077</v>
      </c>
      <c r="N64" s="1">
        <f t="shared" si="21"/>
        <v>108880.78303373995</v>
      </c>
      <c r="P64" s="1">
        <f t="shared" si="22"/>
        <v>108880.78303373995</v>
      </c>
    </row>
    <row r="65" spans="2:16" ht="15.75" outlineLevel="2">
      <c r="B65" s="1" t="s">
        <v>6</v>
      </c>
      <c r="C65" s="3">
        <v>2010</v>
      </c>
      <c r="D65" s="1">
        <v>15689.65</v>
      </c>
      <c r="G65" s="1">
        <v>15689.65</v>
      </c>
      <c r="H65" s="1">
        <f t="shared" si="18"/>
        <v>0</v>
      </c>
      <c r="I65" s="1">
        <v>55</v>
      </c>
      <c r="J65" s="1">
        <v>45.787289000000001</v>
      </c>
      <c r="K65" s="2">
        <v>-0.75</v>
      </c>
      <c r="L65" s="1">
        <f t="shared" si="19"/>
        <v>4599.1339908547707</v>
      </c>
      <c r="M65" s="1">
        <f t="shared" si="20"/>
        <v>1.0686461159324077</v>
      </c>
      <c r="N65" s="1">
        <f t="shared" si="21"/>
        <v>4914.8466759796638</v>
      </c>
      <c r="P65" s="1">
        <f t="shared" si="22"/>
        <v>4914.8466759796638</v>
      </c>
    </row>
    <row r="66" spans="2:16" ht="15.75" outlineLevel="2">
      <c r="B66" s="1" t="s">
        <v>6</v>
      </c>
      <c r="C66" s="3">
        <v>2009</v>
      </c>
      <c r="D66" s="1">
        <v>416730.67999999999</v>
      </c>
      <c r="G66" s="1">
        <v>416730.67999999999</v>
      </c>
      <c r="H66" s="1">
        <f t="shared" si="18"/>
        <v>0</v>
      </c>
      <c r="I66" s="1">
        <v>55</v>
      </c>
      <c r="J66" s="1">
        <v>45.012915999999997</v>
      </c>
      <c r="K66" s="2">
        <v>-0.75</v>
      </c>
      <c r="L66" s="1">
        <f t="shared" si="19"/>
        <v>132424.86429890836</v>
      </c>
      <c r="M66" s="1">
        <f t="shared" si="20"/>
        <v>1.0686461159324077</v>
      </c>
      <c r="N66" s="1">
        <f t="shared" si="21"/>
        <v>141515.31688590458</v>
      </c>
      <c r="P66" s="1">
        <f t="shared" si="22"/>
        <v>141515.31688590458</v>
      </c>
    </row>
    <row r="67" spans="2:16" ht="15.75" outlineLevel="2">
      <c r="B67" s="1" t="s">
        <v>6</v>
      </c>
      <c r="C67" s="3">
        <v>2008</v>
      </c>
      <c r="D67" s="1">
        <v>74902</v>
      </c>
      <c r="G67" s="1">
        <v>74902</v>
      </c>
      <c r="H67" s="1">
        <f t="shared" si="18"/>
        <v>0</v>
      </c>
      <c r="I67" s="1">
        <v>55</v>
      </c>
      <c r="J67" s="1">
        <v>44.242801999999998</v>
      </c>
      <c r="K67" s="2">
        <v>-0.75</v>
      </c>
      <c r="L67" s="1">
        <f t="shared" si="19"/>
        <v>25637.043237145455</v>
      </c>
      <c r="M67" s="1">
        <f t="shared" si="20"/>
        <v>1.0686461159324077</v>
      </c>
      <c r="N67" s="1">
        <f t="shared" si="21"/>
        <v>27396.92667936669</v>
      </c>
      <c r="P67" s="1">
        <f t="shared" si="22"/>
        <v>27396.92667936669</v>
      </c>
    </row>
    <row r="68" spans="2:16" ht="15.75" outlineLevel="2">
      <c r="B68" s="1" t="s">
        <v>6</v>
      </c>
      <c r="C68" s="3">
        <v>2007</v>
      </c>
      <c r="D68" s="1">
        <v>22296.919999999998</v>
      </c>
      <c r="G68" s="1">
        <v>22296.919999999998</v>
      </c>
      <c r="H68" s="1">
        <f t="shared" si="18"/>
        <v>0</v>
      </c>
      <c r="I68" s="1">
        <v>55</v>
      </c>
      <c r="J68" s="1">
        <v>43.476956999999999</v>
      </c>
      <c r="K68" s="2">
        <v>-0.75</v>
      </c>
      <c r="L68" s="1">
        <f t="shared" si="19"/>
        <v>8174.9935249678174</v>
      </c>
      <c r="M68" s="1">
        <f t="shared" si="20"/>
        <v>1.0686461159324077</v>
      </c>
      <c r="N68" s="1">
        <f t="shared" si="21"/>
        <v>8736.1750782294403</v>
      </c>
      <c r="P68" s="1">
        <f t="shared" si="22"/>
        <v>8736.1750782294403</v>
      </c>
    </row>
    <row r="69" spans="2:16" ht="15.75" outlineLevel="2">
      <c r="B69" s="1" t="s">
        <v>6</v>
      </c>
      <c r="C69" s="3">
        <v>2006</v>
      </c>
      <c r="D69" s="1">
        <v>1123869.1200000001</v>
      </c>
      <c r="G69" s="1">
        <v>1123869.1200000001</v>
      </c>
      <c r="H69" s="1">
        <f t="shared" si="18"/>
        <v>0</v>
      </c>
      <c r="I69" s="1">
        <v>55</v>
      </c>
      <c r="J69" s="1">
        <v>42.715392999999999</v>
      </c>
      <c r="K69" s="2">
        <v>-0.75</v>
      </c>
      <c r="L69" s="1">
        <f t="shared" si="19"/>
        <v>439291.06004750408</v>
      </c>
      <c r="M69" s="1">
        <f t="shared" si="20"/>
        <v>1.0686461159324077</v>
      </c>
      <c r="N69" s="1">
        <f t="shared" si="21"/>
        <v>469446.68508359528</v>
      </c>
      <c r="P69" s="1">
        <f t="shared" si="22"/>
        <v>469446.68508359528</v>
      </c>
    </row>
    <row r="70" spans="2:16" ht="15.75" outlineLevel="2">
      <c r="B70" s="1" t="s">
        <v>6</v>
      </c>
      <c r="C70" s="3">
        <v>2005</v>
      </c>
      <c r="D70" s="1">
        <v>17743.439999999999</v>
      </c>
      <c r="G70" s="1">
        <v>17743.439999999999</v>
      </c>
      <c r="H70" s="1">
        <f t="shared" si="18"/>
        <v>0</v>
      </c>
      <c r="I70" s="1">
        <v>55</v>
      </c>
      <c r="J70" s="1">
        <v>41.958131000000002</v>
      </c>
      <c r="K70" s="2">
        <v>-0.75</v>
      </c>
      <c r="L70" s="1">
        <f t="shared" si="19"/>
        <v>7362.9697301159968</v>
      </c>
      <c r="M70" s="1">
        <f t="shared" si="20"/>
        <v>1.0686461159324077</v>
      </c>
      <c r="N70" s="1">
        <f t="shared" si="21"/>
        <v>7868.4090038163476</v>
      </c>
      <c r="P70" s="1">
        <f t="shared" si="22"/>
        <v>7868.4090038163476</v>
      </c>
    </row>
    <row r="71" spans="2:16" ht="15.75" outlineLevel="2">
      <c r="B71" s="1" t="s">
        <v>6</v>
      </c>
      <c r="C71" s="3">
        <v>2004</v>
      </c>
      <c r="D71" s="1">
        <v>47093.040000000001</v>
      </c>
      <c r="G71" s="1">
        <v>47093.040000000001</v>
      </c>
      <c r="H71" s="1">
        <f t="shared" si="18"/>
        <v>0</v>
      </c>
      <c r="I71" s="1">
        <v>55</v>
      </c>
      <c r="J71" s="1">
        <v>41.205634000000003</v>
      </c>
      <c r="K71" s="2">
        <v>-0.75</v>
      </c>
      <c r="L71" s="1">
        <f t="shared" si="19"/>
        <v>20669.683675856722</v>
      </c>
      <c r="M71" s="1">
        <f t="shared" si="20"/>
        <v>1.0686461159324077</v>
      </c>
      <c r="N71" s="1">
        <f t="shared" si="21"/>
        <v>22088.577177755778</v>
      </c>
      <c r="P71" s="1">
        <f t="shared" si="22"/>
        <v>22088.577177755778</v>
      </c>
    </row>
    <row r="72" spans="2:16" ht="15.75" outlineLevel="2">
      <c r="B72" s="1" t="s">
        <v>6</v>
      </c>
      <c r="C72" s="3">
        <v>1996</v>
      </c>
      <c r="D72" s="1">
        <v>16351017.869999999</v>
      </c>
      <c r="G72" s="1">
        <v>16351017.869999999</v>
      </c>
      <c r="H72" s="1">
        <f t="shared" si="18"/>
        <v>0</v>
      </c>
      <c r="I72" s="1">
        <v>55</v>
      </c>
      <c r="J72" s="1">
        <v>35.359518999999999</v>
      </c>
      <c r="K72" s="2">
        <v>-0.75</v>
      </c>
      <c r="L72" s="1">
        <f t="shared" si="19"/>
        <v>10218149.957476219</v>
      </c>
      <c r="M72" s="1">
        <f t="shared" si="20"/>
        <v>1.0686461159324077</v>
      </c>
      <c r="N72" s="1">
        <f t="shared" si="21"/>
        <v>10919586.264071858</v>
      </c>
      <c r="P72" s="1">
        <f t="shared" si="22"/>
        <v>10919586.264071858</v>
      </c>
    </row>
    <row r="73" spans="2:16" ht="15.75" outlineLevel="2">
      <c r="B73" s="1" t="s">
        <v>6</v>
      </c>
      <c r="C73" s="3">
        <v>1993</v>
      </c>
      <c r="D73" s="1">
        <v>61362.900000000001</v>
      </c>
      <c r="G73" s="1">
        <v>61362.900000000001</v>
      </c>
      <c r="H73" s="1">
        <f t="shared" si="18"/>
        <v>0</v>
      </c>
      <c r="I73" s="1">
        <v>55</v>
      </c>
      <c r="J73" s="1">
        <v>33.258116999999999</v>
      </c>
      <c r="K73" s="2">
        <v>-0.75</v>
      </c>
      <c r="L73" s="1">
        <f t="shared" si="19"/>
        <v>42450.067938113185</v>
      </c>
      <c r="M73" s="1">
        <f t="shared" si="20"/>
        <v>1.0686461159324077</v>
      </c>
      <c r="N73" s="1">
        <f t="shared" si="21"/>
        <v>45364.100223131485</v>
      </c>
      <c r="P73" s="1">
        <f t="shared" si="22"/>
        <v>45364.100223131485</v>
      </c>
    </row>
    <row r="74" spans="2:16" ht="15.75" outlineLevel="2">
      <c r="B74" s="1" t="s">
        <v>6</v>
      </c>
      <c r="C74" s="3">
        <v>1976</v>
      </c>
      <c r="D74" s="1">
        <v>2118.4400000000001</v>
      </c>
      <c r="G74" s="1">
        <v>2118.4400000000001</v>
      </c>
      <c r="H74" s="1">
        <f t="shared" si="18"/>
        <v>0</v>
      </c>
      <c r="I74" s="1">
        <v>55</v>
      </c>
      <c r="J74" s="1">
        <v>22.569030000000001</v>
      </c>
      <c r="K74" s="2">
        <v>-0.75</v>
      </c>
      <c r="L74" s="1">
        <f t="shared" si="19"/>
        <v>2186.00658458</v>
      </c>
      <c r="M74" s="1">
        <f t="shared" si="20"/>
        <v>1.0686461159324077</v>
      </c>
      <c r="N74" s="1">
        <f t="shared" si="21"/>
        <v>2336.0674460140854</v>
      </c>
      <c r="P74" s="1">
        <f t="shared" si="22"/>
        <v>2336.0674460140854</v>
      </c>
    </row>
    <row r="75" spans="1:16" ht="15.75" outlineLevel="1">
      <c r="A75" s="4" t="s">
        <v>23</v>
      </c>
      <c r="B75" s="1" t="s">
        <v>27</v>
      </c>
      <c r="D75" s="1">
        <f>SUBTOTAL(9,D54:D74)</f>
        <v>224223019.95999998</v>
      </c>
      <c r="F75" s="1">
        <f>SUBTOTAL(9,F54:F74)</f>
        <v>0</v>
      </c>
      <c r="G75" s="1">
        <f>SUBTOTAL(9,G54:G74)</f>
        <v>224223019.95999998</v>
      </c>
      <c r="L75" s="1">
        <f>SUBTOTAL(9,L54:L74)</f>
        <v>48041335.760163836</v>
      </c>
      <c r="M75" s="1" t="s">
        <v>27</v>
      </c>
      <c r="N75" s="5">
        <f>SUBTOTAL(9,N54:N74)</f>
        <v>51339186.864303768</v>
      </c>
      <c r="O75" s="1">
        <f>SUBTOTAL(9,O54:O74)</f>
        <v>0</v>
      </c>
      <c r="P75" s="1">
        <f>SUBTOTAL(9,P54:P74)</f>
        <v>51339186.864303768</v>
      </c>
    </row>
    <row r="76" spans="2:16" ht="15.75" outlineLevel="2">
      <c r="B76" s="1" t="s">
        <v>7</v>
      </c>
      <c r="C76" s="3">
        <v>2021</v>
      </c>
      <c r="D76" s="1">
        <v>0</v>
      </c>
      <c r="F76" s="1" t="s">
        <v>27</v>
      </c>
      <c r="G76" s="1">
        <v>0</v>
      </c>
      <c r="I76" s="1">
        <v>50</v>
      </c>
      <c r="J76" s="1">
        <v>49.5</v>
      </c>
      <c r="K76" s="2">
        <v>-0.40000000000000002</v>
      </c>
      <c r="L76" s="1">
        <f t="shared" si="23" ref="L76:L94">(1-K76)*(1-J76/I76)*D76</f>
        <v>0</v>
      </c>
      <c r="M76" s="1">
        <f t="shared" si="24" ref="M76:M94">$N$99</f>
        <v>1.0686461159324077</v>
      </c>
      <c r="N76" s="1">
        <f t="shared" si="25" ref="N76:N94">IF((D76*(1-K76)-L76*M76)&lt;0,D76*(1-K76),L76*M76)</f>
        <v>0</v>
      </c>
      <c r="P76" s="1">
        <v>0</v>
      </c>
    </row>
    <row r="77" spans="2:16" ht="15.75" outlineLevel="2">
      <c r="B77" s="1" t="s">
        <v>7</v>
      </c>
      <c r="C77" s="3">
        <v>2020</v>
      </c>
      <c r="D77" s="1">
        <v>1282215.8599999999</v>
      </c>
      <c r="G77" s="1">
        <f>+D77</f>
        <v>1282215.8599999999</v>
      </c>
      <c r="H77" s="1">
        <f t="shared" si="26" ref="H77:H94">+D77-E77-F77-G77</f>
        <v>0</v>
      </c>
      <c r="I77" s="1">
        <v>50</v>
      </c>
      <c r="J77" s="1">
        <v>48.5</v>
      </c>
      <c r="K77" s="2">
        <v>-0.40000000000000002</v>
      </c>
      <c r="L77" s="1">
        <f t="shared" si="23"/>
        <v>53853.06612000004</v>
      </c>
      <c r="M77" s="1">
        <f t="shared" si="24"/>
        <v>1.0686461159324077</v>
      </c>
      <c r="N77" s="1">
        <f t="shared" si="25"/>
        <v>57549.869940189179</v>
      </c>
      <c r="P77" s="1">
        <f t="shared" si="27" ref="P77:P94">+G77/D77*N77</f>
        <v>57549.869940189179</v>
      </c>
    </row>
    <row r="78" spans="2:16" ht="15.75" outlineLevel="2">
      <c r="B78" s="1" t="s">
        <v>7</v>
      </c>
      <c r="C78" s="3">
        <v>2019</v>
      </c>
      <c r="D78" s="1">
        <v>1288931.98</v>
      </c>
      <c r="G78" s="1">
        <v>1288931.98</v>
      </c>
      <c r="H78" s="1">
        <f t="shared" si="26"/>
        <v>0</v>
      </c>
      <c r="I78" s="1">
        <v>50</v>
      </c>
      <c r="J78" s="1">
        <v>47.5</v>
      </c>
      <c r="K78" s="2">
        <v>-0.40000000000000002</v>
      </c>
      <c r="L78" s="1">
        <f t="shared" si="23"/>
        <v>90225.238600000084</v>
      </c>
      <c r="M78" s="1">
        <f t="shared" si="24"/>
        <v>1.0686461159324077</v>
      </c>
      <c r="N78" s="1">
        <f t="shared" si="25"/>
        <v>96418.850788964832</v>
      </c>
      <c r="P78" s="1">
        <f t="shared" si="27"/>
        <v>96418.850788964832</v>
      </c>
    </row>
    <row r="79" spans="2:16" ht="15.75" outlineLevel="2">
      <c r="B79" s="1" t="s">
        <v>7</v>
      </c>
      <c r="C79" s="3">
        <v>2018</v>
      </c>
      <c r="D79" s="1">
        <v>14897213</v>
      </c>
      <c r="G79" s="1">
        <v>14897213</v>
      </c>
      <c r="H79" s="1">
        <f t="shared" si="26"/>
        <v>0</v>
      </c>
      <c r="I79" s="1">
        <v>50</v>
      </c>
      <c r="J79" s="1">
        <v>46.5</v>
      </c>
      <c r="K79" s="2">
        <v>-0.40000000000000002</v>
      </c>
      <c r="L79" s="1">
        <f t="shared" si="23"/>
        <v>1459926.8739999989</v>
      </c>
      <c r="M79" s="1">
        <f t="shared" si="24"/>
        <v>1.0686461159324077</v>
      </c>
      <c r="N79" s="1">
        <f t="shared" si="25"/>
        <v>1560145.1834454404</v>
      </c>
      <c r="P79" s="1">
        <f t="shared" si="27"/>
        <v>1560145.1834454404</v>
      </c>
    </row>
    <row r="80" spans="2:16" ht="15.75" outlineLevel="2">
      <c r="B80" s="1" t="s">
        <v>7</v>
      </c>
      <c r="C80" s="3">
        <v>2017</v>
      </c>
      <c r="D80" s="1">
        <v>36552600.890000001</v>
      </c>
      <c r="G80" s="1">
        <v>36552600.890000001</v>
      </c>
      <c r="H80" s="1">
        <f t="shared" si="26"/>
        <v>0</v>
      </c>
      <c r="I80" s="1">
        <v>50</v>
      </c>
      <c r="J80" s="1">
        <v>45.5</v>
      </c>
      <c r="K80" s="2">
        <v>-0.40000000000000002</v>
      </c>
      <c r="L80" s="1">
        <f t="shared" si="23"/>
        <v>4605627.7121399976</v>
      </c>
      <c r="M80" s="1">
        <f t="shared" si="24"/>
        <v>1.0686461159324077</v>
      </c>
      <c r="N80" s="1">
        <f t="shared" si="25"/>
        <v>4921786.1660090694</v>
      </c>
      <c r="P80" s="1">
        <f t="shared" si="27"/>
        <v>4921786.1660090694</v>
      </c>
    </row>
    <row r="81" spans="2:16" ht="15.75" outlineLevel="2">
      <c r="B81" s="1" t="s">
        <v>7</v>
      </c>
      <c r="C81" s="3">
        <v>2016</v>
      </c>
      <c r="D81" s="1">
        <v>46442127.689999998</v>
      </c>
      <c r="G81" s="1">
        <v>46442127.689999998</v>
      </c>
      <c r="H81" s="1">
        <f t="shared" si="26"/>
        <v>0</v>
      </c>
      <c r="I81" s="1">
        <v>50</v>
      </c>
      <c r="J81" s="1">
        <v>44.5</v>
      </c>
      <c r="K81" s="2">
        <v>-0.40000000000000002</v>
      </c>
      <c r="L81" s="1">
        <f t="shared" si="23"/>
        <v>7152087.6642599981</v>
      </c>
      <c r="M81" s="1">
        <f t="shared" si="24"/>
        <v>1.0686461159324077</v>
      </c>
      <c r="N81" s="1">
        <f t="shared" si="25"/>
        <v>7643050.703219533</v>
      </c>
      <c r="P81" s="1">
        <f t="shared" si="27"/>
        <v>7643050.703219533</v>
      </c>
    </row>
    <row r="82" spans="2:16" ht="15.75" outlineLevel="2">
      <c r="B82" s="1" t="s">
        <v>7</v>
      </c>
      <c r="C82" s="3">
        <v>2015</v>
      </c>
      <c r="D82" s="1">
        <v>5336183.9299999997</v>
      </c>
      <c r="G82" s="1">
        <v>5336183.9299999997</v>
      </c>
      <c r="H82" s="1">
        <f t="shared" si="26"/>
        <v>0</v>
      </c>
      <c r="I82" s="1">
        <v>50</v>
      </c>
      <c r="J82" s="1">
        <v>43.5</v>
      </c>
      <c r="K82" s="2">
        <v>-0.40000000000000002</v>
      </c>
      <c r="L82" s="1">
        <f t="shared" si="23"/>
        <v>971185.47525999998</v>
      </c>
      <c r="M82" s="1">
        <f t="shared" si="24"/>
        <v>1.0686461159324077</v>
      </c>
      <c r="N82" s="1">
        <f t="shared" si="25"/>
        <v>1037853.5859865684</v>
      </c>
      <c r="P82" s="1">
        <f t="shared" si="27"/>
        <v>1037853.5859865684</v>
      </c>
    </row>
    <row r="83" spans="2:16" ht="15.75" outlineLevel="2">
      <c r="B83" s="1" t="s">
        <v>7</v>
      </c>
      <c r="C83" s="3">
        <v>2014</v>
      </c>
      <c r="D83" s="1">
        <v>50722666.899999999</v>
      </c>
      <c r="G83" s="1">
        <v>50722666.899999999</v>
      </c>
      <c r="H83" s="1">
        <f t="shared" si="26"/>
        <v>0</v>
      </c>
      <c r="I83" s="1">
        <v>50</v>
      </c>
      <c r="J83" s="1">
        <v>42.5</v>
      </c>
      <c r="K83" s="2">
        <v>-0.40000000000000002</v>
      </c>
      <c r="L83" s="1">
        <f t="shared" si="23"/>
        <v>10651760.049000001</v>
      </c>
      <c r="M83" s="1">
        <f t="shared" si="24"/>
        <v>1.0686461159324077</v>
      </c>
      <c r="N83" s="1">
        <f t="shared" si="25"/>
        <v>11382962.004207842</v>
      </c>
      <c r="P83" s="1">
        <f t="shared" si="27"/>
        <v>11382962.004207842</v>
      </c>
    </row>
    <row r="84" spans="2:16" ht="15.75" outlineLevel="2">
      <c r="B84" s="1" t="s">
        <v>7</v>
      </c>
      <c r="C84" s="3">
        <v>2013</v>
      </c>
      <c r="D84" s="1">
        <v>269124610.63999999</v>
      </c>
      <c r="G84" s="1">
        <v>269124610.63999999</v>
      </c>
      <c r="H84" s="1">
        <f t="shared" si="26"/>
        <v>0</v>
      </c>
      <c r="I84" s="1">
        <v>50</v>
      </c>
      <c r="J84" s="1">
        <v>41.5</v>
      </c>
      <c r="K84" s="2">
        <v>-0.40000000000000002</v>
      </c>
      <c r="L84" s="1">
        <f t="shared" si="23"/>
        <v>64051657.332320012</v>
      </c>
      <c r="M84" s="1">
        <f t="shared" si="24"/>
        <v>1.0686461159324077</v>
      </c>
      <c r="N84" s="1">
        <f t="shared" si="25"/>
        <v>68448554.827217296</v>
      </c>
      <c r="P84" s="1">
        <f t="shared" si="27"/>
        <v>68448554.827217296</v>
      </c>
    </row>
    <row r="85" spans="2:16" ht="15.75" outlineLevel="2">
      <c r="B85" s="1" t="s">
        <v>7</v>
      </c>
      <c r="C85" s="3">
        <v>2012</v>
      </c>
      <c r="D85" s="1">
        <v>7056972.9500000002</v>
      </c>
      <c r="G85" s="1">
        <v>7056972.9500000002</v>
      </c>
      <c r="H85" s="1">
        <f t="shared" si="26"/>
        <v>0</v>
      </c>
      <c r="I85" s="1">
        <v>50</v>
      </c>
      <c r="J85" s="1">
        <v>40.5</v>
      </c>
      <c r="K85" s="2">
        <v>-0.40000000000000002</v>
      </c>
      <c r="L85" s="1">
        <f t="shared" si="23"/>
        <v>1877154.8046999993</v>
      </c>
      <c r="M85" s="1">
        <f t="shared" si="24"/>
        <v>1.0686461159324077</v>
      </c>
      <c r="N85" s="1">
        <f t="shared" si="25"/>
        <v>2006014.1910465115</v>
      </c>
      <c r="P85" s="1">
        <f t="shared" si="27"/>
        <v>2006014.1910465115</v>
      </c>
    </row>
    <row r="86" spans="2:16" ht="15.75" outlineLevel="2">
      <c r="B86" s="1" t="s">
        <v>7</v>
      </c>
      <c r="C86" s="3">
        <v>2011</v>
      </c>
      <c r="D86" s="1">
        <v>21280.220000000001</v>
      </c>
      <c r="G86" s="1">
        <v>21280.220000000001</v>
      </c>
      <c r="H86" s="1">
        <f t="shared" si="26"/>
        <v>0</v>
      </c>
      <c r="I86" s="1">
        <v>50</v>
      </c>
      <c r="J86" s="1">
        <v>39.5</v>
      </c>
      <c r="K86" s="2">
        <v>-0.40000000000000002</v>
      </c>
      <c r="L86" s="1">
        <f t="shared" si="23"/>
        <v>6256.3846799999992</v>
      </c>
      <c r="M86" s="1">
        <f t="shared" si="24"/>
        <v>1.0686461159324077</v>
      </c>
      <c r="N86" s="1">
        <f t="shared" si="25"/>
        <v>6685.8611880610188</v>
      </c>
      <c r="P86" s="1">
        <f t="shared" si="27"/>
        <v>6685.8611880610188</v>
      </c>
    </row>
    <row r="87" spans="2:16" ht="15.75" outlineLevel="2">
      <c r="B87" s="1" t="s">
        <v>7</v>
      </c>
      <c r="C87" s="3">
        <v>2010</v>
      </c>
      <c r="D87" s="1">
        <v>23561.939999999999</v>
      </c>
      <c r="G87" s="1">
        <v>23561.939999999999</v>
      </c>
      <c r="H87" s="1">
        <f t="shared" si="26"/>
        <v>0</v>
      </c>
      <c r="I87" s="1">
        <v>50</v>
      </c>
      <c r="J87" s="1">
        <v>38.5</v>
      </c>
      <c r="K87" s="2">
        <v>-0.40000000000000002</v>
      </c>
      <c r="L87" s="1">
        <f t="shared" si="23"/>
        <v>7586.9446799999987</v>
      </c>
      <c r="M87" s="1">
        <f t="shared" si="24"/>
        <v>1.0686461159324077</v>
      </c>
      <c r="N87" s="1">
        <f t="shared" si="25"/>
        <v>8107.7589640760425</v>
      </c>
      <c r="P87" s="1">
        <f t="shared" si="27"/>
        <v>8107.7589640760425</v>
      </c>
    </row>
    <row r="88" spans="2:16" ht="15.75" outlineLevel="2">
      <c r="B88" s="1" t="s">
        <v>7</v>
      </c>
      <c r="C88" s="3">
        <v>2009</v>
      </c>
      <c r="D88" s="1">
        <v>33874.580000000002</v>
      </c>
      <c r="G88" s="1">
        <v>33874.580000000002</v>
      </c>
      <c r="H88" s="1">
        <f t="shared" si="26"/>
        <v>0</v>
      </c>
      <c r="I88" s="1">
        <v>50</v>
      </c>
      <c r="J88" s="1">
        <v>37.5</v>
      </c>
      <c r="K88" s="2">
        <v>-0.40000000000000002</v>
      </c>
      <c r="L88" s="1">
        <f t="shared" si="23"/>
        <v>11856.102999999999</v>
      </c>
      <c r="M88" s="1">
        <f t="shared" si="24"/>
        <v>1.0686461159324077</v>
      </c>
      <c r="N88" s="1">
        <f t="shared" si="25"/>
        <v>12669.978421044565</v>
      </c>
      <c r="P88" s="1">
        <f t="shared" si="27"/>
        <v>12669.978421044565</v>
      </c>
    </row>
    <row r="89" spans="2:16" ht="15.75" outlineLevel="2">
      <c r="B89" s="1" t="s">
        <v>7</v>
      </c>
      <c r="C89" s="3">
        <v>2008</v>
      </c>
      <c r="D89" s="1">
        <v>63238.93</v>
      </c>
      <c r="G89" s="1">
        <v>63238.93</v>
      </c>
      <c r="H89" s="1">
        <f t="shared" si="26"/>
        <v>0</v>
      </c>
      <c r="I89" s="1">
        <v>50</v>
      </c>
      <c r="J89" s="1">
        <v>36.5</v>
      </c>
      <c r="K89" s="2">
        <v>-0.40000000000000002</v>
      </c>
      <c r="L89" s="1">
        <f t="shared" si="23"/>
        <v>23904.31554</v>
      </c>
      <c r="M89" s="1">
        <f t="shared" si="24"/>
        <v>1.0686461159324077</v>
      </c>
      <c r="N89" s="1">
        <f t="shared" si="25"/>
        <v>25545.253955843695</v>
      </c>
      <c r="P89" s="1">
        <f t="shared" si="27"/>
        <v>25545.253955843695</v>
      </c>
    </row>
    <row r="90" spans="2:16" ht="15.75" outlineLevel="2">
      <c r="B90" s="1" t="s">
        <v>7</v>
      </c>
      <c r="C90" s="3">
        <v>2006</v>
      </c>
      <c r="D90" s="1">
        <v>61595.389999999999</v>
      </c>
      <c r="G90" s="1">
        <v>61595.389999999999</v>
      </c>
      <c r="H90" s="1">
        <f t="shared" si="26"/>
        <v>0</v>
      </c>
      <c r="I90" s="1">
        <v>50</v>
      </c>
      <c r="J90" s="1">
        <v>34.5</v>
      </c>
      <c r="K90" s="2">
        <v>-0.40000000000000002</v>
      </c>
      <c r="L90" s="1">
        <f t="shared" si="23"/>
        <v>26732.399260000002</v>
      </c>
      <c r="M90" s="1">
        <f t="shared" si="24"/>
        <v>1.0686461159324077</v>
      </c>
      <c r="N90" s="1">
        <f t="shared" si="25"/>
        <v>28567.474638753371</v>
      </c>
      <c r="P90" s="1">
        <f t="shared" si="27"/>
        <v>28567.474638753371</v>
      </c>
    </row>
    <row r="91" spans="2:16" ht="15.75" outlineLevel="2">
      <c r="B91" s="1" t="s">
        <v>7</v>
      </c>
      <c r="C91" s="3">
        <v>2005</v>
      </c>
      <c r="D91" s="1">
        <v>12848.66</v>
      </c>
      <c r="G91" s="1">
        <v>12848.66</v>
      </c>
      <c r="H91" s="1">
        <f t="shared" si="26"/>
        <v>0</v>
      </c>
      <c r="I91" s="1">
        <v>50</v>
      </c>
      <c r="J91" s="1">
        <v>33.5</v>
      </c>
      <c r="K91" s="2">
        <v>-0.40000000000000002</v>
      </c>
      <c r="L91" s="1">
        <f t="shared" si="23"/>
        <v>5936.0809199999985</v>
      </c>
      <c r="M91" s="1">
        <f t="shared" si="24"/>
        <v>1.0686461159324077</v>
      </c>
      <c r="N91" s="1">
        <f t="shared" si="25"/>
        <v>6343.5698190184712</v>
      </c>
      <c r="P91" s="1">
        <f t="shared" si="27"/>
        <v>6343.5698190184712</v>
      </c>
    </row>
    <row r="92" spans="2:16" ht="15.75" outlineLevel="2">
      <c r="B92" s="1" t="s">
        <v>7</v>
      </c>
      <c r="C92" s="3">
        <v>2004</v>
      </c>
      <c r="D92" s="1">
        <v>66845.710000000006</v>
      </c>
      <c r="G92" s="1">
        <v>66845.710000000006</v>
      </c>
      <c r="H92" s="1">
        <f t="shared" si="26"/>
        <v>0</v>
      </c>
      <c r="I92" s="1">
        <v>50</v>
      </c>
      <c r="J92" s="1">
        <v>32.5</v>
      </c>
      <c r="K92" s="2">
        <v>-0.40000000000000002</v>
      </c>
      <c r="L92" s="1">
        <f t="shared" si="23"/>
        <v>32754.3979</v>
      </c>
      <c r="M92" s="1">
        <f t="shared" si="24"/>
        <v>1.0686461159324077</v>
      </c>
      <c r="N92" s="1">
        <f t="shared" si="25"/>
        <v>35002.86009553961</v>
      </c>
      <c r="P92" s="1">
        <f t="shared" si="27"/>
        <v>35002.86009553961</v>
      </c>
    </row>
    <row r="93" spans="2:16" ht="15.75" outlineLevel="2">
      <c r="B93" s="1" t="s">
        <v>7</v>
      </c>
      <c r="C93" s="3">
        <v>1996</v>
      </c>
      <c r="D93" s="1">
        <v>14282018.289999999</v>
      </c>
      <c r="G93" s="1">
        <v>14282018.289999999</v>
      </c>
      <c r="H93" s="1">
        <f t="shared" si="26"/>
        <v>0</v>
      </c>
      <c r="I93" s="1">
        <v>50</v>
      </c>
      <c r="J93" s="1">
        <v>24.500060999999999</v>
      </c>
      <c r="K93" s="2">
        <v>-0.40000000000000002</v>
      </c>
      <c r="L93" s="1">
        <f t="shared" si="23"/>
        <v>10197336.665372761</v>
      </c>
      <c r="M93" s="1">
        <f t="shared" si="24"/>
        <v>1.0686461159324077</v>
      </c>
      <c r="N93" s="1">
        <f t="shared" si="25"/>
        <v>10897344.220305732</v>
      </c>
      <c r="P93" s="1">
        <f t="shared" si="27"/>
        <v>10897344.220305732</v>
      </c>
    </row>
    <row r="94" spans="2:16" ht="15.75" outlineLevel="2">
      <c r="B94" s="1" t="s">
        <v>7</v>
      </c>
      <c r="C94" s="3">
        <v>1993</v>
      </c>
      <c r="D94" s="1">
        <v>138808.85000000001</v>
      </c>
      <c r="G94" s="1">
        <v>138808.85000000001</v>
      </c>
      <c r="H94" s="1">
        <f t="shared" si="26"/>
        <v>0</v>
      </c>
      <c r="I94" s="1">
        <v>50</v>
      </c>
      <c r="J94" s="1">
        <v>21.501124000000001</v>
      </c>
      <c r="K94" s="2">
        <v>-0.40000000000000002</v>
      </c>
      <c r="L94" s="1">
        <f t="shared" si="23"/>
        <v>110765.09370787279</v>
      </c>
      <c r="M94" s="1">
        <f t="shared" si="24"/>
        <v>1.0686461159324077</v>
      </c>
      <c r="N94" s="1">
        <f t="shared" si="25"/>
        <v>118368.68717180743</v>
      </c>
      <c r="P94" s="1">
        <f t="shared" si="27"/>
        <v>118368.68717180743</v>
      </c>
    </row>
    <row r="95" spans="1:16" ht="15.75" outlineLevel="1">
      <c r="A95" s="4" t="s">
        <v>24</v>
      </c>
      <c r="B95" s="1" t="s">
        <v>27</v>
      </c>
      <c r="D95" s="1">
        <f>SUBTOTAL(9,D76:D94)</f>
        <v>447407596.41000003</v>
      </c>
      <c r="F95" s="1">
        <f>SUBTOTAL(9,F76:F94)</f>
        <v>0</v>
      </c>
      <c r="G95" s="1">
        <f>SUBTOTAL(9,G76:G94)</f>
        <v>447407596.41000003</v>
      </c>
      <c r="L95" s="1">
        <f>SUBTOTAL(9,L76:L94)</f>
        <v>101336606.60146065</v>
      </c>
      <c r="N95" s="1">
        <f>SUBTOTAL(9,N76:N94)</f>
        <v>108292971.04642129</v>
      </c>
      <c r="O95" s="1">
        <f>SUBTOTAL(9,O76:O94)</f>
        <v>0</v>
      </c>
      <c r="P95" s="1">
        <f>SUBTOTAL(9,P76:P94)</f>
        <v>108292971.04642129</v>
      </c>
    </row>
    <row r="96" spans="1:16" ht="15.75" outlineLevel="1">
      <c r="A96" s="4" t="s">
        <v>25</v>
      </c>
      <c r="B96" s="1" t="s">
        <v>27</v>
      </c>
      <c r="D96" s="1">
        <f>SUBTOTAL(9,D3:D95)</f>
        <v>1704336719.6800005</v>
      </c>
      <c r="F96" s="1">
        <f>SUBTOTAL(9,F3:F95)</f>
        <v>51856607.519999996</v>
      </c>
      <c r="G96" s="1">
        <f>SUBTOTAL(9,G3:G95)</f>
        <v>1652480112.1600006</v>
      </c>
      <c r="L96" s="1">
        <f>SUBTOTAL(9,L3:L95)</f>
        <v>298000063.04704398</v>
      </c>
      <c r="N96" s="1">
        <f>SUBTOTAL(9,N3:N95)</f>
        <v>318456609.9228363</v>
      </c>
      <c r="O96" s="1">
        <f>SUBTOTAL(9,O3:O95)</f>
        <v>9170097.6017007641</v>
      </c>
      <c r="P96" s="1">
        <f>SUBTOTAL(9,P3:P95)</f>
        <v>309286512.32113558</v>
      </c>
    </row>
    <row r="97" spans="13:14" ht="15.75">
      <c r="M97" s="1" t="s">
        <v>32</v>
      </c>
      <c r="N97" s="1">
        <v>-318456609.92283618</v>
      </c>
    </row>
    <row r="98" spans="13:14" ht="15.75">
      <c r="M98" s="1" t="s">
        <v>26</v>
      </c>
      <c r="N98" s="1">
        <f>+N96+N97</f>
        <v>0</v>
      </c>
    </row>
    <row r="99" spans="13:14" ht="15.75">
      <c r="M99" s="1" t="s">
        <v>33</v>
      </c>
      <c r="N99" s="1">
        <v>1.0686461159324077</v>
      </c>
    </row>
  </sheetData>
  <mergeCells count="2">
    <mergeCell ref="F1:G1"/>
    <mergeCell ref="O1:P1"/>
  </mergeCells>
  <pageMargins left="0.75" right="0.75" top="3" bottom="1" header="1.5" footer="0.5"/>
  <pageSetup fitToHeight="0" horizontalDpi="1200" verticalDpi="1200" orientation="landscape" scale="49" r:id="rId1"/>
  <headerFooter>
    <oddHeader>&amp;C
&amp;"Arial,Bold"
2022 RATE CASE
ONCOR ELECTRIC DELIVERY COMPANY LLC
WP II-B-5_02 NTUSU TRANSMISSION ALLOCATED DEPRECIATION
FOR THE TEST YEAR ENDED DECEMBER 31, 2021
SPONSOR: D. A. WATSON&amp;R&amp;"Arial,Bold"WP/II-B-5/02 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