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6085" windowHeight="11070" activeTab="0"/>
  </bookViews>
  <sheets>
    <sheet name="WP II-B-5_01" sheetId="1" r:id="rId2"/>
  </sheets>
  <definedNames>
    <definedName name="_xlnm.Print_Area" localSheetId="0">'WP II-B-5_01'!$A$5:$X$144</definedName>
    <definedName name="_xlnm.Print_Titles" localSheetId="0">'WP II-B-5_01'!$A:$G,'WP II-B-5_01'!$1:$4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0" i="1" l="1"/>
</calcChain>
</file>

<file path=xl/sharedStrings.xml><?xml version="1.0" encoding="utf-8"?>
<sst xmlns="http://schemas.openxmlformats.org/spreadsheetml/2006/main" count="799" uniqueCount="50">
  <si>
    <t>Business Unit</t>
  </si>
  <si>
    <t>GL Account</t>
  </si>
  <si>
    <t>Function</t>
  </si>
  <si>
    <t>Plant Account</t>
  </si>
  <si>
    <t>Vintage</t>
  </si>
  <si>
    <t>Amount</t>
  </si>
  <si>
    <t>Sub-Group</t>
  </si>
  <si>
    <t>ESD</t>
  </si>
  <si>
    <t>1010900</t>
  </si>
  <si>
    <t>I</t>
  </si>
  <si>
    <t>303</t>
  </si>
  <si>
    <t>2007</t>
  </si>
  <si>
    <t>DIST</t>
  </si>
  <si>
    <t>INT - 15YR</t>
  </si>
  <si>
    <t>2008</t>
  </si>
  <si>
    <t>2009</t>
  </si>
  <si>
    <t>2010</t>
  </si>
  <si>
    <t>2011</t>
  </si>
  <si>
    <t>2012</t>
  </si>
  <si>
    <t>2013</t>
  </si>
  <si>
    <t>INT - 8YR</t>
  </si>
  <si>
    <t>2014</t>
  </si>
  <si>
    <t>INT - 5YR</t>
  </si>
  <si>
    <t>2015</t>
  </si>
  <si>
    <t>2016</t>
  </si>
  <si>
    <t>2017</t>
  </si>
  <si>
    <t>2018</t>
  </si>
  <si>
    <t>2019</t>
  </si>
  <si>
    <t>2020</t>
  </si>
  <si>
    <t>INT - 3YR</t>
  </si>
  <si>
    <t>2021</t>
  </si>
  <si>
    <t>TRN</t>
  </si>
  <si>
    <t>TRAN</t>
  </si>
  <si>
    <t>MET</t>
  </si>
  <si>
    <t>1010903</t>
  </si>
  <si>
    <t>IMS</t>
  </si>
  <si>
    <t>INT - 7YR</t>
  </si>
  <si>
    <t>TDCS</t>
  </si>
  <si>
    <t>ASL</t>
  </si>
  <si>
    <t>RL</t>
  </si>
  <si>
    <t>Proration Factor</t>
  </si>
  <si>
    <t>Allocated Reserve</t>
  </si>
  <si>
    <t>Age</t>
  </si>
  <si>
    <t>Theo Res</t>
  </si>
  <si>
    <t>ESD Total</t>
  </si>
  <si>
    <t>TRN Total</t>
  </si>
  <si>
    <t xml:space="preserve"> </t>
  </si>
  <si>
    <t>Total Intanbile</t>
  </si>
  <si>
    <t xml:space="preserve">Plant $ Allocation by Function </t>
  </si>
  <si>
    <t>Accumulated Depreciation Allocation by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</si>
</sst>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 Unicode MS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44">
    <xf numFmtId="0" fontId="0" fillId="0" borderId="0" xfId="0"/>
    <xf numFmtId="39" fontId="1" fillId="0" borderId="0" xfId="18" applyNumberFormat="1" applyFont="1" applyFill="1"/>
    <xf numFmtId="39" fontId="3" fillId="0" borderId="0" xfId="18" applyNumberFormat="1" applyFont="1" applyFill="1"/>
    <xf numFmtId="0" fontId="0" fillId="0" borderId="0" xfId="0" applyFill="1"/>
    <xf numFmtId="39" fontId="0" fillId="0" borderId="0" xfId="18" applyNumberFormat="1" applyFont="1" applyFill="1"/>
    <xf numFmtId="43" fontId="0" fillId="0" borderId="0" xfId="18" applyFont="1" applyFill="1"/>
    <xf numFmtId="0" fontId="1" fillId="0" borderId="0" xfId="0" applyFont="1" applyFill="1"/>
    <xf numFmtId="43" fontId="1" fillId="0" borderId="0" xfId="18" applyFont="1" applyFill="1"/>
    <xf numFmtId="43" fontId="1" fillId="0" borderId="1" xfId="18" applyFont="1" applyFill="1" applyBorder="1"/>
    <xf numFmtId="43" fontId="1" fillId="0" borderId="2" xfId="18" applyFont="1" applyFill="1" applyBorder="1"/>
    <xf numFmtId="43" fontId="1" fillId="0" borderId="3" xfId="18" applyFont="1" applyFill="1" applyBorder="1"/>
    <xf numFmtId="43" fontId="1" fillId="0" borderId="4" xfId="18" applyFont="1" applyFill="1" applyBorder="1"/>
    <xf numFmtId="43" fontId="1" fillId="0" borderId="0" xfId="18" applyFont="1" applyFill="1" applyBorder="1"/>
    <xf numFmtId="43" fontId="1" fillId="0" borderId="5" xfId="18" applyFont="1" applyFill="1" applyBorder="1"/>
    <xf numFmtId="0" fontId="3" fillId="0" borderId="0" xfId="0" applyFont="1" applyFill="1"/>
    <xf numFmtId="43" fontId="3" fillId="0" borderId="0" xfId="18" applyFont="1" applyFill="1"/>
    <xf numFmtId="43" fontId="3" fillId="0" borderId="4" xfId="18" applyFont="1" applyFill="1" applyBorder="1"/>
    <xf numFmtId="43" fontId="3" fillId="0" borderId="0" xfId="18" applyFont="1" applyFill="1" applyBorder="1"/>
    <xf numFmtId="43" fontId="3" fillId="0" borderId="5" xfId="18" applyFont="1" applyFill="1" applyBorder="1"/>
    <xf numFmtId="39" fontId="1" fillId="0" borderId="0" xfId="0" applyNumberFormat="1" applyFont="1" applyFill="1"/>
    <xf numFmtId="39" fontId="3" fillId="0" borderId="0" xfId="0" applyNumberFormat="1" applyFont="1" applyFill="1"/>
    <xf numFmtId="0" fontId="1" fillId="0" borderId="0" xfId="0" applyFont="1" applyFill="1" applyAlignment="1">
      <alignment horizontal="left"/>
    </xf>
    <xf numFmtId="40" fontId="4" fillId="0" borderId="0" xfId="0" applyNumberFormat="1" applyFont="1" applyFill="1"/>
    <xf numFmtId="39" fontId="3" fillId="0" borderId="4" xfId="0" applyNumberFormat="1" applyFont="1" applyFill="1" applyBorder="1"/>
    <xf numFmtId="39" fontId="3" fillId="0" borderId="0" xfId="0" applyNumberFormat="1" applyFont="1" applyFill="1" applyBorder="1"/>
    <xf numFmtId="39" fontId="3" fillId="0" borderId="5" xfId="0" applyNumberFormat="1" applyFont="1" applyFill="1" applyBorder="1"/>
    <xf numFmtId="43" fontId="1" fillId="0" borderId="6" xfId="18" applyFont="1" applyFill="1" applyBorder="1"/>
    <xf numFmtId="43" fontId="1" fillId="0" borderId="7" xfId="18" applyFont="1" applyFill="1" applyBorder="1"/>
    <xf numFmtId="43" fontId="1" fillId="0" borderId="8" xfId="18" applyFont="1" applyFill="1" applyBorder="1"/>
    <xf numFmtId="39" fontId="0" fillId="0" borderId="0" xfId="0" applyNumberFormat="1" applyFill="1"/>
    <xf numFmtId="4" fontId="0" fillId="0" borderId="0" xfId="0" applyNumberFormat="1" applyFill="1"/>
    <xf numFmtId="0" fontId="3" fillId="0" borderId="0" xfId="0" applyFont="1" applyFill="1" applyAlignment="1">
      <alignment horizontal="center" wrapText="1"/>
    </xf>
    <xf numFmtId="39" fontId="3" fillId="0" borderId="0" xfId="18" applyNumberFormat="1" applyFont="1" applyFill="1" applyAlignment="1">
      <alignment horizontal="center" wrapText="1"/>
    </xf>
    <xf numFmtId="43" fontId="3" fillId="0" borderId="0" xfId="18" applyFont="1" applyFill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43" fontId="5" fillId="0" borderId="0" xfId="0" applyNumberFormat="1" applyFont="1" applyFill="1" applyAlignment="1">
      <alignment horizontal="center" wrapText="1"/>
    </xf>
    <xf numFmtId="43" fontId="0" fillId="0" borderId="0" xfId="0" applyNumberFormat="1" applyFill="1"/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6" fillId="0" borderId="0" xfId="0" applyFont="1" applyFill="1"/>
    <xf numFmtId="0" fontId="7" fillId="0" borderId="0" xfId="0" applyFont="1" applyFill="1" applyAlignment="1">
      <alignment horizontal="center" wrapText="1"/>
    </xf>
    <xf numFmtId="43" fontId="8" fillId="0" borderId="0" xfId="18" applyFont="1" applyFill="1"/>
    <xf numFmtId="4" fontId="6" fillId="0" borderId="0" xfId="0" applyNumberFormat="1" applyFont="1" applyFill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3:AA166"/>
  <sheetViews>
    <sheetView tabSelected="1" workbookViewId="0" topLeftCell="K1">
      <pane ySplit="4" topLeftCell="A5" activePane="bottomLeft" state="frozen"/>
      <selection pane="topLeft" activeCell="K1" sqref="K1"/>
      <selection pane="bottomLeft" activeCell="S15" sqref="S15"/>
    </sheetView>
  </sheetViews>
  <sheetFormatPr defaultColWidth="9.00428571428571" defaultRowHeight="15" outlineLevelRow="2"/>
  <cols>
    <col min="1" max="4" width="9.14285714285714" style="3" customWidth="1"/>
    <col min="5" max="5" width="7.42857142857143" style="3" bestFit="1" customWidth="1"/>
    <col min="6" max="6" width="9.42857142857143" style="3" bestFit="1" customWidth="1"/>
    <col min="7" max="7" width="19" style="4" bestFit="1" customWidth="1"/>
    <col min="8" max="8" width="9.57142857142857" style="4" customWidth="1"/>
    <col min="9" max="9" width="10.7142857142857" style="3" bestFit="1" customWidth="1"/>
    <col min="10" max="10" width="8" style="4" bestFit="1" customWidth="1"/>
    <col min="11" max="11" width="19.1428571428571" style="4" bestFit="1" customWidth="1"/>
    <col min="12" max="12" width="19.7142857142857" style="4" bestFit="1" customWidth="1"/>
    <col min="13" max="13" width="15.7142857142857" style="4" bestFit="1" customWidth="1"/>
    <col min="14" max="14" width="20.1428571428571" style="5" bestFit="1" customWidth="1"/>
    <col min="15" max="15" width="9.85714285714286" style="5" customWidth="1"/>
    <col min="16" max="16" width="19.7142857142857" style="3" bestFit="1" customWidth="1"/>
    <col min="17" max="17" width="20.5714285714286" style="3" bestFit="1" customWidth="1"/>
    <col min="18" max="18" width="19.8571428571429" style="3" bestFit="1" customWidth="1"/>
    <col min="19" max="19" width="21.8571428571429" style="3" bestFit="1" customWidth="1"/>
    <col min="20" max="20" width="6.85714285714286" style="40" customWidth="1"/>
    <col min="21" max="21" width="17.1428571428571" style="3" bestFit="1" customWidth="1"/>
    <col min="22" max="23" width="16.1428571428571" style="3" bestFit="1" customWidth="1"/>
    <col min="24" max="24" width="16.2857142857143" style="3" bestFit="1" customWidth="1"/>
    <col min="25" max="25" width="18.2857142857143" style="3" customWidth="1"/>
    <col min="26" max="16384" width="9" style="3"/>
  </cols>
  <sheetData>
    <row r="3" spans="16:24" ht="15.75" customHeight="1">
      <c r="P3" s="37" t="s">
        <v>48</v>
      </c>
      <c r="Q3" s="38"/>
      <c r="R3" s="38"/>
      <c r="S3" s="39"/>
      <c r="U3" s="37" t="s">
        <v>49</v>
      </c>
      <c r="V3" s="38"/>
      <c r="W3" s="38"/>
      <c r="X3" s="39"/>
    </row>
    <row r="4" spans="1:25" ht="27" thickBot="1">
      <c r="A4" s="31" t="s">
        <v>0</v>
      </c>
      <c r="B4" s="31" t="s">
        <v>1</v>
      </c>
      <c r="C4" s="31" t="s">
        <v>2</v>
      </c>
      <c r="D4" s="31" t="s">
        <v>3</v>
      </c>
      <c r="E4" s="31" t="s">
        <v>4</v>
      </c>
      <c r="F4" s="31" t="s">
        <v>42</v>
      </c>
      <c r="G4" s="32" t="s">
        <v>5</v>
      </c>
      <c r="H4" s="32"/>
      <c r="I4" s="31" t="s">
        <v>6</v>
      </c>
      <c r="J4" s="32" t="s">
        <v>38</v>
      </c>
      <c r="K4" s="32" t="s">
        <v>39</v>
      </c>
      <c r="L4" s="32" t="s">
        <v>43</v>
      </c>
      <c r="M4" s="32" t="s">
        <v>40</v>
      </c>
      <c r="N4" s="33" t="s">
        <v>41</v>
      </c>
      <c r="O4" s="33"/>
      <c r="P4" s="31" t="s">
        <v>32</v>
      </c>
      <c r="Q4" s="31" t="s">
        <v>12</v>
      </c>
      <c r="R4" s="31" t="s">
        <v>33</v>
      </c>
      <c r="S4" s="31" t="s">
        <v>37</v>
      </c>
      <c r="T4" s="41"/>
      <c r="U4" s="34" t="s">
        <v>32</v>
      </c>
      <c r="V4" s="34" t="s">
        <v>12</v>
      </c>
      <c r="W4" s="34" t="s">
        <v>33</v>
      </c>
      <c r="X4" s="34" t="s">
        <v>37</v>
      </c>
      <c r="Y4" s="35"/>
    </row>
    <row r="5" spans="1:25" ht="15">
      <c r="A5" s="6" t="s">
        <v>7</v>
      </c>
      <c r="B5" s="6" t="s">
        <v>34</v>
      </c>
      <c r="C5" s="6" t="s">
        <v>35</v>
      </c>
      <c r="D5" s="6" t="s">
        <v>10</v>
      </c>
      <c r="E5" s="6" t="s">
        <v>24</v>
      </c>
      <c r="F5" s="6">
        <f t="shared" si="0" ref="F5:F12">2021.5-E5</f>
        <v>5.5</v>
      </c>
      <c r="G5" s="1">
        <v>7617851.8499999996</v>
      </c>
      <c r="H5" s="1"/>
      <c r="I5" s="6" t="s">
        <v>36</v>
      </c>
      <c r="J5" s="1">
        <v>7</v>
      </c>
      <c r="K5" s="1">
        <v>1.5</v>
      </c>
      <c r="L5" s="1">
        <f t="shared" si="1" ref="L5:L12">+G5*(1-K5/J5)</f>
        <v>5985455.0249999994</v>
      </c>
      <c r="M5" s="1"/>
      <c r="N5" s="7">
        <v>5560173.2999999998</v>
      </c>
      <c r="O5" s="7"/>
      <c r="P5" s="8"/>
      <c r="Q5" s="9"/>
      <c r="R5" s="9">
        <v>7617851.8499999996</v>
      </c>
      <c r="S5" s="10"/>
      <c r="T5" s="42">
        <f t="shared" si="2" ref="T5:T24">+G5-SUM(P5:S5)</f>
        <v>0</v>
      </c>
      <c r="U5" s="8"/>
      <c r="V5" s="9"/>
      <c r="W5" s="9">
        <v>5560173.2999999998</v>
      </c>
      <c r="X5" s="10"/>
      <c r="Y5" s="36">
        <f>-SUM(U5:X5)+N5</f>
        <v>0</v>
      </c>
    </row>
    <row r="6" spans="1:25" ht="15">
      <c r="A6" s="6" t="s">
        <v>7</v>
      </c>
      <c r="B6" s="6" t="s">
        <v>34</v>
      </c>
      <c r="C6" s="6" t="s">
        <v>35</v>
      </c>
      <c r="D6" s="6" t="s">
        <v>10</v>
      </c>
      <c r="E6" s="6" t="s">
        <v>23</v>
      </c>
      <c r="F6" s="6">
        <f t="shared" si="0"/>
        <v>6.5</v>
      </c>
      <c r="G6" s="1">
        <v>109249.84</v>
      </c>
      <c r="H6" s="1"/>
      <c r="I6" s="6" t="s">
        <v>36</v>
      </c>
      <c r="J6" s="1">
        <v>7</v>
      </c>
      <c r="K6" s="1">
        <v>0</v>
      </c>
      <c r="L6" s="1">
        <f t="shared" si="1"/>
        <v>109249.84</v>
      </c>
      <c r="M6" s="1"/>
      <c r="N6" s="7">
        <f t="shared" si="3" ref="N6:N12">+G6</f>
        <v>109249.84</v>
      </c>
      <c r="O6" s="7"/>
      <c r="P6" s="11"/>
      <c r="Q6" s="12"/>
      <c r="R6" s="12">
        <v>109249.84</v>
      </c>
      <c r="S6" s="13"/>
      <c r="T6" s="42">
        <f t="shared" si="2"/>
        <v>0</v>
      </c>
      <c r="U6" s="11"/>
      <c r="V6" s="12"/>
      <c r="W6" s="12">
        <v>109249.84</v>
      </c>
      <c r="X6" s="13"/>
      <c r="Y6" s="36">
        <f t="shared" si="4" ref="Y6:Y35">-SUM(U6:X6)+N6</f>
        <v>0</v>
      </c>
    </row>
    <row r="7" spans="1:25" ht="15">
      <c r="A7" s="6" t="s">
        <v>7</v>
      </c>
      <c r="B7" s="6" t="s">
        <v>34</v>
      </c>
      <c r="C7" s="6" t="s">
        <v>35</v>
      </c>
      <c r="D7" s="6" t="s">
        <v>10</v>
      </c>
      <c r="E7" s="6" t="s">
        <v>21</v>
      </c>
      <c r="F7" s="6">
        <f t="shared" si="0"/>
        <v>7.5</v>
      </c>
      <c r="G7" s="1">
        <v>4822146.6200000001</v>
      </c>
      <c r="H7" s="1"/>
      <c r="I7" s="6" t="s">
        <v>36</v>
      </c>
      <c r="J7" s="1">
        <v>7</v>
      </c>
      <c r="K7" s="1">
        <v>0</v>
      </c>
      <c r="L7" s="1">
        <f t="shared" si="1"/>
        <v>4822146.6200000001</v>
      </c>
      <c r="M7" s="1"/>
      <c r="N7" s="7">
        <f t="shared" si="3"/>
        <v>4822146.6200000001</v>
      </c>
      <c r="O7" s="7"/>
      <c r="P7" s="11"/>
      <c r="Q7" s="12"/>
      <c r="R7" s="12">
        <v>4822146.6200000001</v>
      </c>
      <c r="S7" s="13"/>
      <c r="T7" s="42">
        <f t="shared" si="2"/>
        <v>0</v>
      </c>
      <c r="U7" s="11"/>
      <c r="V7" s="12"/>
      <c r="W7" s="12">
        <v>4822146.6200000001</v>
      </c>
      <c r="X7" s="13"/>
      <c r="Y7" s="36">
        <f t="shared" si="4"/>
        <v>0</v>
      </c>
    </row>
    <row r="8" spans="1:25" ht="15">
      <c r="A8" s="6" t="s">
        <v>7</v>
      </c>
      <c r="B8" s="6" t="s">
        <v>34</v>
      </c>
      <c r="C8" s="6" t="s">
        <v>35</v>
      </c>
      <c r="D8" s="6" t="s">
        <v>10</v>
      </c>
      <c r="E8" s="6" t="s">
        <v>19</v>
      </c>
      <c r="F8" s="6">
        <f t="shared" si="0"/>
        <v>8.5</v>
      </c>
      <c r="G8" s="1">
        <v>1333279.6000000001</v>
      </c>
      <c r="H8" s="1"/>
      <c r="I8" s="6" t="s">
        <v>36</v>
      </c>
      <c r="J8" s="1">
        <v>7</v>
      </c>
      <c r="K8" s="1">
        <v>0</v>
      </c>
      <c r="L8" s="1">
        <f t="shared" si="1"/>
        <v>1333279.6000000001</v>
      </c>
      <c r="M8" s="1"/>
      <c r="N8" s="7">
        <f t="shared" si="3"/>
        <v>1333279.6000000001</v>
      </c>
      <c r="O8" s="7"/>
      <c r="P8" s="11"/>
      <c r="Q8" s="12"/>
      <c r="R8" s="12">
        <v>1333279.6000000001</v>
      </c>
      <c r="S8" s="13"/>
      <c r="T8" s="42">
        <f t="shared" si="2"/>
        <v>0</v>
      </c>
      <c r="U8" s="11"/>
      <c r="V8" s="12"/>
      <c r="W8" s="12">
        <v>1333279.6000000001</v>
      </c>
      <c r="X8" s="13"/>
      <c r="Y8" s="36">
        <f t="shared" si="4"/>
        <v>0</v>
      </c>
    </row>
    <row r="9" spans="1:25" ht="15">
      <c r="A9" s="6" t="s">
        <v>7</v>
      </c>
      <c r="B9" s="6" t="s">
        <v>34</v>
      </c>
      <c r="C9" s="6" t="s">
        <v>35</v>
      </c>
      <c r="D9" s="6" t="s">
        <v>10</v>
      </c>
      <c r="E9" s="6" t="s">
        <v>18</v>
      </c>
      <c r="F9" s="6">
        <f t="shared" si="0"/>
        <v>9.5</v>
      </c>
      <c r="G9" s="1">
        <v>11669094.18</v>
      </c>
      <c r="H9" s="1"/>
      <c r="I9" s="6" t="s">
        <v>36</v>
      </c>
      <c r="J9" s="1">
        <v>7</v>
      </c>
      <c r="K9" s="1">
        <v>0</v>
      </c>
      <c r="L9" s="1">
        <f t="shared" si="1"/>
        <v>11669094.18</v>
      </c>
      <c r="M9" s="1"/>
      <c r="N9" s="7">
        <f t="shared" si="3"/>
        <v>11669094.18</v>
      </c>
      <c r="O9" s="7"/>
      <c r="P9" s="11"/>
      <c r="Q9" s="12"/>
      <c r="R9" s="12">
        <v>11669094.18</v>
      </c>
      <c r="S9" s="13"/>
      <c r="T9" s="42">
        <f t="shared" si="2"/>
        <v>0</v>
      </c>
      <c r="U9" s="11"/>
      <c r="V9" s="12"/>
      <c r="W9" s="12">
        <v>11669094.18</v>
      </c>
      <c r="X9" s="13"/>
      <c r="Y9" s="36">
        <f t="shared" si="4"/>
        <v>0</v>
      </c>
    </row>
    <row r="10" spans="1:25" ht="15">
      <c r="A10" s="6" t="s">
        <v>7</v>
      </c>
      <c r="B10" s="6" t="s">
        <v>34</v>
      </c>
      <c r="C10" s="6" t="s">
        <v>35</v>
      </c>
      <c r="D10" s="6" t="s">
        <v>10</v>
      </c>
      <c r="E10" s="6" t="s">
        <v>17</v>
      </c>
      <c r="F10" s="6">
        <f t="shared" si="0"/>
        <v>10.5</v>
      </c>
      <c r="G10" s="1">
        <v>33526670.66</v>
      </c>
      <c r="H10" s="1"/>
      <c r="I10" s="6" t="s">
        <v>36</v>
      </c>
      <c r="J10" s="1">
        <v>7</v>
      </c>
      <c r="K10" s="1">
        <v>0</v>
      </c>
      <c r="L10" s="1">
        <f t="shared" si="1"/>
        <v>33526670.66</v>
      </c>
      <c r="M10" s="1"/>
      <c r="N10" s="7">
        <f t="shared" si="3"/>
        <v>33526670.66</v>
      </c>
      <c r="O10" s="7"/>
      <c r="P10" s="11"/>
      <c r="Q10" s="12"/>
      <c r="R10" s="12">
        <v>33526670.66</v>
      </c>
      <c r="S10" s="13"/>
      <c r="T10" s="42">
        <f t="shared" si="2"/>
        <v>0</v>
      </c>
      <c r="U10" s="11"/>
      <c r="V10" s="12"/>
      <c r="W10" s="12">
        <v>33526670.66</v>
      </c>
      <c r="X10" s="13"/>
      <c r="Y10" s="36">
        <f t="shared" si="4"/>
        <v>0</v>
      </c>
    </row>
    <row r="11" spans="1:25" ht="15">
      <c r="A11" s="6" t="s">
        <v>7</v>
      </c>
      <c r="B11" s="6" t="s">
        <v>34</v>
      </c>
      <c r="C11" s="6" t="s">
        <v>35</v>
      </c>
      <c r="D11" s="6" t="s">
        <v>10</v>
      </c>
      <c r="E11" s="6" t="s">
        <v>16</v>
      </c>
      <c r="F11" s="6">
        <f t="shared" si="0"/>
        <v>11.5</v>
      </c>
      <c r="G11" s="1">
        <v>42337483.310000002</v>
      </c>
      <c r="H11" s="1"/>
      <c r="I11" s="6" t="s">
        <v>36</v>
      </c>
      <c r="J11" s="1">
        <v>7</v>
      </c>
      <c r="K11" s="1">
        <v>0</v>
      </c>
      <c r="L11" s="1">
        <f t="shared" si="1"/>
        <v>42337483.310000002</v>
      </c>
      <c r="M11" s="1"/>
      <c r="N11" s="7">
        <f t="shared" si="3"/>
        <v>42337483.310000002</v>
      </c>
      <c r="O11" s="7"/>
      <c r="P11" s="11"/>
      <c r="Q11" s="12"/>
      <c r="R11" s="12">
        <v>42337483.310000002</v>
      </c>
      <c r="S11" s="13"/>
      <c r="T11" s="42">
        <f t="shared" si="2"/>
        <v>0</v>
      </c>
      <c r="U11" s="11"/>
      <c r="V11" s="12"/>
      <c r="W11" s="12">
        <v>42337483.310000002</v>
      </c>
      <c r="X11" s="13"/>
      <c r="Y11" s="36">
        <f t="shared" si="4"/>
        <v>0</v>
      </c>
    </row>
    <row r="12" spans="1:25" ht="15">
      <c r="A12" s="6" t="s">
        <v>7</v>
      </c>
      <c r="B12" s="6" t="s">
        <v>34</v>
      </c>
      <c r="C12" s="6" t="s">
        <v>35</v>
      </c>
      <c r="D12" s="6" t="s">
        <v>10</v>
      </c>
      <c r="E12" s="6" t="s">
        <v>15</v>
      </c>
      <c r="F12" s="6">
        <f t="shared" si="0"/>
        <v>12.5</v>
      </c>
      <c r="G12" s="1">
        <v>44752040.149999999</v>
      </c>
      <c r="H12" s="1"/>
      <c r="I12" s="6" t="s">
        <v>36</v>
      </c>
      <c r="J12" s="1">
        <v>7</v>
      </c>
      <c r="K12" s="1">
        <v>0</v>
      </c>
      <c r="L12" s="1">
        <f t="shared" si="1"/>
        <v>44752040.149999999</v>
      </c>
      <c r="M12" s="1"/>
      <c r="N12" s="7">
        <f t="shared" si="3"/>
        <v>44752040.149999999</v>
      </c>
      <c r="O12" s="7"/>
      <c r="P12" s="11"/>
      <c r="Q12" s="12"/>
      <c r="R12" s="12">
        <v>44752040.149999999</v>
      </c>
      <c r="S12" s="13"/>
      <c r="T12" s="42">
        <f t="shared" si="2"/>
        <v>0</v>
      </c>
      <c r="U12" s="11"/>
      <c r="V12" s="12"/>
      <c r="W12" s="12">
        <v>44752040.149999999</v>
      </c>
      <c r="X12" s="13"/>
      <c r="Y12" s="36">
        <f t="shared" si="4"/>
        <v>0</v>
      </c>
    </row>
    <row r="13" spans="1:25" ht="16.5" customHeight="1">
      <c r="A13" s="6"/>
      <c r="B13" s="6"/>
      <c r="C13" s="6"/>
      <c r="D13" s="6"/>
      <c r="E13" s="6"/>
      <c r="F13" s="6"/>
      <c r="G13" s="2">
        <f>SUM(G5:G12)</f>
        <v>146167816.21000001</v>
      </c>
      <c r="H13" s="2"/>
      <c r="I13" s="14"/>
      <c r="J13" s="2"/>
      <c r="K13" s="2"/>
      <c r="L13" s="2">
        <f t="shared" si="5" ref="L13:S13">SUM(L5:L12)</f>
        <v>144535419.38499999</v>
      </c>
      <c r="M13" s="2" t="s">
        <v>46</v>
      </c>
      <c r="N13" s="15">
        <f t="shared" si="5"/>
        <v>144110137.66</v>
      </c>
      <c r="O13" s="7"/>
      <c r="P13" s="16">
        <f t="shared" si="5"/>
        <v>0</v>
      </c>
      <c r="Q13" s="17">
        <f t="shared" si="5"/>
        <v>0</v>
      </c>
      <c r="R13" s="17">
        <f t="shared" si="5"/>
        <v>146167816.21000001</v>
      </c>
      <c r="S13" s="18">
        <f t="shared" si="5"/>
        <v>0</v>
      </c>
      <c r="T13" s="42">
        <f t="shared" si="2"/>
        <v>0</v>
      </c>
      <c r="U13" s="11">
        <f t="shared" si="6" ref="U13">SUM(U5:U12)</f>
        <v>0</v>
      </c>
      <c r="V13" s="12">
        <f t="shared" si="7" ref="V13">SUM(V5:V12)</f>
        <v>0</v>
      </c>
      <c r="W13" s="12">
        <f t="shared" si="8" ref="W13">SUM(W5:W12)</f>
        <v>144110137.66</v>
      </c>
      <c r="X13" s="13">
        <f t="shared" si="9" ref="X13">SUM(X5:X12)</f>
        <v>0</v>
      </c>
      <c r="Y13" s="36">
        <f t="shared" si="4"/>
        <v>0</v>
      </c>
    </row>
    <row r="14" spans="1:25" ht="12.2" customHeight="1" outlineLevel="2">
      <c r="A14" s="6" t="s">
        <v>7</v>
      </c>
      <c r="B14" s="6" t="s">
        <v>8</v>
      </c>
      <c r="C14" s="6" t="s">
        <v>9</v>
      </c>
      <c r="D14" s="6" t="s">
        <v>10</v>
      </c>
      <c r="E14" s="6" t="s">
        <v>11</v>
      </c>
      <c r="F14" s="6">
        <f t="shared" si="10" ref="F14:F28">2021.5-E14</f>
        <v>14.5</v>
      </c>
      <c r="G14" s="1">
        <v>792593.03000000003</v>
      </c>
      <c r="H14" s="1"/>
      <c r="I14" s="6" t="s">
        <v>13</v>
      </c>
      <c r="J14" s="1">
        <v>15</v>
      </c>
      <c r="K14" s="1">
        <v>4.4011519999999997</v>
      </c>
      <c r="L14" s="1">
        <f t="shared" si="11" ref="L14:L28">+(1-K14/J14)*G14</f>
        <v>560038.20338862936</v>
      </c>
      <c r="M14" s="1">
        <f t="shared" si="12" ref="M14:M28">$M$29</f>
        <v>1.1474866505766714</v>
      </c>
      <c r="N14" s="19">
        <f t="shared" si="13" ref="N14:N24">IF((G14-L14*M14)&lt;0,G14,L14*M14)</f>
        <v>642636.36220139498</v>
      </c>
      <c r="O14" s="7"/>
      <c r="P14" s="11">
        <v>0</v>
      </c>
      <c r="Q14" s="12">
        <v>792593.03000000003</v>
      </c>
      <c r="R14" s="12"/>
      <c r="S14" s="13"/>
      <c r="T14" s="42">
        <f t="shared" si="2"/>
        <v>0</v>
      </c>
      <c r="U14" s="11">
        <f t="shared" si="14" ref="U14:U24">+$N14*P14/$G14</f>
        <v>0</v>
      </c>
      <c r="V14" s="12">
        <f t="shared" si="15" ref="V14:V24">+$N14*Q14/$G14</f>
        <v>642636.36220139498</v>
      </c>
      <c r="W14" s="12">
        <f t="shared" si="16" ref="W14:W24">+$N14*R14/$G14</f>
        <v>0</v>
      </c>
      <c r="X14" s="13">
        <f t="shared" si="17" ref="X14:X24">+$N14*S14/$G14</f>
        <v>0</v>
      </c>
      <c r="Y14" s="36">
        <f t="shared" si="4"/>
        <v>0</v>
      </c>
    </row>
    <row r="15" spans="1:25" ht="12.2" customHeight="1" outlineLevel="2">
      <c r="A15" s="6" t="s">
        <v>7</v>
      </c>
      <c r="B15" s="6" t="s">
        <v>8</v>
      </c>
      <c r="C15" s="6" t="s">
        <v>9</v>
      </c>
      <c r="D15" s="6" t="s">
        <v>10</v>
      </c>
      <c r="E15" s="6" t="s">
        <v>14</v>
      </c>
      <c r="F15" s="6">
        <f t="shared" si="10"/>
        <v>13.5</v>
      </c>
      <c r="G15" s="1">
        <v>1314674.54</v>
      </c>
      <c r="H15" s="1"/>
      <c r="I15" s="6" t="s">
        <v>13</v>
      </c>
      <c r="J15" s="1">
        <v>15</v>
      </c>
      <c r="K15" s="1">
        <v>4.9147959999999999</v>
      </c>
      <c r="L15" s="1">
        <f t="shared" si="11"/>
        <v>883917.3953004108</v>
      </c>
      <c r="M15" s="1">
        <f t="shared" si="12"/>
        <v>1.1474866505766714</v>
      </c>
      <c r="N15" s="19">
        <f t="shared" si="13"/>
        <v>1014283.4113197241</v>
      </c>
      <c r="O15" s="7"/>
      <c r="P15" s="11">
        <v>623050.56000000006</v>
      </c>
      <c r="Q15" s="12">
        <v>670878.42000000004</v>
      </c>
      <c r="R15" s="12">
        <v>19549.209999999999</v>
      </c>
      <c r="S15" s="13">
        <v>1196.3499999999999</v>
      </c>
      <c r="T15" s="42">
        <f t="shared" si="2"/>
        <v>0</v>
      </c>
      <c r="U15" s="11">
        <f t="shared" si="14"/>
        <v>480689.19583813078</v>
      </c>
      <c r="V15" s="12">
        <f t="shared" si="15"/>
        <v>517588.82652309263</v>
      </c>
      <c r="W15" s="12">
        <f t="shared" si="16"/>
        <v>15082.394010159855</v>
      </c>
      <c r="X15" s="13">
        <f t="shared" si="17"/>
        <v>922.99494834086602</v>
      </c>
      <c r="Y15" s="36">
        <f t="shared" si="4"/>
        <v>0</v>
      </c>
    </row>
    <row r="16" spans="1:25" ht="12.2" customHeight="1" outlineLevel="2">
      <c r="A16" s="6" t="s">
        <v>7</v>
      </c>
      <c r="B16" s="6" t="s">
        <v>8</v>
      </c>
      <c r="C16" s="6" t="s">
        <v>9</v>
      </c>
      <c r="D16" s="6" t="s">
        <v>10</v>
      </c>
      <c r="E16" s="6" t="s">
        <v>15</v>
      </c>
      <c r="F16" s="6">
        <f t="shared" si="10"/>
        <v>12.5</v>
      </c>
      <c r="G16" s="1">
        <v>9504731.6600000001</v>
      </c>
      <c r="H16" s="1"/>
      <c r="I16" s="6" t="s">
        <v>13</v>
      </c>
      <c r="J16" s="1">
        <v>15</v>
      </c>
      <c r="K16" s="1">
        <v>5.4681480000000002</v>
      </c>
      <c r="L16" s="1">
        <f t="shared" si="11"/>
        <v>6039846.3655222887</v>
      </c>
      <c r="M16" s="1">
        <f t="shared" si="12"/>
        <v>1.1474866505766714</v>
      </c>
      <c r="N16" s="19">
        <f t="shared" si="13"/>
        <v>6930643.0759708537</v>
      </c>
      <c r="O16" s="7"/>
      <c r="P16" s="11">
        <v>2050621.8200000001</v>
      </c>
      <c r="Q16" s="12">
        <v>7385830.7800000003</v>
      </c>
      <c r="R16" s="12">
        <v>64341.550000000003</v>
      </c>
      <c r="S16" s="13">
        <v>3937.5100000000002</v>
      </c>
      <c r="T16" s="42">
        <f t="shared" si="2"/>
        <v>0</v>
      </c>
      <c r="U16" s="11">
        <f t="shared" si="14"/>
        <v>1495268.7173724745</v>
      </c>
      <c r="V16" s="12">
        <f t="shared" si="15"/>
        <v>5385586.7568700425</v>
      </c>
      <c r="W16" s="12">
        <f t="shared" si="16"/>
        <v>46916.45529367133</v>
      </c>
      <c r="X16" s="13">
        <f t="shared" si="17"/>
        <v>2871.1464346659941</v>
      </c>
      <c r="Y16" s="36">
        <f t="shared" si="4"/>
        <v>0</v>
      </c>
    </row>
    <row r="17" spans="1:25" ht="15" outlineLevel="2">
      <c r="A17" s="6" t="s">
        <v>7</v>
      </c>
      <c r="B17" s="6" t="s">
        <v>8</v>
      </c>
      <c r="C17" s="6" t="s">
        <v>9</v>
      </c>
      <c r="D17" s="6" t="s">
        <v>10</v>
      </c>
      <c r="E17" s="6" t="s">
        <v>16</v>
      </c>
      <c r="F17" s="6">
        <f t="shared" si="10"/>
        <v>11.5</v>
      </c>
      <c r="G17" s="1">
        <v>36508026.509999998</v>
      </c>
      <c r="H17" s="1"/>
      <c r="I17" s="6" t="s">
        <v>13</v>
      </c>
      <c r="J17" s="1">
        <v>15</v>
      </c>
      <c r="K17" s="1">
        <v>6.0595739999999996</v>
      </c>
      <c r="L17" s="1">
        <f t="shared" si="11"/>
        <v>21759820.627912883</v>
      </c>
      <c r="M17" s="1">
        <f t="shared" si="12"/>
        <v>1.1474866505766714</v>
      </c>
      <c r="N17" s="19">
        <f t="shared" si="13"/>
        <v>24969103.689472917</v>
      </c>
      <c r="O17" s="7"/>
      <c r="P17" s="11"/>
      <c r="Q17" s="12">
        <v>36508026.509999998</v>
      </c>
      <c r="R17" s="12"/>
      <c r="S17" s="13"/>
      <c r="T17" s="42">
        <f t="shared" si="2"/>
        <v>0</v>
      </c>
      <c r="U17" s="11">
        <f t="shared" si="14"/>
        <v>0</v>
      </c>
      <c r="V17" s="12">
        <f t="shared" si="15"/>
        <v>24969103.689472917</v>
      </c>
      <c r="W17" s="12">
        <f t="shared" si="16"/>
        <v>0</v>
      </c>
      <c r="X17" s="13">
        <f t="shared" si="17"/>
        <v>0</v>
      </c>
      <c r="Y17" s="36">
        <f t="shared" si="4"/>
        <v>0</v>
      </c>
    </row>
    <row r="18" spans="1:25" ht="15" outlineLevel="2">
      <c r="A18" s="6" t="s">
        <v>7</v>
      </c>
      <c r="B18" s="6" t="s">
        <v>8</v>
      </c>
      <c r="C18" s="6" t="s">
        <v>9</v>
      </c>
      <c r="D18" s="6" t="s">
        <v>10</v>
      </c>
      <c r="E18" s="6" t="s">
        <v>17</v>
      </c>
      <c r="F18" s="6">
        <f t="shared" si="10"/>
        <v>10.5</v>
      </c>
      <c r="G18" s="1">
        <v>3301556.1399999997</v>
      </c>
      <c r="H18" s="1"/>
      <c r="I18" s="6" t="s">
        <v>13</v>
      </c>
      <c r="J18" s="1">
        <v>15</v>
      </c>
      <c r="K18" s="1">
        <v>4.4011519999999997</v>
      </c>
      <c r="L18" s="1">
        <f t="shared" si="11"/>
        <v>2332846.1127551147</v>
      </c>
      <c r="M18" s="1">
        <f t="shared" si="12"/>
        <v>1.1474866505766714</v>
      </c>
      <c r="N18" s="19">
        <f t="shared" si="13"/>
        <v>2676909.7722361744</v>
      </c>
      <c r="O18" s="7"/>
      <c r="P18" s="11">
        <v>711528.06999999995</v>
      </c>
      <c r="Q18" s="12">
        <v>862159.04000000004</v>
      </c>
      <c r="R18" s="12">
        <v>22325.330000000002</v>
      </c>
      <c r="S18" s="13">
        <v>1705543.7</v>
      </c>
      <c r="T18" s="42">
        <f t="shared" si="2"/>
        <v>0</v>
      </c>
      <c r="U18" s="11">
        <f t="shared" si="14"/>
        <v>576908.69488087669</v>
      </c>
      <c r="V18" s="12">
        <f t="shared" si="15"/>
        <v>699040.65281099814</v>
      </c>
      <c r="W18" s="12">
        <f t="shared" si="16"/>
        <v>18101.432025141163</v>
      </c>
      <c r="X18" s="13">
        <f t="shared" si="17"/>
        <v>1382858.9925191586</v>
      </c>
      <c r="Y18" s="36">
        <f t="shared" si="4"/>
        <v>0</v>
      </c>
    </row>
    <row r="19" spans="1:25" ht="15" outlineLevel="2">
      <c r="A19" s="6" t="s">
        <v>7</v>
      </c>
      <c r="B19" s="6" t="s">
        <v>8</v>
      </c>
      <c r="C19" s="6" t="s">
        <v>9</v>
      </c>
      <c r="D19" s="6" t="s">
        <v>10</v>
      </c>
      <c r="E19" s="6" t="s">
        <v>18</v>
      </c>
      <c r="F19" s="6">
        <f t="shared" si="10"/>
        <v>9.5</v>
      </c>
      <c r="G19" s="1">
        <v>8406899.3399999999</v>
      </c>
      <c r="H19" s="1"/>
      <c r="I19" s="6" t="s">
        <v>13</v>
      </c>
      <c r="J19" s="1">
        <v>15</v>
      </c>
      <c r="K19" s="1">
        <v>7.3498169999999998</v>
      </c>
      <c r="L19" s="1">
        <f t="shared" si="11"/>
        <v>4287621.2275719484</v>
      </c>
      <c r="M19" s="1">
        <f t="shared" si="12"/>
        <v>1.1474866505766714</v>
      </c>
      <c r="N19" s="19">
        <f t="shared" si="13"/>
        <v>4919988.1213679714</v>
      </c>
      <c r="O19" s="7"/>
      <c r="P19" s="11">
        <v>1204629.46</v>
      </c>
      <c r="Q19" s="12">
        <v>1297101.6499999999</v>
      </c>
      <c r="R19" s="12">
        <v>5902855.1500000004</v>
      </c>
      <c r="S19" s="13">
        <v>2313.0799999999999</v>
      </c>
      <c r="T19" s="42">
        <f t="shared" si="2"/>
        <v>0</v>
      </c>
      <c r="U19" s="11">
        <f t="shared" si="14"/>
        <v>704987.93837704195</v>
      </c>
      <c r="V19" s="12">
        <f t="shared" si="15"/>
        <v>759105.64074944612</v>
      </c>
      <c r="W19" s="12">
        <f t="shared" si="16"/>
        <v>3454540.853364822</v>
      </c>
      <c r="X19" s="13">
        <f t="shared" si="17"/>
        <v>1353.6888766618474</v>
      </c>
      <c r="Y19" s="36">
        <f t="shared" si="4"/>
        <v>0</v>
      </c>
    </row>
    <row r="20" spans="1:25" ht="15" outlineLevel="2">
      <c r="A20" s="6" t="s">
        <v>7</v>
      </c>
      <c r="B20" s="6" t="s">
        <v>8</v>
      </c>
      <c r="C20" s="6" t="s">
        <v>9</v>
      </c>
      <c r="D20" s="6" t="s">
        <v>10</v>
      </c>
      <c r="E20" s="6" t="s">
        <v>19</v>
      </c>
      <c r="F20" s="6">
        <f t="shared" si="10"/>
        <v>8.5</v>
      </c>
      <c r="G20" s="1">
        <v>19263663.989999998</v>
      </c>
      <c r="H20" s="1"/>
      <c r="I20" s="6" t="s">
        <v>13</v>
      </c>
      <c r="J20" s="1">
        <v>15</v>
      </c>
      <c r="K20" s="1">
        <v>8.0445600000000006</v>
      </c>
      <c r="L20" s="1">
        <f t="shared" si="11"/>
        <v>8932483.9375070389</v>
      </c>
      <c r="M20" s="1">
        <f t="shared" si="12"/>
        <v>1.1474866505766714</v>
      </c>
      <c r="N20" s="19">
        <f t="shared" si="13"/>
        <v>10249906.07477987</v>
      </c>
      <c r="O20" s="7"/>
      <c r="P20" s="11">
        <v>3883715.7799999998</v>
      </c>
      <c r="Q20" s="12">
        <v>13181440.26</v>
      </c>
      <c r="R20" s="12">
        <v>2191050.6099999999</v>
      </c>
      <c r="S20" s="13">
        <v>7457.3400000000001</v>
      </c>
      <c r="T20" s="42">
        <f t="shared" si="2"/>
        <v>0</v>
      </c>
      <c r="U20" s="11">
        <f t="shared" si="14"/>
        <v>2066466.7940016557</v>
      </c>
      <c r="V20" s="12">
        <f t="shared" si="15"/>
        <v>7013646.2443208322</v>
      </c>
      <c r="W20" s="12">
        <f t="shared" si="16"/>
        <v>1165825.0979277561</v>
      </c>
      <c r="X20" s="13">
        <f t="shared" si="17"/>
        <v>3967.9385296264668</v>
      </c>
      <c r="Y20" s="36">
        <f t="shared" si="4"/>
        <v>0</v>
      </c>
    </row>
    <row r="21" spans="1:25" ht="15" outlineLevel="2">
      <c r="A21" s="6" t="s">
        <v>7</v>
      </c>
      <c r="B21" s="6" t="s">
        <v>8</v>
      </c>
      <c r="C21" s="6" t="s">
        <v>9</v>
      </c>
      <c r="D21" s="6" t="s">
        <v>10</v>
      </c>
      <c r="E21" s="6" t="s">
        <v>21</v>
      </c>
      <c r="F21" s="6">
        <f t="shared" si="10"/>
        <v>7.5</v>
      </c>
      <c r="G21" s="1">
        <v>220906.17999999999</v>
      </c>
      <c r="H21" s="1"/>
      <c r="I21" s="6" t="s">
        <v>13</v>
      </c>
      <c r="J21" s="1">
        <v>15</v>
      </c>
      <c r="K21" s="1">
        <v>8.7695880000000006</v>
      </c>
      <c r="L21" s="1">
        <f t="shared" si="11"/>
        <v>91755.767649743997</v>
      </c>
      <c r="M21" s="1">
        <f t="shared" si="12"/>
        <v>1.1474866505766714</v>
      </c>
      <c r="N21" s="19">
        <f t="shared" si="13"/>
        <v>105288.51849149604</v>
      </c>
      <c r="O21" s="7"/>
      <c r="P21" s="11">
        <v>115780.22</v>
      </c>
      <c r="Q21" s="12">
        <v>124667.97</v>
      </c>
      <c r="R21" s="12">
        <v>-19764.330000000002</v>
      </c>
      <c r="S21" s="13">
        <v>222.31999999999999</v>
      </c>
      <c r="T21" s="42">
        <f t="shared" si="2"/>
        <v>0</v>
      </c>
      <c r="U21" s="11">
        <f t="shared" si="14"/>
        <v>55183.281130566291</v>
      </c>
      <c r="V21" s="12">
        <f t="shared" si="15"/>
        <v>59419.369184883253</v>
      </c>
      <c r="W21" s="12">
        <f t="shared" si="16"/>
        <v>-9420.0941987092901</v>
      </c>
      <c r="X21" s="13">
        <f t="shared" si="17"/>
        <v>105.96237475578727</v>
      </c>
      <c r="Y21" s="36">
        <f t="shared" si="4"/>
        <v>0</v>
      </c>
    </row>
    <row r="22" spans="1:25" ht="15" outlineLevel="2">
      <c r="A22" s="6" t="s">
        <v>7</v>
      </c>
      <c r="B22" s="6" t="s">
        <v>8</v>
      </c>
      <c r="C22" s="6" t="s">
        <v>9</v>
      </c>
      <c r="D22" s="6" t="s">
        <v>10</v>
      </c>
      <c r="E22" s="6" t="s">
        <v>23</v>
      </c>
      <c r="F22" s="6">
        <f t="shared" si="10"/>
        <v>6.5</v>
      </c>
      <c r="G22" s="1">
        <v>5613048.4899999993</v>
      </c>
      <c r="H22" s="1"/>
      <c r="I22" s="6" t="s">
        <v>13</v>
      </c>
      <c r="J22" s="1">
        <v>15</v>
      </c>
      <c r="K22" s="1">
        <v>9.5233070000000009</v>
      </c>
      <c r="L22" s="1">
        <f t="shared" si="11"/>
        <v>2049396.2249229043</v>
      </c>
      <c r="M22" s="1">
        <f t="shared" si="12"/>
        <v>1.1474866505766714</v>
      </c>
      <c r="N22" s="19">
        <f t="shared" si="13"/>
        <v>2351654.809841258</v>
      </c>
      <c r="O22" s="7"/>
      <c r="P22" s="11">
        <v>1031240.36</v>
      </c>
      <c r="Q22" s="12">
        <v>1110402.51</v>
      </c>
      <c r="R22" s="12">
        <v>3469425.48</v>
      </c>
      <c r="S22" s="13">
        <v>1980.1400000000001</v>
      </c>
      <c r="T22" s="42">
        <f t="shared" si="2"/>
        <v>0</v>
      </c>
      <c r="U22" s="11">
        <f t="shared" si="14"/>
        <v>432050.6685479267</v>
      </c>
      <c r="V22" s="12">
        <f t="shared" si="15"/>
        <v>465216.61235484999</v>
      </c>
      <c r="W22" s="12">
        <f t="shared" si="16"/>
        <v>1453557.9252456834</v>
      </c>
      <c r="X22" s="13">
        <f t="shared" si="17"/>
        <v>829.60369279814824</v>
      </c>
      <c r="Y22" s="36">
        <f t="shared" si="4"/>
        <v>0</v>
      </c>
    </row>
    <row r="23" spans="1:25" ht="15" outlineLevel="2">
      <c r="A23" s="6" t="s">
        <v>7</v>
      </c>
      <c r="B23" s="6" t="s">
        <v>8</v>
      </c>
      <c r="C23" s="6" t="s">
        <v>9</v>
      </c>
      <c r="D23" s="6" t="s">
        <v>10</v>
      </c>
      <c r="E23" s="6" t="s">
        <v>24</v>
      </c>
      <c r="F23" s="6">
        <f t="shared" si="10"/>
        <v>5.5</v>
      </c>
      <c r="G23" s="1">
        <v>4195092.3300000001</v>
      </c>
      <c r="H23" s="1"/>
      <c r="I23" s="6" t="s">
        <v>13</v>
      </c>
      <c r="J23" s="1">
        <v>15</v>
      </c>
      <c r="K23" s="1">
        <v>10.303613</v>
      </c>
      <c r="L23" s="1">
        <f t="shared" si="11"/>
        <v>1313451.8054941141</v>
      </c>
      <c r="M23" s="1">
        <f t="shared" si="12"/>
        <v>1.1474866505766714</v>
      </c>
      <c r="N23" s="19">
        <f t="shared" si="13"/>
        <v>1507168.4129803227</v>
      </c>
      <c r="O23" s="7"/>
      <c r="P23" s="11">
        <v>1401523.7</v>
      </c>
      <c r="Q23" s="12">
        <v>1509110.28</v>
      </c>
      <c r="R23" s="12">
        <v>1281767.21</v>
      </c>
      <c r="S23" s="13">
        <v>2691.1399999999999</v>
      </c>
      <c r="T23" s="42">
        <f t="shared" si="2"/>
        <v>0</v>
      </c>
      <c r="U23" s="11">
        <f t="shared" si="14"/>
        <v>503524.61507880798</v>
      </c>
      <c r="V23" s="12">
        <f t="shared" si="15"/>
        <v>542177.18390953518</v>
      </c>
      <c r="W23" s="12">
        <f t="shared" si="16"/>
        <v>460499.7696691734</v>
      </c>
      <c r="X23" s="13">
        <f t="shared" si="17"/>
        <v>966.84432280608837</v>
      </c>
      <c r="Y23" s="36">
        <f t="shared" si="4"/>
        <v>0</v>
      </c>
    </row>
    <row r="24" spans="1:25" ht="15" outlineLevel="2">
      <c r="A24" s="6" t="s">
        <v>7</v>
      </c>
      <c r="B24" s="6" t="s">
        <v>8</v>
      </c>
      <c r="C24" s="6" t="s">
        <v>9</v>
      </c>
      <c r="D24" s="6" t="s">
        <v>10</v>
      </c>
      <c r="E24" s="6" t="s">
        <v>25</v>
      </c>
      <c r="F24" s="6">
        <f t="shared" si="10"/>
        <v>4.5</v>
      </c>
      <c r="G24" s="1">
        <v>229417962.69999999</v>
      </c>
      <c r="H24" s="1"/>
      <c r="I24" s="6" t="s">
        <v>13</v>
      </c>
      <c r="J24" s="1">
        <v>15</v>
      </c>
      <c r="K24" s="1">
        <v>11.108863</v>
      </c>
      <c r="L24" s="1">
        <f t="shared" si="11"/>
        <v>59513114.875105999</v>
      </c>
      <c r="M24" s="1">
        <f t="shared" si="12"/>
        <v>1.1474866505766714</v>
      </c>
      <c r="N24" s="19">
        <f t="shared" si="13"/>
        <v>68290504.853420064</v>
      </c>
      <c r="O24" s="7"/>
      <c r="P24" s="11">
        <v>6791049</v>
      </c>
      <c r="Q24" s="12">
        <v>8773143</v>
      </c>
      <c r="R24" s="12">
        <v>958085.26000000001</v>
      </c>
      <c r="S24" s="13">
        <v>212895685.44</v>
      </c>
      <c r="T24" s="42">
        <f t="shared" si="2"/>
        <v>0</v>
      </c>
      <c r="U24" s="11">
        <f t="shared" si="14"/>
        <v>2021481.488355635</v>
      </c>
      <c r="V24" s="12">
        <f t="shared" si="15"/>
        <v>2611488.470955933</v>
      </c>
      <c r="W24" s="12">
        <f t="shared" si="16"/>
        <v>285191.81901888724</v>
      </c>
      <c r="X24" s="13">
        <f t="shared" si="17"/>
        <v>63372343.075089619</v>
      </c>
      <c r="Y24" s="36">
        <f t="shared" si="4"/>
        <v>0</v>
      </c>
    </row>
    <row r="25" spans="1:25" ht="15" outlineLevel="2">
      <c r="A25" s="6" t="s">
        <v>7</v>
      </c>
      <c r="B25" s="6" t="s">
        <v>8</v>
      </c>
      <c r="C25" s="6" t="s">
        <v>9</v>
      </c>
      <c r="D25" s="6" t="s">
        <v>10</v>
      </c>
      <c r="E25" s="21">
        <v>2018</v>
      </c>
      <c r="F25" s="6">
        <f t="shared" si="10"/>
        <v>3.5</v>
      </c>
      <c r="G25" s="1">
        <v>45221781.369999997</v>
      </c>
      <c r="H25" s="1"/>
      <c r="I25" s="6" t="s">
        <v>13</v>
      </c>
      <c r="J25" s="1">
        <v>15</v>
      </c>
      <c r="K25" s="1">
        <v>11.937706</v>
      </c>
      <c r="L25" s="1">
        <f t="shared" si="11"/>
        <v>9232159.3172441833</v>
      </c>
      <c r="M25" s="1">
        <f t="shared" si="12"/>
        <v>1.1474866505766714</v>
      </c>
      <c r="N25" s="19"/>
      <c r="O25" s="7"/>
      <c r="P25" s="11"/>
      <c r="Q25" s="12"/>
      <c r="R25" s="12"/>
      <c r="S25" s="13">
        <v>45221781.369999997</v>
      </c>
      <c r="T25" s="42"/>
      <c r="U25" s="11"/>
      <c r="V25" s="12"/>
      <c r="W25" s="12"/>
      <c r="X25" s="13"/>
      <c r="Y25" s="36"/>
    </row>
    <row r="26" spans="1:25" ht="15" outlineLevel="2">
      <c r="A26" s="6" t="s">
        <v>7</v>
      </c>
      <c r="B26" s="6" t="s">
        <v>8</v>
      </c>
      <c r="C26" s="6" t="s">
        <v>9</v>
      </c>
      <c r="D26" s="6" t="s">
        <v>10</v>
      </c>
      <c r="E26" s="21">
        <v>2019</v>
      </c>
      <c r="F26" s="6">
        <f t="shared" si="10"/>
        <v>2.5</v>
      </c>
      <c r="G26" s="1">
        <v>90288779.74000001</v>
      </c>
      <c r="H26" s="1"/>
      <c r="I26" s="6" t="s">
        <v>13</v>
      </c>
      <c r="J26" s="1">
        <v>15</v>
      </c>
      <c r="K26" s="1">
        <v>12.788309999999999</v>
      </c>
      <c r="L26" s="1">
        <f t="shared" si="11"/>
        <v>13312719.417544048</v>
      </c>
      <c r="M26" s="1">
        <f t="shared" si="12"/>
        <v>1.1474866505766714</v>
      </c>
      <c r="N26" s="19">
        <f>IF((G26-L26*M26)&lt;0,G26,L26*M26)</f>
        <v>15276167.814504637</v>
      </c>
      <c r="O26" s="7"/>
      <c r="P26" s="11"/>
      <c r="Q26" s="12">
        <v>87627827.040000007</v>
      </c>
      <c r="R26" s="12">
        <v>636849.83999999997</v>
      </c>
      <c r="S26" s="13">
        <v>2024102.8600000001</v>
      </c>
      <c r="T26" s="42">
        <f t="shared" si="18" ref="T26:T57">+G26-SUM(P26:S26)</f>
        <v>0</v>
      </c>
      <c r="U26" s="11">
        <f t="shared" si="19" ref="U26:X28">+$N26*P26/$G26</f>
        <v>0</v>
      </c>
      <c r="V26" s="12">
        <f t="shared" si="19"/>
        <v>14825955.062613266</v>
      </c>
      <c r="W26" s="12">
        <f t="shared" si="19"/>
        <v>107750.09980747833</v>
      </c>
      <c r="X26" s="13">
        <f t="shared" si="19"/>
        <v>342462.65208389208</v>
      </c>
      <c r="Y26" s="36">
        <f t="shared" si="4"/>
        <v>0</v>
      </c>
    </row>
    <row r="27" spans="1:25" ht="15" outlineLevel="2">
      <c r="A27" s="6" t="s">
        <v>7</v>
      </c>
      <c r="B27" s="6" t="s">
        <v>8</v>
      </c>
      <c r="C27" s="6" t="s">
        <v>9</v>
      </c>
      <c r="D27" s="6" t="s">
        <v>10</v>
      </c>
      <c r="E27" s="6" t="s">
        <v>28</v>
      </c>
      <c r="F27" s="6">
        <f t="shared" si="10"/>
        <v>1.5</v>
      </c>
      <c r="G27" s="1">
        <v>20614621.710000001</v>
      </c>
      <c r="H27" s="1"/>
      <c r="I27" s="6" t="s">
        <v>13</v>
      </c>
      <c r="J27" s="1">
        <v>15</v>
      </c>
      <c r="K27" s="1">
        <v>13.659128000000001</v>
      </c>
      <c r="L27" s="1">
        <f t="shared" si="11"/>
        <v>1842771.2694354076</v>
      </c>
      <c r="M27" s="1">
        <f t="shared" si="12"/>
        <v>1.1474866505766714</v>
      </c>
      <c r="N27" s="19">
        <f>IF((G27-L27*M27)&lt;0,G27,L27*M27)</f>
        <v>2114555.4317433569</v>
      </c>
      <c r="O27" s="7"/>
      <c r="P27" s="11"/>
      <c r="Q27" s="12">
        <f>8119541.96+247754.56</f>
        <v>8367296.5199999996</v>
      </c>
      <c r="R27" s="12">
        <v>3347224.2200000002</v>
      </c>
      <c r="S27" s="13">
        <v>8900100.9700000007</v>
      </c>
      <c r="T27" s="42">
        <f t="shared" si="18"/>
        <v>0</v>
      </c>
      <c r="U27" s="11">
        <f t="shared" si="19"/>
        <v>0</v>
      </c>
      <c r="V27" s="12">
        <f t="shared" si="19"/>
        <v>858279.74698126456</v>
      </c>
      <c r="W27" s="12">
        <f t="shared" si="19"/>
        <v>343343.2471006969</v>
      </c>
      <c r="X27" s="13">
        <f t="shared" si="19"/>
        <v>912932.43766139518</v>
      </c>
      <c r="Y27" s="36">
        <f t="shared" si="4"/>
        <v>0</v>
      </c>
    </row>
    <row r="28" spans="1:25" ht="15" outlineLevel="2">
      <c r="A28" s="6" t="s">
        <v>7</v>
      </c>
      <c r="B28" s="6" t="s">
        <v>8</v>
      </c>
      <c r="C28" s="6" t="s">
        <v>9</v>
      </c>
      <c r="D28" s="6" t="s">
        <v>10</v>
      </c>
      <c r="E28" s="6" t="s">
        <v>30</v>
      </c>
      <c r="F28" s="6">
        <f t="shared" si="10"/>
        <v>0.5</v>
      </c>
      <c r="G28" s="1">
        <v>24669168.870000001</v>
      </c>
      <c r="H28" s="1"/>
      <c r="I28" s="6" t="s">
        <v>13</v>
      </c>
      <c r="J28" s="1">
        <v>15</v>
      </c>
      <c r="K28" s="1">
        <v>14.548741</v>
      </c>
      <c r="L28" s="1">
        <f t="shared" si="11"/>
        <v>742145.63167382288</v>
      </c>
      <c r="M28" s="1">
        <f t="shared" si="12"/>
        <v>1.1474866505766714</v>
      </c>
      <c r="N28" s="19">
        <f>IF((G28-L28*M28)&lt;0,G28,L28*M28)</f>
        <v>851602.20512950304</v>
      </c>
      <c r="O28" s="7"/>
      <c r="P28" s="11">
        <v>211636.17000000001</v>
      </c>
      <c r="Q28" s="12">
        <f>4098543.61+109645.88</f>
        <v>4208189.4900000002</v>
      </c>
      <c r="R28" s="12">
        <v>15968091.039999999</v>
      </c>
      <c r="S28" s="13">
        <v>4281252.1699999999</v>
      </c>
      <c r="T28" s="42">
        <f t="shared" si="18"/>
        <v>0</v>
      </c>
      <c r="U28" s="11">
        <f t="shared" si="19"/>
        <v>7305.8735787543528</v>
      </c>
      <c r="V28" s="12">
        <f t="shared" si="19"/>
        <v>145270.53862949208</v>
      </c>
      <c r="W28" s="12">
        <f t="shared" si="19"/>
        <v>551233.06395253749</v>
      </c>
      <c r="X28" s="13">
        <f t="shared" si="19"/>
        <v>147792.72896871899</v>
      </c>
      <c r="Y28" s="36">
        <f t="shared" si="4"/>
        <v>0</v>
      </c>
    </row>
    <row r="29" spans="1:25" ht="15" outlineLevel="1">
      <c r="A29" s="14" t="s">
        <v>44</v>
      </c>
      <c r="B29" s="6"/>
      <c r="C29" s="6"/>
      <c r="D29" s="6"/>
      <c r="E29" s="6"/>
      <c r="F29" s="6"/>
      <c r="G29" s="2">
        <f>SUBTOTAL(9,G14:G28)</f>
        <v>499333506.59999996</v>
      </c>
      <c r="H29" s="2"/>
      <c r="I29" s="14" t="s">
        <v>46</v>
      </c>
      <c r="J29" s="2"/>
      <c r="K29" s="2">
        <v>141900412.55345956</v>
      </c>
      <c r="L29" s="2">
        <f>+K29-N29</f>
        <v>0</v>
      </c>
      <c r="M29" s="2">
        <v>1.1474866505766714</v>
      </c>
      <c r="N29" s="15">
        <f>SUBTOTAL(9,N14:N28)</f>
        <v>141900412.55345953</v>
      </c>
      <c r="O29" s="7"/>
      <c r="P29" s="16">
        <f>SUBTOTAL(9,P14:P28)</f>
        <v>18024775.140000001</v>
      </c>
      <c r="Q29" s="17">
        <f>SUBTOTAL(9,Q14:Q28)</f>
        <v>172418666.50000003</v>
      </c>
      <c r="R29" s="17">
        <f>SUBTOTAL(9,R14:R28)</f>
        <v>33841800.57</v>
      </c>
      <c r="S29" s="18">
        <f>SUBTOTAL(9,S14:S28)</f>
        <v>275048264.39000005</v>
      </c>
      <c r="T29" s="42">
        <f t="shared" si="18"/>
        <v>0</v>
      </c>
      <c r="U29" s="11">
        <f>SUBTOTAL(9,U14:U28)</f>
        <v>8343867.2671618694</v>
      </c>
      <c r="V29" s="12">
        <f>SUBTOTAL(9,V14:V28)</f>
        <v>59494515.157577947</v>
      </c>
      <c r="W29" s="12">
        <f>SUBTOTAL(9,W14:W28)</f>
        <v>7892622.0632172981</v>
      </c>
      <c r="X29" s="13">
        <f>SUBTOTAL(9,X14:X28)</f>
        <v>66169408.065502435</v>
      </c>
      <c r="Y29" s="36">
        <f t="shared" si="4"/>
        <v>0</v>
      </c>
    </row>
    <row r="30" spans="1:25" ht="15" outlineLevel="2">
      <c r="A30" s="6" t="s">
        <v>31</v>
      </c>
      <c r="B30" s="6" t="s">
        <v>8</v>
      </c>
      <c r="C30" s="6" t="s">
        <v>9</v>
      </c>
      <c r="D30" s="6" t="s">
        <v>10</v>
      </c>
      <c r="E30" s="6" t="s">
        <v>11</v>
      </c>
      <c r="F30" s="6">
        <f t="shared" si="20" ref="F30:F37">2021.5-E30</f>
        <v>14.5</v>
      </c>
      <c r="G30" s="1">
        <v>360424.87</v>
      </c>
      <c r="H30" s="1"/>
      <c r="I30" s="6" t="s">
        <v>13</v>
      </c>
      <c r="J30" s="1">
        <v>15</v>
      </c>
      <c r="K30" s="1">
        <v>4.4011519999999997</v>
      </c>
      <c r="L30" s="1">
        <f t="shared" si="21" ref="L30:L37">+(1-K30/J30)*G30</f>
        <v>254672.56083665066</v>
      </c>
      <c r="M30" s="1">
        <f t="shared" si="22" ref="M30:M37">$M$38</f>
        <v>1.5083844453769126</v>
      </c>
      <c r="N30" s="19">
        <f t="shared" si="23" ref="N30:N37">IF((G30-L30*M30)&lt;0,G30,L30*M30)</f>
        <v>360424.87</v>
      </c>
      <c r="O30" s="7"/>
      <c r="P30" s="11">
        <f t="shared" si="24" ref="P30:P37">+G30</f>
        <v>360424.87</v>
      </c>
      <c r="Q30" s="12"/>
      <c r="R30" s="12"/>
      <c r="S30" s="13"/>
      <c r="T30" s="42">
        <f t="shared" si="18"/>
        <v>0</v>
      </c>
      <c r="U30" s="11">
        <f t="shared" si="25" ref="U30:X37">+$N30*P30/$G30</f>
        <v>360424.87</v>
      </c>
      <c r="V30" s="12">
        <f t="shared" si="25"/>
        <v>0</v>
      </c>
      <c r="W30" s="12">
        <f t="shared" si="25"/>
        <v>0</v>
      </c>
      <c r="X30" s="13">
        <f t="shared" si="25"/>
        <v>0</v>
      </c>
      <c r="Y30" s="36">
        <f t="shared" si="4"/>
        <v>0</v>
      </c>
    </row>
    <row r="31" spans="1:25" ht="15" outlineLevel="2">
      <c r="A31" s="6" t="s">
        <v>31</v>
      </c>
      <c r="B31" s="6" t="s">
        <v>8</v>
      </c>
      <c r="C31" s="6" t="s">
        <v>9</v>
      </c>
      <c r="D31" s="6" t="s">
        <v>10</v>
      </c>
      <c r="E31" s="6" t="s">
        <v>14</v>
      </c>
      <c r="F31" s="6">
        <f t="shared" si="20"/>
        <v>13.5</v>
      </c>
      <c r="G31" s="1">
        <v>117463.53</v>
      </c>
      <c r="H31" s="1"/>
      <c r="I31" s="6" t="s">
        <v>13</v>
      </c>
      <c r="J31" s="1">
        <v>15</v>
      </c>
      <c r="K31" s="1">
        <v>4.9147959999999999</v>
      </c>
      <c r="L31" s="1">
        <f t="shared" si="21"/>
        <v>78976.24417400801</v>
      </c>
      <c r="M31" s="1">
        <f t="shared" si="22"/>
        <v>1.5083844453769126</v>
      </c>
      <c r="N31" s="19">
        <f t="shared" si="23"/>
        <v>117463.53</v>
      </c>
      <c r="O31" s="7"/>
      <c r="P31" s="11">
        <f t="shared" si="24"/>
        <v>117463.53</v>
      </c>
      <c r="Q31" s="12"/>
      <c r="R31" s="12"/>
      <c r="S31" s="13"/>
      <c r="T31" s="42">
        <f t="shared" si="18"/>
        <v>0</v>
      </c>
      <c r="U31" s="11">
        <f t="shared" si="25"/>
        <v>117463.53</v>
      </c>
      <c r="V31" s="12">
        <f t="shared" si="25"/>
        <v>0</v>
      </c>
      <c r="W31" s="12">
        <f t="shared" si="25"/>
        <v>0</v>
      </c>
      <c r="X31" s="13">
        <f t="shared" si="25"/>
        <v>0</v>
      </c>
      <c r="Y31" s="36">
        <f t="shared" si="4"/>
        <v>0</v>
      </c>
    </row>
    <row r="32" spans="1:25" ht="15" outlineLevel="2">
      <c r="A32" s="6" t="s">
        <v>31</v>
      </c>
      <c r="B32" s="6" t="s">
        <v>8</v>
      </c>
      <c r="C32" s="6" t="s">
        <v>9</v>
      </c>
      <c r="D32" s="6" t="s">
        <v>10</v>
      </c>
      <c r="E32" s="6" t="s">
        <v>15</v>
      </c>
      <c r="F32" s="6">
        <f t="shared" si="20"/>
        <v>12.5</v>
      </c>
      <c r="G32" s="1">
        <v>23572.5</v>
      </c>
      <c r="H32" s="1"/>
      <c r="I32" s="6" t="s">
        <v>13</v>
      </c>
      <c r="J32" s="1">
        <v>15</v>
      </c>
      <c r="K32" s="1">
        <f>+K31</f>
        <v>4.9147959999999999</v>
      </c>
      <c r="L32" s="1">
        <f t="shared" si="21"/>
        <v>15848.898086000001</v>
      </c>
      <c r="M32" s="1">
        <f t="shared" si="22"/>
        <v>1.5083844453769126</v>
      </c>
      <c r="N32" s="19">
        <f t="shared" si="23"/>
        <v>23572.5</v>
      </c>
      <c r="O32" s="7"/>
      <c r="P32" s="11">
        <f t="shared" si="24"/>
        <v>23572.5</v>
      </c>
      <c r="Q32" s="12"/>
      <c r="R32" s="12"/>
      <c r="S32" s="13"/>
      <c r="T32" s="42">
        <f t="shared" si="18"/>
        <v>0</v>
      </c>
      <c r="U32" s="11">
        <f t="shared" si="25"/>
        <v>23572.5</v>
      </c>
      <c r="V32" s="12">
        <f t="shared" si="25"/>
        <v>0</v>
      </c>
      <c r="W32" s="12">
        <f t="shared" si="25"/>
        <v>0</v>
      </c>
      <c r="X32" s="13">
        <f t="shared" si="25"/>
        <v>0</v>
      </c>
      <c r="Y32" s="36">
        <f t="shared" si="4"/>
        <v>0</v>
      </c>
    </row>
    <row r="33" spans="1:25" ht="15" outlineLevel="2">
      <c r="A33" s="6" t="s">
        <v>31</v>
      </c>
      <c r="B33" s="6" t="s">
        <v>8</v>
      </c>
      <c r="C33" s="6" t="s">
        <v>9</v>
      </c>
      <c r="D33" s="6" t="s">
        <v>10</v>
      </c>
      <c r="E33" s="6" t="s">
        <v>25</v>
      </c>
      <c r="F33" s="6">
        <f t="shared" si="20"/>
        <v>4.5</v>
      </c>
      <c r="G33" s="1">
        <v>524235.5</v>
      </c>
      <c r="H33" s="1"/>
      <c r="I33" s="6" t="s">
        <v>13</v>
      </c>
      <c r="J33" s="1">
        <v>15</v>
      </c>
      <c r="K33" s="1">
        <v>11.108863</v>
      </c>
      <c r="L33" s="1">
        <f t="shared" si="21"/>
        <v>135991.47671756669</v>
      </c>
      <c r="M33" s="1">
        <f t="shared" si="22"/>
        <v>1.5083844453769126</v>
      </c>
      <c r="N33" s="19">
        <f t="shared" si="23"/>
        <v>205127.42818461417</v>
      </c>
      <c r="O33" s="7"/>
      <c r="P33" s="11">
        <f t="shared" si="24"/>
        <v>524235.5</v>
      </c>
      <c r="Q33" s="12"/>
      <c r="R33" s="12"/>
      <c r="S33" s="13"/>
      <c r="T33" s="42">
        <f t="shared" si="18"/>
        <v>0</v>
      </c>
      <c r="U33" s="11">
        <f t="shared" si="25"/>
        <v>205127.42818461417</v>
      </c>
      <c r="V33" s="12">
        <f t="shared" si="25"/>
        <v>0</v>
      </c>
      <c r="W33" s="12">
        <f t="shared" si="25"/>
        <v>0</v>
      </c>
      <c r="X33" s="13">
        <f t="shared" si="25"/>
        <v>0</v>
      </c>
      <c r="Y33" s="36">
        <f t="shared" si="4"/>
        <v>0</v>
      </c>
    </row>
    <row r="34" spans="1:25" ht="15" outlineLevel="2">
      <c r="A34" s="6" t="s">
        <v>31</v>
      </c>
      <c r="B34" s="6" t="s">
        <v>8</v>
      </c>
      <c r="C34" s="6" t="s">
        <v>9</v>
      </c>
      <c r="D34" s="6" t="s">
        <v>10</v>
      </c>
      <c r="E34" s="6" t="s">
        <v>26</v>
      </c>
      <c r="F34" s="6">
        <f t="shared" si="20"/>
        <v>3.5</v>
      </c>
      <c r="G34" s="1">
        <v>10017836.390000001</v>
      </c>
      <c r="H34" s="1"/>
      <c r="I34" s="6" t="s">
        <v>13</v>
      </c>
      <c r="J34" s="1">
        <v>15</v>
      </c>
      <c r="K34" s="1">
        <v>11.937706</v>
      </c>
      <c r="L34" s="1">
        <f t="shared" si="21"/>
        <v>2045170.6846719103</v>
      </c>
      <c r="M34" s="1">
        <f t="shared" si="22"/>
        <v>1.5083844453769126</v>
      </c>
      <c r="N34" s="19">
        <f t="shared" si="23"/>
        <v>3084903.6488999599</v>
      </c>
      <c r="O34" s="7"/>
      <c r="P34" s="11">
        <f t="shared" si="24"/>
        <v>10017836.390000001</v>
      </c>
      <c r="Q34" s="12"/>
      <c r="R34" s="12"/>
      <c r="S34" s="13"/>
      <c r="T34" s="42">
        <f t="shared" si="18"/>
        <v>0</v>
      </c>
      <c r="U34" s="11">
        <f t="shared" si="25"/>
        <v>3084903.6488999599</v>
      </c>
      <c r="V34" s="12">
        <f t="shared" si="25"/>
        <v>0</v>
      </c>
      <c r="W34" s="12">
        <f t="shared" si="25"/>
        <v>0</v>
      </c>
      <c r="X34" s="13">
        <f t="shared" si="25"/>
        <v>0</v>
      </c>
      <c r="Y34" s="36">
        <f t="shared" si="4"/>
        <v>0</v>
      </c>
    </row>
    <row r="35" spans="1:25" ht="15" outlineLevel="2">
      <c r="A35" s="6" t="s">
        <v>31</v>
      </c>
      <c r="B35" s="6" t="s">
        <v>8</v>
      </c>
      <c r="C35" s="6" t="s">
        <v>9</v>
      </c>
      <c r="D35" s="6" t="s">
        <v>10</v>
      </c>
      <c r="E35" s="6" t="s">
        <v>27</v>
      </c>
      <c r="F35" s="6">
        <f t="shared" si="20"/>
        <v>2.5</v>
      </c>
      <c r="G35" s="1">
        <v>8663932.0500000007</v>
      </c>
      <c r="H35" s="1"/>
      <c r="I35" s="6" t="s">
        <v>13</v>
      </c>
      <c r="J35" s="1">
        <v>15</v>
      </c>
      <c r="K35" s="1">
        <v>12.788309999999999</v>
      </c>
      <c r="L35" s="1">
        <f t="shared" si="21"/>
        <v>1277462.1250443007</v>
      </c>
      <c r="M35" s="1">
        <f t="shared" si="22"/>
        <v>1.5083844453769126</v>
      </c>
      <c r="N35" s="19">
        <f t="shared" si="23"/>
        <v>1926903.9989749596</v>
      </c>
      <c r="O35" s="7"/>
      <c r="P35" s="11">
        <f t="shared" si="24"/>
        <v>8663932.0500000007</v>
      </c>
      <c r="Q35" s="12"/>
      <c r="R35" s="12"/>
      <c r="S35" s="13"/>
      <c r="T35" s="42">
        <f t="shared" si="18"/>
        <v>0</v>
      </c>
      <c r="U35" s="11">
        <f t="shared" si="25"/>
        <v>1926903.9989749596</v>
      </c>
      <c r="V35" s="12">
        <f t="shared" si="25"/>
        <v>0</v>
      </c>
      <c r="W35" s="12">
        <f t="shared" si="25"/>
        <v>0</v>
      </c>
      <c r="X35" s="13">
        <f t="shared" si="25"/>
        <v>0</v>
      </c>
      <c r="Y35" s="36">
        <f t="shared" si="4"/>
        <v>0</v>
      </c>
    </row>
    <row r="36" spans="1:25" ht="15" outlineLevel="2">
      <c r="A36" s="6" t="s">
        <v>31</v>
      </c>
      <c r="B36" s="6" t="s">
        <v>8</v>
      </c>
      <c r="C36" s="6" t="s">
        <v>9</v>
      </c>
      <c r="D36" s="6" t="s">
        <v>10</v>
      </c>
      <c r="E36" s="6" t="s">
        <v>28</v>
      </c>
      <c r="F36" s="6">
        <f t="shared" si="20"/>
        <v>1.5</v>
      </c>
      <c r="G36" s="1">
        <v>30159257.68</v>
      </c>
      <c r="H36" s="1"/>
      <c r="I36" s="6" t="s">
        <v>13</v>
      </c>
      <c r="J36" s="1">
        <v>15</v>
      </c>
      <c r="K36" s="1">
        <v>13.659128000000001</v>
      </c>
      <c r="L36" s="1">
        <f t="shared" si="21"/>
        <v>2695980.2775931298</v>
      </c>
      <c r="M36" s="1">
        <f t="shared" si="22"/>
        <v>1.5083844453769126</v>
      </c>
      <c r="N36" s="19">
        <f t="shared" si="23"/>
        <v>4066574.715764408</v>
      </c>
      <c r="O36" s="7"/>
      <c r="P36" s="11">
        <f t="shared" si="24"/>
        <v>30159257.68</v>
      </c>
      <c r="Q36" s="12"/>
      <c r="R36" s="12"/>
      <c r="S36" s="13"/>
      <c r="T36" s="42">
        <f t="shared" si="18"/>
        <v>0</v>
      </c>
      <c r="U36" s="11">
        <f t="shared" si="25"/>
        <v>4066574.715764408</v>
      </c>
      <c r="V36" s="12">
        <f t="shared" si="25"/>
        <v>0</v>
      </c>
      <c r="W36" s="12">
        <f t="shared" si="25"/>
        <v>0</v>
      </c>
      <c r="X36" s="13">
        <f t="shared" si="25"/>
        <v>0</v>
      </c>
      <c r="Y36" s="36">
        <f t="shared" si="26" ref="Y36:Y99">-SUM(U36:X36)+N36</f>
        <v>0</v>
      </c>
    </row>
    <row r="37" spans="1:25" ht="15" outlineLevel="2">
      <c r="A37" s="6" t="s">
        <v>31</v>
      </c>
      <c r="B37" s="6" t="s">
        <v>8</v>
      </c>
      <c r="C37" s="6" t="s">
        <v>9</v>
      </c>
      <c r="D37" s="6" t="s">
        <v>10</v>
      </c>
      <c r="E37" s="6" t="s">
        <v>30</v>
      </c>
      <c r="F37" s="6">
        <f t="shared" si="20"/>
        <v>0.5</v>
      </c>
      <c r="G37" s="1">
        <v>10118264.789999999</v>
      </c>
      <c r="H37" s="1"/>
      <c r="I37" s="6" t="s">
        <v>13</v>
      </c>
      <c r="J37" s="1">
        <v>15</v>
      </c>
      <c r="K37" s="1">
        <v>14.548741</v>
      </c>
      <c r="L37" s="1">
        <f t="shared" si="21"/>
        <v>304397.20339137432</v>
      </c>
      <c r="M37" s="1">
        <f t="shared" si="22"/>
        <v>1.5083844453769126</v>
      </c>
      <c r="N37" s="19">
        <f t="shared" si="23"/>
        <v>459148.00681178144</v>
      </c>
      <c r="O37" s="7"/>
      <c r="P37" s="11">
        <f t="shared" si="24"/>
        <v>10118264.789999999</v>
      </c>
      <c r="Q37" s="12"/>
      <c r="R37" s="12"/>
      <c r="S37" s="13"/>
      <c r="T37" s="42">
        <f t="shared" si="18"/>
        <v>0</v>
      </c>
      <c r="U37" s="11">
        <f t="shared" si="25"/>
        <v>459148.00681178144</v>
      </c>
      <c r="V37" s="12">
        <f t="shared" si="25"/>
        <v>0</v>
      </c>
      <c r="W37" s="12">
        <f t="shared" si="25"/>
        <v>0</v>
      </c>
      <c r="X37" s="13">
        <f t="shared" si="25"/>
        <v>0</v>
      </c>
      <c r="Y37" s="36">
        <f t="shared" si="26"/>
        <v>0</v>
      </c>
    </row>
    <row r="38" spans="1:25" ht="15" outlineLevel="1">
      <c r="A38" s="14" t="s">
        <v>45</v>
      </c>
      <c r="B38" s="6"/>
      <c r="C38" s="6"/>
      <c r="D38" s="6"/>
      <c r="E38" s="6"/>
      <c r="F38" s="6"/>
      <c r="G38" s="2">
        <f>SUBTOTAL(9,G30:G37)</f>
        <v>59984987.310000002</v>
      </c>
      <c r="H38" s="2"/>
      <c r="I38" s="14" t="s">
        <v>46</v>
      </c>
      <c r="J38" s="2"/>
      <c r="K38" s="2">
        <v>10244118.698181942</v>
      </c>
      <c r="L38" s="2"/>
      <c r="M38" s="2">
        <v>1.5083844453769126</v>
      </c>
      <c r="N38" s="20">
        <f>SUBTOTAL(9,N30:N37)</f>
        <v>10244118.698635722</v>
      </c>
      <c r="O38" s="7"/>
      <c r="P38" s="16">
        <f t="shared" si="27" ref="P38:S38">SUBTOTAL(9,P30:P37)</f>
        <v>59984987.310000002</v>
      </c>
      <c r="Q38" s="17">
        <f t="shared" si="27"/>
        <v>0</v>
      </c>
      <c r="R38" s="17">
        <f t="shared" si="27"/>
        <v>0</v>
      </c>
      <c r="S38" s="18">
        <f t="shared" si="27"/>
        <v>0</v>
      </c>
      <c r="T38" s="42">
        <f t="shared" si="18"/>
        <v>0</v>
      </c>
      <c r="U38" s="11">
        <f t="shared" si="28" ref="U38:X38">SUBTOTAL(9,U30:U37)</f>
        <v>10244118.698635722</v>
      </c>
      <c r="V38" s="12">
        <f t="shared" si="28"/>
        <v>0</v>
      </c>
      <c r="W38" s="12">
        <f t="shared" si="28"/>
        <v>0</v>
      </c>
      <c r="X38" s="13">
        <f t="shared" si="28"/>
        <v>0</v>
      </c>
      <c r="Y38" s="36">
        <f t="shared" si="26"/>
        <v>0</v>
      </c>
    </row>
    <row r="39" spans="1:25" ht="15">
      <c r="A39" s="6" t="s">
        <v>7</v>
      </c>
      <c r="B39" s="6" t="s">
        <v>8</v>
      </c>
      <c r="C39" s="6" t="s">
        <v>9</v>
      </c>
      <c r="D39" s="6" t="s">
        <v>10</v>
      </c>
      <c r="E39" s="6" t="s">
        <v>28</v>
      </c>
      <c r="F39" s="6">
        <f>2021.5-E39</f>
        <v>1.5</v>
      </c>
      <c r="G39" s="1">
        <v>208242.09999999998</v>
      </c>
      <c r="H39" s="1"/>
      <c r="I39" s="6" t="s">
        <v>29</v>
      </c>
      <c r="J39" s="1">
        <v>3</v>
      </c>
      <c r="K39" s="1">
        <v>1.7615529999999999</v>
      </c>
      <c r="L39" s="1">
        <f>+(1-K39/J39)*G39</f>
        <v>85965.601339566667</v>
      </c>
      <c r="M39" s="1">
        <v>1.0718291335510692</v>
      </c>
      <c r="N39" s="19">
        <f>IF((G39-L39*M39)&lt;0,G39,L39*M39)+0.01</f>
        <v>92140.445998984374</v>
      </c>
      <c r="O39" s="7"/>
      <c r="P39" s="11"/>
      <c r="Q39" s="12">
        <f>+G39</f>
        <v>208242.09999999998</v>
      </c>
      <c r="R39" s="12"/>
      <c r="S39" s="13"/>
      <c r="T39" s="42">
        <f t="shared" si="18"/>
        <v>0</v>
      </c>
      <c r="U39" s="11"/>
      <c r="V39" s="12">
        <f t="shared" si="29" ref="V39:X42">+$N39*Q39/$G39</f>
        <v>92140.445998984374</v>
      </c>
      <c r="W39" s="12">
        <f t="shared" si="29"/>
        <v>0</v>
      </c>
      <c r="X39" s="13">
        <f t="shared" si="29"/>
        <v>0</v>
      </c>
      <c r="Y39" s="36">
        <f t="shared" si="26"/>
        <v>0</v>
      </c>
    </row>
    <row r="40" spans="1:25" ht="15">
      <c r="A40" s="6" t="s">
        <v>7</v>
      </c>
      <c r="B40" s="6" t="s">
        <v>8</v>
      </c>
      <c r="C40" s="6" t="s">
        <v>9</v>
      </c>
      <c r="D40" s="6" t="s">
        <v>10</v>
      </c>
      <c r="E40" s="6" t="s">
        <v>28</v>
      </c>
      <c r="F40" s="6">
        <f>2021.5-E40</f>
        <v>1.5</v>
      </c>
      <c r="G40" s="1">
        <v>193396.23000000001</v>
      </c>
      <c r="H40" s="1"/>
      <c r="I40" s="6" t="s">
        <v>29</v>
      </c>
      <c r="J40" s="1">
        <v>3</v>
      </c>
      <c r="K40" s="1">
        <v>1.7615529999999999</v>
      </c>
      <c r="L40" s="1">
        <f>+(1-K40/J40)*G40</f>
        <v>79836.993618270004</v>
      </c>
      <c r="M40" s="1">
        <v>1.0718291335510692</v>
      </c>
      <c r="N40" s="19">
        <f>IF((G40-L40*M40)&lt;0,G40,L40*M40)</f>
        <v>85571.61569519258</v>
      </c>
      <c r="O40" s="7"/>
      <c r="P40" s="11">
        <f>+G40</f>
        <v>193396.23000000001</v>
      </c>
      <c r="Q40" s="12"/>
      <c r="R40" s="12"/>
      <c r="S40" s="13"/>
      <c r="T40" s="42">
        <f t="shared" si="18"/>
        <v>0</v>
      </c>
      <c r="U40" s="11">
        <f>+N40</f>
        <v>85571.61569519258</v>
      </c>
      <c r="V40" s="12">
        <f t="shared" si="29"/>
        <v>0</v>
      </c>
      <c r="W40" s="12">
        <f t="shared" si="29"/>
        <v>0</v>
      </c>
      <c r="X40" s="13">
        <f t="shared" si="29"/>
        <v>0</v>
      </c>
      <c r="Y40" s="36">
        <f t="shared" si="26"/>
        <v>0</v>
      </c>
    </row>
    <row r="41" spans="1:25" ht="15">
      <c r="A41" s="6" t="s">
        <v>7</v>
      </c>
      <c r="B41" s="6" t="s">
        <v>8</v>
      </c>
      <c r="C41" s="6" t="s">
        <v>9</v>
      </c>
      <c r="D41" s="6" t="s">
        <v>10</v>
      </c>
      <c r="E41" s="6" t="s">
        <v>28</v>
      </c>
      <c r="F41" s="6">
        <f>2021.5-E41</f>
        <v>1.5</v>
      </c>
      <c r="G41" s="1">
        <v>6068.1199999999999</v>
      </c>
      <c r="H41" s="1"/>
      <c r="I41" s="6" t="s">
        <v>29</v>
      </c>
      <c r="J41" s="1">
        <v>3</v>
      </c>
      <c r="K41" s="1">
        <v>1.7615529999999999</v>
      </c>
      <c r="L41" s="1">
        <f>+(1-K41/J41)*G41</f>
        <v>2505.0150032133333</v>
      </c>
      <c r="M41" s="1">
        <v>1.0718291335510692</v>
      </c>
      <c r="N41" s="19">
        <f>IF((G41-L41*M41)&lt;0,G41,L41*M41)</f>
        <v>2684.9480604265759</v>
      </c>
      <c r="O41" s="7"/>
      <c r="P41" s="11"/>
      <c r="Q41" s="12"/>
      <c r="R41" s="12">
        <f>+G41</f>
        <v>6068.1199999999999</v>
      </c>
      <c r="S41" s="13"/>
      <c r="T41" s="42">
        <f t="shared" si="18"/>
        <v>0</v>
      </c>
      <c r="U41" s="11"/>
      <c r="V41" s="12">
        <f t="shared" si="29"/>
        <v>0</v>
      </c>
      <c r="W41" s="12">
        <f t="shared" si="29"/>
        <v>2684.9480604265759</v>
      </c>
      <c r="X41" s="13">
        <f t="shared" si="29"/>
        <v>0</v>
      </c>
      <c r="Y41" s="36">
        <f t="shared" si="26"/>
        <v>0</v>
      </c>
    </row>
    <row r="42" spans="1:25" ht="15">
      <c r="A42" s="6" t="s">
        <v>7</v>
      </c>
      <c r="B42" s="6" t="s">
        <v>8</v>
      </c>
      <c r="C42" s="6" t="s">
        <v>9</v>
      </c>
      <c r="D42" s="6" t="s">
        <v>10</v>
      </c>
      <c r="E42" s="6" t="s">
        <v>28</v>
      </c>
      <c r="F42" s="6">
        <f>2021.5-E42</f>
        <v>1.5</v>
      </c>
      <c r="G42" s="1">
        <v>371.35000000000002</v>
      </c>
      <c r="H42" s="1"/>
      <c r="I42" s="6" t="s">
        <v>29</v>
      </c>
      <c r="J42" s="1">
        <v>3</v>
      </c>
      <c r="K42" s="1">
        <v>1.7615529999999999</v>
      </c>
      <c r="L42" s="1">
        <f>+(1-K42/J42)*G42</f>
        <v>153.29909781666669</v>
      </c>
      <c r="M42" s="1">
        <v>1.0718291335510692</v>
      </c>
      <c r="N42" s="19">
        <f>IF((G42-L42*M42)&lt;0,G42,L42*M42)</f>
        <v>164.31043918699848</v>
      </c>
      <c r="O42" s="7"/>
      <c r="P42" s="11"/>
      <c r="Q42" s="12"/>
      <c r="R42" s="12"/>
      <c r="S42" s="13">
        <f>+G42</f>
        <v>371.35000000000002</v>
      </c>
      <c r="T42" s="42">
        <f t="shared" si="18"/>
        <v>0</v>
      </c>
      <c r="U42" s="11">
        <f>+$N42*P42/$G42</f>
        <v>0</v>
      </c>
      <c r="V42" s="12">
        <f t="shared" si="29"/>
        <v>0</v>
      </c>
      <c r="W42" s="12">
        <f t="shared" si="29"/>
        <v>0</v>
      </c>
      <c r="X42" s="13">
        <f t="shared" si="29"/>
        <v>164.31043918699848</v>
      </c>
      <c r="Y42" s="36">
        <f t="shared" si="26"/>
        <v>0</v>
      </c>
    </row>
    <row r="43" spans="1:25" ht="15">
      <c r="A43" s="6"/>
      <c r="B43" s="6"/>
      <c r="C43" s="6"/>
      <c r="D43" s="6"/>
      <c r="E43" s="6"/>
      <c r="F43" s="6"/>
      <c r="G43" s="2">
        <f>SUM(G39:G42)</f>
        <v>408077.79999999993</v>
      </c>
      <c r="H43" s="2"/>
      <c r="I43" s="14" t="s">
        <v>46</v>
      </c>
      <c r="J43" s="2"/>
      <c r="K43" s="2"/>
      <c r="L43" s="2"/>
      <c r="M43" s="2"/>
      <c r="N43" s="15">
        <f>SUM(N39:N42)</f>
        <v>180561.32019379051</v>
      </c>
      <c r="O43" s="7"/>
      <c r="P43" s="16">
        <f t="shared" si="30" ref="P43:X43">SUM(P39:P42)</f>
        <v>193396.23000000001</v>
      </c>
      <c r="Q43" s="17">
        <f t="shared" si="30"/>
        <v>208242.09999999998</v>
      </c>
      <c r="R43" s="17">
        <f t="shared" si="30"/>
        <v>6068.1199999999999</v>
      </c>
      <c r="S43" s="18">
        <f t="shared" si="30"/>
        <v>371.35000000000002</v>
      </c>
      <c r="T43" s="42">
        <f t="shared" si="18"/>
        <v>0</v>
      </c>
      <c r="U43" s="11">
        <f t="shared" si="30"/>
        <v>85571.61569519258</v>
      </c>
      <c r="V43" s="12">
        <f t="shared" si="30"/>
        <v>92140.445998984374</v>
      </c>
      <c r="W43" s="12">
        <f t="shared" si="30"/>
        <v>2684.9480604265759</v>
      </c>
      <c r="X43" s="13">
        <f t="shared" si="30"/>
        <v>164.31043918699848</v>
      </c>
      <c r="Y43" s="36">
        <f t="shared" si="26"/>
        <v>0</v>
      </c>
    </row>
    <row r="44" spans="1:25" ht="15" outlineLevel="2">
      <c r="A44" s="6" t="s">
        <v>7</v>
      </c>
      <c r="B44" s="6" t="s">
        <v>8</v>
      </c>
      <c r="C44" s="6" t="s">
        <v>9</v>
      </c>
      <c r="D44" s="6" t="s">
        <v>10</v>
      </c>
      <c r="E44" s="6" t="s">
        <v>30</v>
      </c>
      <c r="F44" s="6">
        <f t="shared" si="31" ref="F44:F71">2021.5-E44</f>
        <v>0.5</v>
      </c>
      <c r="G44" s="1">
        <v>6579210.1900000004</v>
      </c>
      <c r="H44" s="1"/>
      <c r="I44" s="6" t="s">
        <v>22</v>
      </c>
      <c r="J44" s="1">
        <v>5</v>
      </c>
      <c r="K44" s="1">
        <v>4.5531430000000004</v>
      </c>
      <c r="L44" s="1">
        <f t="shared" si="32" ref="L44:L71">+(1-K44/J44)*G44</f>
        <v>587993.22557456524</v>
      </c>
      <c r="M44" s="1">
        <f t="shared" si="33" ref="M44:M71">$M$72</f>
        <v>1.0778518730571636</v>
      </c>
      <c r="N44" s="19">
        <f t="shared" si="34" ref="N44:N71">IF((G44-L44*M44)&lt;0,G44,L44*M44)</f>
        <v>633769.59953046846</v>
      </c>
      <c r="O44" s="7"/>
      <c r="P44" s="11"/>
      <c r="Q44" s="12">
        <f>+G44</f>
        <v>6579210.1900000004</v>
      </c>
      <c r="R44" s="12"/>
      <c r="S44" s="13"/>
      <c r="T44" s="42">
        <f t="shared" si="18"/>
        <v>0</v>
      </c>
      <c r="U44" s="11">
        <f t="shared" si="35" ref="U44:X47">+$N44*P44/$G44</f>
        <v>0</v>
      </c>
      <c r="V44" s="12">
        <f t="shared" si="35"/>
        <v>633769.59953046846</v>
      </c>
      <c r="W44" s="12">
        <f t="shared" si="35"/>
        <v>0</v>
      </c>
      <c r="X44" s="13">
        <f t="shared" si="35"/>
        <v>0</v>
      </c>
      <c r="Y44" s="36">
        <f t="shared" si="26"/>
        <v>0</v>
      </c>
    </row>
    <row r="45" spans="1:25" ht="15" outlineLevel="2">
      <c r="A45" s="6" t="s">
        <v>7</v>
      </c>
      <c r="B45" s="6" t="s">
        <v>8</v>
      </c>
      <c r="C45" s="6" t="s">
        <v>9</v>
      </c>
      <c r="D45" s="6" t="s">
        <v>10</v>
      </c>
      <c r="E45" s="6" t="s">
        <v>28</v>
      </c>
      <c r="F45" s="6">
        <f t="shared" si="31"/>
        <v>1.5</v>
      </c>
      <c r="G45" s="1">
        <v>2813663.6800000002</v>
      </c>
      <c r="H45" s="1"/>
      <c r="I45" s="6" t="s">
        <v>22</v>
      </c>
      <c r="J45" s="1">
        <v>5</v>
      </c>
      <c r="K45" s="1">
        <v>3.7046929999999998</v>
      </c>
      <c r="L45" s="1">
        <f t="shared" si="32"/>
        <v>728911.65206995199</v>
      </c>
      <c r="M45" s="1">
        <f t="shared" si="33"/>
        <v>1.0778518730571636</v>
      </c>
      <c r="N45" s="19">
        <f t="shared" si="34"/>
        <v>785658.7894767893</v>
      </c>
      <c r="O45" s="7"/>
      <c r="P45" s="11"/>
      <c r="Q45" s="12">
        <f t="shared" si="36" ref="Q45:Q50">+G45</f>
        <v>2813663.6800000002</v>
      </c>
      <c r="R45" s="12"/>
      <c r="S45" s="13"/>
      <c r="T45" s="42">
        <f t="shared" si="18"/>
        <v>0</v>
      </c>
      <c r="U45" s="11">
        <f t="shared" si="35"/>
        <v>0</v>
      </c>
      <c r="V45" s="12">
        <f t="shared" si="35"/>
        <v>785658.7894767893</v>
      </c>
      <c r="W45" s="12">
        <f t="shared" si="35"/>
        <v>0</v>
      </c>
      <c r="X45" s="13">
        <f t="shared" si="35"/>
        <v>0</v>
      </c>
      <c r="Y45" s="36">
        <f t="shared" si="26"/>
        <v>0</v>
      </c>
    </row>
    <row r="46" spans="1:25" ht="15" outlineLevel="2">
      <c r="A46" s="6" t="s">
        <v>7</v>
      </c>
      <c r="B46" s="6" t="s">
        <v>8</v>
      </c>
      <c r="C46" s="6" t="s">
        <v>9</v>
      </c>
      <c r="D46" s="6" t="s">
        <v>10</v>
      </c>
      <c r="E46" s="6" t="s">
        <v>27</v>
      </c>
      <c r="F46" s="6">
        <f t="shared" si="31"/>
        <v>2.5</v>
      </c>
      <c r="G46" s="1">
        <v>1887556.7</v>
      </c>
      <c r="H46" s="1"/>
      <c r="I46" s="6" t="s">
        <v>22</v>
      </c>
      <c r="J46" s="1">
        <v>5</v>
      </c>
      <c r="K46" s="1">
        <v>2.9277549999999999</v>
      </c>
      <c r="L46" s="1">
        <f t="shared" si="32"/>
        <v>782295.9867583001</v>
      </c>
      <c r="M46" s="1">
        <f t="shared" si="33"/>
        <v>1.0778518730571636</v>
      </c>
      <c r="N46" s="19">
        <f t="shared" si="34"/>
        <v>843199.19461253576</v>
      </c>
      <c r="O46" s="7"/>
      <c r="P46" s="11"/>
      <c r="Q46" s="12">
        <f t="shared" si="36"/>
        <v>1887556.7</v>
      </c>
      <c r="R46" s="12"/>
      <c r="S46" s="13"/>
      <c r="T46" s="42">
        <f t="shared" si="18"/>
        <v>0</v>
      </c>
      <c r="U46" s="11">
        <f t="shared" si="35"/>
        <v>0</v>
      </c>
      <c r="V46" s="12">
        <f t="shared" si="35"/>
        <v>843199.19461253576</v>
      </c>
      <c r="W46" s="12">
        <f t="shared" si="35"/>
        <v>0</v>
      </c>
      <c r="X46" s="13">
        <f t="shared" si="35"/>
        <v>0</v>
      </c>
      <c r="Y46" s="36">
        <f t="shared" si="26"/>
        <v>0</v>
      </c>
    </row>
    <row r="47" spans="1:25" ht="15" outlineLevel="2">
      <c r="A47" s="6" t="s">
        <v>7</v>
      </c>
      <c r="B47" s="6" t="s">
        <v>8</v>
      </c>
      <c r="C47" s="6" t="s">
        <v>9</v>
      </c>
      <c r="D47" s="6" t="s">
        <v>10</v>
      </c>
      <c r="E47" s="6" t="s">
        <v>26</v>
      </c>
      <c r="F47" s="6">
        <f t="shared" si="31"/>
        <v>3.5</v>
      </c>
      <c r="G47" s="1">
        <v>257095.10000000001</v>
      </c>
      <c r="H47" s="1"/>
      <c r="I47" s="6" t="s">
        <v>22</v>
      </c>
      <c r="J47" s="1">
        <v>5</v>
      </c>
      <c r="K47" s="1">
        <v>2.2386599999999999</v>
      </c>
      <c r="L47" s="1">
        <f t="shared" si="32"/>
        <v>141985.3966868</v>
      </c>
      <c r="M47" s="1">
        <f t="shared" si="33"/>
        <v>1.0778518730571636</v>
      </c>
      <c r="N47" s="19">
        <f t="shared" si="34"/>
        <v>153039.22576563177</v>
      </c>
      <c r="O47" s="7"/>
      <c r="P47" s="11"/>
      <c r="Q47" s="12">
        <f t="shared" si="36"/>
        <v>257095.10000000001</v>
      </c>
      <c r="R47" s="12"/>
      <c r="S47" s="13"/>
      <c r="T47" s="42">
        <f t="shared" si="18"/>
        <v>0</v>
      </c>
      <c r="U47" s="11">
        <f t="shared" si="35"/>
        <v>0</v>
      </c>
      <c r="V47" s="12">
        <f t="shared" si="35"/>
        <v>153039.22576563177</v>
      </c>
      <c r="W47" s="12">
        <f t="shared" si="35"/>
        <v>0</v>
      </c>
      <c r="X47" s="13">
        <f t="shared" si="35"/>
        <v>0</v>
      </c>
      <c r="Y47" s="36">
        <f t="shared" si="26"/>
        <v>0</v>
      </c>
    </row>
    <row r="48" spans="1:25" ht="15" outlineLevel="2">
      <c r="A48" s="6" t="s">
        <v>7</v>
      </c>
      <c r="B48" s="6" t="s">
        <v>8</v>
      </c>
      <c r="C48" s="6" t="s">
        <v>9</v>
      </c>
      <c r="D48" s="6" t="s">
        <v>10</v>
      </c>
      <c r="E48" s="6" t="s">
        <v>25</v>
      </c>
      <c r="F48" s="6">
        <f t="shared" si="31"/>
        <v>4.5</v>
      </c>
      <c r="G48" s="1">
        <v>-157.24000000000001</v>
      </c>
      <c r="H48" s="1"/>
      <c r="I48" s="6" t="s">
        <v>22</v>
      </c>
      <c r="J48" s="1">
        <v>5</v>
      </c>
      <c r="K48" s="1">
        <v>1.6568099999999999</v>
      </c>
      <c r="L48" s="1">
        <f t="shared" si="32"/>
        <v>-105.13663912000001</v>
      </c>
      <c r="M48" s="1">
        <f t="shared" si="33"/>
        <v>1.0778518730571636</v>
      </c>
      <c r="N48" s="19">
        <f t="shared" si="34"/>
        <v>-157.24000000000001</v>
      </c>
      <c r="O48" s="7"/>
      <c r="P48" s="11"/>
      <c r="Q48" s="12">
        <f t="shared" si="36"/>
        <v>-157.24000000000001</v>
      </c>
      <c r="R48" s="12"/>
      <c r="S48" s="13"/>
      <c r="T48" s="42">
        <f t="shared" si="18"/>
        <v>0</v>
      </c>
      <c r="U48" s="11"/>
      <c r="V48" s="12">
        <f>+Q48</f>
        <v>-157.24000000000001</v>
      </c>
      <c r="W48" s="12"/>
      <c r="X48" s="13"/>
      <c r="Y48" s="36">
        <f t="shared" si="26"/>
        <v>0</v>
      </c>
    </row>
    <row r="49" spans="1:25" ht="15" outlineLevel="2">
      <c r="A49" s="6" t="s">
        <v>7</v>
      </c>
      <c r="B49" s="6" t="s">
        <v>8</v>
      </c>
      <c r="C49" s="6" t="s">
        <v>9</v>
      </c>
      <c r="D49" s="6" t="s">
        <v>10</v>
      </c>
      <c r="E49" s="6" t="s">
        <v>24</v>
      </c>
      <c r="F49" s="6">
        <f t="shared" si="31"/>
        <v>5.5</v>
      </c>
      <c r="G49" s="1">
        <v>19382.619999999999</v>
      </c>
      <c r="H49" s="1"/>
      <c r="I49" s="6" t="s">
        <v>22</v>
      </c>
      <c r="J49" s="1">
        <v>5</v>
      </c>
      <c r="K49" s="1">
        <v>1.1986250000000001</v>
      </c>
      <c r="L49" s="1">
        <f t="shared" si="32"/>
        <v>14736.1214205</v>
      </c>
      <c r="M49" s="1">
        <f t="shared" si="33"/>
        <v>1.0778518730571636</v>
      </c>
      <c r="N49" s="19">
        <f t="shared" si="34"/>
        <v>15883.356074683714</v>
      </c>
      <c r="O49" s="7"/>
      <c r="P49" s="11"/>
      <c r="Q49" s="12">
        <f t="shared" si="36"/>
        <v>19382.619999999999</v>
      </c>
      <c r="R49" s="12"/>
      <c r="S49" s="13"/>
      <c r="T49" s="42">
        <f t="shared" si="18"/>
        <v>0</v>
      </c>
      <c r="U49" s="11">
        <f t="shared" si="37" ref="U49:X54">+$N49*P49/$G49</f>
        <v>0</v>
      </c>
      <c r="V49" s="12">
        <f t="shared" si="37"/>
        <v>15883.356074683716</v>
      </c>
      <c r="W49" s="12">
        <f t="shared" si="37"/>
        <v>0</v>
      </c>
      <c r="X49" s="13">
        <f t="shared" si="37"/>
        <v>0</v>
      </c>
      <c r="Y49" s="36">
        <f t="shared" si="26"/>
        <v>0</v>
      </c>
    </row>
    <row r="50" spans="1:25" ht="15" outlineLevel="2">
      <c r="A50" s="6" t="s">
        <v>7</v>
      </c>
      <c r="B50" s="6" t="s">
        <v>8</v>
      </c>
      <c r="C50" s="6" t="s">
        <v>9</v>
      </c>
      <c r="D50" s="6" t="s">
        <v>10</v>
      </c>
      <c r="E50" s="6" t="s">
        <v>21</v>
      </c>
      <c r="F50" s="6">
        <f t="shared" si="31"/>
        <v>7.5</v>
      </c>
      <c r="G50" s="1">
        <v>133613.67000000001</v>
      </c>
      <c r="H50" s="1"/>
      <c r="I50" s="6" t="s">
        <v>22</v>
      </c>
      <c r="J50" s="1">
        <v>5</v>
      </c>
      <c r="K50" s="1">
        <v>0.59899899999999995</v>
      </c>
      <c r="L50" s="1">
        <f t="shared" si="32"/>
        <v>117606.77905673401</v>
      </c>
      <c r="M50" s="1">
        <f t="shared" si="33"/>
        <v>1.0778518730571636</v>
      </c>
      <c r="N50" s="19">
        <f t="shared" si="34"/>
        <v>126762.68709052075</v>
      </c>
      <c r="O50" s="7"/>
      <c r="P50" s="11"/>
      <c r="Q50" s="12">
        <f t="shared" si="36"/>
        <v>133613.67000000001</v>
      </c>
      <c r="R50" s="12"/>
      <c r="S50" s="13"/>
      <c r="T50" s="42">
        <f t="shared" si="18"/>
        <v>0</v>
      </c>
      <c r="U50" s="11">
        <f t="shared" si="37"/>
        <v>0</v>
      </c>
      <c r="V50" s="12">
        <f t="shared" si="37"/>
        <v>126762.68709052075</v>
      </c>
      <c r="W50" s="12">
        <f t="shared" si="37"/>
        <v>0</v>
      </c>
      <c r="X50" s="13">
        <f t="shared" si="37"/>
        <v>0</v>
      </c>
      <c r="Y50" s="36">
        <f t="shared" si="26"/>
        <v>0</v>
      </c>
    </row>
    <row r="51" spans="1:25" ht="15" outlineLevel="2">
      <c r="A51" s="6" t="s">
        <v>7</v>
      </c>
      <c r="B51" s="6" t="s">
        <v>8</v>
      </c>
      <c r="C51" s="6" t="s">
        <v>9</v>
      </c>
      <c r="D51" s="6" t="s">
        <v>10</v>
      </c>
      <c r="E51" s="6" t="s">
        <v>30</v>
      </c>
      <c r="F51" s="6">
        <f t="shared" si="31"/>
        <v>0.5</v>
      </c>
      <c r="G51" s="1">
        <v>191716.35000000001</v>
      </c>
      <c r="H51" s="1"/>
      <c r="I51" s="6" t="s">
        <v>22</v>
      </c>
      <c r="J51" s="1">
        <v>5</v>
      </c>
      <c r="K51" s="1">
        <v>4.5531430000000004</v>
      </c>
      <c r="L51" s="1">
        <f t="shared" si="32"/>
        <v>17133.958602389976</v>
      </c>
      <c r="M51" s="1">
        <f t="shared" si="33"/>
        <v>1.0778518730571636</v>
      </c>
      <c r="N51" s="19">
        <f t="shared" si="34"/>
        <v>18467.869372469937</v>
      </c>
      <c r="O51" s="7"/>
      <c r="P51" s="11"/>
      <c r="Q51" s="12"/>
      <c r="R51" s="12">
        <f t="shared" si="38" ref="R51:R57">+G51</f>
        <v>191716.35000000001</v>
      </c>
      <c r="S51" s="13"/>
      <c r="T51" s="42">
        <f t="shared" si="18"/>
        <v>0</v>
      </c>
      <c r="U51" s="11">
        <f t="shared" si="37"/>
        <v>0</v>
      </c>
      <c r="V51" s="12">
        <f t="shared" si="37"/>
        <v>0</v>
      </c>
      <c r="W51" s="12">
        <f t="shared" si="37"/>
        <v>18467.869372469937</v>
      </c>
      <c r="X51" s="13">
        <f t="shared" si="37"/>
        <v>0</v>
      </c>
      <c r="Y51" s="36">
        <f t="shared" si="26"/>
        <v>0</v>
      </c>
    </row>
    <row r="52" spans="1:25" ht="15" outlineLevel="2">
      <c r="A52" s="6" t="s">
        <v>7</v>
      </c>
      <c r="B52" s="6" t="s">
        <v>8</v>
      </c>
      <c r="C52" s="6" t="s">
        <v>9</v>
      </c>
      <c r="D52" s="6" t="s">
        <v>10</v>
      </c>
      <c r="E52" s="6" t="s">
        <v>28</v>
      </c>
      <c r="F52" s="6">
        <f t="shared" si="31"/>
        <v>1.5</v>
      </c>
      <c r="G52" s="1">
        <v>81989.380000000005</v>
      </c>
      <c r="H52" s="1"/>
      <c r="I52" s="6" t="s">
        <v>22</v>
      </c>
      <c r="J52" s="1">
        <v>5</v>
      </c>
      <c r="K52" s="1">
        <v>3.7046929999999998</v>
      </c>
      <c r="L52" s="1">
        <f t="shared" si="32"/>
        <v>21240.283567932001</v>
      </c>
      <c r="M52" s="1">
        <f t="shared" si="33"/>
        <v>1.0778518730571636</v>
      </c>
      <c r="N52" s="19">
        <f t="shared" si="34"/>
        <v>22893.879427960801</v>
      </c>
      <c r="O52" s="7"/>
      <c r="P52" s="11"/>
      <c r="Q52" s="12"/>
      <c r="R52" s="12">
        <f t="shared" si="38"/>
        <v>81989.380000000005</v>
      </c>
      <c r="S52" s="13"/>
      <c r="T52" s="42">
        <f t="shared" si="18"/>
        <v>0</v>
      </c>
      <c r="U52" s="11">
        <f t="shared" si="37"/>
        <v>0</v>
      </c>
      <c r="V52" s="12">
        <f t="shared" si="37"/>
        <v>0</v>
      </c>
      <c r="W52" s="12">
        <f t="shared" si="37"/>
        <v>22893.879427960801</v>
      </c>
      <c r="X52" s="13">
        <f t="shared" si="37"/>
        <v>0</v>
      </c>
      <c r="Y52" s="36">
        <f t="shared" si="26"/>
        <v>0</v>
      </c>
    </row>
    <row r="53" spans="1:25" ht="15" outlineLevel="2">
      <c r="A53" s="6" t="s">
        <v>7</v>
      </c>
      <c r="B53" s="6" t="s">
        <v>8</v>
      </c>
      <c r="C53" s="6" t="s">
        <v>9</v>
      </c>
      <c r="D53" s="6" t="s">
        <v>10</v>
      </c>
      <c r="E53" s="6" t="s">
        <v>27</v>
      </c>
      <c r="F53" s="6">
        <f t="shared" si="31"/>
        <v>2.5</v>
      </c>
      <c r="G53" s="1">
        <v>55002.879999999997</v>
      </c>
      <c r="H53" s="1"/>
      <c r="I53" s="6" t="s">
        <v>22</v>
      </c>
      <c r="J53" s="1">
        <v>5</v>
      </c>
      <c r="K53" s="1">
        <v>2.9277549999999999</v>
      </c>
      <c r="L53" s="1">
        <f t="shared" si="32"/>
        <v>22795.888613120002</v>
      </c>
      <c r="M53" s="1">
        <f t="shared" si="33"/>
        <v>1.0778518730571636</v>
      </c>
      <c r="N53" s="19">
        <f t="shared" si="34"/>
        <v>24570.591239653859</v>
      </c>
      <c r="O53" s="7"/>
      <c r="P53" s="11"/>
      <c r="Q53" s="12"/>
      <c r="R53" s="12">
        <f t="shared" si="38"/>
        <v>55002.879999999997</v>
      </c>
      <c r="S53" s="13"/>
      <c r="T53" s="42">
        <f t="shared" si="18"/>
        <v>0</v>
      </c>
      <c r="U53" s="11">
        <f t="shared" si="37"/>
        <v>0</v>
      </c>
      <c r="V53" s="12">
        <f t="shared" si="37"/>
        <v>0</v>
      </c>
      <c r="W53" s="12">
        <f t="shared" si="37"/>
        <v>24570.591239653859</v>
      </c>
      <c r="X53" s="13">
        <f t="shared" si="37"/>
        <v>0</v>
      </c>
      <c r="Y53" s="36">
        <f t="shared" si="26"/>
        <v>0</v>
      </c>
    </row>
    <row r="54" spans="1:25" ht="15" outlineLevel="2">
      <c r="A54" s="6" t="s">
        <v>7</v>
      </c>
      <c r="B54" s="6" t="s">
        <v>8</v>
      </c>
      <c r="C54" s="6" t="s">
        <v>9</v>
      </c>
      <c r="D54" s="6" t="s">
        <v>10</v>
      </c>
      <c r="E54" s="6" t="s">
        <v>26</v>
      </c>
      <c r="F54" s="6">
        <f t="shared" si="31"/>
        <v>3.5</v>
      </c>
      <c r="G54" s="1">
        <v>7491.6800000000003</v>
      </c>
      <c r="H54" s="1"/>
      <c r="I54" s="6" t="s">
        <v>22</v>
      </c>
      <c r="J54" s="1">
        <v>5</v>
      </c>
      <c r="K54" s="1">
        <v>2.2386599999999999</v>
      </c>
      <c r="L54" s="1">
        <f t="shared" si="32"/>
        <v>4137.4151302399996</v>
      </c>
      <c r="M54" s="1">
        <f t="shared" si="33"/>
        <v>1.0778518730571636</v>
      </c>
      <c r="N54" s="19">
        <f t="shared" si="34"/>
        <v>4459.5206477442316</v>
      </c>
      <c r="O54" s="7"/>
      <c r="P54" s="11"/>
      <c r="Q54" s="12"/>
      <c r="R54" s="12">
        <f t="shared" si="38"/>
        <v>7491.6800000000003</v>
      </c>
      <c r="S54" s="13"/>
      <c r="T54" s="42">
        <f t="shared" si="18"/>
        <v>0</v>
      </c>
      <c r="U54" s="11">
        <f t="shared" si="37"/>
        <v>0</v>
      </c>
      <c r="V54" s="12">
        <f t="shared" si="37"/>
        <v>0</v>
      </c>
      <c r="W54" s="12">
        <f t="shared" si="37"/>
        <v>4459.5206477442316</v>
      </c>
      <c r="X54" s="13">
        <f t="shared" si="37"/>
        <v>0</v>
      </c>
      <c r="Y54" s="36">
        <f t="shared" si="26"/>
        <v>0</v>
      </c>
    </row>
    <row r="55" spans="1:25" ht="15" outlineLevel="2">
      <c r="A55" s="6" t="s">
        <v>7</v>
      </c>
      <c r="B55" s="6" t="s">
        <v>8</v>
      </c>
      <c r="C55" s="6" t="s">
        <v>9</v>
      </c>
      <c r="D55" s="6" t="s">
        <v>10</v>
      </c>
      <c r="E55" s="6" t="s">
        <v>25</v>
      </c>
      <c r="F55" s="6">
        <f t="shared" si="31"/>
        <v>4.5</v>
      </c>
      <c r="G55" s="1">
        <v>-4.5800000000000001</v>
      </c>
      <c r="H55" s="1"/>
      <c r="I55" s="6" t="s">
        <v>22</v>
      </c>
      <c r="J55" s="1">
        <v>5</v>
      </c>
      <c r="K55" s="1">
        <v>1.6568099999999999</v>
      </c>
      <c r="L55" s="1">
        <f t="shared" si="32"/>
        <v>-3.0623620400000005</v>
      </c>
      <c r="M55" s="1">
        <f t="shared" si="33"/>
        <v>1.0778518730571636</v>
      </c>
      <c r="N55" s="19">
        <f t="shared" si="34"/>
        <v>-4.5800000000000001</v>
      </c>
      <c r="O55" s="7"/>
      <c r="P55" s="11"/>
      <c r="Q55" s="12"/>
      <c r="R55" s="12">
        <f t="shared" si="38"/>
        <v>-4.5800000000000001</v>
      </c>
      <c r="S55" s="13"/>
      <c r="T55" s="42">
        <f t="shared" si="18"/>
        <v>0</v>
      </c>
      <c r="U55" s="11"/>
      <c r="V55" s="12"/>
      <c r="W55" s="12">
        <f>+R55</f>
        <v>-4.5800000000000001</v>
      </c>
      <c r="X55" s="13"/>
      <c r="Y55" s="36">
        <f t="shared" si="26"/>
        <v>0</v>
      </c>
    </row>
    <row r="56" spans="1:25" ht="15" outlineLevel="2">
      <c r="A56" s="6" t="s">
        <v>7</v>
      </c>
      <c r="B56" s="6" t="s">
        <v>8</v>
      </c>
      <c r="C56" s="6" t="s">
        <v>9</v>
      </c>
      <c r="D56" s="6" t="s">
        <v>10</v>
      </c>
      <c r="E56" s="6" t="s">
        <v>24</v>
      </c>
      <c r="F56" s="6">
        <f t="shared" si="31"/>
        <v>5.5</v>
      </c>
      <c r="G56" s="1">
        <v>424.41000000000002</v>
      </c>
      <c r="H56" s="1"/>
      <c r="I56" s="6" t="s">
        <v>22</v>
      </c>
      <c r="J56" s="1">
        <v>5</v>
      </c>
      <c r="K56" s="1">
        <v>1.1986250000000001</v>
      </c>
      <c r="L56" s="1">
        <f t="shared" si="32"/>
        <v>322.66831275000004</v>
      </c>
      <c r="M56" s="1">
        <f t="shared" si="33"/>
        <v>1.0778518730571636</v>
      </c>
      <c r="N56" s="19">
        <f t="shared" si="34"/>
        <v>347.78864527378221</v>
      </c>
      <c r="O56" s="7"/>
      <c r="P56" s="11"/>
      <c r="Q56" s="12"/>
      <c r="R56" s="12">
        <f t="shared" si="38"/>
        <v>424.41000000000002</v>
      </c>
      <c r="S56" s="13"/>
      <c r="T56" s="42">
        <f t="shared" si="18"/>
        <v>0</v>
      </c>
      <c r="U56" s="11">
        <f t="shared" si="39" ref="U56:X57">+$N56*P56/$G56</f>
        <v>0</v>
      </c>
      <c r="V56" s="12">
        <f t="shared" si="39"/>
        <v>0</v>
      </c>
      <c r="W56" s="12">
        <f t="shared" si="39"/>
        <v>347.78864527378215</v>
      </c>
      <c r="X56" s="13">
        <f t="shared" si="39"/>
        <v>0</v>
      </c>
      <c r="Y56" s="36">
        <f t="shared" si="26"/>
        <v>0</v>
      </c>
    </row>
    <row r="57" spans="1:25" ht="15" outlineLevel="2">
      <c r="A57" s="6" t="s">
        <v>7</v>
      </c>
      <c r="B57" s="6" t="s">
        <v>8</v>
      </c>
      <c r="C57" s="6" t="s">
        <v>9</v>
      </c>
      <c r="D57" s="6" t="s">
        <v>10</v>
      </c>
      <c r="E57" s="6" t="s">
        <v>21</v>
      </c>
      <c r="F57" s="6">
        <f t="shared" si="31"/>
        <v>7.5</v>
      </c>
      <c r="G57" s="1">
        <v>3893.4699999999998</v>
      </c>
      <c r="H57" s="1"/>
      <c r="I57" s="6" t="s">
        <v>22</v>
      </c>
      <c r="J57" s="1">
        <v>5</v>
      </c>
      <c r="K57" s="1">
        <v>0.59899899999999995</v>
      </c>
      <c r="L57" s="1">
        <f t="shared" si="32"/>
        <v>3427.0330726939997</v>
      </c>
      <c r="M57" s="1">
        <f t="shared" si="33"/>
        <v>1.0778518730571636</v>
      </c>
      <c r="N57" s="19">
        <f t="shared" si="34"/>
        <v>3693.8340164320743</v>
      </c>
      <c r="O57" s="7"/>
      <c r="P57" s="11"/>
      <c r="Q57" s="12"/>
      <c r="R57" s="12">
        <f t="shared" si="38"/>
        <v>3893.4699999999998</v>
      </c>
      <c r="S57" s="13"/>
      <c r="T57" s="42">
        <f t="shared" si="18"/>
        <v>0</v>
      </c>
      <c r="U57" s="11">
        <f t="shared" si="39"/>
        <v>0</v>
      </c>
      <c r="V57" s="12">
        <f t="shared" si="39"/>
        <v>0</v>
      </c>
      <c r="W57" s="12">
        <f t="shared" si="39"/>
        <v>3693.8340164320743</v>
      </c>
      <c r="X57" s="13">
        <f t="shared" si="39"/>
        <v>0</v>
      </c>
      <c r="Y57" s="36">
        <f t="shared" si="26"/>
        <v>0</v>
      </c>
    </row>
    <row r="58" spans="1:25" ht="15" outlineLevel="2">
      <c r="A58" s="6" t="s">
        <v>7</v>
      </c>
      <c r="B58" s="6" t="s">
        <v>8</v>
      </c>
      <c r="C58" s="6" t="s">
        <v>9</v>
      </c>
      <c r="D58" s="6" t="s">
        <v>10</v>
      </c>
      <c r="E58" s="6" t="s">
        <v>30</v>
      </c>
      <c r="F58" s="6">
        <f t="shared" si="31"/>
        <v>0.5</v>
      </c>
      <c r="G58" s="1">
        <v>4631682.54</v>
      </c>
      <c r="H58" s="1"/>
      <c r="I58" s="6" t="s">
        <v>22</v>
      </c>
      <c r="J58" s="1">
        <v>5</v>
      </c>
      <c r="K58" s="1">
        <v>4.5531430000000004</v>
      </c>
      <c r="L58" s="1">
        <f t="shared" si="32"/>
        <v>413939.95295535546</v>
      </c>
      <c r="M58" s="1">
        <f t="shared" si="33"/>
        <v>1.0778518730571636</v>
      </c>
      <c r="N58" s="19">
        <f t="shared" si="34"/>
        <v>446165.95362612407</v>
      </c>
      <c r="O58" s="7"/>
      <c r="P58" s="11"/>
      <c r="Q58" s="12"/>
      <c r="R58" s="12"/>
      <c r="S58" s="13">
        <f t="shared" si="40" ref="S58:S64">G58</f>
        <v>4631682.54</v>
      </c>
      <c r="T58" s="42">
        <f t="shared" si="41" ref="T58:T89">+G58-SUM(P58:S58)</f>
        <v>0</v>
      </c>
      <c r="U58" s="11">
        <f t="shared" si="42" ref="U58:W59">+$N58*P58/$G58</f>
        <v>0</v>
      </c>
      <c r="V58" s="12">
        <f t="shared" si="42"/>
        <v>0</v>
      </c>
      <c r="W58" s="12">
        <f t="shared" si="42"/>
        <v>0</v>
      </c>
      <c r="X58" s="13">
        <f t="shared" si="43" ref="X58:X63">N58</f>
        <v>446165.95362612407</v>
      </c>
      <c r="Y58" s="36">
        <f t="shared" si="26"/>
        <v>0</v>
      </c>
    </row>
    <row r="59" spans="1:25" ht="15" outlineLevel="2">
      <c r="A59" s="6" t="s">
        <v>7</v>
      </c>
      <c r="B59" s="6" t="s">
        <v>8</v>
      </c>
      <c r="C59" s="6" t="s">
        <v>9</v>
      </c>
      <c r="D59" s="6" t="s">
        <v>10</v>
      </c>
      <c r="E59" s="21">
        <v>2020</v>
      </c>
      <c r="F59" s="6">
        <f t="shared" si="44" ref="F59:F61">2021.5-E59</f>
        <v>1.5</v>
      </c>
      <c r="G59" s="1">
        <v>4942.2299999999996</v>
      </c>
      <c r="H59" s="1"/>
      <c r="I59" s="6" t="s">
        <v>22</v>
      </c>
      <c r="J59" s="1">
        <v>5</v>
      </c>
      <c r="K59" s="1">
        <v>3.7046929999999998</v>
      </c>
      <c r="L59" s="1">
        <f t="shared" si="32"/>
        <v>1280.3410229219999</v>
      </c>
      <c r="M59" s="1">
        <f t="shared" si="33"/>
        <v>1.0778518730571636</v>
      </c>
      <c r="N59" s="19">
        <f t="shared" si="34"/>
        <v>1380.0179697084025</v>
      </c>
      <c r="O59" s="7"/>
      <c r="P59" s="11"/>
      <c r="Q59" s="12"/>
      <c r="R59" s="12"/>
      <c r="S59" s="13">
        <f t="shared" si="40"/>
        <v>4942.2299999999996</v>
      </c>
      <c r="T59" s="42">
        <f t="shared" si="41"/>
        <v>0</v>
      </c>
      <c r="U59" s="11">
        <f t="shared" si="42"/>
        <v>0</v>
      </c>
      <c r="V59" s="12">
        <f t="shared" si="42"/>
        <v>0</v>
      </c>
      <c r="W59" s="12">
        <f t="shared" si="42"/>
        <v>0</v>
      </c>
      <c r="X59" s="13">
        <f t="shared" si="43"/>
        <v>1380.0179697084025</v>
      </c>
      <c r="Y59" s="36">
        <f t="shared" si="26"/>
        <v>0</v>
      </c>
    </row>
    <row r="60" spans="1:25" ht="15" outlineLevel="2">
      <c r="A60" s="6" t="s">
        <v>7</v>
      </c>
      <c r="B60" s="6" t="s">
        <v>8</v>
      </c>
      <c r="C60" s="6" t="s">
        <v>9</v>
      </c>
      <c r="D60" s="6" t="s">
        <v>10</v>
      </c>
      <c r="E60" s="21">
        <v>2019</v>
      </c>
      <c r="F60" s="6">
        <f t="shared" si="44"/>
        <v>2.5</v>
      </c>
      <c r="G60" s="1">
        <v>1522516.9199999999</v>
      </c>
      <c r="H60" s="1"/>
      <c r="I60" s="6" t="s">
        <v>22</v>
      </c>
      <c r="J60" s="1">
        <v>5</v>
      </c>
      <c r="K60" s="1">
        <v>2.9277549999999999</v>
      </c>
      <c r="L60" s="1">
        <f t="shared" si="32"/>
        <v>631005.61497708003</v>
      </c>
      <c r="M60" s="1">
        <f t="shared" si="33"/>
        <v>1.0778518730571636</v>
      </c>
      <c r="N60" s="19">
        <f t="shared" si="34"/>
        <v>680130.58401263307</v>
      </c>
      <c r="O60" s="7"/>
      <c r="P60" s="11"/>
      <c r="Q60" s="12"/>
      <c r="R60" s="12"/>
      <c r="S60" s="13">
        <f t="shared" si="40"/>
        <v>1522516.9199999999</v>
      </c>
      <c r="T60" s="42">
        <f t="shared" si="41"/>
        <v>0</v>
      </c>
      <c r="U60" s="11"/>
      <c r="V60" s="12">
        <f>+$N60*Q60/$G60</f>
        <v>0</v>
      </c>
      <c r="W60" s="12">
        <f>+$N60*R60/$G60</f>
        <v>0</v>
      </c>
      <c r="X60" s="13">
        <f t="shared" si="43"/>
        <v>680130.58401263307</v>
      </c>
      <c r="Y60" s="36">
        <f t="shared" si="26"/>
        <v>0</v>
      </c>
    </row>
    <row r="61" spans="1:25" ht="15" outlineLevel="2">
      <c r="A61" s="6" t="s">
        <v>7</v>
      </c>
      <c r="B61" s="6" t="s">
        <v>8</v>
      </c>
      <c r="C61" s="6" t="s">
        <v>9</v>
      </c>
      <c r="D61" s="6" t="s">
        <v>10</v>
      </c>
      <c r="E61" s="21">
        <v>2018</v>
      </c>
      <c r="F61" s="6">
        <f t="shared" si="44"/>
        <v>3.5</v>
      </c>
      <c r="G61" s="1">
        <v>458.47000000000003</v>
      </c>
      <c r="H61" s="1"/>
      <c r="I61" s="6" t="s">
        <v>22</v>
      </c>
      <c r="J61" s="1">
        <v>5</v>
      </c>
      <c r="K61" s="1">
        <v>2.2386599999999999</v>
      </c>
      <c r="L61" s="1">
        <f t="shared" si="32"/>
        <v>253.19830996000002</v>
      </c>
      <c r="M61" s="1">
        <f t="shared" si="33"/>
        <v>1.0778518730571636</v>
      </c>
      <c r="N61" s="19">
        <f t="shared" si="34"/>
        <v>272.9102726452943</v>
      </c>
      <c r="O61" s="7"/>
      <c r="P61" s="11"/>
      <c r="Q61" s="12"/>
      <c r="R61" s="12"/>
      <c r="S61" s="13">
        <f t="shared" si="40"/>
        <v>458.47000000000003</v>
      </c>
      <c r="T61" s="42">
        <f t="shared" si="41"/>
        <v>0</v>
      </c>
      <c r="U61" s="11"/>
      <c r="V61" s="12">
        <f t="shared" si="45" ref="V61:V68">+$N61*Q61/$G61</f>
        <v>0</v>
      </c>
      <c r="W61" s="12"/>
      <c r="X61" s="13">
        <f t="shared" si="43"/>
        <v>272.9102726452943</v>
      </c>
      <c r="Y61" s="36">
        <f t="shared" si="26"/>
        <v>0</v>
      </c>
    </row>
    <row r="62" spans="1:25" ht="15" outlineLevel="2">
      <c r="A62" s="6" t="s">
        <v>7</v>
      </c>
      <c r="B62" s="6" t="s">
        <v>8</v>
      </c>
      <c r="C62" s="6" t="s">
        <v>9</v>
      </c>
      <c r="D62" s="6" t="s">
        <v>10</v>
      </c>
      <c r="E62" s="6" t="s">
        <v>25</v>
      </c>
      <c r="F62" s="6">
        <f t="shared" si="31"/>
        <v>4.5</v>
      </c>
      <c r="G62" s="1">
        <v>319078.81</v>
      </c>
      <c r="H62" s="1"/>
      <c r="I62" s="6" t="s">
        <v>22</v>
      </c>
      <c r="J62" s="1">
        <v>5</v>
      </c>
      <c r="K62" s="1">
        <v>1.6568099999999999</v>
      </c>
      <c r="L62" s="1">
        <f t="shared" si="32"/>
        <v>213348.21736078002</v>
      </c>
      <c r="M62" s="1">
        <f t="shared" si="33"/>
        <v>1.0778518730571636</v>
      </c>
      <c r="N62" s="19">
        <f t="shared" si="34"/>
        <v>229957.7756957236</v>
      </c>
      <c r="O62" s="7"/>
      <c r="P62" s="11"/>
      <c r="Q62" s="12"/>
      <c r="R62" s="12"/>
      <c r="S62" s="13">
        <f t="shared" si="40"/>
        <v>319078.81</v>
      </c>
      <c r="T62" s="42">
        <f t="shared" si="41"/>
        <v>0</v>
      </c>
      <c r="U62" s="11">
        <f t="shared" si="46" ref="U62:U68">+$N62*P62/$G62</f>
        <v>0</v>
      </c>
      <c r="V62" s="12">
        <f t="shared" si="45"/>
        <v>0</v>
      </c>
      <c r="W62" s="12">
        <f t="shared" si="47" ref="W62:W68">+$N62*R62/$G62</f>
        <v>0</v>
      </c>
      <c r="X62" s="13">
        <f t="shared" si="43"/>
        <v>229957.7756957236</v>
      </c>
      <c r="Y62" s="36">
        <f t="shared" si="26"/>
        <v>0</v>
      </c>
    </row>
    <row r="63" spans="1:25" ht="15" outlineLevel="2">
      <c r="A63" s="6" t="s">
        <v>7</v>
      </c>
      <c r="B63" s="6" t="s">
        <v>8</v>
      </c>
      <c r="C63" s="6" t="s">
        <v>9</v>
      </c>
      <c r="D63" s="6" t="s">
        <v>10</v>
      </c>
      <c r="E63" s="6" t="s">
        <v>24</v>
      </c>
      <c r="F63" s="6">
        <f t="shared" si="31"/>
        <v>5.5</v>
      </c>
      <c r="G63" s="1">
        <v>25.969999999999999</v>
      </c>
      <c r="H63" s="1"/>
      <c r="I63" s="6" t="s">
        <v>22</v>
      </c>
      <c r="J63" s="1">
        <v>5</v>
      </c>
      <c r="K63" s="1">
        <v>1.1986250000000001</v>
      </c>
      <c r="L63" s="1">
        <f t="shared" si="32"/>
        <v>19.74434175</v>
      </c>
      <c r="M63" s="1">
        <f t="shared" si="33"/>
        <v>1.0778518730571636</v>
      </c>
      <c r="N63" s="19">
        <f t="shared" si="34"/>
        <v>21.281475737518257</v>
      </c>
      <c r="O63" s="7"/>
      <c r="P63" s="11"/>
      <c r="Q63" s="12"/>
      <c r="R63" s="12"/>
      <c r="S63" s="13">
        <f t="shared" si="40"/>
        <v>25.969999999999999</v>
      </c>
      <c r="T63" s="42">
        <f t="shared" si="41"/>
        <v>0</v>
      </c>
      <c r="U63" s="11">
        <f t="shared" si="46"/>
        <v>0</v>
      </c>
      <c r="V63" s="12">
        <f t="shared" si="45"/>
        <v>0</v>
      </c>
      <c r="W63" s="12">
        <f t="shared" si="47"/>
        <v>0</v>
      </c>
      <c r="X63" s="13">
        <f t="shared" si="43"/>
        <v>21.281475737518257</v>
      </c>
      <c r="Y63" s="36">
        <f t="shared" si="26"/>
        <v>0</v>
      </c>
    </row>
    <row r="64" spans="1:25" ht="15" outlineLevel="2">
      <c r="A64" s="6" t="s">
        <v>7</v>
      </c>
      <c r="B64" s="6" t="s">
        <v>8</v>
      </c>
      <c r="C64" s="6" t="s">
        <v>9</v>
      </c>
      <c r="D64" s="6" t="s">
        <v>10</v>
      </c>
      <c r="E64" s="6" t="s">
        <v>21</v>
      </c>
      <c r="F64" s="6">
        <f t="shared" si="31"/>
        <v>7.5</v>
      </c>
      <c r="G64" s="1">
        <v>238.27000000000001</v>
      </c>
      <c r="H64" s="1"/>
      <c r="I64" s="6" t="s">
        <v>22</v>
      </c>
      <c r="J64" s="1">
        <v>5</v>
      </c>
      <c r="K64" s="1">
        <v>0.59899899999999995</v>
      </c>
      <c r="L64" s="1">
        <f t="shared" si="32"/>
        <v>209.72530165400002</v>
      </c>
      <c r="M64" s="1">
        <f t="shared" si="33"/>
        <v>1.0778518730571636</v>
      </c>
      <c r="N64" s="19">
        <f t="shared" si="34"/>
        <v>226.05280921524258</v>
      </c>
      <c r="O64" s="7"/>
      <c r="P64" s="11"/>
      <c r="Q64" s="12"/>
      <c r="R64" s="12"/>
      <c r="S64" s="13">
        <f t="shared" si="40"/>
        <v>238.27000000000001</v>
      </c>
      <c r="T64" s="42">
        <f t="shared" si="41"/>
        <v>0</v>
      </c>
      <c r="U64" s="11">
        <f t="shared" si="46"/>
        <v>0</v>
      </c>
      <c r="V64" s="12">
        <f t="shared" si="45"/>
        <v>0</v>
      </c>
      <c r="W64" s="12">
        <f t="shared" si="47"/>
        <v>0</v>
      </c>
      <c r="X64" s="13">
        <f>+$N64*S64/$G64</f>
        <v>226.05280921524258</v>
      </c>
      <c r="Y64" s="36">
        <f t="shared" si="26"/>
        <v>0</v>
      </c>
    </row>
    <row r="65" spans="1:25" ht="15" outlineLevel="2">
      <c r="A65" s="6" t="s">
        <v>7</v>
      </c>
      <c r="B65" s="6" t="s">
        <v>8</v>
      </c>
      <c r="C65" s="6" t="s">
        <v>9</v>
      </c>
      <c r="D65" s="6" t="s">
        <v>10</v>
      </c>
      <c r="E65" s="6" t="s">
        <v>30</v>
      </c>
      <c r="F65" s="6">
        <f t="shared" si="31"/>
        <v>0.5</v>
      </c>
      <c r="G65" s="1">
        <v>6110169.0999999996</v>
      </c>
      <c r="H65" s="1"/>
      <c r="I65" s="6" t="s">
        <v>22</v>
      </c>
      <c r="J65" s="1">
        <v>5</v>
      </c>
      <c r="K65" s="1">
        <v>4.5531430000000004</v>
      </c>
      <c r="L65" s="1">
        <f t="shared" si="32"/>
        <v>546074.36670373927</v>
      </c>
      <c r="M65" s="1">
        <f t="shared" si="33"/>
        <v>1.0778518730571636</v>
      </c>
      <c r="N65" s="19">
        <f t="shared" si="34"/>
        <v>588587.27898012975</v>
      </c>
      <c r="O65" s="7"/>
      <c r="P65" s="11">
        <f t="shared" si="48" ref="P65:P71">+G65</f>
        <v>6110169.0999999996</v>
      </c>
      <c r="Q65" s="12"/>
      <c r="R65" s="12"/>
      <c r="S65" s="13"/>
      <c r="T65" s="42">
        <f t="shared" si="41"/>
        <v>0</v>
      </c>
      <c r="U65" s="11">
        <f t="shared" si="46"/>
        <v>588587.27898012975</v>
      </c>
      <c r="V65" s="12">
        <f t="shared" si="45"/>
        <v>0</v>
      </c>
      <c r="W65" s="12">
        <f t="shared" si="47"/>
        <v>0</v>
      </c>
      <c r="X65" s="13">
        <f>+$N65*S65/$G65</f>
        <v>0</v>
      </c>
      <c r="Y65" s="36">
        <f t="shared" si="26"/>
        <v>0</v>
      </c>
    </row>
    <row r="66" spans="1:25" ht="15" outlineLevel="2">
      <c r="A66" s="6" t="s">
        <v>7</v>
      </c>
      <c r="B66" s="6" t="s">
        <v>8</v>
      </c>
      <c r="C66" s="6" t="s">
        <v>9</v>
      </c>
      <c r="D66" s="6" t="s">
        <v>10</v>
      </c>
      <c r="E66" s="6" t="s">
        <v>28</v>
      </c>
      <c r="F66" s="6">
        <f t="shared" si="31"/>
        <v>1.5</v>
      </c>
      <c r="G66" s="1">
        <v>2613073.6600000001</v>
      </c>
      <c r="H66" s="1"/>
      <c r="I66" s="6" t="s">
        <v>22</v>
      </c>
      <c r="J66" s="1">
        <v>5</v>
      </c>
      <c r="K66" s="1">
        <v>3.7046929999999998</v>
      </c>
      <c r="L66" s="1">
        <f t="shared" si="32"/>
        <v>676946.52066272404</v>
      </c>
      <c r="M66" s="1">
        <f t="shared" si="33"/>
        <v>1.0778518730571636</v>
      </c>
      <c r="N66" s="19">
        <f t="shared" si="34"/>
        <v>729648.07525584695</v>
      </c>
      <c r="O66" s="7"/>
      <c r="P66" s="11">
        <f t="shared" si="48"/>
        <v>2613073.6600000001</v>
      </c>
      <c r="Q66" s="12"/>
      <c r="R66" s="12"/>
      <c r="S66" s="13"/>
      <c r="T66" s="42">
        <f t="shared" si="41"/>
        <v>0</v>
      </c>
      <c r="U66" s="11">
        <f t="shared" si="46"/>
        <v>729648.07525584695</v>
      </c>
      <c r="V66" s="12">
        <f t="shared" si="45"/>
        <v>0</v>
      </c>
      <c r="W66" s="12">
        <f t="shared" si="47"/>
        <v>0</v>
      </c>
      <c r="X66" s="13">
        <f>+$N66*S66/$G66</f>
        <v>0</v>
      </c>
      <c r="Y66" s="36">
        <f t="shared" si="26"/>
        <v>0</v>
      </c>
    </row>
    <row r="67" spans="1:25" ht="15" outlineLevel="2">
      <c r="A67" s="6" t="s">
        <v>7</v>
      </c>
      <c r="B67" s="6" t="s">
        <v>8</v>
      </c>
      <c r="C67" s="6" t="s">
        <v>9</v>
      </c>
      <c r="D67" s="6" t="s">
        <v>10</v>
      </c>
      <c r="E67" s="6" t="s">
        <v>27</v>
      </c>
      <c r="F67" s="6">
        <f t="shared" si="31"/>
        <v>2.5</v>
      </c>
      <c r="G67" s="1">
        <v>1752990.1499999999</v>
      </c>
      <c r="H67" s="1"/>
      <c r="I67" s="6" t="s">
        <v>22</v>
      </c>
      <c r="J67" s="1">
        <v>5</v>
      </c>
      <c r="K67" s="1">
        <v>2.9277549999999999</v>
      </c>
      <c r="L67" s="1">
        <f t="shared" si="32"/>
        <v>726525.01467735006</v>
      </c>
      <c r="M67" s="1">
        <f t="shared" si="33"/>
        <v>1.0778518730571636</v>
      </c>
      <c r="N67" s="19">
        <f t="shared" si="34"/>
        <v>783086.34789286496</v>
      </c>
      <c r="O67" s="7"/>
      <c r="P67" s="11">
        <f t="shared" si="48"/>
        <v>1752990.1499999999</v>
      </c>
      <c r="Q67" s="12"/>
      <c r="R67" s="12"/>
      <c r="S67" s="13"/>
      <c r="T67" s="42">
        <f t="shared" si="41"/>
        <v>0</v>
      </c>
      <c r="U67" s="11">
        <f t="shared" si="46"/>
        <v>783086.34789286496</v>
      </c>
      <c r="V67" s="12">
        <f t="shared" si="45"/>
        <v>0</v>
      </c>
      <c r="W67" s="12">
        <f t="shared" si="47"/>
        <v>0</v>
      </c>
      <c r="X67" s="13">
        <f>+$N67*S67/$G67</f>
        <v>0</v>
      </c>
      <c r="Y67" s="36">
        <f t="shared" si="26"/>
        <v>0</v>
      </c>
    </row>
    <row r="68" spans="1:25" ht="15" outlineLevel="2">
      <c r="A68" s="6" t="s">
        <v>7</v>
      </c>
      <c r="B68" s="6" t="s">
        <v>8</v>
      </c>
      <c r="C68" s="6" t="s">
        <v>9</v>
      </c>
      <c r="D68" s="6" t="s">
        <v>10</v>
      </c>
      <c r="E68" s="6" t="s">
        <v>26</v>
      </c>
      <c r="F68" s="6">
        <f t="shared" si="31"/>
        <v>3.5</v>
      </c>
      <c r="G68" s="1">
        <v>238766.42999999999</v>
      </c>
      <c r="H68" s="1"/>
      <c r="I68" s="6" t="s">
        <v>22</v>
      </c>
      <c r="J68" s="1">
        <v>5</v>
      </c>
      <c r="K68" s="1">
        <v>2.9277549999999999</v>
      </c>
      <c r="L68" s="1">
        <f t="shared" si="32"/>
        <v>98956.50814707001</v>
      </c>
      <c r="M68" s="1">
        <f t="shared" si="33"/>
        <v>1.0778518730571636</v>
      </c>
      <c r="N68" s="19">
        <f t="shared" si="34"/>
        <v>106660.45765751587</v>
      </c>
      <c r="O68" s="7"/>
      <c r="P68" s="11">
        <f t="shared" si="48"/>
        <v>238766.42999999999</v>
      </c>
      <c r="Q68" s="12"/>
      <c r="R68" s="12"/>
      <c r="S68" s="13"/>
      <c r="T68" s="42">
        <f t="shared" si="41"/>
        <v>0</v>
      </c>
      <c r="U68" s="11">
        <f t="shared" si="46"/>
        <v>106660.45765751587</v>
      </c>
      <c r="V68" s="12">
        <f t="shared" si="45"/>
        <v>0</v>
      </c>
      <c r="W68" s="12">
        <f t="shared" si="47"/>
        <v>0</v>
      </c>
      <c r="X68" s="13">
        <f>+$N68*S68/$G68</f>
        <v>0</v>
      </c>
      <c r="Y68" s="36">
        <f t="shared" si="26"/>
        <v>0</v>
      </c>
    </row>
    <row r="69" spans="1:25" ht="15" outlineLevel="2">
      <c r="A69" s="6" t="s">
        <v>7</v>
      </c>
      <c r="B69" s="6" t="s">
        <v>8</v>
      </c>
      <c r="C69" s="6" t="s">
        <v>9</v>
      </c>
      <c r="D69" s="6" t="s">
        <v>10</v>
      </c>
      <c r="E69" s="6" t="s">
        <v>25</v>
      </c>
      <c r="F69" s="6">
        <f t="shared" si="31"/>
        <v>4.5</v>
      </c>
      <c r="G69" s="1">
        <v>-146.03</v>
      </c>
      <c r="H69" s="1"/>
      <c r="I69" s="6" t="s">
        <v>22</v>
      </c>
      <c r="J69" s="1">
        <v>5</v>
      </c>
      <c r="K69" s="1">
        <v>1.6568099999999999</v>
      </c>
      <c r="L69" s="1">
        <f t="shared" si="32"/>
        <v>-97.641207140000006</v>
      </c>
      <c r="M69" s="1">
        <f t="shared" si="33"/>
        <v>1.0778518730571636</v>
      </c>
      <c r="N69" s="19">
        <f t="shared" si="34"/>
        <v>-146.03</v>
      </c>
      <c r="O69" s="7"/>
      <c r="P69" s="11">
        <f t="shared" si="48"/>
        <v>-146.03</v>
      </c>
      <c r="Q69" s="12"/>
      <c r="R69" s="12"/>
      <c r="S69" s="13"/>
      <c r="T69" s="42">
        <f t="shared" si="41"/>
        <v>0</v>
      </c>
      <c r="U69" s="11">
        <f>+N69</f>
        <v>-146.03</v>
      </c>
      <c r="V69" s="12"/>
      <c r="W69" s="12"/>
      <c r="X69" s="13"/>
      <c r="Y69" s="36">
        <f t="shared" si="26"/>
        <v>0</v>
      </c>
    </row>
    <row r="70" spans="1:25" ht="15" outlineLevel="2">
      <c r="A70" s="6" t="s">
        <v>7</v>
      </c>
      <c r="B70" s="6" t="s">
        <v>8</v>
      </c>
      <c r="C70" s="6" t="s">
        <v>9</v>
      </c>
      <c r="D70" s="6" t="s">
        <v>10</v>
      </c>
      <c r="E70" s="6" t="s">
        <v>24</v>
      </c>
      <c r="F70" s="6">
        <f t="shared" si="31"/>
        <v>5.5</v>
      </c>
      <c r="G70" s="1">
        <v>13526.190000000001</v>
      </c>
      <c r="H70" s="1"/>
      <c r="I70" s="6" t="s">
        <v>22</v>
      </c>
      <c r="J70" s="1">
        <v>5</v>
      </c>
      <c r="K70" s="1">
        <v>1.1986250000000001</v>
      </c>
      <c r="L70" s="1">
        <f t="shared" si="32"/>
        <v>10283.624102250002</v>
      </c>
      <c r="M70" s="1">
        <f t="shared" si="33"/>
        <v>1.0778518730571636</v>
      </c>
      <c r="N70" s="19">
        <f t="shared" si="34"/>
        <v>11084.223500425956</v>
      </c>
      <c r="O70" s="7"/>
      <c r="P70" s="11">
        <f t="shared" si="48"/>
        <v>13526.190000000001</v>
      </c>
      <c r="Q70" s="12"/>
      <c r="R70" s="12"/>
      <c r="S70" s="13"/>
      <c r="T70" s="42">
        <f t="shared" si="41"/>
        <v>0</v>
      </c>
      <c r="U70" s="11">
        <f t="shared" si="49" ref="U70:X71">+$N70*P70/$G70</f>
        <v>11084.223500425956</v>
      </c>
      <c r="V70" s="12">
        <f t="shared" si="49"/>
        <v>0</v>
      </c>
      <c r="W70" s="12">
        <f t="shared" si="49"/>
        <v>0</v>
      </c>
      <c r="X70" s="13">
        <f t="shared" si="49"/>
        <v>0</v>
      </c>
      <c r="Y70" s="36">
        <f t="shared" si="26"/>
        <v>0</v>
      </c>
    </row>
    <row r="71" spans="1:25" ht="15" outlineLevel="2">
      <c r="A71" s="6" t="s">
        <v>7</v>
      </c>
      <c r="B71" s="6" t="s">
        <v>8</v>
      </c>
      <c r="C71" s="6" t="s">
        <v>9</v>
      </c>
      <c r="D71" s="6" t="s">
        <v>10</v>
      </c>
      <c r="E71" s="6" t="s">
        <v>21</v>
      </c>
      <c r="F71" s="6">
        <f t="shared" si="31"/>
        <v>7.5</v>
      </c>
      <c r="G71" s="1">
        <v>124088.16</v>
      </c>
      <c r="H71" s="1"/>
      <c r="I71" s="6" t="s">
        <v>22</v>
      </c>
      <c r="J71" s="1">
        <v>5</v>
      </c>
      <c r="K71" s="1">
        <v>0.59899899999999995</v>
      </c>
      <c r="L71" s="1">
        <f t="shared" si="32"/>
        <v>109222.423249632</v>
      </c>
      <c r="M71" s="1">
        <f t="shared" si="33"/>
        <v>1.0778518730571636</v>
      </c>
      <c r="N71" s="19">
        <f t="shared" si="34"/>
        <v>117725.59347945814</v>
      </c>
      <c r="O71" s="7"/>
      <c r="P71" s="11">
        <f t="shared" si="48"/>
        <v>124088.16</v>
      </c>
      <c r="Q71" s="12"/>
      <c r="R71" s="12"/>
      <c r="S71" s="13"/>
      <c r="T71" s="42">
        <f t="shared" si="41"/>
        <v>0</v>
      </c>
      <c r="U71" s="11">
        <f t="shared" si="49"/>
        <v>117725.59347945814</v>
      </c>
      <c r="V71" s="12">
        <f t="shared" si="49"/>
        <v>0</v>
      </c>
      <c r="W71" s="12">
        <f t="shared" si="49"/>
        <v>0</v>
      </c>
      <c r="X71" s="13">
        <f t="shared" si="49"/>
        <v>0</v>
      </c>
      <c r="Y71" s="36">
        <f t="shared" si="26"/>
        <v>0</v>
      </c>
    </row>
    <row r="72" spans="1:25" ht="15" outlineLevel="1">
      <c r="A72" s="14" t="s">
        <v>44</v>
      </c>
      <c r="B72" s="6"/>
      <c r="C72" s="6"/>
      <c r="D72" s="6"/>
      <c r="E72" s="6"/>
      <c r="F72" s="6"/>
      <c r="G72" s="2">
        <f>SUBTOTAL(9,G44:G71)</f>
        <v>29362289.179999996</v>
      </c>
      <c r="H72" s="2"/>
      <c r="I72" s="14" t="s">
        <v>46</v>
      </c>
      <c r="J72" s="2">
        <f>+N72-K72</f>
        <v>0</v>
      </c>
      <c r="K72" s="2">
        <v>6327385.0385281928</v>
      </c>
      <c r="L72" s="2"/>
      <c r="M72" s="2">
        <v>1.0778518730571636</v>
      </c>
      <c r="N72" s="20">
        <f>SUBTOTAL(9,N44:N71)</f>
        <v>6327385.0385281928</v>
      </c>
      <c r="O72" s="7"/>
      <c r="P72" s="16">
        <f>SUBTOTAL(9,P44:P71)</f>
        <v>10852467.66</v>
      </c>
      <c r="Q72" s="17">
        <f>SUBTOTAL(9,Q44:Q71)</f>
        <v>11690364.719999999</v>
      </c>
      <c r="R72" s="17">
        <f>SUBTOTAL(9,R44:R71)</f>
        <v>340513.58999999991</v>
      </c>
      <c r="S72" s="18">
        <f>SUBTOTAL(9,S44:S71)</f>
        <v>6478943.209999999</v>
      </c>
      <c r="T72" s="42">
        <f t="shared" si="41"/>
        <v>0</v>
      </c>
      <c r="U72" s="11">
        <f>SUBTOTAL(9,U44:U71)</f>
        <v>2336645.9467662419</v>
      </c>
      <c r="V72" s="12">
        <f>SUBTOTAL(9,V44:V71)</f>
        <v>2558155.6125506298</v>
      </c>
      <c r="W72" s="12">
        <f>SUBTOTAL(9,W44:W71)</f>
        <v>74428.903349534681</v>
      </c>
      <c r="X72" s="13">
        <f>SUBTOTAL(9,X44:X71)</f>
        <v>1358154.5758617872</v>
      </c>
      <c r="Y72" s="36">
        <f t="shared" si="26"/>
        <v>0</v>
      </c>
    </row>
    <row r="73" spans="1:25" ht="15.75" outlineLevel="2">
      <c r="A73" s="6" t="s">
        <v>31</v>
      </c>
      <c r="B73" s="6" t="s">
        <v>8</v>
      </c>
      <c r="C73" s="6" t="s">
        <v>9</v>
      </c>
      <c r="D73" s="6" t="s">
        <v>10</v>
      </c>
      <c r="E73" s="6" t="s">
        <v>26</v>
      </c>
      <c r="F73" s="6">
        <f t="shared" si="50" ref="F73:F81">2021.5-E73</f>
        <v>3.5</v>
      </c>
      <c r="G73" s="1">
        <v>19835.68</v>
      </c>
      <c r="H73" s="1"/>
      <c r="I73" s="6" t="s">
        <v>22</v>
      </c>
      <c r="J73" s="1">
        <v>5</v>
      </c>
      <c r="K73" s="1">
        <v>2.2386599999999999</v>
      </c>
      <c r="L73" s="1">
        <f t="shared" si="51" ref="L73:L81">+(1-K73/J73)*G73</f>
        <v>10954.61132224</v>
      </c>
      <c r="M73" s="22">
        <f t="shared" si="52" ref="M73:M81">$M$82</f>
        <v>1.5085364165545401</v>
      </c>
      <c r="N73" s="19">
        <f t="shared" si="53" ref="N73:N78">IF((G73-L73*M73)&lt;0,G73,L73*M73)</f>
        <v>16525.430108799723</v>
      </c>
      <c r="O73" s="7"/>
      <c r="P73" s="11">
        <f t="shared" si="54" ref="P73:P75">+G73</f>
        <v>19835.68</v>
      </c>
      <c r="Q73" s="12"/>
      <c r="R73" s="12"/>
      <c r="S73" s="13"/>
      <c r="T73" s="42">
        <f t="shared" si="41"/>
        <v>0</v>
      </c>
      <c r="U73" s="11">
        <f t="shared" si="55" ref="U73:X76">+$N73*P73/$G73</f>
        <v>16525.430108799723</v>
      </c>
      <c r="V73" s="12">
        <f t="shared" si="55"/>
        <v>0</v>
      </c>
      <c r="W73" s="12">
        <f t="shared" si="55"/>
        <v>0</v>
      </c>
      <c r="X73" s="13">
        <f t="shared" si="55"/>
        <v>0</v>
      </c>
      <c r="Y73" s="36">
        <f t="shared" si="26"/>
        <v>0</v>
      </c>
    </row>
    <row r="74" spans="1:25" ht="15.75" outlineLevel="2">
      <c r="A74" s="6" t="s">
        <v>31</v>
      </c>
      <c r="B74" s="6" t="s">
        <v>8</v>
      </c>
      <c r="C74" s="6" t="s">
        <v>9</v>
      </c>
      <c r="D74" s="6" t="s">
        <v>10</v>
      </c>
      <c r="E74" s="6" t="s">
        <v>25</v>
      </c>
      <c r="F74" s="6">
        <f t="shared" si="50"/>
        <v>4.5</v>
      </c>
      <c r="G74" s="1">
        <v>805221.38</v>
      </c>
      <c r="H74" s="1"/>
      <c r="I74" s="6" t="s">
        <v>22</v>
      </c>
      <c r="J74" s="1">
        <v>5</v>
      </c>
      <c r="K74" s="1">
        <v>1.6568099999999999</v>
      </c>
      <c r="L74" s="1">
        <f t="shared" si="51"/>
        <v>538401.61308044009</v>
      </c>
      <c r="M74" s="22">
        <f t="shared" si="52"/>
        <v>1.5085364165545401</v>
      </c>
      <c r="N74" s="19">
        <f t="shared" si="53"/>
        <v>805221.38</v>
      </c>
      <c r="O74" s="7"/>
      <c r="P74" s="11">
        <f t="shared" si="54"/>
        <v>805221.38</v>
      </c>
      <c r="Q74" s="12"/>
      <c r="R74" s="12"/>
      <c r="S74" s="13"/>
      <c r="T74" s="42">
        <f t="shared" si="41"/>
        <v>0</v>
      </c>
      <c r="U74" s="11">
        <f t="shared" si="55"/>
        <v>805221.38</v>
      </c>
      <c r="V74" s="12">
        <f t="shared" si="55"/>
        <v>0</v>
      </c>
      <c r="W74" s="12">
        <f t="shared" si="55"/>
        <v>0</v>
      </c>
      <c r="X74" s="13">
        <f t="shared" si="55"/>
        <v>0</v>
      </c>
      <c r="Y74" s="36">
        <f t="shared" si="26"/>
        <v>0</v>
      </c>
    </row>
    <row r="75" spans="1:25" ht="15.75" outlineLevel="2">
      <c r="A75" s="6" t="s">
        <v>31</v>
      </c>
      <c r="B75" s="6" t="s">
        <v>8</v>
      </c>
      <c r="C75" s="6" t="s">
        <v>9</v>
      </c>
      <c r="D75" s="6" t="s">
        <v>10</v>
      </c>
      <c r="E75" s="6" t="s">
        <v>24</v>
      </c>
      <c r="F75" s="6">
        <f t="shared" si="50"/>
        <v>5.5</v>
      </c>
      <c r="G75" s="1">
        <v>744534.83999999997</v>
      </c>
      <c r="H75" s="1"/>
      <c r="I75" s="6" t="s">
        <v>22</v>
      </c>
      <c r="J75" s="1">
        <v>5</v>
      </c>
      <c r="K75" s="1">
        <v>1.1986250000000001</v>
      </c>
      <c r="L75" s="1">
        <f t="shared" si="51"/>
        <v>566051.22548100003</v>
      </c>
      <c r="M75" s="22">
        <f t="shared" si="52"/>
        <v>1.5085364165545401</v>
      </c>
      <c r="N75" s="19">
        <f t="shared" si="53"/>
        <v>744534.83999999997</v>
      </c>
      <c r="O75" s="7"/>
      <c r="P75" s="11">
        <f t="shared" si="54"/>
        <v>744534.83999999997</v>
      </c>
      <c r="Q75" s="12"/>
      <c r="R75" s="12"/>
      <c r="S75" s="13"/>
      <c r="T75" s="42">
        <f t="shared" si="41"/>
        <v>0</v>
      </c>
      <c r="U75" s="11">
        <f t="shared" si="55"/>
        <v>744534.83999999997</v>
      </c>
      <c r="V75" s="12">
        <f t="shared" si="55"/>
        <v>0</v>
      </c>
      <c r="W75" s="12">
        <f t="shared" si="55"/>
        <v>0</v>
      </c>
      <c r="X75" s="13">
        <f t="shared" si="55"/>
        <v>0</v>
      </c>
      <c r="Y75" s="36">
        <f t="shared" si="26"/>
        <v>0</v>
      </c>
    </row>
    <row r="76" spans="1:25" ht="15.75" outlineLevel="2">
      <c r="A76" s="6" t="s">
        <v>31</v>
      </c>
      <c r="B76" s="6" t="s">
        <v>8</v>
      </c>
      <c r="C76" s="6" t="s">
        <v>9</v>
      </c>
      <c r="D76" s="6" t="s">
        <v>10</v>
      </c>
      <c r="E76" s="21">
        <v>2016</v>
      </c>
      <c r="F76" s="6">
        <f t="shared" si="56" ref="F76:F78">2021.5-E76</f>
        <v>5.5</v>
      </c>
      <c r="G76" s="1">
        <v>63609.150000000001</v>
      </c>
      <c r="H76" s="1"/>
      <c r="I76" s="6" t="s">
        <v>22</v>
      </c>
      <c r="J76" s="1">
        <v>5</v>
      </c>
      <c r="K76" s="1">
        <v>1.1986250000000001</v>
      </c>
      <c r="L76" s="1">
        <f t="shared" si="51"/>
        <v>48360.446516250006</v>
      </c>
      <c r="M76" s="22">
        <f t="shared" si="52"/>
        <v>1.5085364165545401</v>
      </c>
      <c r="N76" s="19">
        <f t="shared" si="53"/>
        <v>63609.150000000001</v>
      </c>
      <c r="O76" s="7"/>
      <c r="P76" s="11">
        <v>0</v>
      </c>
      <c r="Q76" s="12">
        <f>+G76</f>
        <v>63609.150000000001</v>
      </c>
      <c r="R76" s="12"/>
      <c r="S76" s="13"/>
      <c r="T76" s="42">
        <f t="shared" si="41"/>
        <v>0</v>
      </c>
      <c r="U76" s="11">
        <f t="shared" si="55"/>
        <v>0</v>
      </c>
      <c r="V76" s="12">
        <f t="shared" si="55"/>
        <v>63609.150000000001</v>
      </c>
      <c r="W76" s="12">
        <f t="shared" si="55"/>
        <v>0</v>
      </c>
      <c r="X76" s="13">
        <f t="shared" si="55"/>
        <v>0</v>
      </c>
      <c r="Y76" s="36">
        <f t="shared" si="26"/>
        <v>0</v>
      </c>
    </row>
    <row r="77" spans="1:25" ht="15.75" outlineLevel="2">
      <c r="A77" s="6" t="s">
        <v>31</v>
      </c>
      <c r="B77" s="6" t="s">
        <v>8</v>
      </c>
      <c r="C77" s="6" t="s">
        <v>9</v>
      </c>
      <c r="D77" s="6" t="s">
        <v>10</v>
      </c>
      <c r="E77" s="21">
        <v>2016</v>
      </c>
      <c r="F77" s="6">
        <f t="shared" si="56"/>
        <v>5.5</v>
      </c>
      <c r="G77" s="1">
        <v>1853.55</v>
      </c>
      <c r="H77" s="1"/>
      <c r="I77" s="6" t="s">
        <v>22</v>
      </c>
      <c r="J77" s="1">
        <v>5</v>
      </c>
      <c r="K77" s="1">
        <v>1.1986250000000001</v>
      </c>
      <c r="L77" s="1">
        <f t="shared" si="51"/>
        <v>1409.20772625</v>
      </c>
      <c r="M77" s="22">
        <f t="shared" si="52"/>
        <v>1.5085364165545401</v>
      </c>
      <c r="N77" s="19">
        <f t="shared" si="53"/>
        <v>1853.55</v>
      </c>
      <c r="O77" s="7"/>
      <c r="P77" s="11">
        <v>0</v>
      </c>
      <c r="Q77" s="12"/>
      <c r="R77" s="12">
        <f>+G77</f>
        <v>1853.55</v>
      </c>
      <c r="S77" s="13"/>
      <c r="T77" s="42">
        <f t="shared" si="41"/>
        <v>0</v>
      </c>
      <c r="U77" s="11"/>
      <c r="V77" s="12"/>
      <c r="W77" s="12">
        <f>+N77</f>
        <v>1853.55</v>
      </c>
      <c r="X77" s="13"/>
      <c r="Y77" s="36">
        <f t="shared" si="26"/>
        <v>0</v>
      </c>
    </row>
    <row r="78" spans="1:25" ht="15.75" outlineLevel="2">
      <c r="A78" s="6" t="s">
        <v>31</v>
      </c>
      <c r="B78" s="6" t="s">
        <v>8</v>
      </c>
      <c r="C78" s="6" t="s">
        <v>9</v>
      </c>
      <c r="D78" s="6" t="s">
        <v>10</v>
      </c>
      <c r="E78" s="21">
        <v>2016</v>
      </c>
      <c r="F78" s="6">
        <f t="shared" si="56"/>
        <v>5.5</v>
      </c>
      <c r="G78" s="1">
        <v>113.43000000000001</v>
      </c>
      <c r="H78" s="1"/>
      <c r="I78" s="6" t="s">
        <v>22</v>
      </c>
      <c r="J78" s="1">
        <v>5</v>
      </c>
      <c r="K78" s="1">
        <v>1.1986250000000001</v>
      </c>
      <c r="L78" s="1">
        <f t="shared" si="51"/>
        <v>86.237993250000002</v>
      </c>
      <c r="M78" s="22">
        <f t="shared" si="52"/>
        <v>1.5085364165545401</v>
      </c>
      <c r="N78" s="19">
        <f t="shared" si="53"/>
        <v>113.43000000000001</v>
      </c>
      <c r="O78" s="7"/>
      <c r="P78" s="11">
        <v>0</v>
      </c>
      <c r="Q78" s="12"/>
      <c r="R78" s="12"/>
      <c r="S78" s="13">
        <f>G78</f>
        <v>113.43000000000001</v>
      </c>
      <c r="T78" s="42">
        <f t="shared" si="41"/>
        <v>0</v>
      </c>
      <c r="U78" s="11"/>
      <c r="V78" s="12"/>
      <c r="W78" s="12"/>
      <c r="X78" s="13">
        <f>+N78</f>
        <v>113.43000000000001</v>
      </c>
      <c r="Y78" s="36">
        <f t="shared" si="26"/>
        <v>0</v>
      </c>
    </row>
    <row r="79" spans="1:25" ht="15.75" outlineLevel="2">
      <c r="A79" s="6" t="s">
        <v>31</v>
      </c>
      <c r="B79" s="6" t="s">
        <v>8</v>
      </c>
      <c r="C79" s="6" t="s">
        <v>9</v>
      </c>
      <c r="D79" s="6" t="s">
        <v>10</v>
      </c>
      <c r="E79" s="6" t="s">
        <v>23</v>
      </c>
      <c r="F79" s="6">
        <f t="shared" si="50"/>
        <v>6.5</v>
      </c>
      <c r="G79" s="1">
        <v>-30542.43</v>
      </c>
      <c r="H79" s="1"/>
      <c r="I79" s="6" t="s">
        <v>22</v>
      </c>
      <c r="J79" s="1">
        <v>5</v>
      </c>
      <c r="K79" s="1">
        <v>0.59899899999999995</v>
      </c>
      <c r="L79" s="1">
        <f t="shared" si="51"/>
        <v>-26883.452994486001</v>
      </c>
      <c r="M79" s="22">
        <f t="shared" si="52"/>
        <v>1.5085364165545401</v>
      </c>
      <c r="N79" s="19">
        <f>+G79</f>
        <v>-30542.43</v>
      </c>
      <c r="O79" s="7"/>
      <c r="P79" s="11">
        <f t="shared" si="57" ref="P79:P81">+G79</f>
        <v>-30542.43</v>
      </c>
      <c r="Q79" s="12"/>
      <c r="R79" s="12"/>
      <c r="S79" s="13"/>
      <c r="T79" s="42">
        <f t="shared" si="41"/>
        <v>0</v>
      </c>
      <c r="U79" s="11">
        <f>+P79</f>
        <v>-30542.43</v>
      </c>
      <c r="V79" s="12"/>
      <c r="W79" s="12"/>
      <c r="X79" s="13"/>
      <c r="Y79" s="36">
        <f t="shared" si="26"/>
        <v>0</v>
      </c>
    </row>
    <row r="80" spans="1:25" ht="15.75" outlineLevel="2">
      <c r="A80" s="6" t="s">
        <v>31</v>
      </c>
      <c r="B80" s="6" t="s">
        <v>8</v>
      </c>
      <c r="C80" s="6" t="s">
        <v>9</v>
      </c>
      <c r="D80" s="6" t="s">
        <v>10</v>
      </c>
      <c r="E80" s="6" t="s">
        <v>21</v>
      </c>
      <c r="F80" s="6">
        <f t="shared" si="50"/>
        <v>7.5</v>
      </c>
      <c r="G80" s="1">
        <v>840275.57999999996</v>
      </c>
      <c r="H80" s="1"/>
      <c r="I80" s="6" t="s">
        <v>22</v>
      </c>
      <c r="J80" s="1">
        <v>5</v>
      </c>
      <c r="K80" s="1">
        <v>0.59899899999999995</v>
      </c>
      <c r="L80" s="1">
        <f t="shared" si="51"/>
        <v>739610.733571116</v>
      </c>
      <c r="M80" s="22">
        <f t="shared" si="52"/>
        <v>1.5085364165545401</v>
      </c>
      <c r="N80" s="19">
        <f>IF((G80-L80*M80)&lt;0,G80,L80*M80)</f>
        <v>840275.57999999996</v>
      </c>
      <c r="O80" s="7"/>
      <c r="P80" s="11">
        <f t="shared" si="57"/>
        <v>840275.57999999996</v>
      </c>
      <c r="Q80" s="12"/>
      <c r="R80" s="12"/>
      <c r="S80" s="13"/>
      <c r="T80" s="42">
        <f t="shared" si="41"/>
        <v>0</v>
      </c>
      <c r="U80" s="11">
        <f t="shared" si="58" ref="U80:X81">+$N80*P80/$G80</f>
        <v>840275.57999999996</v>
      </c>
      <c r="V80" s="12">
        <f t="shared" si="58"/>
        <v>0</v>
      </c>
      <c r="W80" s="12">
        <f t="shared" si="58"/>
        <v>0</v>
      </c>
      <c r="X80" s="13">
        <f t="shared" si="58"/>
        <v>0</v>
      </c>
      <c r="Y80" s="36">
        <f t="shared" si="26"/>
        <v>0</v>
      </c>
    </row>
    <row r="81" spans="1:25" ht="15.75" outlineLevel="2">
      <c r="A81" s="6" t="s">
        <v>31</v>
      </c>
      <c r="B81" s="6" t="s">
        <v>8</v>
      </c>
      <c r="C81" s="6" t="s">
        <v>9</v>
      </c>
      <c r="D81" s="6" t="s">
        <v>10</v>
      </c>
      <c r="E81" s="6" t="s">
        <v>16</v>
      </c>
      <c r="F81" s="6">
        <f t="shared" si="50"/>
        <v>11.5</v>
      </c>
      <c r="G81" s="1">
        <v>408674.69</v>
      </c>
      <c r="H81" s="1"/>
      <c r="I81" s="6" t="s">
        <v>22</v>
      </c>
      <c r="J81" s="1">
        <v>5</v>
      </c>
      <c r="K81" s="1">
        <v>0</v>
      </c>
      <c r="L81" s="1">
        <f t="shared" si="51"/>
        <v>408674.69</v>
      </c>
      <c r="M81" s="22">
        <f t="shared" si="52"/>
        <v>1.5085364165545401</v>
      </c>
      <c r="N81" s="19">
        <f>IF((G81-L81*M81)&lt;0,G81,L81*M81)</f>
        <v>408674.69</v>
      </c>
      <c r="O81" s="7"/>
      <c r="P81" s="11">
        <f t="shared" si="57"/>
        <v>408674.69</v>
      </c>
      <c r="Q81" s="12"/>
      <c r="R81" s="12"/>
      <c r="S81" s="13"/>
      <c r="T81" s="42">
        <f t="shared" si="41"/>
        <v>0</v>
      </c>
      <c r="U81" s="11">
        <f t="shared" si="58"/>
        <v>408674.69</v>
      </c>
      <c r="V81" s="12">
        <f t="shared" si="58"/>
        <v>0</v>
      </c>
      <c r="W81" s="12">
        <f t="shared" si="58"/>
        <v>0</v>
      </c>
      <c r="X81" s="13">
        <f t="shared" si="58"/>
        <v>0</v>
      </c>
      <c r="Y81" s="36">
        <f t="shared" si="26"/>
        <v>0</v>
      </c>
    </row>
    <row r="82" spans="1:25" ht="16.5" customHeight="1" outlineLevel="1">
      <c r="A82" s="14" t="s">
        <v>45</v>
      </c>
      <c r="B82" s="6"/>
      <c r="C82" s="6"/>
      <c r="D82" s="6"/>
      <c r="E82" s="6"/>
      <c r="F82" s="6"/>
      <c r="G82" s="2">
        <f>SUBTOTAL(9,G73:G81)</f>
        <v>2853575.8699999996</v>
      </c>
      <c r="H82" s="2"/>
      <c r="I82" s="14" t="s">
        <v>46</v>
      </c>
      <c r="J82" s="2">
        <f>+N82-K82</f>
        <v>0</v>
      </c>
      <c r="K82" s="2">
        <v>2850265.6201087995</v>
      </c>
      <c r="L82" s="2"/>
      <c r="M82" s="22">
        <v>1.5085364165545401</v>
      </c>
      <c r="N82" s="20">
        <f>SUBTOTAL(9,N73:N81)</f>
        <v>2850265.6201087995</v>
      </c>
      <c r="O82" s="7"/>
      <c r="P82" s="16">
        <f>SUBTOTAL(9,P73:P81)</f>
        <v>2787999.7399999998</v>
      </c>
      <c r="Q82" s="17">
        <f>SUBTOTAL(9,Q73:Q81)</f>
        <v>63609.150000000001</v>
      </c>
      <c r="R82" s="17">
        <f>SUBTOTAL(9,R73:R81)</f>
        <v>1853.55</v>
      </c>
      <c r="S82" s="18">
        <f>SUBTOTAL(9,S73:S81)</f>
        <v>113.43000000000001</v>
      </c>
      <c r="T82" s="42">
        <f t="shared" si="41"/>
        <v>0</v>
      </c>
      <c r="U82" s="11">
        <f>SUBTOTAL(9,U73:U81)</f>
        <v>2784689.4901087997</v>
      </c>
      <c r="V82" s="12">
        <f>SUBTOTAL(9,V73:V81)</f>
        <v>63609.150000000001</v>
      </c>
      <c r="W82" s="12">
        <f>SUBTOTAL(9,W73:W81)</f>
        <v>1853.55</v>
      </c>
      <c r="X82" s="13">
        <f>SUBTOTAL(9,X73:X81)</f>
        <v>113.43000000000001</v>
      </c>
      <c r="Y82" s="36">
        <f t="shared" si="26"/>
        <v>0</v>
      </c>
    </row>
    <row r="83" spans="1:25" ht="15" outlineLevel="2">
      <c r="A83" s="6" t="s">
        <v>7</v>
      </c>
      <c r="B83" s="6" t="s">
        <v>8</v>
      </c>
      <c r="C83" s="6" t="s">
        <v>9</v>
      </c>
      <c r="D83" s="6" t="s">
        <v>10</v>
      </c>
      <c r="E83" s="6" t="s">
        <v>30</v>
      </c>
      <c r="F83" s="6">
        <f t="shared" si="59" ref="F83:F121">2021.5-E83</f>
        <v>0.5</v>
      </c>
      <c r="G83" s="1">
        <v>31274623.629999999</v>
      </c>
      <c r="H83" s="1"/>
      <c r="I83" s="6" t="s">
        <v>20</v>
      </c>
      <c r="J83" s="1">
        <v>8</v>
      </c>
      <c r="K83" s="1">
        <v>7.5506099999999998</v>
      </c>
      <c r="L83" s="1">
        <f t="shared" si="60" ref="L83:L121">+(1-K83/J83)*G83</f>
        <v>1756812.8891357132</v>
      </c>
      <c r="M83" s="1">
        <f t="shared" si="61" ref="M83:M121">$M$122</f>
        <v>1.0718291335749111</v>
      </c>
      <c r="N83" s="19">
        <f t="shared" si="62" ref="N83:N121">IF((G83-L83*M83)&lt;0,G83,L83*M83)</f>
        <v>1883003.2368155678</v>
      </c>
      <c r="O83" s="7"/>
      <c r="P83" s="11"/>
      <c r="Q83" s="12">
        <f t="shared" si="63" ref="Q83:Q91">+G83</f>
        <v>31274623.629999999</v>
      </c>
      <c r="R83" s="12"/>
      <c r="S83" s="13"/>
      <c r="T83" s="42">
        <f t="shared" si="41"/>
        <v>0</v>
      </c>
      <c r="U83" s="11">
        <f t="shared" si="64" ref="U83:U121">+$N83*P83/$G83</f>
        <v>0</v>
      </c>
      <c r="V83" s="12">
        <f t="shared" si="65" ref="V83:V121">+$N83*Q83/$G83</f>
        <v>1883003.2368155678</v>
      </c>
      <c r="W83" s="12">
        <f t="shared" si="66" ref="W83:W121">+$N83*R83/$G83</f>
        <v>0</v>
      </c>
      <c r="X83" s="13">
        <f t="shared" si="67" ref="X83:X121">+$N83*S83/$G83</f>
        <v>0</v>
      </c>
      <c r="Y83" s="36">
        <f t="shared" si="26"/>
        <v>0</v>
      </c>
    </row>
    <row r="84" spans="1:25" ht="15" outlineLevel="2">
      <c r="A84" s="6" t="s">
        <v>7</v>
      </c>
      <c r="B84" s="6" t="s">
        <v>8</v>
      </c>
      <c r="C84" s="6" t="s">
        <v>9</v>
      </c>
      <c r="D84" s="6" t="s">
        <v>10</v>
      </c>
      <c r="E84" s="6" t="s">
        <v>28</v>
      </c>
      <c r="F84" s="6">
        <f t="shared" si="59"/>
        <v>1.5</v>
      </c>
      <c r="G84" s="1">
        <v>17082212.739999998</v>
      </c>
      <c r="H84" s="1"/>
      <c r="I84" s="6" t="s">
        <v>20</v>
      </c>
      <c r="J84" s="1">
        <v>8</v>
      </c>
      <c r="K84" s="1">
        <v>6.6778959999999996</v>
      </c>
      <c r="L84" s="1">
        <f t="shared" si="60"/>
        <v>2823057.7240506206</v>
      </c>
      <c r="M84" s="1">
        <f t="shared" si="61"/>
        <v>1.0718291335749111</v>
      </c>
      <c r="N84" s="19">
        <f t="shared" si="62"/>
        <v>3025835.5144011369</v>
      </c>
      <c r="O84" s="7"/>
      <c r="P84" s="11"/>
      <c r="Q84" s="12">
        <f t="shared" si="63"/>
        <v>17082212.739999998</v>
      </c>
      <c r="R84" s="12"/>
      <c r="S84" s="13"/>
      <c r="T84" s="42">
        <f t="shared" si="41"/>
        <v>0</v>
      </c>
      <c r="U84" s="11">
        <f t="shared" si="64"/>
        <v>0</v>
      </c>
      <c r="V84" s="12">
        <f t="shared" si="65"/>
        <v>3025835.5144011369</v>
      </c>
      <c r="W84" s="12">
        <f t="shared" si="66"/>
        <v>0</v>
      </c>
      <c r="X84" s="13">
        <f t="shared" si="67"/>
        <v>0</v>
      </c>
      <c r="Y84" s="36">
        <f t="shared" si="26"/>
        <v>0</v>
      </c>
    </row>
    <row r="85" spans="1:25" ht="15" outlineLevel="2">
      <c r="A85" s="6" t="s">
        <v>7</v>
      </c>
      <c r="B85" s="6" t="s">
        <v>8</v>
      </c>
      <c r="C85" s="6" t="s">
        <v>9</v>
      </c>
      <c r="D85" s="6" t="s">
        <v>10</v>
      </c>
      <c r="E85" s="6" t="s">
        <v>27</v>
      </c>
      <c r="F85" s="6">
        <f t="shared" si="59"/>
        <v>2.5</v>
      </c>
      <c r="G85" s="1">
        <v>25619290.579999998</v>
      </c>
      <c r="H85" s="1"/>
      <c r="I85" s="6" t="s">
        <v>20</v>
      </c>
      <c r="J85" s="1">
        <v>8</v>
      </c>
      <c r="K85" s="1">
        <v>5.8442860000000003</v>
      </c>
      <c r="L85" s="1">
        <f t="shared" si="60"/>
        <v>6903482.9216717631</v>
      </c>
      <c r="M85" s="1">
        <f t="shared" si="61"/>
        <v>1.0718291335749111</v>
      </c>
      <c r="N85" s="19">
        <f t="shared" si="62"/>
        <v>7399354.1185846413</v>
      </c>
      <c r="O85" s="7"/>
      <c r="P85" s="11"/>
      <c r="Q85" s="12">
        <f t="shared" si="63"/>
        <v>25619290.579999998</v>
      </c>
      <c r="R85" s="12"/>
      <c r="S85" s="13"/>
      <c r="T85" s="42">
        <f t="shared" si="41"/>
        <v>0</v>
      </c>
      <c r="U85" s="11">
        <f t="shared" si="64"/>
        <v>0</v>
      </c>
      <c r="V85" s="12">
        <f t="shared" si="65"/>
        <v>7399354.1185846413</v>
      </c>
      <c r="W85" s="12">
        <f t="shared" si="66"/>
        <v>0</v>
      </c>
      <c r="X85" s="13">
        <f t="shared" si="67"/>
        <v>0</v>
      </c>
      <c r="Y85" s="36">
        <f t="shared" si="26"/>
        <v>0</v>
      </c>
    </row>
    <row r="86" spans="1:25" ht="15" outlineLevel="2">
      <c r="A86" s="6" t="s">
        <v>7</v>
      </c>
      <c r="B86" s="6" t="s">
        <v>8</v>
      </c>
      <c r="C86" s="6" t="s">
        <v>9</v>
      </c>
      <c r="D86" s="6" t="s">
        <v>10</v>
      </c>
      <c r="E86" s="6" t="s">
        <v>26</v>
      </c>
      <c r="F86" s="6">
        <f t="shared" si="59"/>
        <v>3.5</v>
      </c>
      <c r="G86" s="1">
        <v>9380139.3399999999</v>
      </c>
      <c r="H86" s="1"/>
      <c r="I86" s="6" t="s">
        <v>20</v>
      </c>
      <c r="J86" s="1">
        <v>8</v>
      </c>
      <c r="K86" s="1">
        <v>5.0554050000000004</v>
      </c>
      <c r="L86" s="1">
        <f t="shared" si="60"/>
        <v>3452588.924983412</v>
      </c>
      <c r="M86" s="1">
        <f t="shared" si="61"/>
        <v>1.0718291335749111</v>
      </c>
      <c r="N86" s="19">
        <f t="shared" si="62"/>
        <v>3700585.396055304</v>
      </c>
      <c r="O86" s="7"/>
      <c r="P86" s="11"/>
      <c r="Q86" s="12">
        <f t="shared" si="63"/>
        <v>9380139.3399999999</v>
      </c>
      <c r="R86" s="12"/>
      <c r="S86" s="13"/>
      <c r="T86" s="42">
        <f t="shared" si="41"/>
        <v>0</v>
      </c>
      <c r="U86" s="11">
        <f t="shared" si="64"/>
        <v>0</v>
      </c>
      <c r="V86" s="12">
        <f t="shared" si="65"/>
        <v>3700585.396055304</v>
      </c>
      <c r="W86" s="12">
        <f t="shared" si="66"/>
        <v>0</v>
      </c>
      <c r="X86" s="13">
        <f t="shared" si="67"/>
        <v>0</v>
      </c>
      <c r="Y86" s="36">
        <f t="shared" si="26"/>
        <v>0</v>
      </c>
    </row>
    <row r="87" spans="1:25" ht="15" outlineLevel="2">
      <c r="A87" s="6" t="s">
        <v>7</v>
      </c>
      <c r="B87" s="6" t="s">
        <v>8</v>
      </c>
      <c r="C87" s="6" t="s">
        <v>9</v>
      </c>
      <c r="D87" s="6" t="s">
        <v>10</v>
      </c>
      <c r="E87" s="6" t="s">
        <v>25</v>
      </c>
      <c r="F87" s="6">
        <f t="shared" si="59"/>
        <v>4.5</v>
      </c>
      <c r="G87" s="1">
        <v>15225667.09</v>
      </c>
      <c r="H87" s="1"/>
      <c r="I87" s="6" t="s">
        <v>20</v>
      </c>
      <c r="J87" s="1">
        <v>8</v>
      </c>
      <c r="K87" s="1">
        <v>4.3171759999999999</v>
      </c>
      <c r="L87" s="1">
        <f t="shared" si="60"/>
        <v>7009181.5218827697</v>
      </c>
      <c r="M87" s="1">
        <f t="shared" si="61"/>
        <v>1.0718291335749111</v>
      </c>
      <c r="N87" s="19">
        <f t="shared" si="62"/>
        <v>7512644.9576688856</v>
      </c>
      <c r="O87" s="7"/>
      <c r="P87" s="11"/>
      <c r="Q87" s="12">
        <f t="shared" si="63"/>
        <v>15225667.09</v>
      </c>
      <c r="R87" s="12"/>
      <c r="S87" s="13"/>
      <c r="T87" s="42">
        <f t="shared" si="41"/>
        <v>0</v>
      </c>
      <c r="U87" s="11">
        <f t="shared" si="64"/>
        <v>0</v>
      </c>
      <c r="V87" s="12">
        <f t="shared" si="65"/>
        <v>7512644.9576688856</v>
      </c>
      <c r="W87" s="12">
        <f t="shared" si="66"/>
        <v>0</v>
      </c>
      <c r="X87" s="13">
        <f t="shared" si="67"/>
        <v>0</v>
      </c>
      <c r="Y87" s="36">
        <f t="shared" si="26"/>
        <v>0</v>
      </c>
    </row>
    <row r="88" spans="1:25" ht="15" outlineLevel="2">
      <c r="A88" s="6" t="s">
        <v>7</v>
      </c>
      <c r="B88" s="6" t="s">
        <v>8</v>
      </c>
      <c r="C88" s="6" t="s">
        <v>9</v>
      </c>
      <c r="D88" s="6" t="s">
        <v>10</v>
      </c>
      <c r="E88" s="6" t="s">
        <v>24</v>
      </c>
      <c r="F88" s="6">
        <f t="shared" si="59"/>
        <v>5.5</v>
      </c>
      <c r="G88" s="1">
        <v>10446921.210000001</v>
      </c>
      <c r="H88" s="1"/>
      <c r="I88" s="6" t="s">
        <v>20</v>
      </c>
      <c r="J88" s="1">
        <v>8</v>
      </c>
      <c r="K88" s="1">
        <v>3.63625</v>
      </c>
      <c r="L88" s="1">
        <f t="shared" si="60"/>
        <v>5698469.0537671875</v>
      </c>
      <c r="M88" s="1">
        <f t="shared" si="61"/>
        <v>1.0718291335749111</v>
      </c>
      <c r="N88" s="19">
        <f t="shared" si="62"/>
        <v>6107785.1486027278</v>
      </c>
      <c r="O88" s="7"/>
      <c r="P88" s="11"/>
      <c r="Q88" s="12">
        <f t="shared" si="63"/>
        <v>10446921.210000001</v>
      </c>
      <c r="R88" s="12"/>
      <c r="S88" s="13"/>
      <c r="T88" s="42">
        <f t="shared" si="41"/>
        <v>0</v>
      </c>
      <c r="U88" s="11">
        <f t="shared" si="64"/>
        <v>0</v>
      </c>
      <c r="V88" s="12">
        <f t="shared" si="65"/>
        <v>6107785.1486027278</v>
      </c>
      <c r="W88" s="12">
        <f t="shared" si="66"/>
        <v>0</v>
      </c>
      <c r="X88" s="13">
        <f t="shared" si="67"/>
        <v>0</v>
      </c>
      <c r="Y88" s="36">
        <f t="shared" si="26"/>
        <v>0</v>
      </c>
    </row>
    <row r="89" spans="1:25" ht="15" outlineLevel="2">
      <c r="A89" s="6" t="s">
        <v>7</v>
      </c>
      <c r="B89" s="6" t="s">
        <v>8</v>
      </c>
      <c r="C89" s="6" t="s">
        <v>9</v>
      </c>
      <c r="D89" s="6" t="s">
        <v>10</v>
      </c>
      <c r="E89" s="6" t="s">
        <v>23</v>
      </c>
      <c r="F89" s="6">
        <f t="shared" si="59"/>
        <v>6.5</v>
      </c>
      <c r="G89" s="1">
        <v>5141820.2599999998</v>
      </c>
      <c r="H89" s="1"/>
      <c r="I89" s="6" t="s">
        <v>20</v>
      </c>
      <c r="J89" s="1">
        <v>8</v>
      </c>
      <c r="K89" s="1">
        <v>3.0199639999999999</v>
      </c>
      <c r="L89" s="1">
        <f t="shared" si="60"/>
        <v>3200806.25004117</v>
      </c>
      <c r="M89" s="1">
        <f t="shared" si="61"/>
        <v>1.0718291335749111</v>
      </c>
      <c r="N89" s="19">
        <f t="shared" si="62"/>
        <v>3430717.3897227873</v>
      </c>
      <c r="O89" s="7"/>
      <c r="P89" s="11"/>
      <c r="Q89" s="12">
        <f t="shared" si="63"/>
        <v>5141820.2599999998</v>
      </c>
      <c r="R89" s="12"/>
      <c r="S89" s="13"/>
      <c r="T89" s="42">
        <f t="shared" si="41"/>
        <v>0</v>
      </c>
      <c r="U89" s="11">
        <f t="shared" si="64"/>
        <v>0</v>
      </c>
      <c r="V89" s="12">
        <f t="shared" si="65"/>
        <v>3430717.3897227868</v>
      </c>
      <c r="W89" s="12">
        <f t="shared" si="66"/>
        <v>0</v>
      </c>
      <c r="X89" s="13">
        <f t="shared" si="67"/>
        <v>0</v>
      </c>
      <c r="Y89" s="36">
        <f t="shared" si="26"/>
        <v>0</v>
      </c>
    </row>
    <row r="90" spans="1:25" ht="15" outlineLevel="2">
      <c r="A90" s="6" t="s">
        <v>7</v>
      </c>
      <c r="B90" s="6" t="s">
        <v>8</v>
      </c>
      <c r="C90" s="6" t="s">
        <v>9</v>
      </c>
      <c r="D90" s="6" t="s">
        <v>10</v>
      </c>
      <c r="E90" s="6" t="s">
        <v>21</v>
      </c>
      <c r="F90" s="6">
        <f t="shared" si="59"/>
        <v>7.5</v>
      </c>
      <c r="G90" s="1">
        <v>17064143.629999999</v>
      </c>
      <c r="H90" s="1"/>
      <c r="I90" s="6" t="s">
        <v>20</v>
      </c>
      <c r="J90" s="1">
        <v>8</v>
      </c>
      <c r="K90" s="1">
        <v>2.4752879999999999</v>
      </c>
      <c r="L90" s="1">
        <f t="shared" si="60"/>
        <v>11784309.88529807</v>
      </c>
      <c r="M90" s="1">
        <f t="shared" si="61"/>
        <v>1.0718291335749111</v>
      </c>
      <c r="N90" s="19">
        <f t="shared" si="62"/>
        <v>12630766.654137289</v>
      </c>
      <c r="O90" s="7"/>
      <c r="P90" s="11"/>
      <c r="Q90" s="12">
        <f t="shared" si="63"/>
        <v>17064143.629999999</v>
      </c>
      <c r="R90" s="12"/>
      <c r="S90" s="13"/>
      <c r="T90" s="42">
        <f t="shared" si="68" ref="T90:T121">+G90-SUM(P90:S90)</f>
        <v>0</v>
      </c>
      <c r="U90" s="11">
        <f t="shared" si="64"/>
        <v>0</v>
      </c>
      <c r="V90" s="12">
        <f t="shared" si="65"/>
        <v>12630766.654137289</v>
      </c>
      <c r="W90" s="12">
        <f t="shared" si="66"/>
        <v>0</v>
      </c>
      <c r="X90" s="13">
        <f t="shared" si="67"/>
        <v>0</v>
      </c>
      <c r="Y90" s="36">
        <f t="shared" si="26"/>
        <v>0</v>
      </c>
    </row>
    <row r="91" spans="1:25" ht="15" outlineLevel="2">
      <c r="A91" s="6" t="s">
        <v>7</v>
      </c>
      <c r="B91" s="6" t="s">
        <v>8</v>
      </c>
      <c r="C91" s="6" t="s">
        <v>9</v>
      </c>
      <c r="D91" s="6" t="s">
        <v>10</v>
      </c>
      <c r="E91" s="6" t="s">
        <v>19</v>
      </c>
      <c r="F91" s="6">
        <f t="shared" si="59"/>
        <v>8.5</v>
      </c>
      <c r="G91" s="1">
        <v>5961040.6500000004</v>
      </c>
      <c r="H91" s="1"/>
      <c r="I91" s="6" t="s">
        <v>20</v>
      </c>
      <c r="J91" s="1">
        <v>8</v>
      </c>
      <c r="K91" s="1">
        <v>2.0065409999999999</v>
      </c>
      <c r="L91" s="1">
        <f t="shared" si="60"/>
        <v>4465906.5916385436</v>
      </c>
      <c r="M91" s="1">
        <f t="shared" si="61"/>
        <v>1.0718291335749111</v>
      </c>
      <c r="N91" s="19">
        <f t="shared" si="62"/>
        <v>4786688.7927424246</v>
      </c>
      <c r="O91" s="7"/>
      <c r="P91" s="11"/>
      <c r="Q91" s="12">
        <f t="shared" si="63"/>
        <v>5961040.6500000004</v>
      </c>
      <c r="R91" s="12"/>
      <c r="S91" s="13"/>
      <c r="T91" s="42">
        <f t="shared" si="68"/>
        <v>0</v>
      </c>
      <c r="U91" s="11">
        <f t="shared" si="64"/>
        <v>0</v>
      </c>
      <c r="V91" s="12">
        <f t="shared" si="65"/>
        <v>4786688.7927424246</v>
      </c>
      <c r="W91" s="12">
        <f t="shared" si="66"/>
        <v>0</v>
      </c>
      <c r="X91" s="13">
        <f t="shared" si="67"/>
        <v>0</v>
      </c>
      <c r="Y91" s="36">
        <f t="shared" si="26"/>
        <v>0</v>
      </c>
    </row>
    <row r="92" spans="1:25" ht="15" outlineLevel="2">
      <c r="A92" s="6" t="s">
        <v>7</v>
      </c>
      <c r="B92" s="6" t="s">
        <v>8</v>
      </c>
      <c r="C92" s="6" t="s">
        <v>9</v>
      </c>
      <c r="D92" s="6" t="s">
        <v>10</v>
      </c>
      <c r="E92" s="6" t="s">
        <v>30</v>
      </c>
      <c r="F92" s="6">
        <f t="shared" si="59"/>
        <v>0.5</v>
      </c>
      <c r="G92" s="1">
        <v>657144.63</v>
      </c>
      <c r="H92" s="1"/>
      <c r="I92" s="6" t="s">
        <v>20</v>
      </c>
      <c r="J92" s="1">
        <v>8</v>
      </c>
      <c r="K92" s="1">
        <v>7.5506099999999998</v>
      </c>
      <c r="L92" s="1">
        <f t="shared" si="60"/>
        <v>36914.278159462512</v>
      </c>
      <c r="M92" s="1">
        <f t="shared" si="61"/>
        <v>1.0718291335749111</v>
      </c>
      <c r="N92" s="19">
        <f t="shared" si="62"/>
        <v>39565.798776199968</v>
      </c>
      <c r="O92" s="7"/>
      <c r="P92" s="11"/>
      <c r="Q92" s="12"/>
      <c r="R92" s="12">
        <f t="shared" si="69" ref="R92:R101">+G92</f>
        <v>657144.63</v>
      </c>
      <c r="S92" s="13"/>
      <c r="T92" s="42">
        <f t="shared" si="68"/>
        <v>0</v>
      </c>
      <c r="U92" s="11">
        <f t="shared" si="64"/>
        <v>0</v>
      </c>
      <c r="V92" s="12">
        <f t="shared" si="65"/>
        <v>0</v>
      </c>
      <c r="W92" s="12">
        <f t="shared" si="66"/>
        <v>39565.798776199968</v>
      </c>
      <c r="X92" s="13">
        <f t="shared" si="67"/>
        <v>0</v>
      </c>
      <c r="Y92" s="36">
        <f t="shared" si="26"/>
        <v>0</v>
      </c>
    </row>
    <row r="93" spans="1:25" ht="15" outlineLevel="2">
      <c r="A93" s="6" t="s">
        <v>7</v>
      </c>
      <c r="B93" s="6" t="s">
        <v>8</v>
      </c>
      <c r="C93" s="6" t="s">
        <v>9</v>
      </c>
      <c r="D93" s="6" t="s">
        <v>10</v>
      </c>
      <c r="E93" s="6" t="s">
        <v>28</v>
      </c>
      <c r="F93" s="6">
        <f t="shared" si="59"/>
        <v>1.5</v>
      </c>
      <c r="G93" s="1">
        <v>410112.98999999999</v>
      </c>
      <c r="H93" s="1"/>
      <c r="I93" s="6" t="s">
        <v>20</v>
      </c>
      <c r="J93" s="1">
        <v>8</v>
      </c>
      <c r="K93" s="1">
        <v>6.6778959999999996</v>
      </c>
      <c r="L93" s="1">
        <f t="shared" si="60"/>
        <v>67776.503066370016</v>
      </c>
      <c r="M93" s="1">
        <f t="shared" si="61"/>
        <v>1.0718291335749111</v>
      </c>
      <c r="N93" s="19">
        <f t="shared" si="62"/>
        <v>72644.830558364672</v>
      </c>
      <c r="O93" s="7"/>
      <c r="P93" s="11"/>
      <c r="Q93" s="12"/>
      <c r="R93" s="12">
        <f t="shared" si="69"/>
        <v>410112.98999999999</v>
      </c>
      <c r="S93" s="13"/>
      <c r="T93" s="42">
        <f t="shared" si="68"/>
        <v>0</v>
      </c>
      <c r="U93" s="11">
        <f t="shared" si="64"/>
        <v>0</v>
      </c>
      <c r="V93" s="12">
        <f t="shared" si="65"/>
        <v>0</v>
      </c>
      <c r="W93" s="12">
        <f t="shared" si="66"/>
        <v>72644.830558364672</v>
      </c>
      <c r="X93" s="13">
        <f t="shared" si="67"/>
        <v>0</v>
      </c>
      <c r="Y93" s="36">
        <f t="shared" si="26"/>
        <v>0</v>
      </c>
    </row>
    <row r="94" spans="1:25" ht="15" outlineLevel="2">
      <c r="A94" s="6" t="s">
        <v>7</v>
      </c>
      <c r="B94" s="6" t="s">
        <v>8</v>
      </c>
      <c r="C94" s="6" t="s">
        <v>9</v>
      </c>
      <c r="D94" s="6" t="s">
        <v>10</v>
      </c>
      <c r="E94" s="6" t="s">
        <v>27</v>
      </c>
      <c r="F94" s="6">
        <f t="shared" si="59"/>
        <v>2.5</v>
      </c>
      <c r="G94" s="1">
        <v>231773.03</v>
      </c>
      <c r="H94" s="1"/>
      <c r="I94" s="6" t="s">
        <v>20</v>
      </c>
      <c r="J94" s="1">
        <v>8</v>
      </c>
      <c r="K94" s="1">
        <v>5.8442860000000003</v>
      </c>
      <c r="L94" s="1">
        <f t="shared" si="60"/>
        <v>62454.545699177492</v>
      </c>
      <c r="M94" s="1">
        <f t="shared" si="61"/>
        <v>1.0718291335749111</v>
      </c>
      <c r="N94" s="19">
        <f t="shared" si="62"/>
        <v>66940.601604564101</v>
      </c>
      <c r="O94" s="7"/>
      <c r="P94" s="11"/>
      <c r="Q94" s="12"/>
      <c r="R94" s="12">
        <f t="shared" si="69"/>
        <v>231773.03</v>
      </c>
      <c r="S94" s="13"/>
      <c r="T94" s="42">
        <f t="shared" si="68"/>
        <v>0</v>
      </c>
      <c r="U94" s="11">
        <f t="shared" si="64"/>
        <v>0</v>
      </c>
      <c r="V94" s="12">
        <f t="shared" si="65"/>
        <v>0</v>
      </c>
      <c r="W94" s="12">
        <f t="shared" si="66"/>
        <v>66940.601604564101</v>
      </c>
      <c r="X94" s="13">
        <f t="shared" si="67"/>
        <v>0</v>
      </c>
      <c r="Y94" s="36">
        <f t="shared" si="26"/>
        <v>0</v>
      </c>
    </row>
    <row r="95" spans="1:25" ht="15" outlineLevel="2">
      <c r="A95" s="6" t="s">
        <v>7</v>
      </c>
      <c r="B95" s="6" t="s">
        <v>8</v>
      </c>
      <c r="C95" s="6" t="s">
        <v>9</v>
      </c>
      <c r="D95" s="6" t="s">
        <v>10</v>
      </c>
      <c r="E95" s="6" t="s">
        <v>26</v>
      </c>
      <c r="F95" s="6">
        <f t="shared" si="59"/>
        <v>3.5</v>
      </c>
      <c r="G95" s="1">
        <v>226111.48999999999</v>
      </c>
      <c r="H95" s="1"/>
      <c r="I95" s="6" t="s">
        <v>20</v>
      </c>
      <c r="J95" s="1">
        <v>8</v>
      </c>
      <c r="K95" s="1">
        <v>5.0554050000000004</v>
      </c>
      <c r="L95" s="1">
        <f t="shared" si="60"/>
        <v>83225.845362068736</v>
      </c>
      <c r="M95" s="1">
        <f t="shared" si="61"/>
        <v>1.0718291335749111</v>
      </c>
      <c r="N95" s="19">
        <f t="shared" si="62"/>
        <v>89203.885725465661</v>
      </c>
      <c r="O95" s="7"/>
      <c r="P95" s="11"/>
      <c r="Q95" s="12"/>
      <c r="R95" s="12">
        <f t="shared" si="69"/>
        <v>226111.48999999999</v>
      </c>
      <c r="S95" s="13"/>
      <c r="T95" s="42">
        <f t="shared" si="68"/>
        <v>0</v>
      </c>
      <c r="U95" s="11">
        <f t="shared" si="64"/>
        <v>0</v>
      </c>
      <c r="V95" s="12">
        <f t="shared" si="65"/>
        <v>0</v>
      </c>
      <c r="W95" s="12">
        <f t="shared" si="66"/>
        <v>89203.885725465661</v>
      </c>
      <c r="X95" s="13">
        <f t="shared" si="67"/>
        <v>0</v>
      </c>
      <c r="Y95" s="36">
        <f t="shared" si="26"/>
        <v>0</v>
      </c>
    </row>
    <row r="96" spans="1:25" ht="15" outlineLevel="2">
      <c r="A96" s="6" t="s">
        <v>7</v>
      </c>
      <c r="B96" s="6" t="s">
        <v>8</v>
      </c>
      <c r="C96" s="6" t="s">
        <v>9</v>
      </c>
      <c r="D96" s="6" t="s">
        <v>10</v>
      </c>
      <c r="E96" s="6" t="s">
        <v>25</v>
      </c>
      <c r="F96" s="6">
        <f t="shared" si="59"/>
        <v>4.5</v>
      </c>
      <c r="G96" s="1">
        <v>334831.62</v>
      </c>
      <c r="H96" s="1"/>
      <c r="I96" s="6" t="s">
        <v>20</v>
      </c>
      <c r="J96" s="1">
        <v>8</v>
      </c>
      <c r="K96" s="1">
        <v>4.3171759999999999</v>
      </c>
      <c r="L96" s="1">
        <f t="shared" si="60"/>
        <v>154140.74076186001</v>
      </c>
      <c r="M96" s="1">
        <f t="shared" si="61"/>
        <v>1.0718291335749111</v>
      </c>
      <c r="N96" s="19">
        <f t="shared" si="62"/>
        <v>165212.53661937939</v>
      </c>
      <c r="O96" s="7"/>
      <c r="P96" s="11"/>
      <c r="Q96" s="12"/>
      <c r="R96" s="12">
        <f t="shared" si="69"/>
        <v>334831.62</v>
      </c>
      <c r="S96" s="13"/>
      <c r="T96" s="42">
        <f t="shared" si="68"/>
        <v>0</v>
      </c>
      <c r="U96" s="11">
        <f t="shared" si="64"/>
        <v>0</v>
      </c>
      <c r="V96" s="12">
        <f t="shared" si="65"/>
        <v>0</v>
      </c>
      <c r="W96" s="12">
        <f t="shared" si="66"/>
        <v>165212.53661937939</v>
      </c>
      <c r="X96" s="13">
        <f t="shared" si="67"/>
        <v>0</v>
      </c>
      <c r="Y96" s="36">
        <f t="shared" si="26"/>
        <v>0</v>
      </c>
    </row>
    <row r="97" spans="1:25" ht="15" outlineLevel="2">
      <c r="A97" s="6" t="s">
        <v>7</v>
      </c>
      <c r="B97" s="6" t="s">
        <v>8</v>
      </c>
      <c r="C97" s="6" t="s">
        <v>9</v>
      </c>
      <c r="D97" s="6" t="s">
        <v>10</v>
      </c>
      <c r="E97" s="6" t="s">
        <v>24</v>
      </c>
      <c r="F97" s="6">
        <f t="shared" si="59"/>
        <v>5.5</v>
      </c>
      <c r="G97" s="1">
        <v>185294.04999999999</v>
      </c>
      <c r="H97" s="1"/>
      <c r="I97" s="6" t="s">
        <v>20</v>
      </c>
      <c r="J97" s="1">
        <v>8</v>
      </c>
      <c r="K97" s="1">
        <v>3.63625</v>
      </c>
      <c r="L97" s="1">
        <f t="shared" si="60"/>
        <v>101072.11383593749</v>
      </c>
      <c r="M97" s="1">
        <f t="shared" si="61"/>
        <v>1.0718291335749111</v>
      </c>
      <c r="N97" s="19">
        <f t="shared" si="62"/>
        <v>108332.03620135765</v>
      </c>
      <c r="O97" s="7"/>
      <c r="P97" s="11"/>
      <c r="Q97" s="12"/>
      <c r="R97" s="12">
        <f t="shared" si="69"/>
        <v>185294.04999999999</v>
      </c>
      <c r="S97" s="13"/>
      <c r="T97" s="42">
        <f t="shared" si="68"/>
        <v>0</v>
      </c>
      <c r="U97" s="11">
        <f t="shared" si="64"/>
        <v>0</v>
      </c>
      <c r="V97" s="12">
        <f t="shared" si="65"/>
        <v>0</v>
      </c>
      <c r="W97" s="12">
        <f t="shared" si="66"/>
        <v>108332.03620135765</v>
      </c>
      <c r="X97" s="13">
        <f t="shared" si="67"/>
        <v>0</v>
      </c>
      <c r="Y97" s="36">
        <f t="shared" si="26"/>
        <v>0</v>
      </c>
    </row>
    <row r="98" spans="1:25" ht="15" outlineLevel="2">
      <c r="A98" s="6" t="s">
        <v>7</v>
      </c>
      <c r="B98" s="6" t="s">
        <v>8</v>
      </c>
      <c r="C98" s="6" t="s">
        <v>9</v>
      </c>
      <c r="D98" s="6" t="s">
        <v>10</v>
      </c>
      <c r="E98" s="6" t="s">
        <v>23</v>
      </c>
      <c r="F98" s="6">
        <f t="shared" si="59"/>
        <v>6.5</v>
      </c>
      <c r="G98" s="1">
        <v>76979.009999999995</v>
      </c>
      <c r="H98" s="1"/>
      <c r="I98" s="6" t="s">
        <v>20</v>
      </c>
      <c r="J98" s="1">
        <v>8</v>
      </c>
      <c r="K98" s="1">
        <v>3.0199639999999999</v>
      </c>
      <c r="L98" s="1">
        <f t="shared" si="60"/>
        <v>47919.780130544998</v>
      </c>
      <c r="M98" s="1">
        <f t="shared" si="61"/>
        <v>1.0718291335749111</v>
      </c>
      <c r="N98" s="19">
        <f t="shared" si="62"/>
        <v>51361.816418422284</v>
      </c>
      <c r="O98" s="7"/>
      <c r="P98" s="11"/>
      <c r="Q98" s="12"/>
      <c r="R98" s="12">
        <f t="shared" si="69"/>
        <v>76979.009999999995</v>
      </c>
      <c r="S98" s="13"/>
      <c r="T98" s="42">
        <f t="shared" si="68"/>
        <v>0</v>
      </c>
      <c r="U98" s="11">
        <f t="shared" si="64"/>
        <v>0</v>
      </c>
      <c r="V98" s="12">
        <f t="shared" si="65"/>
        <v>0</v>
      </c>
      <c r="W98" s="12">
        <f t="shared" si="66"/>
        <v>51361.816418422284</v>
      </c>
      <c r="X98" s="13">
        <f t="shared" si="67"/>
        <v>0</v>
      </c>
      <c r="Y98" s="36">
        <f t="shared" si="26"/>
        <v>0</v>
      </c>
    </row>
    <row r="99" spans="1:25" ht="15" outlineLevel="2">
      <c r="A99" s="6" t="s">
        <v>7</v>
      </c>
      <c r="B99" s="6" t="s">
        <v>8</v>
      </c>
      <c r="C99" s="6" t="s">
        <v>9</v>
      </c>
      <c r="D99" s="6" t="s">
        <v>10</v>
      </c>
      <c r="E99" s="6" t="s">
        <v>21</v>
      </c>
      <c r="F99" s="6">
        <f t="shared" si="59"/>
        <v>7.5</v>
      </c>
      <c r="G99" s="1">
        <v>782614.40000000002</v>
      </c>
      <c r="H99" s="1"/>
      <c r="I99" s="6" t="s">
        <v>20</v>
      </c>
      <c r="J99" s="1">
        <v>8</v>
      </c>
      <c r="K99" s="1">
        <v>2.4752879999999999</v>
      </c>
      <c r="L99" s="1">
        <f t="shared" si="60"/>
        <v>540464.89588159998</v>
      </c>
      <c r="M99" s="1">
        <f t="shared" si="61"/>
        <v>1.0718291335749111</v>
      </c>
      <c r="N99" s="19">
        <f t="shared" si="62"/>
        <v>579286.02108042978</v>
      </c>
      <c r="O99" s="7"/>
      <c r="P99" s="11"/>
      <c r="Q99" s="12"/>
      <c r="R99" s="12">
        <f t="shared" si="69"/>
        <v>782614.40000000002</v>
      </c>
      <c r="S99" s="13"/>
      <c r="T99" s="42">
        <f t="shared" si="68"/>
        <v>0</v>
      </c>
      <c r="U99" s="11">
        <f t="shared" si="64"/>
        <v>0</v>
      </c>
      <c r="V99" s="12">
        <f t="shared" si="65"/>
        <v>0</v>
      </c>
      <c r="W99" s="12">
        <f t="shared" si="66"/>
        <v>579286.02108042978</v>
      </c>
      <c r="X99" s="13">
        <f t="shared" si="67"/>
        <v>0</v>
      </c>
      <c r="Y99" s="36">
        <f t="shared" si="26"/>
        <v>0</v>
      </c>
    </row>
    <row r="100" spans="1:25" ht="15" outlineLevel="2">
      <c r="A100" s="6" t="s">
        <v>7</v>
      </c>
      <c r="B100" s="6" t="s">
        <v>8</v>
      </c>
      <c r="C100" s="6" t="s">
        <v>9</v>
      </c>
      <c r="D100" s="6" t="s">
        <v>10</v>
      </c>
      <c r="E100" s="6" t="s">
        <v>19</v>
      </c>
      <c r="F100" s="6">
        <f t="shared" si="59"/>
        <v>8.5</v>
      </c>
      <c r="G100" s="1">
        <v>391619.06</v>
      </c>
      <c r="H100" s="1"/>
      <c r="I100" s="6" t="s">
        <v>20</v>
      </c>
      <c r="J100" s="1">
        <v>8</v>
      </c>
      <c r="K100" s="1">
        <v>2.0065409999999999</v>
      </c>
      <c r="L100" s="1">
        <f t="shared" si="60"/>
        <v>293394.09746606747</v>
      </c>
      <c r="M100" s="1">
        <f t="shared" si="61"/>
        <v>1.0718291335749111</v>
      </c>
      <c r="N100" s="19">
        <f t="shared" si="62"/>
        <v>314468.3412830481</v>
      </c>
      <c r="O100" s="7"/>
      <c r="P100" s="11"/>
      <c r="Q100" s="12"/>
      <c r="R100" s="12">
        <f t="shared" si="69"/>
        <v>391619.06</v>
      </c>
      <c r="S100" s="13"/>
      <c r="T100" s="42">
        <f t="shared" si="68"/>
        <v>0</v>
      </c>
      <c r="U100" s="11">
        <f t="shared" si="64"/>
        <v>0</v>
      </c>
      <c r="V100" s="12">
        <f t="shared" si="65"/>
        <v>0</v>
      </c>
      <c r="W100" s="12">
        <f t="shared" si="66"/>
        <v>314468.3412830481</v>
      </c>
      <c r="X100" s="13">
        <f t="shared" si="67"/>
        <v>0</v>
      </c>
      <c r="Y100" s="36">
        <f t="shared" si="70" ref="Y100:Y143">-SUM(U100:X100)+N100</f>
        <v>0</v>
      </c>
    </row>
    <row r="101" spans="1:25" ht="15" outlineLevel="2">
      <c r="A101" s="6" t="s">
        <v>7</v>
      </c>
      <c r="B101" s="6" t="s">
        <v>8</v>
      </c>
      <c r="C101" s="6" t="s">
        <v>9</v>
      </c>
      <c r="D101" s="6" t="s">
        <v>10</v>
      </c>
      <c r="E101" s="6" t="s">
        <v>18</v>
      </c>
      <c r="F101" s="6">
        <f t="shared" si="59"/>
        <v>9.5</v>
      </c>
      <c r="G101" s="1">
        <v>317322.65000000002</v>
      </c>
      <c r="H101" s="1"/>
      <c r="I101" s="6" t="s">
        <v>20</v>
      </c>
      <c r="J101" s="1">
        <v>8</v>
      </c>
      <c r="K101" s="1">
        <v>1.6122430000000001</v>
      </c>
      <c r="L101" s="1">
        <f t="shared" si="60"/>
        <v>253372.49734950624</v>
      </c>
      <c r="M101" s="1">
        <f t="shared" si="61"/>
        <v>1.0718291335749111</v>
      </c>
      <c r="N101" s="19">
        <f t="shared" si="62"/>
        <v>271572.02430583275</v>
      </c>
      <c r="O101" s="7"/>
      <c r="P101" s="11"/>
      <c r="Q101" s="12"/>
      <c r="R101" s="12">
        <f t="shared" si="69"/>
        <v>317322.65000000002</v>
      </c>
      <c r="S101" s="13"/>
      <c r="T101" s="42">
        <f t="shared" si="68"/>
        <v>0</v>
      </c>
      <c r="U101" s="11">
        <f t="shared" si="64"/>
        <v>0</v>
      </c>
      <c r="V101" s="12">
        <f t="shared" si="65"/>
        <v>0</v>
      </c>
      <c r="W101" s="12">
        <f t="shared" si="66"/>
        <v>271572.02430583275</v>
      </c>
      <c r="X101" s="13">
        <f t="shared" si="67"/>
        <v>0</v>
      </c>
      <c r="Y101" s="36">
        <f t="shared" si="70"/>
        <v>0</v>
      </c>
    </row>
    <row r="102" spans="1:25" ht="15" outlineLevel="2">
      <c r="A102" s="6" t="s">
        <v>7</v>
      </c>
      <c r="B102" s="6" t="s">
        <v>8</v>
      </c>
      <c r="C102" s="6" t="s">
        <v>9</v>
      </c>
      <c r="D102" s="6" t="s">
        <v>10</v>
      </c>
      <c r="E102" s="6" t="s">
        <v>30</v>
      </c>
      <c r="F102" s="6">
        <f t="shared" si="59"/>
        <v>0.5</v>
      </c>
      <c r="G102" s="1">
        <v>1052952.6699999999</v>
      </c>
      <c r="H102" s="1"/>
      <c r="I102" s="6" t="s">
        <v>20</v>
      </c>
      <c r="J102" s="1">
        <v>8</v>
      </c>
      <c r="K102" s="1">
        <v>7.5506099999999998</v>
      </c>
      <c r="L102" s="1">
        <f t="shared" si="60"/>
        <v>59148.300046412522</v>
      </c>
      <c r="M102" s="1">
        <f t="shared" si="61"/>
        <v>1.0718291335749111</v>
      </c>
      <c r="N102" s="19">
        <f t="shared" si="62"/>
        <v>63396.871191175203</v>
      </c>
      <c r="O102" s="7"/>
      <c r="P102" s="11"/>
      <c r="Q102" s="12"/>
      <c r="R102" s="12"/>
      <c r="S102" s="13">
        <f t="shared" si="71" ref="S102:S112">+G102</f>
        <v>1052952.6699999999</v>
      </c>
      <c r="T102" s="42">
        <f t="shared" si="68"/>
        <v>0</v>
      </c>
      <c r="U102" s="11">
        <f t="shared" si="64"/>
        <v>0</v>
      </c>
      <c r="V102" s="12">
        <f t="shared" si="65"/>
        <v>0</v>
      </c>
      <c r="W102" s="12">
        <f t="shared" si="66"/>
        <v>0</v>
      </c>
      <c r="X102" s="13">
        <f t="shared" si="67"/>
        <v>63396.871191175203</v>
      </c>
      <c r="Y102" s="36">
        <f t="shared" si="70"/>
        <v>0</v>
      </c>
    </row>
    <row r="103" spans="1:25" ht="15" outlineLevel="2">
      <c r="A103" s="6" t="s">
        <v>7</v>
      </c>
      <c r="B103" s="6" t="s">
        <v>8</v>
      </c>
      <c r="C103" s="6" t="s">
        <v>9</v>
      </c>
      <c r="D103" s="6" t="s">
        <v>10</v>
      </c>
      <c r="E103" s="6" t="s">
        <v>28</v>
      </c>
      <c r="F103" s="6">
        <f t="shared" si="59"/>
        <v>1.5</v>
      </c>
      <c r="G103" s="1">
        <v>2676830.3100000001</v>
      </c>
      <c r="H103" s="1"/>
      <c r="I103" s="6" t="s">
        <v>20</v>
      </c>
      <c r="J103" s="1">
        <v>8</v>
      </c>
      <c r="K103" s="1">
        <v>6.6778959999999996</v>
      </c>
      <c r="L103" s="1">
        <f t="shared" si="60"/>
        <v>442381.00752153015</v>
      </c>
      <c r="M103" s="1">
        <f t="shared" si="61"/>
        <v>1.0718291335749111</v>
      </c>
      <c r="N103" s="19">
        <f t="shared" si="62"/>
        <v>474156.85200179787</v>
      </c>
      <c r="O103" s="7"/>
      <c r="P103" s="11"/>
      <c r="Q103" s="12"/>
      <c r="R103" s="12"/>
      <c r="S103" s="13">
        <f t="shared" si="71"/>
        <v>2676830.3100000001</v>
      </c>
      <c r="T103" s="42">
        <f t="shared" si="68"/>
        <v>0</v>
      </c>
      <c r="U103" s="11">
        <f t="shared" si="64"/>
        <v>0</v>
      </c>
      <c r="V103" s="12">
        <f t="shared" si="65"/>
        <v>0</v>
      </c>
      <c r="W103" s="12">
        <f t="shared" si="66"/>
        <v>0</v>
      </c>
      <c r="X103" s="13">
        <f t="shared" si="67"/>
        <v>474156.85200179787</v>
      </c>
      <c r="Y103" s="36">
        <f t="shared" si="70"/>
        <v>0</v>
      </c>
    </row>
    <row r="104" spans="1:25" ht="15" outlineLevel="2">
      <c r="A104" s="6" t="s">
        <v>7</v>
      </c>
      <c r="B104" s="6" t="s">
        <v>8</v>
      </c>
      <c r="C104" s="6" t="s">
        <v>9</v>
      </c>
      <c r="D104" s="6" t="s">
        <v>10</v>
      </c>
      <c r="E104" s="6" t="s">
        <v>27</v>
      </c>
      <c r="F104" s="6">
        <f t="shared" si="59"/>
        <v>2.5</v>
      </c>
      <c r="G104" s="1">
        <v>3941667.1299999999</v>
      </c>
      <c r="H104" s="1"/>
      <c r="I104" s="6" t="s">
        <v>20</v>
      </c>
      <c r="J104" s="1">
        <v>8</v>
      </c>
      <c r="K104" s="1">
        <v>5.8442860000000003</v>
      </c>
      <c r="L104" s="1">
        <f t="shared" si="60"/>
        <v>1062138.3769351023</v>
      </c>
      <c r="M104" s="1">
        <f t="shared" si="61"/>
        <v>1.0718291335749111</v>
      </c>
      <c r="N104" s="19">
        <f t="shared" si="62"/>
        <v>1138430.856287013</v>
      </c>
      <c r="O104" s="7"/>
      <c r="P104" s="11"/>
      <c r="Q104" s="12"/>
      <c r="R104" s="12"/>
      <c r="S104" s="13">
        <f t="shared" si="71"/>
        <v>3941667.1299999999</v>
      </c>
      <c r="T104" s="42">
        <f t="shared" si="68"/>
        <v>0</v>
      </c>
      <c r="U104" s="11">
        <f t="shared" si="64"/>
        <v>0</v>
      </c>
      <c r="V104" s="12">
        <f t="shared" si="65"/>
        <v>0</v>
      </c>
      <c r="W104" s="12">
        <f t="shared" si="66"/>
        <v>0</v>
      </c>
      <c r="X104" s="13">
        <f t="shared" si="67"/>
        <v>1138430.856287013</v>
      </c>
      <c r="Y104" s="36">
        <f t="shared" si="70"/>
        <v>0</v>
      </c>
    </row>
    <row r="105" spans="1:25" ht="15" outlineLevel="2">
      <c r="A105" s="6" t="s">
        <v>7</v>
      </c>
      <c r="B105" s="6" t="s">
        <v>8</v>
      </c>
      <c r="C105" s="6" t="s">
        <v>9</v>
      </c>
      <c r="D105" s="6" t="s">
        <v>10</v>
      </c>
      <c r="E105" s="6" t="s">
        <v>26</v>
      </c>
      <c r="F105" s="6">
        <f t="shared" si="59"/>
        <v>3.5</v>
      </c>
      <c r="G105" s="1">
        <v>13837.35</v>
      </c>
      <c r="H105" s="1"/>
      <c r="I105" s="6" t="s">
        <v>20</v>
      </c>
      <c r="J105" s="1">
        <v>8</v>
      </c>
      <c r="K105" s="1">
        <v>5.0554050000000004</v>
      </c>
      <c r="L105" s="1">
        <f t="shared" si="60"/>
        <v>5093.1739529062497</v>
      </c>
      <c r="M105" s="1">
        <f t="shared" si="61"/>
        <v>1.0718291335749111</v>
      </c>
      <c r="N105" s="19">
        <f t="shared" si="62"/>
        <v>5459.0122250898103</v>
      </c>
      <c r="O105" s="7"/>
      <c r="P105" s="11"/>
      <c r="Q105" s="12"/>
      <c r="R105" s="12"/>
      <c r="S105" s="13">
        <f t="shared" si="71"/>
        <v>13837.35</v>
      </c>
      <c r="T105" s="42">
        <f t="shared" si="68"/>
        <v>0</v>
      </c>
      <c r="U105" s="11">
        <f t="shared" si="64"/>
        <v>0</v>
      </c>
      <c r="V105" s="12">
        <f t="shared" si="65"/>
        <v>0</v>
      </c>
      <c r="W105" s="12">
        <f t="shared" si="66"/>
        <v>0</v>
      </c>
      <c r="X105" s="13">
        <f t="shared" si="67"/>
        <v>5459.0122250898094</v>
      </c>
      <c r="Y105" s="36">
        <f t="shared" si="70"/>
        <v>0</v>
      </c>
    </row>
    <row r="106" spans="1:25" ht="15" outlineLevel="2">
      <c r="A106" s="6" t="s">
        <v>7</v>
      </c>
      <c r="B106" s="6" t="s">
        <v>8</v>
      </c>
      <c r="C106" s="6" t="s">
        <v>9</v>
      </c>
      <c r="D106" s="6" t="s">
        <v>10</v>
      </c>
      <c r="E106" s="6" t="s">
        <v>25</v>
      </c>
      <c r="F106" s="6">
        <f t="shared" si="59"/>
        <v>4.5</v>
      </c>
      <c r="G106" s="1">
        <v>151992.75</v>
      </c>
      <c r="H106" s="1"/>
      <c r="I106" s="6" t="s">
        <v>20</v>
      </c>
      <c r="J106" s="1">
        <v>8</v>
      </c>
      <c r="K106" s="1">
        <v>4.3171759999999999</v>
      </c>
      <c r="L106" s="1">
        <f t="shared" si="60"/>
        <v>69970.318440750008</v>
      </c>
      <c r="M106" s="1">
        <f t="shared" si="61"/>
        <v>1.0718291335749111</v>
      </c>
      <c r="N106" s="19">
        <f t="shared" si="62"/>
        <v>74996.225790309705</v>
      </c>
      <c r="O106" s="7"/>
      <c r="P106" s="11"/>
      <c r="Q106" s="12"/>
      <c r="R106" s="12"/>
      <c r="S106" s="13">
        <f t="shared" si="71"/>
        <v>151992.75</v>
      </c>
      <c r="T106" s="42">
        <f t="shared" si="68"/>
        <v>0</v>
      </c>
      <c r="U106" s="11">
        <f t="shared" si="64"/>
        <v>0</v>
      </c>
      <c r="V106" s="12">
        <f t="shared" si="65"/>
        <v>0</v>
      </c>
      <c r="W106" s="12">
        <f t="shared" si="66"/>
        <v>0</v>
      </c>
      <c r="X106" s="13">
        <f t="shared" si="67"/>
        <v>74996.225790309705</v>
      </c>
      <c r="Y106" s="36">
        <f t="shared" si="70"/>
        <v>0</v>
      </c>
    </row>
    <row r="107" spans="1:25" ht="15" outlineLevel="2">
      <c r="A107" s="6" t="s">
        <v>7</v>
      </c>
      <c r="B107" s="6" t="s">
        <v>8</v>
      </c>
      <c r="C107" s="6" t="s">
        <v>9</v>
      </c>
      <c r="D107" s="6" t="s">
        <v>10</v>
      </c>
      <c r="E107" s="6" t="s">
        <v>24</v>
      </c>
      <c r="F107" s="6">
        <f t="shared" si="59"/>
        <v>5.5</v>
      </c>
      <c r="G107" s="1">
        <v>6218880.4100000001</v>
      </c>
      <c r="H107" s="1"/>
      <c r="I107" s="6" t="s">
        <v>20</v>
      </c>
      <c r="J107" s="1">
        <v>8</v>
      </c>
      <c r="K107" s="1">
        <v>3.63625</v>
      </c>
      <c r="L107" s="1">
        <f t="shared" si="60"/>
        <v>3392204.9236421874</v>
      </c>
      <c r="M107" s="1">
        <f t="shared" si="61"/>
        <v>1.0718291335749111</v>
      </c>
      <c r="N107" s="19">
        <f t="shared" si="62"/>
        <v>3635864.064215953</v>
      </c>
      <c r="O107" s="7"/>
      <c r="P107" s="11"/>
      <c r="Q107" s="12"/>
      <c r="R107" s="12"/>
      <c r="S107" s="13">
        <f t="shared" si="71"/>
        <v>6218880.4100000001</v>
      </c>
      <c r="T107" s="42">
        <f t="shared" si="68"/>
        <v>0</v>
      </c>
      <c r="U107" s="11">
        <f t="shared" si="64"/>
        <v>0</v>
      </c>
      <c r="V107" s="12">
        <f t="shared" si="65"/>
        <v>0</v>
      </c>
      <c r="W107" s="12">
        <f t="shared" si="66"/>
        <v>0</v>
      </c>
      <c r="X107" s="13">
        <f t="shared" si="67"/>
        <v>3635864.0642159535</v>
      </c>
      <c r="Y107" s="36">
        <f t="shared" si="70"/>
        <v>0</v>
      </c>
    </row>
    <row r="108" spans="1:25" ht="15" outlineLevel="2">
      <c r="A108" s="6" t="s">
        <v>7</v>
      </c>
      <c r="B108" s="6" t="s">
        <v>8</v>
      </c>
      <c r="C108" s="6" t="s">
        <v>9</v>
      </c>
      <c r="D108" s="6" t="s">
        <v>10</v>
      </c>
      <c r="E108" s="6" t="s">
        <v>23</v>
      </c>
      <c r="F108" s="6">
        <f t="shared" si="59"/>
        <v>6.5</v>
      </c>
      <c r="G108" s="1">
        <v>2478628.5699999998</v>
      </c>
      <c r="H108" s="1"/>
      <c r="I108" s="6" t="s">
        <v>20</v>
      </c>
      <c r="J108" s="1">
        <v>8</v>
      </c>
      <c r="K108" s="1">
        <v>3.0199639999999999</v>
      </c>
      <c r="L108" s="1">
        <f t="shared" si="60"/>
        <v>1542957.438653565</v>
      </c>
      <c r="M108" s="1">
        <f t="shared" si="61"/>
        <v>1.0718291335749111</v>
      </c>
      <c r="N108" s="19">
        <f t="shared" si="62"/>
        <v>1653786.7346150146</v>
      </c>
      <c r="O108" s="7"/>
      <c r="P108" s="11"/>
      <c r="Q108" s="12"/>
      <c r="R108" s="12"/>
      <c r="S108" s="13">
        <f t="shared" si="71"/>
        <v>2478628.5699999998</v>
      </c>
      <c r="T108" s="42">
        <f t="shared" si="68"/>
        <v>0</v>
      </c>
      <c r="U108" s="11">
        <f t="shared" si="64"/>
        <v>0</v>
      </c>
      <c r="V108" s="12">
        <f t="shared" si="65"/>
        <v>0</v>
      </c>
      <c r="W108" s="12">
        <f t="shared" si="66"/>
        <v>0</v>
      </c>
      <c r="X108" s="13">
        <f t="shared" si="67"/>
        <v>1653786.7346150146</v>
      </c>
      <c r="Y108" s="36">
        <f t="shared" si="70"/>
        <v>0</v>
      </c>
    </row>
    <row r="109" spans="1:25" ht="15" outlineLevel="2">
      <c r="A109" s="6" t="s">
        <v>7</v>
      </c>
      <c r="B109" s="6" t="s">
        <v>8</v>
      </c>
      <c r="C109" s="6" t="s">
        <v>9</v>
      </c>
      <c r="D109" s="6" t="s">
        <v>10</v>
      </c>
      <c r="E109" s="6" t="s">
        <v>21</v>
      </c>
      <c r="F109" s="6">
        <f t="shared" si="59"/>
        <v>7.5</v>
      </c>
      <c r="G109" s="1">
        <v>8534113.4000000004</v>
      </c>
      <c r="H109" s="1"/>
      <c r="I109" s="6" t="s">
        <v>20</v>
      </c>
      <c r="J109" s="1">
        <v>8</v>
      </c>
      <c r="K109" s="1">
        <v>2.4752879999999999</v>
      </c>
      <c r="L109" s="1">
        <f t="shared" si="60"/>
        <v>5893564.8387926007</v>
      </c>
      <c r="M109" s="1">
        <f t="shared" si="61"/>
        <v>1.0718291335749111</v>
      </c>
      <c r="N109" s="19">
        <f t="shared" si="62"/>
        <v>6316894.4948306335</v>
      </c>
      <c r="O109" s="7"/>
      <c r="P109" s="11"/>
      <c r="Q109" s="12"/>
      <c r="R109" s="12"/>
      <c r="S109" s="13">
        <f t="shared" si="71"/>
        <v>8534113.4000000004</v>
      </c>
      <c r="T109" s="42">
        <f t="shared" si="68"/>
        <v>0</v>
      </c>
      <c r="U109" s="11">
        <f t="shared" si="64"/>
        <v>0</v>
      </c>
      <c r="V109" s="12">
        <f t="shared" si="65"/>
        <v>0</v>
      </c>
      <c r="W109" s="12">
        <f t="shared" si="66"/>
        <v>0</v>
      </c>
      <c r="X109" s="13">
        <f t="shared" si="67"/>
        <v>6316894.4948306335</v>
      </c>
      <c r="Y109" s="36">
        <f t="shared" si="70"/>
        <v>0</v>
      </c>
    </row>
    <row r="110" spans="1:25" ht="15" outlineLevel="2">
      <c r="A110" s="6" t="s">
        <v>7</v>
      </c>
      <c r="B110" s="6" t="s">
        <v>8</v>
      </c>
      <c r="C110" s="6" t="s">
        <v>9</v>
      </c>
      <c r="D110" s="6" t="s">
        <v>10</v>
      </c>
      <c r="E110" s="6" t="s">
        <v>19</v>
      </c>
      <c r="F110" s="6">
        <f t="shared" si="59"/>
        <v>8.5</v>
      </c>
      <c r="G110" s="1">
        <v>1331020.0800000001</v>
      </c>
      <c r="H110" s="1"/>
      <c r="I110" s="6" t="s">
        <v>20</v>
      </c>
      <c r="J110" s="1">
        <v>8</v>
      </c>
      <c r="K110" s="1">
        <v>2.0065409999999999</v>
      </c>
      <c r="L110" s="1">
        <f t="shared" si="60"/>
        <v>997176.78470709</v>
      </c>
      <c r="M110" s="1">
        <f t="shared" si="61"/>
        <v>1.0718291335749111</v>
      </c>
      <c r="N110" s="19">
        <f t="shared" si="62"/>
        <v>1068803.129173616</v>
      </c>
      <c r="O110" s="7"/>
      <c r="P110" s="11"/>
      <c r="Q110" s="12"/>
      <c r="R110" s="12"/>
      <c r="S110" s="13">
        <f t="shared" si="71"/>
        <v>1331020.0800000001</v>
      </c>
      <c r="T110" s="42">
        <f t="shared" si="68"/>
        <v>0</v>
      </c>
      <c r="U110" s="11">
        <f t="shared" si="64"/>
        <v>0</v>
      </c>
      <c r="V110" s="12">
        <f t="shared" si="65"/>
        <v>0</v>
      </c>
      <c r="W110" s="12">
        <f t="shared" si="66"/>
        <v>0</v>
      </c>
      <c r="X110" s="13">
        <f t="shared" si="67"/>
        <v>1068803.129173616</v>
      </c>
      <c r="Y110" s="36">
        <f t="shared" si="70"/>
        <v>0</v>
      </c>
    </row>
    <row r="111" spans="1:25" ht="15" outlineLevel="2">
      <c r="A111" s="6" t="s">
        <v>7</v>
      </c>
      <c r="B111" s="6" t="s">
        <v>8</v>
      </c>
      <c r="C111" s="6" t="s">
        <v>9</v>
      </c>
      <c r="D111" s="6" t="s">
        <v>10</v>
      </c>
      <c r="E111" s="6" t="s">
        <v>18</v>
      </c>
      <c r="F111" s="6">
        <f t="shared" si="59"/>
        <v>9.5</v>
      </c>
      <c r="G111" s="1">
        <v>2042581.4199999999</v>
      </c>
      <c r="H111" s="1"/>
      <c r="I111" s="6" t="s">
        <v>20</v>
      </c>
      <c r="J111" s="1">
        <v>8</v>
      </c>
      <c r="K111" s="1">
        <v>1.6122430000000001</v>
      </c>
      <c r="L111" s="1">
        <f t="shared" si="60"/>
        <v>1630939.2204593674</v>
      </c>
      <c r="M111" s="1">
        <f t="shared" si="61"/>
        <v>1.0718291335749111</v>
      </c>
      <c r="N111" s="19">
        <f t="shared" si="62"/>
        <v>1748088.1715783046</v>
      </c>
      <c r="O111" s="7"/>
      <c r="P111" s="11"/>
      <c r="Q111" s="12"/>
      <c r="R111" s="12"/>
      <c r="S111" s="13">
        <f t="shared" si="71"/>
        <v>2042581.4199999999</v>
      </c>
      <c r="T111" s="42">
        <f t="shared" si="68"/>
        <v>0</v>
      </c>
      <c r="U111" s="11">
        <f t="shared" si="64"/>
        <v>0</v>
      </c>
      <c r="V111" s="12">
        <f t="shared" si="65"/>
        <v>0</v>
      </c>
      <c r="W111" s="12">
        <f t="shared" si="66"/>
        <v>0</v>
      </c>
      <c r="X111" s="13">
        <f t="shared" si="67"/>
        <v>1748088.1715783044</v>
      </c>
      <c r="Y111" s="36">
        <f t="shared" si="70"/>
        <v>0</v>
      </c>
    </row>
    <row r="112" spans="1:25" ht="15" outlineLevel="2">
      <c r="A112" s="6" t="s">
        <v>7</v>
      </c>
      <c r="B112" s="6" t="s">
        <v>8</v>
      </c>
      <c r="C112" s="6" t="s">
        <v>9</v>
      </c>
      <c r="D112" s="6" t="s">
        <v>10</v>
      </c>
      <c r="E112" s="6" t="s">
        <v>14</v>
      </c>
      <c r="F112" s="6">
        <f t="shared" si="59"/>
        <v>13.5</v>
      </c>
      <c r="G112" s="1">
        <v>435958.34999999998</v>
      </c>
      <c r="H112" s="1"/>
      <c r="I112" s="6" t="s">
        <v>20</v>
      </c>
      <c r="J112" s="1">
        <v>8</v>
      </c>
      <c r="K112" s="1">
        <v>0.51000000000000001</v>
      </c>
      <c r="L112" s="1">
        <f t="shared" si="60"/>
        <v>408166.00518749998</v>
      </c>
      <c r="M112" s="1">
        <f t="shared" si="61"/>
        <v>1.0718291335749111</v>
      </c>
      <c r="N112" s="19">
        <f t="shared" si="62"/>
        <v>435958.34999999998</v>
      </c>
      <c r="O112" s="7"/>
      <c r="P112" s="11"/>
      <c r="Q112" s="12"/>
      <c r="R112" s="12"/>
      <c r="S112" s="13">
        <f t="shared" si="71"/>
        <v>435958.34999999998</v>
      </c>
      <c r="T112" s="42">
        <f t="shared" si="68"/>
        <v>0</v>
      </c>
      <c r="U112" s="11">
        <f t="shared" si="64"/>
        <v>0</v>
      </c>
      <c r="V112" s="12">
        <f t="shared" si="65"/>
        <v>0</v>
      </c>
      <c r="W112" s="12">
        <f t="shared" si="66"/>
        <v>0</v>
      </c>
      <c r="X112" s="13">
        <f t="shared" si="67"/>
        <v>435958.34999999998</v>
      </c>
      <c r="Y112" s="36">
        <f t="shared" si="70"/>
        <v>0</v>
      </c>
    </row>
    <row r="113" spans="1:25" ht="15" outlineLevel="2">
      <c r="A113" s="6" t="s">
        <v>7</v>
      </c>
      <c r="B113" s="6" t="s">
        <v>8</v>
      </c>
      <c r="C113" s="6" t="s">
        <v>9</v>
      </c>
      <c r="D113" s="6" t="s">
        <v>10</v>
      </c>
      <c r="E113" s="6" t="s">
        <v>30</v>
      </c>
      <c r="F113" s="6">
        <f t="shared" si="59"/>
        <v>0.5</v>
      </c>
      <c r="G113" s="1">
        <v>21427804.739999998</v>
      </c>
      <c r="H113" s="1"/>
      <c r="I113" s="6" t="s">
        <v>20</v>
      </c>
      <c r="J113" s="1">
        <v>8</v>
      </c>
      <c r="K113" s="1">
        <v>7.5506099999999998</v>
      </c>
      <c r="L113" s="1">
        <f t="shared" si="60"/>
        <v>1203680.1465135755</v>
      </c>
      <c r="M113" s="1">
        <f t="shared" si="61"/>
        <v>1.0718291335749111</v>
      </c>
      <c r="N113" s="19">
        <f t="shared" si="62"/>
        <v>1290139.4485389676</v>
      </c>
      <c r="O113" s="7"/>
      <c r="P113" s="11">
        <f t="shared" si="72" ref="P113:P121">+G113</f>
        <v>21427804.739999998</v>
      </c>
      <c r="Q113" s="12"/>
      <c r="R113" s="12"/>
      <c r="S113" s="13"/>
      <c r="T113" s="42">
        <f t="shared" si="68"/>
        <v>0</v>
      </c>
      <c r="U113" s="11">
        <f t="shared" si="64"/>
        <v>1290139.4485389676</v>
      </c>
      <c r="V113" s="12">
        <f t="shared" si="65"/>
        <v>0</v>
      </c>
      <c r="W113" s="12">
        <f t="shared" si="66"/>
        <v>0</v>
      </c>
      <c r="X113" s="13">
        <f t="shared" si="67"/>
        <v>0</v>
      </c>
      <c r="Y113" s="36">
        <f t="shared" si="70"/>
        <v>0</v>
      </c>
    </row>
    <row r="114" spans="1:25" ht="15" outlineLevel="2">
      <c r="A114" s="6" t="s">
        <v>7</v>
      </c>
      <c r="B114" s="6" t="s">
        <v>8</v>
      </c>
      <c r="C114" s="6" t="s">
        <v>9</v>
      </c>
      <c r="D114" s="6" t="s">
        <v>10</v>
      </c>
      <c r="E114" s="6" t="s">
        <v>28</v>
      </c>
      <c r="F114" s="6">
        <f t="shared" si="59"/>
        <v>1.5</v>
      </c>
      <c r="G114" s="1">
        <v>14639114.44</v>
      </c>
      <c r="H114" s="1"/>
      <c r="I114" s="6" t="s">
        <v>20</v>
      </c>
      <c r="J114" s="1">
        <v>8</v>
      </c>
      <c r="K114" s="1">
        <v>6.6778959999999996</v>
      </c>
      <c r="L114" s="1">
        <f t="shared" si="60"/>
        <v>2419303.9696977208</v>
      </c>
      <c r="M114" s="1">
        <f t="shared" si="61"/>
        <v>1.0718291335749111</v>
      </c>
      <c r="N114" s="19">
        <f t="shared" si="62"/>
        <v>2593080.4776954511</v>
      </c>
      <c r="O114" s="7"/>
      <c r="P114" s="11">
        <f t="shared" si="72"/>
        <v>14639114.44</v>
      </c>
      <c r="Q114" s="12"/>
      <c r="R114" s="12"/>
      <c r="S114" s="13"/>
      <c r="T114" s="42">
        <f t="shared" si="68"/>
        <v>0</v>
      </c>
      <c r="U114" s="11">
        <f t="shared" si="64"/>
        <v>2593080.4776954511</v>
      </c>
      <c r="V114" s="12">
        <f t="shared" si="65"/>
        <v>0</v>
      </c>
      <c r="W114" s="12">
        <f t="shared" si="66"/>
        <v>0</v>
      </c>
      <c r="X114" s="13">
        <f t="shared" si="67"/>
        <v>0</v>
      </c>
      <c r="Y114" s="36">
        <f t="shared" si="70"/>
        <v>0</v>
      </c>
    </row>
    <row r="115" spans="1:25" ht="15" outlineLevel="2">
      <c r="A115" s="6" t="s">
        <v>7</v>
      </c>
      <c r="B115" s="6" t="s">
        <v>8</v>
      </c>
      <c r="C115" s="6" t="s">
        <v>9</v>
      </c>
      <c r="D115" s="6" t="s">
        <v>10</v>
      </c>
      <c r="E115" s="6" t="s">
        <v>27</v>
      </c>
      <c r="F115" s="6">
        <f t="shared" si="59"/>
        <v>2.5</v>
      </c>
      <c r="G115" s="1">
        <v>8986006.5999999996</v>
      </c>
      <c r="H115" s="1"/>
      <c r="I115" s="6" t="s">
        <v>20</v>
      </c>
      <c r="J115" s="1">
        <v>8</v>
      </c>
      <c r="K115" s="1">
        <v>5.8442860000000003</v>
      </c>
      <c r="L115" s="1">
        <f t="shared" si="60"/>
        <v>2421407.5289640496</v>
      </c>
      <c r="M115" s="1">
        <f t="shared" si="61"/>
        <v>1.0718291335749111</v>
      </c>
      <c r="N115" s="19">
        <f t="shared" si="62"/>
        <v>2595335.1338013038</v>
      </c>
      <c r="O115" s="7"/>
      <c r="P115" s="11">
        <f t="shared" si="72"/>
        <v>8986006.5999999996</v>
      </c>
      <c r="Q115" s="12"/>
      <c r="R115" s="12"/>
      <c r="S115" s="13"/>
      <c r="T115" s="42">
        <f t="shared" si="68"/>
        <v>0</v>
      </c>
      <c r="U115" s="11">
        <f t="shared" si="64"/>
        <v>2595335.1338013038</v>
      </c>
      <c r="V115" s="12">
        <f t="shared" si="65"/>
        <v>0</v>
      </c>
      <c r="W115" s="12">
        <f t="shared" si="66"/>
        <v>0</v>
      </c>
      <c r="X115" s="13">
        <f t="shared" si="67"/>
        <v>0</v>
      </c>
      <c r="Y115" s="36">
        <f t="shared" si="70"/>
        <v>0</v>
      </c>
    </row>
    <row r="116" spans="1:25" ht="15" outlineLevel="2">
      <c r="A116" s="6" t="s">
        <v>7</v>
      </c>
      <c r="B116" s="6" t="s">
        <v>8</v>
      </c>
      <c r="C116" s="6" t="s">
        <v>9</v>
      </c>
      <c r="D116" s="6" t="s">
        <v>10</v>
      </c>
      <c r="E116" s="6" t="s">
        <v>26</v>
      </c>
      <c r="F116" s="6">
        <f t="shared" si="59"/>
        <v>3.5</v>
      </c>
      <c r="G116" s="1">
        <v>7206372.4199999999</v>
      </c>
      <c r="H116" s="1"/>
      <c r="I116" s="6" t="s">
        <v>20</v>
      </c>
      <c r="J116" s="1">
        <v>8</v>
      </c>
      <c r="K116" s="1">
        <v>5.0554050000000004</v>
      </c>
      <c r="L116" s="1">
        <f t="shared" si="60"/>
        <v>2652481.024508737</v>
      </c>
      <c r="M116" s="1">
        <f t="shared" si="61"/>
        <v>1.0718291335749111</v>
      </c>
      <c r="N116" s="19">
        <f t="shared" si="62"/>
        <v>2843006.4383230922</v>
      </c>
      <c r="O116" s="7"/>
      <c r="P116" s="11">
        <f t="shared" si="72"/>
        <v>7206372.4199999999</v>
      </c>
      <c r="Q116" s="12"/>
      <c r="R116" s="12"/>
      <c r="S116" s="13"/>
      <c r="T116" s="42">
        <f t="shared" si="68"/>
        <v>0</v>
      </c>
      <c r="U116" s="11">
        <f t="shared" si="64"/>
        <v>2843006.4383230922</v>
      </c>
      <c r="V116" s="12">
        <f t="shared" si="65"/>
        <v>0</v>
      </c>
      <c r="W116" s="12">
        <f t="shared" si="66"/>
        <v>0</v>
      </c>
      <c r="X116" s="13">
        <f t="shared" si="67"/>
        <v>0</v>
      </c>
      <c r="Y116" s="36">
        <f t="shared" si="70"/>
        <v>0</v>
      </c>
    </row>
    <row r="117" spans="1:25" ht="15" outlineLevel="2">
      <c r="A117" s="6" t="s">
        <v>7</v>
      </c>
      <c r="B117" s="6" t="s">
        <v>8</v>
      </c>
      <c r="C117" s="6" t="s">
        <v>9</v>
      </c>
      <c r="D117" s="6" t="s">
        <v>10</v>
      </c>
      <c r="E117" s="6" t="s">
        <v>25</v>
      </c>
      <c r="F117" s="6">
        <f t="shared" si="59"/>
        <v>4.5</v>
      </c>
      <c r="G117" s="1">
        <v>11686600.99</v>
      </c>
      <c r="H117" s="1"/>
      <c r="I117" s="6" t="s">
        <v>20</v>
      </c>
      <c r="J117" s="1">
        <v>8</v>
      </c>
      <c r="K117" s="1">
        <v>4.3171759999999999</v>
      </c>
      <c r="L117" s="1">
        <f t="shared" si="60"/>
        <v>5379961.8255494703</v>
      </c>
      <c r="M117" s="1">
        <f t="shared" si="61"/>
        <v>1.0718291335749111</v>
      </c>
      <c r="N117" s="19">
        <f t="shared" si="62"/>
        <v>5766399.8221447859</v>
      </c>
      <c r="O117" s="7"/>
      <c r="P117" s="11">
        <f t="shared" si="72"/>
        <v>11686600.99</v>
      </c>
      <c r="Q117" s="12"/>
      <c r="R117" s="12"/>
      <c r="S117" s="13"/>
      <c r="T117" s="42">
        <f t="shared" si="68"/>
        <v>0</v>
      </c>
      <c r="U117" s="11">
        <f t="shared" si="64"/>
        <v>5766399.8221447859</v>
      </c>
      <c r="V117" s="12">
        <f t="shared" si="65"/>
        <v>0</v>
      </c>
      <c r="W117" s="12">
        <f t="shared" si="66"/>
        <v>0</v>
      </c>
      <c r="X117" s="13">
        <f t="shared" si="67"/>
        <v>0</v>
      </c>
      <c r="Y117" s="36">
        <f t="shared" si="70"/>
        <v>0</v>
      </c>
    </row>
    <row r="118" spans="1:25" ht="15" outlineLevel="2">
      <c r="A118" s="6" t="s">
        <v>7</v>
      </c>
      <c r="B118" s="6" t="s">
        <v>8</v>
      </c>
      <c r="C118" s="6" t="s">
        <v>9</v>
      </c>
      <c r="D118" s="6" t="s">
        <v>10</v>
      </c>
      <c r="E118" s="6" t="s">
        <v>24</v>
      </c>
      <c r="F118" s="6">
        <f t="shared" si="59"/>
        <v>5.5</v>
      </c>
      <c r="G118" s="1">
        <v>5831300.5700000003</v>
      </c>
      <c r="H118" s="1"/>
      <c r="I118" s="6" t="s">
        <v>20</v>
      </c>
      <c r="J118" s="1">
        <v>8</v>
      </c>
      <c r="K118" s="1">
        <v>3.63625</v>
      </c>
      <c r="L118" s="1">
        <f t="shared" si="60"/>
        <v>3180792.2327921875</v>
      </c>
      <c r="M118" s="1">
        <f t="shared" si="61"/>
        <v>1.0718291335749111</v>
      </c>
      <c r="N118" s="19">
        <f t="shared" si="62"/>
        <v>3409265.782955457</v>
      </c>
      <c r="O118" s="7"/>
      <c r="P118" s="11">
        <f t="shared" si="72"/>
        <v>5831300.5700000003</v>
      </c>
      <c r="Q118" s="12"/>
      <c r="R118" s="12"/>
      <c r="S118" s="13"/>
      <c r="T118" s="42">
        <f t="shared" si="68"/>
        <v>0</v>
      </c>
      <c r="U118" s="11">
        <f t="shared" si="64"/>
        <v>3409265.782955457</v>
      </c>
      <c r="V118" s="12">
        <f t="shared" si="65"/>
        <v>0</v>
      </c>
      <c r="W118" s="12">
        <f t="shared" si="66"/>
        <v>0</v>
      </c>
      <c r="X118" s="13">
        <f t="shared" si="67"/>
        <v>0</v>
      </c>
      <c r="Y118" s="36">
        <f t="shared" si="70"/>
        <v>0</v>
      </c>
    </row>
    <row r="119" spans="1:25" ht="15" outlineLevel="2">
      <c r="A119" s="6" t="s">
        <v>7</v>
      </c>
      <c r="B119" s="6" t="s">
        <v>8</v>
      </c>
      <c r="C119" s="6" t="s">
        <v>9</v>
      </c>
      <c r="D119" s="6" t="s">
        <v>10</v>
      </c>
      <c r="E119" s="6" t="s">
        <v>23</v>
      </c>
      <c r="F119" s="6">
        <f t="shared" si="59"/>
        <v>6.5</v>
      </c>
      <c r="G119" s="1">
        <v>2497423.9399999999</v>
      </c>
      <c r="H119" s="1"/>
      <c r="I119" s="6" t="s">
        <v>20</v>
      </c>
      <c r="J119" s="1">
        <v>8</v>
      </c>
      <c r="K119" s="1">
        <v>3.0199639999999999</v>
      </c>
      <c r="L119" s="1">
        <f t="shared" si="60"/>
        <v>1554657.64105773</v>
      </c>
      <c r="M119" s="1">
        <f t="shared" si="61"/>
        <v>1.0718291335749111</v>
      </c>
      <c r="N119" s="19">
        <f t="shared" si="62"/>
        <v>1666327.3524205217</v>
      </c>
      <c r="O119" s="7"/>
      <c r="P119" s="11">
        <f t="shared" si="72"/>
        <v>2497423.9399999999</v>
      </c>
      <c r="Q119" s="12"/>
      <c r="R119" s="12"/>
      <c r="S119" s="13"/>
      <c r="T119" s="42">
        <f t="shared" si="68"/>
        <v>0</v>
      </c>
      <c r="U119" s="11">
        <f t="shared" si="64"/>
        <v>1666327.3524205217</v>
      </c>
      <c r="V119" s="12">
        <f t="shared" si="65"/>
        <v>0</v>
      </c>
      <c r="W119" s="12">
        <f t="shared" si="66"/>
        <v>0</v>
      </c>
      <c r="X119" s="13">
        <f t="shared" si="67"/>
        <v>0</v>
      </c>
      <c r="Y119" s="36">
        <f t="shared" si="70"/>
        <v>0</v>
      </c>
    </row>
    <row r="120" spans="1:25" ht="15" outlineLevel="2">
      <c r="A120" s="6" t="s">
        <v>7</v>
      </c>
      <c r="B120" s="6" t="s">
        <v>8</v>
      </c>
      <c r="C120" s="6" t="s">
        <v>9</v>
      </c>
      <c r="D120" s="6" t="s">
        <v>10</v>
      </c>
      <c r="E120" s="6" t="s">
        <v>21</v>
      </c>
      <c r="F120" s="6">
        <f t="shared" si="59"/>
        <v>7.5</v>
      </c>
      <c r="G120" s="1">
        <v>14957429.039999999</v>
      </c>
      <c r="H120" s="1"/>
      <c r="I120" s="6" t="s">
        <v>20</v>
      </c>
      <c r="J120" s="1">
        <v>8</v>
      </c>
      <c r="K120" s="1">
        <v>2.4752879999999999</v>
      </c>
      <c r="L120" s="1">
        <f t="shared" si="60"/>
        <v>10329435.963304559</v>
      </c>
      <c r="M120" s="1">
        <f t="shared" si="61"/>
        <v>1.0718291335749111</v>
      </c>
      <c r="N120" s="19">
        <f t="shared" si="62"/>
        <v>11071390.398866251</v>
      </c>
      <c r="O120" s="7"/>
      <c r="P120" s="11">
        <f t="shared" si="72"/>
        <v>14957429.039999999</v>
      </c>
      <c r="Q120" s="12"/>
      <c r="R120" s="12"/>
      <c r="S120" s="13"/>
      <c r="T120" s="42">
        <f t="shared" si="68"/>
        <v>0</v>
      </c>
      <c r="U120" s="11">
        <f t="shared" si="64"/>
        <v>11071390.398866251</v>
      </c>
      <c r="V120" s="12">
        <f t="shared" si="65"/>
        <v>0</v>
      </c>
      <c r="W120" s="12">
        <f t="shared" si="66"/>
        <v>0</v>
      </c>
      <c r="X120" s="13">
        <f t="shared" si="67"/>
        <v>0</v>
      </c>
      <c r="Y120" s="36">
        <f t="shared" si="70"/>
        <v>0</v>
      </c>
    </row>
    <row r="121" spans="1:25" ht="15" outlineLevel="2">
      <c r="A121" s="6" t="s">
        <v>7</v>
      </c>
      <c r="B121" s="6" t="s">
        <v>8</v>
      </c>
      <c r="C121" s="6" t="s">
        <v>9</v>
      </c>
      <c r="D121" s="6" t="s">
        <v>10</v>
      </c>
      <c r="E121" s="6" t="s">
        <v>19</v>
      </c>
      <c r="F121" s="6">
        <f t="shared" si="59"/>
        <v>8.5</v>
      </c>
      <c r="G121" s="1">
        <v>3970876.1000000001</v>
      </c>
      <c r="H121" s="1"/>
      <c r="I121" s="6" t="s">
        <v>20</v>
      </c>
      <c r="J121" s="1">
        <v>8</v>
      </c>
      <c r="K121" s="1">
        <v>2.0065409999999999</v>
      </c>
      <c r="L121" s="1">
        <f t="shared" si="60"/>
        <v>2974910.3874287372</v>
      </c>
      <c r="M121" s="1">
        <f t="shared" si="61"/>
        <v>1.0718291335749111</v>
      </c>
      <c r="N121" s="19">
        <f t="shared" si="62"/>
        <v>3188595.6230207463</v>
      </c>
      <c r="O121" s="7"/>
      <c r="P121" s="11">
        <f t="shared" si="72"/>
        <v>3970876.1000000001</v>
      </c>
      <c r="Q121" s="12"/>
      <c r="R121" s="12"/>
      <c r="S121" s="13"/>
      <c r="T121" s="42">
        <f t="shared" si="68"/>
        <v>0</v>
      </c>
      <c r="U121" s="11">
        <f t="shared" si="64"/>
        <v>3188595.6230207463</v>
      </c>
      <c r="V121" s="12">
        <f t="shared" si="65"/>
        <v>0</v>
      </c>
      <c r="W121" s="12">
        <f t="shared" si="66"/>
        <v>0</v>
      </c>
      <c r="X121" s="13">
        <f t="shared" si="67"/>
        <v>0</v>
      </c>
      <c r="Y121" s="36">
        <f t="shared" si="70"/>
        <v>0</v>
      </c>
    </row>
    <row r="122" spans="1:25" ht="15" outlineLevel="1">
      <c r="A122" s="14" t="s">
        <v>44</v>
      </c>
      <c r="B122" s="6"/>
      <c r="C122" s="6"/>
      <c r="D122" s="6"/>
      <c r="E122" s="6"/>
      <c r="F122" s="6"/>
      <c r="G122" s="2">
        <f>SUBTOTAL(9,G83:G121)</f>
        <v>260891053.33999997</v>
      </c>
      <c r="H122" s="2"/>
      <c r="I122" s="14" t="s">
        <v>46</v>
      </c>
      <c r="J122" s="2">
        <f>+N122-K122</f>
        <v>0.0087361782789230347</v>
      </c>
      <c r="K122" s="2">
        <v>103275344.33224316</v>
      </c>
      <c r="L122" s="2"/>
      <c r="M122" s="2">
        <v>1.0718291335749111</v>
      </c>
      <c r="N122" s="20">
        <f>SUBTOTAL(9,N83:N121)</f>
        <v>103275344.34097934</v>
      </c>
      <c r="O122" s="7"/>
      <c r="P122" s="23">
        <f t="shared" si="73" ref="P122:S122">SUBTOTAL(9,P83:P121)</f>
        <v>91202928.840000004</v>
      </c>
      <c r="Q122" s="24">
        <f t="shared" si="73"/>
        <v>137195859.13</v>
      </c>
      <c r="R122" s="24">
        <f t="shared" si="73"/>
        <v>3613802.9300000002</v>
      </c>
      <c r="S122" s="25">
        <f t="shared" si="73"/>
        <v>28878462.440000005</v>
      </c>
      <c r="T122" s="42">
        <f t="shared" si="74" ref="T122:T144">+G122-SUM(P122:S122)</f>
        <v>0</v>
      </c>
      <c r="U122" s="11">
        <f t="shared" si="75" ref="U122:X122">SUBTOTAL(9,U83:U121)</f>
        <v>34423540.477766573</v>
      </c>
      <c r="V122" s="12">
        <f t="shared" si="75"/>
        <v>50477381.208730765</v>
      </c>
      <c r="W122" s="12">
        <f t="shared" si="75"/>
        <v>1758587.8925730644</v>
      </c>
      <c r="X122" s="13">
        <f t="shared" si="75"/>
        <v>16615834.761908909</v>
      </c>
      <c r="Y122" s="36">
        <f t="shared" si="70"/>
        <v>0</v>
      </c>
    </row>
    <row r="123" spans="1:25" ht="15" outlineLevel="2">
      <c r="A123" s="6" t="s">
        <v>31</v>
      </c>
      <c r="B123" s="6" t="s">
        <v>8</v>
      </c>
      <c r="C123" s="6" t="s">
        <v>9</v>
      </c>
      <c r="D123" s="6" t="s">
        <v>10</v>
      </c>
      <c r="E123" s="6" t="s">
        <v>25</v>
      </c>
      <c r="F123" s="6">
        <f t="shared" si="76" ref="F123:F139">2021.5-E123</f>
        <v>4.5</v>
      </c>
      <c r="G123" s="1">
        <v>65525.510000000002</v>
      </c>
      <c r="H123" s="1"/>
      <c r="I123" s="6" t="s">
        <v>20</v>
      </c>
      <c r="J123" s="1">
        <v>8</v>
      </c>
      <c r="K123" s="1">
        <v>4.3171759999999999</v>
      </c>
      <c r="L123" s="1">
        <f t="shared" si="77" ref="L123:L139">+(1-K123/J123)*G123</f>
        <v>30164.865105030003</v>
      </c>
      <c r="M123" s="1">
        <f t="shared" si="78" ref="M123:M139">$M$140</f>
        <v>1.5085355045171141</v>
      </c>
      <c r="N123" s="19">
        <f t="shared" si="79" ref="N123:N139">IF((G123-L123*M123)&lt;0,G123,L123*M123)</f>
        <v>45504.769999907126</v>
      </c>
      <c r="O123" s="7"/>
      <c r="P123" s="11"/>
      <c r="Q123" s="12">
        <f t="shared" si="80" ref="Q123:Q124">+G123</f>
        <v>65525.510000000002</v>
      </c>
      <c r="R123" s="12"/>
      <c r="S123" s="13"/>
      <c r="T123" s="42">
        <f t="shared" si="74"/>
        <v>0</v>
      </c>
      <c r="U123" s="11">
        <f>+$N123*P123/$G123</f>
        <v>0</v>
      </c>
      <c r="V123" s="12">
        <f>+$N123*Q123/$G123</f>
        <v>45504.769999907126</v>
      </c>
      <c r="W123" s="12">
        <f>+$N123*R123/$G123</f>
        <v>0</v>
      </c>
      <c r="X123" s="13">
        <f>+$N123*S123/$G123</f>
        <v>0</v>
      </c>
      <c r="Y123" s="36">
        <f t="shared" si="70"/>
        <v>0</v>
      </c>
    </row>
    <row r="124" spans="1:25" ht="15" outlineLevel="2">
      <c r="A124" s="6" t="s">
        <v>31</v>
      </c>
      <c r="B124" s="6" t="s">
        <v>8</v>
      </c>
      <c r="C124" s="6" t="s">
        <v>9</v>
      </c>
      <c r="D124" s="6" t="s">
        <v>10</v>
      </c>
      <c r="E124" s="6" t="s">
        <v>24</v>
      </c>
      <c r="F124" s="6">
        <f t="shared" si="76"/>
        <v>5.5</v>
      </c>
      <c r="G124" s="1">
        <v>1691105.71</v>
      </c>
      <c r="H124" s="1"/>
      <c r="I124" s="6" t="s">
        <v>20</v>
      </c>
      <c r="J124" s="1">
        <v>8</v>
      </c>
      <c r="K124" s="1">
        <v>3.63625</v>
      </c>
      <c r="L124" s="1">
        <f t="shared" si="77"/>
        <v>922445.31775156234</v>
      </c>
      <c r="M124" s="1">
        <f t="shared" si="78"/>
        <v>1.5085355045171141</v>
      </c>
      <c r="N124" s="19">
        <f t="shared" si="79"/>
        <v>1391541.5128038027</v>
      </c>
      <c r="O124" s="7"/>
      <c r="P124" s="11"/>
      <c r="Q124" s="12">
        <f t="shared" si="80"/>
        <v>1691105.71</v>
      </c>
      <c r="R124" s="12"/>
      <c r="S124" s="13"/>
      <c r="T124" s="42">
        <f t="shared" si="74"/>
        <v>0</v>
      </c>
      <c r="U124" s="11">
        <f t="shared" si="81" ref="U124:U139">+$N124*P124/$G124</f>
        <v>0</v>
      </c>
      <c r="V124" s="12">
        <f>+$N124*Q124/$G124-0.03</f>
        <v>1391541.4828038027</v>
      </c>
      <c r="W124" s="12">
        <f t="shared" si="82" ref="W124:W139">+$N124*R124/$G124</f>
        <v>0</v>
      </c>
      <c r="X124" s="13">
        <f t="shared" si="83" ref="X124:X139">+$N124*S124/$G124</f>
        <v>0</v>
      </c>
      <c r="Y124" s="36">
        <f t="shared" si="70"/>
        <v>0.030000000027939677</v>
      </c>
    </row>
    <row r="125" spans="1:25" ht="15" outlineLevel="2">
      <c r="A125" s="6" t="s">
        <v>31</v>
      </c>
      <c r="B125" s="6" t="s">
        <v>8</v>
      </c>
      <c r="C125" s="6" t="s">
        <v>9</v>
      </c>
      <c r="D125" s="6" t="s">
        <v>10</v>
      </c>
      <c r="E125" s="6" t="s">
        <v>25</v>
      </c>
      <c r="F125" s="6">
        <f t="shared" si="76"/>
        <v>4.5</v>
      </c>
      <c r="G125" s="1">
        <v>68.950000000000003</v>
      </c>
      <c r="H125" s="1"/>
      <c r="I125" s="6" t="s">
        <v>20</v>
      </c>
      <c r="J125" s="1">
        <v>8</v>
      </c>
      <c r="K125" s="1">
        <v>4.3171759999999999</v>
      </c>
      <c r="L125" s="1">
        <f t="shared" si="77"/>
        <v>31.741339350000001</v>
      </c>
      <c r="M125" s="1">
        <f t="shared" si="78"/>
        <v>1.5085355045171141</v>
      </c>
      <c r="N125" s="19">
        <f t="shared" si="79"/>
        <v>47.882937370401173</v>
      </c>
      <c r="O125" s="7"/>
      <c r="P125" s="11"/>
      <c r="Q125" s="12"/>
      <c r="R125" s="12">
        <f>+G125</f>
        <v>68.950000000000003</v>
      </c>
      <c r="S125" s="13"/>
      <c r="T125" s="42">
        <f t="shared" si="74"/>
        <v>0</v>
      </c>
      <c r="U125" s="11">
        <f t="shared" si="81"/>
        <v>0</v>
      </c>
      <c r="V125" s="12">
        <f t="shared" si="84" ref="V125:V139">+$N125*Q125/$G125</f>
        <v>0</v>
      </c>
      <c r="W125" s="12">
        <f t="shared" si="82"/>
        <v>47.882937370401173</v>
      </c>
      <c r="X125" s="13">
        <f t="shared" si="83"/>
        <v>0</v>
      </c>
      <c r="Y125" s="36">
        <f t="shared" si="70"/>
        <v>0</v>
      </c>
    </row>
    <row r="126" spans="1:25" ht="15" outlineLevel="2">
      <c r="A126" s="6" t="s">
        <v>31</v>
      </c>
      <c r="B126" s="6" t="s">
        <v>8</v>
      </c>
      <c r="C126" s="6" t="s">
        <v>9</v>
      </c>
      <c r="D126" s="6" t="s">
        <v>10</v>
      </c>
      <c r="E126" s="6" t="s">
        <v>24</v>
      </c>
      <c r="F126" s="6">
        <f t="shared" si="76"/>
        <v>5.5</v>
      </c>
      <c r="G126" s="1">
        <v>49278.349999999999</v>
      </c>
      <c r="H126" s="1"/>
      <c r="I126" s="6" t="s">
        <v>20</v>
      </c>
      <c r="J126" s="1">
        <v>8</v>
      </c>
      <c r="K126" s="1">
        <v>3.63625</v>
      </c>
      <c r="L126" s="1">
        <f t="shared" si="77"/>
        <v>26879.799976562495</v>
      </c>
      <c r="M126" s="1">
        <f t="shared" si="78"/>
        <v>1.5085355045171141</v>
      </c>
      <c r="N126" s="19">
        <f t="shared" si="79"/>
        <v>40549.132618962816</v>
      </c>
      <c r="O126" s="7"/>
      <c r="P126" s="11"/>
      <c r="Q126" s="12"/>
      <c r="R126" s="12">
        <f>+G126</f>
        <v>49278.349999999999</v>
      </c>
      <c r="S126" s="13"/>
      <c r="T126" s="42">
        <f t="shared" si="74"/>
        <v>0</v>
      </c>
      <c r="U126" s="11">
        <f t="shared" si="81"/>
        <v>0</v>
      </c>
      <c r="V126" s="12">
        <f t="shared" si="84"/>
        <v>0</v>
      </c>
      <c r="W126" s="12">
        <f t="shared" si="82"/>
        <v>40549.132618962816</v>
      </c>
      <c r="X126" s="13">
        <f t="shared" si="83"/>
        <v>0</v>
      </c>
      <c r="Y126" s="36">
        <f t="shared" si="70"/>
        <v>0</v>
      </c>
    </row>
    <row r="127" spans="1:25" ht="15" outlineLevel="2">
      <c r="A127" s="6" t="s">
        <v>31</v>
      </c>
      <c r="B127" s="6" t="s">
        <v>8</v>
      </c>
      <c r="C127" s="6" t="s">
        <v>9</v>
      </c>
      <c r="D127" s="6" t="s">
        <v>10</v>
      </c>
      <c r="E127" s="6" t="s">
        <v>17</v>
      </c>
      <c r="F127" s="6">
        <f t="shared" si="76"/>
        <v>10.5</v>
      </c>
      <c r="G127" s="1">
        <v>1280510.6899999999</v>
      </c>
      <c r="H127" s="1"/>
      <c r="I127" s="6" t="s">
        <v>20</v>
      </c>
      <c r="J127" s="1">
        <v>8</v>
      </c>
      <c r="K127" s="1">
        <v>1.2179450000000001</v>
      </c>
      <c r="L127" s="1">
        <f t="shared" si="77"/>
        <v>1085561.7409584937</v>
      </c>
      <c r="M127" s="1">
        <f t="shared" si="78"/>
        <v>1.5085355045171141</v>
      </c>
      <c r="N127" s="19">
        <f t="shared" si="79"/>
        <v>1280510.6899999999</v>
      </c>
      <c r="O127" s="7"/>
      <c r="P127" s="11"/>
      <c r="Q127" s="12"/>
      <c r="R127" s="12">
        <f>+G127</f>
        <v>1280510.6899999999</v>
      </c>
      <c r="S127" s="13"/>
      <c r="T127" s="42">
        <f t="shared" si="74"/>
        <v>0</v>
      </c>
      <c r="U127" s="11">
        <f t="shared" si="81"/>
        <v>0</v>
      </c>
      <c r="V127" s="12">
        <f t="shared" si="84"/>
        <v>0</v>
      </c>
      <c r="W127" s="12">
        <f t="shared" si="82"/>
        <v>1280510.6899999999</v>
      </c>
      <c r="X127" s="13">
        <f t="shared" si="83"/>
        <v>0</v>
      </c>
      <c r="Y127" s="36">
        <f t="shared" si="70"/>
        <v>0</v>
      </c>
    </row>
    <row r="128" spans="1:25" ht="15" outlineLevel="2">
      <c r="A128" s="6" t="s">
        <v>31</v>
      </c>
      <c r="B128" s="6" t="s">
        <v>8</v>
      </c>
      <c r="C128" s="6" t="s">
        <v>9</v>
      </c>
      <c r="D128" s="6" t="s">
        <v>10</v>
      </c>
      <c r="E128" s="6" t="s">
        <v>25</v>
      </c>
      <c r="F128" s="6">
        <f t="shared" si="76"/>
        <v>4.5</v>
      </c>
      <c r="G128" s="1">
        <v>4.2300000000000004</v>
      </c>
      <c r="H128" s="1"/>
      <c r="I128" s="6" t="s">
        <v>20</v>
      </c>
      <c r="J128" s="1">
        <v>8</v>
      </c>
      <c r="K128" s="1">
        <v>4.3171759999999999</v>
      </c>
      <c r="L128" s="1">
        <f t="shared" si="77"/>
        <v>1.9472931900000003</v>
      </c>
      <c r="M128" s="1">
        <f t="shared" si="78"/>
        <v>1.5085355045171141</v>
      </c>
      <c r="N128" s="19">
        <f t="shared" si="79"/>
        <v>2.9375609148193909</v>
      </c>
      <c r="O128" s="7"/>
      <c r="P128" s="11"/>
      <c r="Q128" s="12"/>
      <c r="R128" s="12"/>
      <c r="S128" s="13">
        <f>+G128</f>
        <v>4.2300000000000004</v>
      </c>
      <c r="T128" s="42">
        <f t="shared" si="74"/>
        <v>0</v>
      </c>
      <c r="U128" s="11">
        <f t="shared" si="81"/>
        <v>0</v>
      </c>
      <c r="V128" s="12">
        <f t="shared" si="84"/>
        <v>0</v>
      </c>
      <c r="W128" s="12">
        <f t="shared" si="82"/>
        <v>0</v>
      </c>
      <c r="X128" s="13">
        <f t="shared" si="83"/>
        <v>2.9375609148193909</v>
      </c>
      <c r="Y128" s="36">
        <f t="shared" si="70"/>
        <v>0</v>
      </c>
    </row>
    <row r="129" spans="1:25" ht="15" outlineLevel="2">
      <c r="A129" s="6" t="s">
        <v>31</v>
      </c>
      <c r="B129" s="6" t="s">
        <v>8</v>
      </c>
      <c r="C129" s="6" t="s">
        <v>9</v>
      </c>
      <c r="D129" s="6" t="s">
        <v>10</v>
      </c>
      <c r="E129" s="6" t="s">
        <v>24</v>
      </c>
      <c r="F129" s="6">
        <f t="shared" si="76"/>
        <v>5.5</v>
      </c>
      <c r="G129" s="1">
        <v>3015.6900000000001</v>
      </c>
      <c r="H129" s="1"/>
      <c r="I129" s="6" t="s">
        <v>20</v>
      </c>
      <c r="J129" s="1">
        <v>8</v>
      </c>
      <c r="K129" s="1">
        <v>3.63625</v>
      </c>
      <c r="L129" s="1">
        <f t="shared" si="77"/>
        <v>1644.9646546874999</v>
      </c>
      <c r="M129" s="1">
        <f t="shared" si="78"/>
        <v>1.5085355045171141</v>
      </c>
      <c r="N129" s="19">
        <f t="shared" si="79"/>
        <v>2481.4875852718278</v>
      </c>
      <c r="O129" s="7"/>
      <c r="P129" s="11"/>
      <c r="Q129" s="12"/>
      <c r="R129" s="12"/>
      <c r="S129" s="13">
        <f>+G129</f>
        <v>3015.6900000000001</v>
      </c>
      <c r="T129" s="42">
        <f t="shared" si="74"/>
        <v>0</v>
      </c>
      <c r="U129" s="11">
        <f t="shared" si="81"/>
        <v>0</v>
      </c>
      <c r="V129" s="12">
        <f t="shared" si="84"/>
        <v>0</v>
      </c>
      <c r="W129" s="12">
        <f t="shared" si="82"/>
        <v>0</v>
      </c>
      <c r="X129" s="13">
        <f t="shared" si="83"/>
        <v>2481.4875852718278</v>
      </c>
      <c r="Y129" s="36">
        <f t="shared" si="70"/>
        <v>0</v>
      </c>
    </row>
    <row r="130" spans="1:25" ht="15" outlineLevel="2">
      <c r="A130" s="6" t="s">
        <v>31</v>
      </c>
      <c r="B130" s="6" t="s">
        <v>8</v>
      </c>
      <c r="C130" s="6" t="s">
        <v>9</v>
      </c>
      <c r="D130" s="6" t="s">
        <v>10</v>
      </c>
      <c r="E130" s="6" t="s">
        <v>30</v>
      </c>
      <c r="F130" s="6">
        <f t="shared" si="76"/>
        <v>0.5</v>
      </c>
      <c r="G130" s="1">
        <v>10101801.94</v>
      </c>
      <c r="H130" s="1"/>
      <c r="I130" s="6" t="s">
        <v>20</v>
      </c>
      <c r="J130" s="1">
        <v>8</v>
      </c>
      <c r="K130" s="1">
        <v>7.5506099999999998</v>
      </c>
      <c r="L130" s="1">
        <f t="shared" si="77"/>
        <v>567456.09672707517</v>
      </c>
      <c r="M130" s="1">
        <f t="shared" si="78"/>
        <v>1.5085355045171141</v>
      </c>
      <c r="N130" s="19">
        <f t="shared" si="79"/>
        <v>856027.66916749056</v>
      </c>
      <c r="O130" s="7"/>
      <c r="P130" s="11">
        <f t="shared" si="85" ref="P130:P139">+G130</f>
        <v>10101801.94</v>
      </c>
      <c r="Q130" s="12"/>
      <c r="R130" s="12"/>
      <c r="S130" s="13"/>
      <c r="T130" s="42">
        <f t="shared" si="74"/>
        <v>0</v>
      </c>
      <c r="U130" s="11">
        <f t="shared" si="81"/>
        <v>856027.66916749056</v>
      </c>
      <c r="V130" s="12">
        <f t="shared" si="84"/>
        <v>0</v>
      </c>
      <c r="W130" s="12">
        <f t="shared" si="82"/>
        <v>0</v>
      </c>
      <c r="X130" s="13">
        <f t="shared" si="83"/>
        <v>0</v>
      </c>
      <c r="Y130" s="36">
        <f t="shared" si="70"/>
        <v>0</v>
      </c>
    </row>
    <row r="131" spans="1:25" ht="15" outlineLevel="2">
      <c r="A131" s="6" t="s">
        <v>31</v>
      </c>
      <c r="B131" s="6" t="s">
        <v>8</v>
      </c>
      <c r="C131" s="6" t="s">
        <v>9</v>
      </c>
      <c r="D131" s="6" t="s">
        <v>10</v>
      </c>
      <c r="E131" s="6" t="s">
        <v>28</v>
      </c>
      <c r="F131" s="6">
        <f t="shared" si="76"/>
        <v>1.5</v>
      </c>
      <c r="G131" s="1">
        <v>5447301.8700000001</v>
      </c>
      <c r="H131" s="1"/>
      <c r="I131" s="6" t="s">
        <v>20</v>
      </c>
      <c r="J131" s="1">
        <v>8</v>
      </c>
      <c r="K131" s="1">
        <v>6.6778959999999996</v>
      </c>
      <c r="L131" s="1">
        <f t="shared" si="77"/>
        <v>900237.44894181029</v>
      </c>
      <c r="M131" s="1">
        <f t="shared" si="78"/>
        <v>1.5085355045171141</v>
      </c>
      <c r="N131" s="19">
        <f t="shared" si="79"/>
        <v>1358040.1542246335</v>
      </c>
      <c r="O131" s="7"/>
      <c r="P131" s="11">
        <f t="shared" si="85"/>
        <v>5447301.8700000001</v>
      </c>
      <c r="Q131" s="12"/>
      <c r="R131" s="12"/>
      <c r="S131" s="13"/>
      <c r="T131" s="42">
        <f t="shared" si="74"/>
        <v>0</v>
      </c>
      <c r="U131" s="11">
        <f t="shared" si="81"/>
        <v>1358040.1542246335</v>
      </c>
      <c r="V131" s="12">
        <f t="shared" si="84"/>
        <v>0</v>
      </c>
      <c r="W131" s="12">
        <f t="shared" si="82"/>
        <v>0</v>
      </c>
      <c r="X131" s="13">
        <f t="shared" si="83"/>
        <v>0</v>
      </c>
      <c r="Y131" s="36">
        <f t="shared" si="70"/>
        <v>0</v>
      </c>
    </row>
    <row r="132" spans="1:25" ht="15" outlineLevel="2">
      <c r="A132" s="6" t="s">
        <v>31</v>
      </c>
      <c r="B132" s="6" t="s">
        <v>8</v>
      </c>
      <c r="C132" s="6" t="s">
        <v>9</v>
      </c>
      <c r="D132" s="6" t="s">
        <v>10</v>
      </c>
      <c r="E132" s="6" t="s">
        <v>27</v>
      </c>
      <c r="F132" s="6">
        <f t="shared" si="76"/>
        <v>2.5</v>
      </c>
      <c r="G132" s="1">
        <v>2665116.1400000001</v>
      </c>
      <c r="H132" s="1"/>
      <c r="I132" s="6" t="s">
        <v>20</v>
      </c>
      <c r="J132" s="1">
        <v>8</v>
      </c>
      <c r="K132" s="1">
        <v>5.8442860000000003</v>
      </c>
      <c r="L132" s="1">
        <f t="shared" si="77"/>
        <v>718153.52182799496</v>
      </c>
      <c r="M132" s="1">
        <f t="shared" si="78"/>
        <v>1.5085355045171141</v>
      </c>
      <c r="N132" s="19">
        <f t="shared" si="79"/>
        <v>1083360.0853715367</v>
      </c>
      <c r="O132" s="7"/>
      <c r="P132" s="11">
        <f t="shared" si="85"/>
        <v>2665116.1400000001</v>
      </c>
      <c r="Q132" s="12"/>
      <c r="R132" s="12"/>
      <c r="S132" s="13"/>
      <c r="T132" s="42">
        <f t="shared" si="74"/>
        <v>0</v>
      </c>
      <c r="U132" s="11">
        <f t="shared" si="81"/>
        <v>1083360.0853715367</v>
      </c>
      <c r="V132" s="12">
        <f t="shared" si="84"/>
        <v>0</v>
      </c>
      <c r="W132" s="12">
        <f t="shared" si="82"/>
        <v>0</v>
      </c>
      <c r="X132" s="13">
        <f t="shared" si="83"/>
        <v>0</v>
      </c>
      <c r="Y132" s="36">
        <f t="shared" si="70"/>
        <v>0</v>
      </c>
    </row>
    <row r="133" spans="1:25" ht="15" outlineLevel="2">
      <c r="A133" s="6" t="s">
        <v>31</v>
      </c>
      <c r="B133" s="6" t="s">
        <v>8</v>
      </c>
      <c r="C133" s="6" t="s">
        <v>9</v>
      </c>
      <c r="D133" s="6" t="s">
        <v>10</v>
      </c>
      <c r="E133" s="6" t="s">
        <v>26</v>
      </c>
      <c r="F133" s="6">
        <f t="shared" si="76"/>
        <v>3.5</v>
      </c>
      <c r="G133" s="1">
        <v>15514639.880000001</v>
      </c>
      <c r="H133" s="1"/>
      <c r="I133" s="6" t="s">
        <v>20</v>
      </c>
      <c r="J133" s="1">
        <v>8</v>
      </c>
      <c r="K133" s="1">
        <v>5.0554050000000004</v>
      </c>
      <c r="L133" s="1">
        <f t="shared" si="77"/>
        <v>5710541.3771810746</v>
      </c>
      <c r="M133" s="1">
        <f t="shared" si="78"/>
        <v>1.5085355045171141</v>
      </c>
      <c r="N133" s="19">
        <f t="shared" si="79"/>
        <v>8614554.417491708</v>
      </c>
      <c r="O133" s="7"/>
      <c r="P133" s="11">
        <f t="shared" si="85"/>
        <v>15514639.880000001</v>
      </c>
      <c r="Q133" s="12"/>
      <c r="R133" s="12"/>
      <c r="S133" s="13"/>
      <c r="T133" s="42">
        <f t="shared" si="74"/>
        <v>0</v>
      </c>
      <c r="U133" s="11">
        <f t="shared" si="81"/>
        <v>8614554.417491708</v>
      </c>
      <c r="V133" s="12">
        <f t="shared" si="84"/>
        <v>0</v>
      </c>
      <c r="W133" s="12">
        <f t="shared" si="82"/>
        <v>0</v>
      </c>
      <c r="X133" s="13">
        <f t="shared" si="83"/>
        <v>0</v>
      </c>
      <c r="Y133" s="36">
        <f t="shared" si="70"/>
        <v>0</v>
      </c>
    </row>
    <row r="134" spans="1:25" ht="15" outlineLevel="2">
      <c r="A134" s="6" t="s">
        <v>31</v>
      </c>
      <c r="B134" s="6" t="s">
        <v>8</v>
      </c>
      <c r="C134" s="6" t="s">
        <v>9</v>
      </c>
      <c r="D134" s="6" t="s">
        <v>10</v>
      </c>
      <c r="E134" s="6" t="s">
        <v>25</v>
      </c>
      <c r="F134" s="6">
        <f t="shared" si="76"/>
        <v>4.5</v>
      </c>
      <c r="G134" s="1">
        <v>840394.55000000005</v>
      </c>
      <c r="H134" s="1"/>
      <c r="I134" s="6" t="s">
        <v>20</v>
      </c>
      <c r="J134" s="1">
        <v>8</v>
      </c>
      <c r="K134" s="1">
        <v>4.3171759999999999</v>
      </c>
      <c r="L134" s="1">
        <f t="shared" si="77"/>
        <v>386878.15227615001</v>
      </c>
      <c r="M134" s="1">
        <f t="shared" si="78"/>
        <v>1.5085355045171141</v>
      </c>
      <c r="N134" s="19">
        <f t="shared" si="79"/>
        <v>583619.42863055086</v>
      </c>
      <c r="O134" s="7"/>
      <c r="P134" s="11">
        <f t="shared" si="85"/>
        <v>840394.55000000005</v>
      </c>
      <c r="Q134" s="12"/>
      <c r="R134" s="12"/>
      <c r="S134" s="13"/>
      <c r="T134" s="42">
        <f t="shared" si="74"/>
        <v>0</v>
      </c>
      <c r="U134" s="11">
        <f t="shared" si="81"/>
        <v>583619.42863055086</v>
      </c>
      <c r="V134" s="12">
        <f t="shared" si="84"/>
        <v>0</v>
      </c>
      <c r="W134" s="12">
        <f t="shared" si="82"/>
        <v>0</v>
      </c>
      <c r="X134" s="13">
        <f t="shared" si="83"/>
        <v>0</v>
      </c>
      <c r="Y134" s="36">
        <f t="shared" si="70"/>
        <v>0</v>
      </c>
    </row>
    <row r="135" spans="1:25" ht="15" outlineLevel="2">
      <c r="A135" s="6" t="s">
        <v>31</v>
      </c>
      <c r="B135" s="6" t="s">
        <v>8</v>
      </c>
      <c r="C135" s="6" t="s">
        <v>9</v>
      </c>
      <c r="D135" s="6" t="s">
        <v>10</v>
      </c>
      <c r="E135" s="6" t="s">
        <v>24</v>
      </c>
      <c r="F135" s="6">
        <f t="shared" si="76"/>
        <v>5.5</v>
      </c>
      <c r="G135" s="1">
        <v>2553514.1600000001</v>
      </c>
      <c r="H135" s="1"/>
      <c r="I135" s="6" t="s">
        <v>20</v>
      </c>
      <c r="J135" s="1">
        <v>8</v>
      </c>
      <c r="K135" s="1">
        <v>3.63625</v>
      </c>
      <c r="L135" s="1">
        <f t="shared" si="77"/>
        <v>1392862.1769625</v>
      </c>
      <c r="M135" s="1">
        <f t="shared" si="78"/>
        <v>1.5085355045171141</v>
      </c>
      <c r="N135" s="19">
        <f t="shared" si="79"/>
        <v>2101182.0468469309</v>
      </c>
      <c r="O135" s="7"/>
      <c r="P135" s="11">
        <f t="shared" si="85"/>
        <v>2553514.1600000001</v>
      </c>
      <c r="Q135" s="12"/>
      <c r="R135" s="12"/>
      <c r="S135" s="13"/>
      <c r="T135" s="42">
        <f t="shared" si="74"/>
        <v>0</v>
      </c>
      <c r="U135" s="11">
        <f t="shared" si="81"/>
        <v>2101182.0468469309</v>
      </c>
      <c r="V135" s="12">
        <f t="shared" si="84"/>
        <v>0</v>
      </c>
      <c r="W135" s="12">
        <f t="shared" si="82"/>
        <v>0</v>
      </c>
      <c r="X135" s="13">
        <f t="shared" si="83"/>
        <v>0</v>
      </c>
      <c r="Y135" s="36">
        <f t="shared" si="70"/>
        <v>0</v>
      </c>
    </row>
    <row r="136" spans="1:25" ht="15" outlineLevel="2">
      <c r="A136" s="6" t="s">
        <v>31</v>
      </c>
      <c r="B136" s="6" t="s">
        <v>8</v>
      </c>
      <c r="C136" s="6" t="s">
        <v>9</v>
      </c>
      <c r="D136" s="6" t="s">
        <v>10</v>
      </c>
      <c r="E136" s="6" t="s">
        <v>23</v>
      </c>
      <c r="F136" s="6">
        <f t="shared" si="76"/>
        <v>6.5</v>
      </c>
      <c r="G136" s="1">
        <v>10084850.24</v>
      </c>
      <c r="H136" s="1"/>
      <c r="I136" s="6" t="s">
        <v>20</v>
      </c>
      <c r="J136" s="1">
        <v>8</v>
      </c>
      <c r="K136" s="1">
        <v>3.0199639999999999</v>
      </c>
      <c r="L136" s="1">
        <f t="shared" si="77"/>
        <v>6277864.6562260799</v>
      </c>
      <c r="M136" s="1">
        <f t="shared" si="78"/>
        <v>1.5085355045171141</v>
      </c>
      <c r="N136" s="19">
        <f t="shared" si="79"/>
        <v>9470381.7264701687</v>
      </c>
      <c r="O136" s="7"/>
      <c r="P136" s="11">
        <f t="shared" si="85"/>
        <v>10084850.24</v>
      </c>
      <c r="Q136" s="12"/>
      <c r="R136" s="12"/>
      <c r="S136" s="13"/>
      <c r="T136" s="42">
        <f t="shared" si="74"/>
        <v>0</v>
      </c>
      <c r="U136" s="11">
        <f t="shared" si="81"/>
        <v>9470381.7264701687</v>
      </c>
      <c r="V136" s="12">
        <f t="shared" si="84"/>
        <v>0</v>
      </c>
      <c r="W136" s="12">
        <f t="shared" si="82"/>
        <v>0</v>
      </c>
      <c r="X136" s="13">
        <f t="shared" si="83"/>
        <v>0</v>
      </c>
      <c r="Y136" s="36">
        <f t="shared" si="70"/>
        <v>0</v>
      </c>
    </row>
    <row r="137" spans="1:25" ht="15" outlineLevel="2">
      <c r="A137" s="6" t="s">
        <v>31</v>
      </c>
      <c r="B137" s="6" t="s">
        <v>8</v>
      </c>
      <c r="C137" s="6" t="s">
        <v>9</v>
      </c>
      <c r="D137" s="6" t="s">
        <v>10</v>
      </c>
      <c r="E137" s="6" t="s">
        <v>21</v>
      </c>
      <c r="F137" s="6">
        <f t="shared" si="76"/>
        <v>7.5</v>
      </c>
      <c r="G137" s="1">
        <v>1208103.6200000001</v>
      </c>
      <c r="H137" s="1"/>
      <c r="I137" s="6" t="s">
        <v>20</v>
      </c>
      <c r="J137" s="1">
        <v>8</v>
      </c>
      <c r="K137" s="1">
        <v>2.4752879999999999</v>
      </c>
      <c r="L137" s="1">
        <f t="shared" si="77"/>
        <v>834303.07083218009</v>
      </c>
      <c r="M137" s="1">
        <f t="shared" si="78"/>
        <v>1.5085355045171141</v>
      </c>
      <c r="N137" s="19">
        <f t="shared" si="79"/>
        <v>1208103.6200000001</v>
      </c>
      <c r="O137" s="7"/>
      <c r="P137" s="11">
        <f t="shared" si="85"/>
        <v>1208103.6200000001</v>
      </c>
      <c r="Q137" s="12"/>
      <c r="R137" s="12"/>
      <c r="S137" s="13"/>
      <c r="T137" s="42">
        <f t="shared" si="74"/>
        <v>0</v>
      </c>
      <c r="U137" s="11">
        <f t="shared" si="81"/>
        <v>1208103.6200000001</v>
      </c>
      <c r="V137" s="12">
        <f t="shared" si="84"/>
        <v>0</v>
      </c>
      <c r="W137" s="12">
        <f t="shared" si="82"/>
        <v>0</v>
      </c>
      <c r="X137" s="13">
        <f t="shared" si="83"/>
        <v>0</v>
      </c>
      <c r="Y137" s="36">
        <f t="shared" si="70"/>
        <v>0</v>
      </c>
    </row>
    <row r="138" spans="1:25" ht="15" outlineLevel="2">
      <c r="A138" s="6" t="s">
        <v>31</v>
      </c>
      <c r="B138" s="6" t="s">
        <v>8</v>
      </c>
      <c r="C138" s="6" t="s">
        <v>9</v>
      </c>
      <c r="D138" s="6" t="s">
        <v>10</v>
      </c>
      <c r="E138" s="6" t="s">
        <v>19</v>
      </c>
      <c r="F138" s="6">
        <f t="shared" si="76"/>
        <v>8.5</v>
      </c>
      <c r="G138" s="1">
        <v>11398744.26</v>
      </c>
      <c r="H138" s="1"/>
      <c r="I138" s="6" t="s">
        <v>20</v>
      </c>
      <c r="J138" s="1">
        <v>8</v>
      </c>
      <c r="K138" s="1">
        <v>2.0065409999999999</v>
      </c>
      <c r="L138" s="1">
        <f t="shared" si="77"/>
        <v>8539738.2967244163</v>
      </c>
      <c r="M138" s="1">
        <f t="shared" si="78"/>
        <v>1.5085355045171141</v>
      </c>
      <c r="N138" s="19">
        <f t="shared" si="79"/>
        <v>11398744.26</v>
      </c>
      <c r="O138" s="7"/>
      <c r="P138" s="11">
        <f t="shared" si="85"/>
        <v>11398744.26</v>
      </c>
      <c r="Q138" s="12"/>
      <c r="R138" s="12"/>
      <c r="S138" s="13"/>
      <c r="T138" s="42">
        <f t="shared" si="74"/>
        <v>0</v>
      </c>
      <c r="U138" s="11">
        <f t="shared" si="81"/>
        <v>11398744.26</v>
      </c>
      <c r="V138" s="12">
        <f t="shared" si="84"/>
        <v>0</v>
      </c>
      <c r="W138" s="12">
        <f t="shared" si="82"/>
        <v>0</v>
      </c>
      <c r="X138" s="13">
        <f t="shared" si="83"/>
        <v>0</v>
      </c>
      <c r="Y138" s="36">
        <f t="shared" si="70"/>
        <v>0</v>
      </c>
    </row>
    <row r="139" spans="1:25" ht="15" outlineLevel="2">
      <c r="A139" s="6" t="s">
        <v>31</v>
      </c>
      <c r="B139" s="6" t="s">
        <v>8</v>
      </c>
      <c r="C139" s="6" t="s">
        <v>9</v>
      </c>
      <c r="D139" s="6" t="s">
        <v>10</v>
      </c>
      <c r="E139" s="6" t="s">
        <v>18</v>
      </c>
      <c r="F139" s="6">
        <f t="shared" si="76"/>
        <v>9.5</v>
      </c>
      <c r="G139" s="1">
        <v>4444998.9699999997</v>
      </c>
      <c r="H139" s="1"/>
      <c r="I139" s="6" t="s">
        <v>20</v>
      </c>
      <c r="J139" s="1">
        <v>8</v>
      </c>
      <c r="K139" s="1">
        <v>1.6122430000000001</v>
      </c>
      <c r="L139" s="1">
        <f t="shared" si="77"/>
        <v>3549196.660701286</v>
      </c>
      <c r="M139" s="1">
        <f t="shared" si="78"/>
        <v>1.5085355045171141</v>
      </c>
      <c r="N139" s="19">
        <f t="shared" si="79"/>
        <v>4444998.9699999997</v>
      </c>
      <c r="O139" s="7"/>
      <c r="P139" s="11">
        <f t="shared" si="85"/>
        <v>4444998.9699999997</v>
      </c>
      <c r="Q139" s="12"/>
      <c r="R139" s="12"/>
      <c r="S139" s="13"/>
      <c r="T139" s="42">
        <f t="shared" si="74"/>
        <v>0</v>
      </c>
      <c r="U139" s="11">
        <f t="shared" si="81"/>
        <v>4444998.9699999997</v>
      </c>
      <c r="V139" s="12">
        <f t="shared" si="84"/>
        <v>0</v>
      </c>
      <c r="W139" s="12">
        <f t="shared" si="82"/>
        <v>0</v>
      </c>
      <c r="X139" s="13">
        <f t="shared" si="83"/>
        <v>0</v>
      </c>
      <c r="Y139" s="36">
        <f t="shared" si="70"/>
        <v>0</v>
      </c>
    </row>
    <row r="140" spans="1:25" ht="15" outlineLevel="1">
      <c r="A140" s="14" t="s">
        <v>45</v>
      </c>
      <c r="B140" s="6"/>
      <c r="C140" s="6"/>
      <c r="D140" s="6"/>
      <c r="E140" s="6"/>
      <c r="F140" s="6"/>
      <c r="G140" s="2">
        <f>SUBTOTAL(9,G123:G139)</f>
        <v>67348974.760000005</v>
      </c>
      <c r="H140" s="2"/>
      <c r="I140" s="14" t="s">
        <v>46</v>
      </c>
      <c r="J140" s="2">
        <f>+N140-K140</f>
        <v>0</v>
      </c>
      <c r="K140" s="2">
        <v>43879650.791709252</v>
      </c>
      <c r="L140" s="2"/>
      <c r="M140" s="2">
        <v>1.5085355045171141</v>
      </c>
      <c r="N140" s="20">
        <f>SUBTOTAL(9,N123:N139)</f>
        <v>43879650.791709252</v>
      </c>
      <c r="O140" s="7"/>
      <c r="P140" s="23">
        <f t="shared" si="86" ref="P140:S140">SUBTOTAL(9,P123:P139)</f>
        <v>64259465.629999988</v>
      </c>
      <c r="Q140" s="24">
        <f t="shared" si="86"/>
        <v>1756631.22</v>
      </c>
      <c r="R140" s="24">
        <f t="shared" si="86"/>
        <v>1329857.99</v>
      </c>
      <c r="S140" s="25">
        <f t="shared" si="86"/>
        <v>3019.9200000000001</v>
      </c>
      <c r="T140" s="42">
        <f t="shared" si="74"/>
        <v>0</v>
      </c>
      <c r="U140" s="11">
        <f t="shared" si="87" ref="U140:X140">SUBTOTAL(9,U123:U139)</f>
        <v>41119012.37820302</v>
      </c>
      <c r="V140" s="12">
        <f t="shared" si="87"/>
        <v>1437046.2528037098</v>
      </c>
      <c r="W140" s="12">
        <f t="shared" si="87"/>
        <v>1321107.7055563331</v>
      </c>
      <c r="X140" s="13">
        <f t="shared" si="87"/>
        <v>2484.425146186647</v>
      </c>
      <c r="Y140" s="36">
        <f t="shared" si="70"/>
        <v>0.030000001192092896</v>
      </c>
    </row>
    <row r="141" spans="1:25" ht="15">
      <c r="A141" s="6" t="s">
        <v>46</v>
      </c>
      <c r="B141" s="6"/>
      <c r="C141" s="6"/>
      <c r="D141" s="6"/>
      <c r="E141" s="6"/>
      <c r="F141" s="6"/>
      <c r="G141" s="1"/>
      <c r="H141" s="1"/>
      <c r="I141" s="6"/>
      <c r="J141" s="1"/>
      <c r="K141" s="1"/>
      <c r="L141" s="1"/>
      <c r="M141" s="1"/>
      <c r="N141" s="7"/>
      <c r="O141" s="7"/>
      <c r="P141" s="11"/>
      <c r="Q141" s="12"/>
      <c r="R141" s="12"/>
      <c r="S141" s="13"/>
      <c r="T141" s="42">
        <f t="shared" si="74"/>
        <v>0</v>
      </c>
      <c r="U141" s="11"/>
      <c r="V141" s="12"/>
      <c r="W141" s="12"/>
      <c r="X141" s="13"/>
      <c r="Y141" s="36">
        <f t="shared" si="70"/>
        <v>0</v>
      </c>
    </row>
    <row r="142" spans="1:25" ht="15">
      <c r="A142" s="6"/>
      <c r="B142" s="6"/>
      <c r="C142" s="6"/>
      <c r="D142" s="6"/>
      <c r="E142" s="6"/>
      <c r="F142" s="6"/>
      <c r="G142" s="1"/>
      <c r="H142" s="1"/>
      <c r="I142" s="6"/>
      <c r="J142" s="1"/>
      <c r="K142" s="1"/>
      <c r="L142" s="1"/>
      <c r="M142" s="1"/>
      <c r="N142" s="7"/>
      <c r="O142" s="7"/>
      <c r="P142" s="11"/>
      <c r="Q142" s="12"/>
      <c r="R142" s="12"/>
      <c r="S142" s="13"/>
      <c r="T142" s="42">
        <f t="shared" si="74"/>
        <v>0</v>
      </c>
      <c r="U142" s="11"/>
      <c r="V142" s="12"/>
      <c r="W142" s="12"/>
      <c r="X142" s="13"/>
      <c r="Y142" s="36">
        <f t="shared" si="70"/>
        <v>0</v>
      </c>
    </row>
    <row r="143" spans="1:25" ht="15.75" thickBot="1">
      <c r="A143" s="6"/>
      <c r="B143" s="6"/>
      <c r="C143" s="6"/>
      <c r="D143" s="6"/>
      <c r="E143" s="6"/>
      <c r="F143" s="6"/>
      <c r="G143" s="1"/>
      <c r="H143" s="1"/>
      <c r="I143" s="6"/>
      <c r="J143" s="1"/>
      <c r="K143" s="1"/>
      <c r="L143" s="1"/>
      <c r="M143" s="1"/>
      <c r="N143" s="7"/>
      <c r="O143" s="7"/>
      <c r="P143" s="26"/>
      <c r="Q143" s="27"/>
      <c r="R143" s="27"/>
      <c r="S143" s="28"/>
      <c r="T143" s="42">
        <f t="shared" si="74"/>
        <v>0</v>
      </c>
      <c r="U143" s="26"/>
      <c r="V143" s="27"/>
      <c r="W143" s="27"/>
      <c r="X143" s="28"/>
      <c r="Y143" s="36">
        <f t="shared" si="70"/>
        <v>0</v>
      </c>
    </row>
    <row r="144" spans="1:27" ht="15">
      <c r="A144" s="6" t="s">
        <v>47</v>
      </c>
      <c r="B144" s="6"/>
      <c r="C144" s="6"/>
      <c r="D144" s="6"/>
      <c r="E144" s="6"/>
      <c r="F144" s="6"/>
      <c r="G144" s="1">
        <f>+G13+G29+G38+G43+G72+G82+G122+G140</f>
        <v>1066350281.0699997</v>
      </c>
      <c r="H144" s="1"/>
      <c r="I144" s="7">
        <f>SUBTOTAL(9,I4:I143)</f>
        <v>0</v>
      </c>
      <c r="J144" s="1"/>
      <c r="K144" s="1">
        <f>+K13+K29+K38+K43+K72+K82+K122+K140</f>
        <v>308477177.03423095</v>
      </c>
      <c r="L144" s="1">
        <f>+L13+L29+L38+L43+L72+L82+L122+L140</f>
        <v>144535419.38499999</v>
      </c>
      <c r="M144" s="1"/>
      <c r="N144" s="1">
        <f>+N13+N29+N38+N43+N72+N82+N122+N140</f>
        <v>452767876.02361453</v>
      </c>
      <c r="O144" s="1"/>
      <c r="P144" s="1">
        <f>+P13+P29+P38+P43+P72+P82+P122+P140</f>
        <v>247306020.55000001</v>
      </c>
      <c r="Q144" s="1">
        <f>+Q13+Q29+Q38+Q43+Q72+Q82+Q122+Q140</f>
        <v>323333372.82000005</v>
      </c>
      <c r="R144" s="1">
        <f>+R13+R29+R38+R43+R72+R82+R122+R140</f>
        <v>185301712.96000004</v>
      </c>
      <c r="S144" s="1">
        <f>+S13+S29+S38+S43+S72+S82+S122+S140</f>
        <v>310409174.74000007</v>
      </c>
      <c r="T144" s="42">
        <f t="shared" si="74"/>
        <v>0</v>
      </c>
      <c r="U144" s="1">
        <f>+U13+U29+U38+U43+U72+U82+U122+U140</f>
        <v>99337445.87433742</v>
      </c>
      <c r="V144" s="1">
        <f>+V13+V29+V38+V43+V72+V82+V122+V140</f>
        <v>114122847.82766204</v>
      </c>
      <c r="W144" s="1">
        <f>+W13+W29+W38+W43+W72+W82+W122+W140</f>
        <v>155161422.72275668</v>
      </c>
      <c r="X144" s="1">
        <f>+X13+X29+X38+X43+X72+X82+X122+X140</f>
        <v>84146159.568858504</v>
      </c>
      <c r="Y144" s="1"/>
      <c r="Z144" s="5">
        <f>+Z13+Z29+Z38+Z43+Z72+Z82+Z122+Z140</f>
        <v>0</v>
      </c>
      <c r="AA144" s="5">
        <f>+AA13+AA29+AA38+AA43+AA72+AA82+AA122+AA140</f>
        <v>0</v>
      </c>
    </row>
    <row r="146" spans="16:21" ht="15">
      <c r="P146" s="29">
        <v>247306020.54999998</v>
      </c>
      <c r="Q146" s="29">
        <v>323333372.81999993</v>
      </c>
      <c r="R146" s="29">
        <v>185301712.95999998</v>
      </c>
      <c r="S146" s="29">
        <v>310409174.74000007</v>
      </c>
      <c r="U146" s="29"/>
    </row>
    <row r="147" spans="16:16" ht="15">
      <c r="P147" s="29"/>
    </row>
    <row r="148" spans="7:21" ht="15">
      <c r="G148" s="4">
        <v>1066350281.0699999</v>
      </c>
      <c r="P148" s="29">
        <f>+P144-P146</f>
        <v>0</v>
      </c>
      <c r="Q148" s="29">
        <f t="shared" si="88" ref="Q148:S148">+Q144-Q146</f>
        <v>0</v>
      </c>
      <c r="R148" s="29">
        <f t="shared" si="88"/>
        <v>0</v>
      </c>
      <c r="S148" s="29">
        <f t="shared" si="88"/>
        <v>0</v>
      </c>
      <c r="U148" s="29">
        <f>SUM(U144:X144)</f>
        <v>452767875.99361467</v>
      </c>
    </row>
    <row r="150" spans="7:7" ht="15">
      <c r="G150" s="4">
        <f>+G144-G148</f>
        <v>0</v>
      </c>
    </row>
    <row r="153" spans="16:17" ht="15">
      <c r="P153" s="30"/>
      <c r="Q153" s="30"/>
    </row>
    <row r="154" spans="16:17" ht="15">
      <c r="P154" s="30"/>
      <c r="Q154" s="30"/>
    </row>
    <row r="155" spans="16:17" ht="15">
      <c r="P155" s="30"/>
      <c r="Q155" s="30"/>
    </row>
    <row r="156" spans="16:17" ht="15">
      <c r="P156" s="30"/>
      <c r="Q156" s="30"/>
    </row>
    <row r="157" spans="16:17" ht="15">
      <c r="P157" s="30"/>
      <c r="Q157" s="30"/>
    </row>
    <row r="162" spans="17:21" ht="15">
      <c r="Q162" s="30"/>
      <c r="R162" s="30"/>
      <c r="S162" s="30"/>
      <c r="T162" s="43"/>
      <c r="U162" s="30"/>
    </row>
    <row r="163" spans="17:21" ht="15">
      <c r="Q163" s="30"/>
      <c r="R163" s="30"/>
      <c r="S163" s="30"/>
      <c r="T163" s="43"/>
      <c r="U163" s="30"/>
    </row>
    <row r="164" spans="17:21" ht="15">
      <c r="Q164" s="30"/>
      <c r="S164" s="30"/>
      <c r="T164" s="43"/>
      <c r="U164" s="30"/>
    </row>
    <row r="165" spans="17:21" ht="15">
      <c r="Q165" s="30"/>
      <c r="R165" s="30"/>
      <c r="S165" s="30"/>
      <c r="T165" s="43"/>
      <c r="U165" s="30"/>
    </row>
    <row r="166" spans="17:21" ht="15">
      <c r="Q166" s="30"/>
      <c r="R166" s="30"/>
      <c r="S166" s="30"/>
      <c r="T166" s="43"/>
      <c r="U166" s="30"/>
    </row>
  </sheetData>
  <mergeCells count="2">
    <mergeCell ref="U3:X3"/>
    <mergeCell ref="P3:S3"/>
  </mergeCells>
  <pageMargins left="0.75" right="0.75" top="2" bottom="1" header="0.75" footer="0.5"/>
  <pageSetup fitToHeight="15" fitToWidth="3" orientation="landscape" scale="67" r:id="rId1"/>
  <headerFooter>
    <oddHeader>&amp;C&amp;"Arial,Bold"
2022 RATE CASE
ONCOR ELECTRIC DELIVERY COMPANY LLC
WP II-B-5_01 INTANGIBLE PLANT DEPRECIATION ALLOCATION
FOR THE TEST YEAR ENDING DECEMBER 31, 2021
SPONSOR:  D. A. WATSON&amp;R&amp;"Arial,Bold"WP/II-B-5/01
Page &amp;P of &amp;N</oddHeader>
  </headerFooter>
  <colBreaks count="1" manualBreakCount="1">
    <brk id="20" min="4" max="14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II-B-5_01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