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bin" ContentType="application/vnd.openxmlformats-officedocument.spreadsheetml.printerSettings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4" Type="http://schemas.openxmlformats.org/officeDocument/2006/relationships/custom-properties" Target="docProps/custom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2022 Rate Case\Section II (Test Year Data)\Schedule B (Rate Base)\Sch II-B WP\"/>
    </mc:Choice>
  </mc:AlternateContent>
  <bookViews>
    <workbookView xWindow="0" yWindow="0" windowWidth="28800" windowHeight="12720" activeTab="0"/>
  </bookViews>
  <sheets>
    <sheet name="WP II-B-8_01" sheetId="2" r:id="rId2"/>
  </sheets>
  <definedNames>
    <definedName name="NvsEndTime">42695.2504861111</definedName>
    <definedName name="_xlnm.Print_Area" localSheetId="0">'WP II-B-8_01'!$A$6:$AN$27</definedName>
    <definedName name="_xlnm.Print_Titles" localSheetId="0">'WP II-B-8_01'!$A:$A</definedName>
  </definedNames>
  <calcPr calcId="152511"/>
</workbook>
</file>

<file path=xl/calcChain.xml><?xml version="1.0" encoding="utf-8"?>
<calcChain xmlns="http://schemas.openxmlformats.org/spreadsheetml/2006/main">
  <c r="AM27" i="2" l="1"/>
</calcChain>
</file>

<file path=xl/sharedStrings.xml><?xml version="1.0" encoding="utf-8"?>
<sst xmlns="http://schemas.openxmlformats.org/spreadsheetml/2006/main" count="43" uniqueCount="19">
  <si>
    <t>ACCOUNT 163 FUNCTIONALIZED BY MONTH</t>
  </si>
  <si>
    <t xml:space="preserve">General Ledger Balance </t>
  </si>
  <si>
    <t>ONCOR ELECTRIC DELIVERY COMPANY LLC</t>
  </si>
  <si>
    <t>Oncor Electric AMS in Transmission Warehouses</t>
  </si>
  <si>
    <r>
      <t xml:space="preserve">Oncor Electric Transmission and AMS Account 163 Balance </t>
    </r>
    <r>
      <rPr>
        <sz val="10"/>
        <rFont val="Arial"/>
        <family val="2"/>
      </rPr>
      <t>(Transmission and some AMS are carried as Business Unit TRAN)</t>
    </r>
  </si>
  <si>
    <t>Oncor Electric AMS in Distribution Warehouses</t>
  </si>
  <si>
    <r>
      <t xml:space="preserve">Oncor Electric Distribution, Meters and some AMS Account 163 Balance </t>
    </r>
    <r>
      <rPr>
        <sz val="10"/>
        <rFont val="Arial"/>
        <family val="2"/>
      </rPr>
      <t>(Distribution and Meters are carried as Business Unit DIST)</t>
    </r>
  </si>
  <si>
    <r>
      <t xml:space="preserve">Oncor Electric Transmission Account 163 Balance </t>
    </r>
    <r>
      <rPr>
        <sz val="10"/>
        <rFont val="Arial"/>
        <family val="2"/>
      </rPr>
      <t>(the General Ledger balance by month ties to Schedule II-B-8 column M lines 25-37; 40-42)</t>
    </r>
  </si>
  <si>
    <t>Balance per MAXIMO Database</t>
  </si>
  <si>
    <t>Account 163 is not included in MAXIMO reports</t>
  </si>
  <si>
    <t>Check</t>
  </si>
  <si>
    <t>II-B-8   MATERIALS AND SUPPLIES</t>
  </si>
  <si>
    <t>SPONSOR: A. THENMADATHIL</t>
  </si>
  <si>
    <t>2022 RATE CASE</t>
  </si>
  <si>
    <t>TEST YEAR ENDING DECEMBER 31, 2021</t>
  </si>
  <si>
    <r>
      <t>Oncor Electric Distribution Account 163 Balance</t>
    </r>
    <r>
      <rPr>
        <sz val="10"/>
        <rFont val="Arial"/>
        <family val="2"/>
      </rPr>
      <t xml:space="preserve"> (the General Ledger balance by month ties to Schedule II-B-8 column Q lines 25-37; 40-42)</t>
    </r>
  </si>
  <si>
    <r>
      <t xml:space="preserve">Oncor Electric Meters Account 163 Balance </t>
    </r>
    <r>
      <rPr>
        <sz val="10"/>
        <rFont val="Arial"/>
        <family val="2"/>
      </rPr>
      <t>(the General Ledger balance by month ties to Schedule II-B-8 column T lines 25-37; 40-42)</t>
    </r>
  </si>
  <si>
    <t>Oncor Electric AMS Account 154 Balance</t>
  </si>
  <si>
    <r>
      <t>Account 163 Totals</t>
    </r>
    <r>
      <rPr>
        <sz val="10"/>
        <rFont val="Arial"/>
        <family val="2"/>
      </rPr>
      <t xml:space="preserve"> (the General Ledger balance by month ties to Schedule II-B-8 column J lines 25-37; 40-42)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</si>
</sst>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(* #,##0_);_(* \(#,##0\);_(* &quot;-&quot;_);_(@_)"/>
    <numFmt numFmtId="43" formatCode="_(* #,##0.00_);_(* \(#,##0.00\);_(* &quot;-&quot;??_);_(@_)"/>
    <numFmt numFmtId="164" formatCode="0.0000%"/>
  </numFmts>
  <fonts count="7">
    <font>
      <sz val="1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b/>
      <sz val="11"/>
      <name val="Arial"/>
      <family val="2"/>
    </font>
    <font>
      <b/>
      <sz val="10"/>
      <color indexed="8"/>
      <name val="Arial"/>
      <family val="2"/>
    </font>
    <font>
      <b/>
      <sz val="8"/>
      <color indexed="18"/>
      <name val="Arial"/>
      <family val="2"/>
    </font>
    <font>
      <sz val="10"/>
      <color indexed="6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/>
      <bottom style="thin">
        <color auto="1"/>
      </bottom>
    </border>
    <border>
      <left/>
      <right/>
      <top/>
      <bottom style="double">
        <color auto="1"/>
      </bottom>
    </border>
    <border>
      <left/>
      <right/>
      <top/>
      <bottom style="medium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</borders>
  <cellStyleXfs count="2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1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6" fillId="0" borderId="0">
      <alignment/>
      <protection/>
    </xf>
    <xf numFmtId="43" fontId="0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 applyFill="1" applyBorder="1" applyProtection="1">
      <protection locked="0"/>
    </xf>
    <xf numFmtId="0" fontId="0" fillId="0" borderId="0" xfId="0" applyFill="1"/>
    <xf numFmtId="0" fontId="2" fillId="0" borderId="0" xfId="0" applyFont="1" applyFill="1" applyBorder="1"/>
    <xf numFmtId="0" fontId="2" fillId="0" borderId="0" xfId="0" applyFont="1" applyFill="1" applyBorder="1" applyAlignment="1">
      <alignment horizontal="left"/>
    </xf>
    <xf numFmtId="14" fontId="2" fillId="0" borderId="0" xfId="0" applyNumberFormat="1" applyFont="1" applyFill="1" applyBorder="1" applyAlignment="1">
      <alignment horizontal="left"/>
    </xf>
    <xf numFmtId="0" fontId="0" fillId="2" borderId="0" xfId="0" applyFill="1"/>
    <xf numFmtId="0" fontId="2" fillId="0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 applyBorder="1" applyAlignment="1">
      <alignment horizontal="center" wrapText="1"/>
    </xf>
    <xf numFmtId="37" fontId="3" fillId="0" borderId="0" xfId="0" applyNumberFormat="1" applyFont="1" applyFill="1" applyBorder="1" applyAlignment="1">
      <alignment horizontal="center" wrapText="1"/>
    </xf>
    <xf numFmtId="0" fontId="3" fillId="0" borderId="0" xfId="0" applyFont="1" applyFill="1" applyAlignment="1">
      <alignment horizontal="center"/>
    </xf>
    <xf numFmtId="0" fontId="2" fillId="0" borderId="0" xfId="0" applyFont="1" applyFill="1" applyAlignment="1">
      <alignment wrapText="1"/>
    </xf>
    <xf numFmtId="0" fontId="2" fillId="0" borderId="0" xfId="0" applyNumberFormat="1" applyFont="1" applyFill="1" applyAlignment="1">
      <alignment wrapText="1"/>
    </xf>
    <xf numFmtId="0" fontId="0" fillId="0" borderId="0" xfId="0" applyNumberFormat="1" applyFont="1" applyFill="1"/>
    <xf numFmtId="37" fontId="0" fillId="0" borderId="0" xfId="0" applyNumberFormat="1" applyFill="1"/>
    <xf numFmtId="49" fontId="2" fillId="0" borderId="0" xfId="0" applyNumberFormat="1" applyFont="1" applyFill="1" applyAlignment="1">
      <alignment wrapText="1"/>
    </xf>
    <xf numFmtId="0" fontId="0" fillId="0" borderId="0" xfId="0" applyFont="1" applyFill="1"/>
    <xf numFmtId="38" fontId="3" fillId="0" borderId="0" xfId="0" applyNumberFormat="1" applyFont="1" applyFill="1" applyBorder="1" applyAlignment="1">
      <alignment horizontal="center" wrapText="1"/>
    </xf>
    <xf numFmtId="38" fontId="3" fillId="2" borderId="0" xfId="0" applyNumberFormat="1" applyFont="1" applyFill="1" applyBorder="1" applyAlignment="1">
      <alignment horizontal="center" wrapText="1"/>
    </xf>
    <xf numFmtId="38" fontId="3" fillId="0" borderId="0" xfId="0" applyNumberFormat="1" applyFont="1" applyFill="1" applyAlignment="1">
      <alignment horizontal="center" wrapText="1"/>
    </xf>
    <xf numFmtId="38" fontId="3" fillId="2" borderId="0" xfId="0" applyNumberFormat="1" applyFont="1" applyFill="1" applyAlignment="1">
      <alignment horizontal="center"/>
    </xf>
    <xf numFmtId="0" fontId="2" fillId="0" borderId="0" xfId="0" applyFont="1" applyFill="1" applyBorder="1" applyAlignment="1">
      <alignment wrapText="1"/>
    </xf>
    <xf numFmtId="37" fontId="0" fillId="0" borderId="0" xfId="0" applyNumberFormat="1" applyFont="1" applyFill="1" applyBorder="1"/>
    <xf numFmtId="41" fontId="0" fillId="2" borderId="0" xfId="0" applyNumberFormat="1" applyFont="1" applyFill="1" applyBorder="1"/>
    <xf numFmtId="41" fontId="0" fillId="0" borderId="0" xfId="0" applyNumberFormat="1" applyFont="1" applyFill="1" applyBorder="1"/>
    <xf numFmtId="0" fontId="0" fillId="0" borderId="0" xfId="0" applyFont="1" applyFill="1" applyBorder="1"/>
    <xf numFmtId="37" fontId="2" fillId="0" borderId="0" xfId="0" applyNumberFormat="1" applyFont="1" applyFill="1" applyBorder="1" applyAlignment="1">
      <alignment horizontal="center" wrapText="1"/>
    </xf>
    <xf numFmtId="41" fontId="2" fillId="0" borderId="0" xfId="0" applyNumberFormat="1" applyFont="1" applyFill="1" applyBorder="1" applyAlignment="1">
      <alignment horizontal="center" wrapText="1"/>
    </xf>
    <xf numFmtId="41" fontId="2" fillId="2" borderId="0" xfId="0" applyNumberFormat="1" applyFont="1" applyFill="1" applyBorder="1" applyAlignment="1">
      <alignment horizontal="center" wrapText="1"/>
    </xf>
    <xf numFmtId="41" fontId="2" fillId="0" borderId="0" xfId="0" applyNumberFormat="1" applyFont="1" applyFill="1" applyAlignment="1">
      <alignment horizontal="center" wrapText="1"/>
    </xf>
    <xf numFmtId="41" fontId="2" fillId="2" borderId="0" xfId="0" applyNumberFormat="1" applyFont="1" applyFill="1" applyAlignment="1">
      <alignment horizontal="center"/>
    </xf>
    <xf numFmtId="37" fontId="2" fillId="0" borderId="2" xfId="0" applyNumberFormat="1" applyFont="1" applyFill="1" applyBorder="1" applyAlignment="1">
      <alignment horizontal="center" wrapText="1"/>
    </xf>
    <xf numFmtId="41" fontId="2" fillId="0" borderId="2" xfId="0" applyNumberFormat="1" applyFont="1" applyFill="1" applyBorder="1" applyAlignment="1">
      <alignment horizontal="center" wrapText="1"/>
    </xf>
    <xf numFmtId="37" fontId="2" fillId="0" borderId="3" xfId="0" applyNumberFormat="1" applyFont="1" applyFill="1" applyBorder="1" applyAlignment="1">
      <alignment horizontal="center" wrapText="1"/>
    </xf>
    <xf numFmtId="41" fontId="2" fillId="0" borderId="3" xfId="0" applyNumberFormat="1" applyFont="1" applyFill="1" applyBorder="1" applyAlignment="1">
      <alignment horizontal="center" wrapText="1"/>
    </xf>
    <xf numFmtId="0" fontId="2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/>
    <xf numFmtId="41" fontId="2" fillId="0" borderId="0" xfId="0" applyNumberFormat="1" applyFont="1" applyFill="1" applyBorder="1"/>
    <xf numFmtId="41" fontId="0" fillId="2" borderId="0" xfId="0" applyNumberFormat="1" applyFont="1" applyFill="1"/>
    <xf numFmtId="0" fontId="0" fillId="0" borderId="0" xfId="0" applyFont="1" applyFill="1"/>
    <xf numFmtId="37" fontId="0" fillId="0" borderId="2" xfId="0" applyNumberFormat="1" applyFont="1" applyFill="1" applyBorder="1"/>
    <xf numFmtId="41" fontId="0" fillId="0" borderId="2" xfId="0" applyNumberFormat="1" applyFont="1" applyFill="1" applyBorder="1"/>
    <xf numFmtId="37" fontId="0" fillId="0" borderId="3" xfId="0" applyNumberFormat="1" applyFont="1" applyFill="1" applyBorder="1"/>
    <xf numFmtId="41" fontId="0" fillId="0" borderId="3" xfId="0" applyNumberFormat="1" applyFont="1" applyFill="1" applyBorder="1"/>
    <xf numFmtId="41" fontId="4" fillId="2" borderId="0" xfId="0" applyNumberFormat="1" applyFont="1" applyFill="1" applyBorder="1"/>
    <xf numFmtId="41" fontId="4" fillId="0" borderId="2" xfId="0" applyNumberFormat="1" applyFont="1" applyFill="1" applyBorder="1"/>
    <xf numFmtId="41" fontId="4" fillId="2" borderId="0" xfId="0" applyNumberFormat="1" applyFont="1" applyFill="1"/>
    <xf numFmtId="41" fontId="0" fillId="0" borderId="4" xfId="0" applyNumberFormat="1" applyFont="1" applyFill="1" applyBorder="1"/>
    <xf numFmtId="41" fontId="0" fillId="0" borderId="0" xfId="0" applyNumberFormat="1" applyFill="1"/>
    <xf numFmtId="38" fontId="0" fillId="0" borderId="0" xfId="0" applyNumberFormat="1" applyFill="1"/>
    <xf numFmtId="17" fontId="2" fillId="0" borderId="1" xfId="0" applyNumberFormat="1" applyFont="1" applyFill="1" applyBorder="1" applyAlignment="1">
      <alignment horizontal="center"/>
    </xf>
    <xf numFmtId="41" fontId="0" fillId="0" borderId="0" xfId="0" applyNumberFormat="1" applyFill="1" applyBorder="1"/>
    <xf numFmtId="0" fontId="5" fillId="0" borderId="0" xfId="0" applyFont="1"/>
    <xf numFmtId="41" fontId="0" fillId="0" borderId="4" xfId="0" applyNumberFormat="1" applyFill="1" applyBorder="1"/>
    <xf numFmtId="43" fontId="0" fillId="0" borderId="0" xfId="18" applyFont="1" applyFill="1"/>
    <xf numFmtId="43" fontId="2" fillId="0" borderId="1" xfId="18" applyFont="1" applyFill="1" applyBorder="1" applyAlignment="1">
      <alignment horizontal="center"/>
    </xf>
    <xf numFmtId="43" fontId="2" fillId="0" borderId="1" xfId="18" applyFont="1" applyFill="1" applyBorder="1" applyAlignment="1">
      <alignment horizontal="center" wrapText="1"/>
    </xf>
    <xf numFmtId="43" fontId="3" fillId="0" borderId="0" xfId="18" applyFont="1" applyFill="1" applyBorder="1" applyAlignment="1">
      <alignment horizontal="center" wrapText="1"/>
    </xf>
    <xf numFmtId="43" fontId="2" fillId="0" borderId="0" xfId="18" applyFont="1" applyFill="1" applyBorder="1"/>
    <xf numFmtId="43" fontId="2" fillId="0" borderId="0" xfId="18" applyFont="1" applyFill="1" applyBorder="1" applyAlignment="1">
      <alignment horizontal="center" wrapText="1"/>
    </xf>
    <xf numFmtId="43" fontId="2" fillId="0" borderId="2" xfId="18" applyFont="1" applyFill="1" applyBorder="1" applyAlignment="1">
      <alignment horizontal="center" wrapText="1"/>
    </xf>
    <xf numFmtId="43" fontId="2" fillId="0" borderId="3" xfId="18" applyFont="1" applyFill="1" applyBorder="1" applyAlignment="1">
      <alignment horizontal="center" wrapText="1"/>
    </xf>
    <xf numFmtId="43" fontId="0" fillId="0" borderId="0" xfId="18" applyFont="1" applyFill="1" applyBorder="1"/>
    <xf numFmtId="43" fontId="2" fillId="0" borderId="2" xfId="18" applyFont="1" applyFill="1" applyBorder="1"/>
    <xf numFmtId="43" fontId="2" fillId="0" borderId="3" xfId="18" applyFont="1" applyFill="1" applyBorder="1"/>
    <xf numFmtId="43" fontId="4" fillId="0" borderId="2" xfId="18" applyFont="1" applyFill="1" applyBorder="1"/>
    <xf numFmtId="43" fontId="2" fillId="0" borderId="4" xfId="18" applyFont="1" applyFill="1" applyBorder="1"/>
    <xf numFmtId="164" fontId="0" fillId="0" borderId="0" xfId="15" applyNumberFormat="1" applyFont="1" applyFill="1"/>
    <xf numFmtId="0" fontId="0" fillId="0" borderId="1" xfId="0" applyFill="1" applyBorder="1"/>
    <xf numFmtId="43" fontId="2" fillId="3" borderId="0" xfId="18" applyFont="1" applyFill="1" applyBorder="1" applyAlignment="1">
      <alignment horizontal="center"/>
    </xf>
    <xf numFmtId="4" fontId="0" fillId="0" borderId="0" xfId="0" applyNumberFormat="1" applyFill="1"/>
    <xf numFmtId="4" fontId="0" fillId="0" borderId="0" xfId="18" applyNumberFormat="1" applyFont="1" applyFill="1"/>
    <xf numFmtId="17" fontId="2" fillId="0" borderId="5" xfId="0" applyNumberFormat="1" applyFont="1" applyFill="1" applyBorder="1" applyAlignment="1">
      <alignment horizontal="center"/>
    </xf>
    <xf numFmtId="0" fontId="2" fillId="0" borderId="5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wrapText="1"/>
    </xf>
    <xf numFmtId="0" fontId="2" fillId="0" borderId="1" xfId="0" applyFont="1" applyFill="1" applyBorder="1" applyAlignment="1">
      <alignment horizontal="center"/>
    </xf>
  </cellXfs>
  <cellStyles count="10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  <cellStyle name="Comma 2" xfId="20"/>
    <cellStyle name="Comma 3" xfId="21"/>
    <cellStyle name="nPlosion" xfId="22"/>
    <cellStyle name="Comma 4" xfId="2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5" Type="http://schemas.openxmlformats.org/officeDocument/2006/relationships/customXml" Target="../customXml/item1.xml" /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8" Type="http://schemas.openxmlformats.org/officeDocument/2006/relationships/customXml" Target="../customXml/item4.xml" /><Relationship Id="rId4" Type="http://schemas.openxmlformats.org/officeDocument/2006/relationships/sharedStrings" Target="sharedStrings.xml" /><Relationship Id="rId9" Type="http://schemas.openxmlformats.org/officeDocument/2006/relationships/calcChain" Target="calcChain.xml" /><Relationship Id="rId6" Type="http://schemas.openxmlformats.org/officeDocument/2006/relationships/customXml" Target="../customXml/item2.xml" /><Relationship Id="rId3" Type="http://schemas.openxmlformats.org/officeDocument/2006/relationships/styles" Target="styles.xml" /><Relationship Id="rId7" Type="http://schemas.openxmlformats.org/officeDocument/2006/relationships/customXml" Target="../customXml/item3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x14ac="http://schemas.microsoft.com/office/spreadsheetml/2009/9/ac" mc:Ignorable="x14ac">
  <sheetPr codeName="Sheet1">
    <pageSetUpPr fitToPage="1"/>
  </sheetPr>
  <dimension ref="A1:AQ45"/>
  <sheetViews>
    <sheetView tabSelected="1" zoomScale="95" zoomScaleNormal="95" workbookViewId="0" topLeftCell="X1">
      <selection pane="topLeft" activeCell="AP6" sqref="AP6"/>
    </sheetView>
  </sheetViews>
  <sheetFormatPr defaultColWidth="9.09428571428571" defaultRowHeight="12.75"/>
  <cols>
    <col min="1" max="1" width="46.8571428571429" style="2" customWidth="1"/>
    <col min="2" max="2" width="13.7142857142857" style="2" customWidth="1"/>
    <col min="3" max="3" width="14.7142857142857" style="57" bestFit="1" customWidth="1"/>
    <col min="4" max="4" width="1.71428571428571" style="2" customWidth="1"/>
    <col min="5" max="5" width="13.7142857142857" style="2" customWidth="1"/>
    <col min="6" max="6" width="14.7142857142857" style="57" bestFit="1" customWidth="1"/>
    <col min="7" max="7" width="1.71428571428571" style="2" customWidth="1"/>
    <col min="8" max="8" width="13.7142857142857" style="2" customWidth="1"/>
    <col min="9" max="9" width="14.7142857142857" style="57" bestFit="1" customWidth="1"/>
    <col min="10" max="10" width="1.71428571428571" style="2" customWidth="1"/>
    <col min="11" max="11" width="13.7142857142857" style="2" customWidth="1"/>
    <col min="12" max="12" width="14.7142857142857" style="57" bestFit="1" customWidth="1"/>
    <col min="13" max="13" width="1.71428571428571" style="2" customWidth="1"/>
    <col min="14" max="14" width="13.7142857142857" style="2" customWidth="1"/>
    <col min="15" max="15" width="14.7142857142857" style="57" bestFit="1" customWidth="1"/>
    <col min="16" max="16" width="1.71428571428571" style="2" customWidth="1"/>
    <col min="17" max="17" width="13.7142857142857" style="2" customWidth="1"/>
    <col min="18" max="18" width="14.7142857142857" style="57" bestFit="1" customWidth="1"/>
    <col min="19" max="19" width="1.71428571428571" style="2" customWidth="1"/>
    <col min="20" max="20" width="13.7142857142857" style="2" customWidth="1"/>
    <col min="21" max="21" width="14.7142857142857" style="57" bestFit="1" customWidth="1"/>
    <col min="22" max="22" width="1.71428571428571" style="2" customWidth="1"/>
    <col min="23" max="23" width="13.7142857142857" style="2" customWidth="1"/>
    <col min="24" max="24" width="14.7142857142857" style="57" bestFit="1" customWidth="1"/>
    <col min="25" max="25" width="1.71428571428571" style="2" customWidth="1"/>
    <col min="26" max="26" width="13.7142857142857" style="2" customWidth="1"/>
    <col min="27" max="27" width="14.7142857142857" style="57" bestFit="1" customWidth="1"/>
    <col min="28" max="28" width="1.71428571428571" style="2" customWidth="1"/>
    <col min="29" max="29" width="13.7142857142857" style="2" customWidth="1"/>
    <col min="30" max="30" width="14.7142857142857" style="57" bestFit="1" customWidth="1"/>
    <col min="31" max="31" width="1.71428571428571" style="2" customWidth="1"/>
    <col min="32" max="32" width="13.7142857142857" style="2" customWidth="1"/>
    <col min="33" max="33" width="14.7142857142857" style="57" customWidth="1"/>
    <col min="34" max="34" width="1.71428571428571" style="2" customWidth="1"/>
    <col min="35" max="35" width="13.7142857142857" style="2" customWidth="1"/>
    <col min="36" max="36" width="14.7142857142857" style="57" bestFit="1" customWidth="1"/>
    <col min="37" max="37" width="1.71428571428571" style="2" customWidth="1"/>
    <col min="38" max="38" width="13.7142857142857" style="2" customWidth="1"/>
    <col min="39" max="39" width="14.7142857142857" style="57" bestFit="1" customWidth="1"/>
    <col min="40" max="42" width="1.71428571428571" style="2" customWidth="1"/>
    <col min="43" max="43" width="13.4285714285714" style="2" bestFit="1" customWidth="1"/>
    <col min="44" max="44" width="14" style="2" customWidth="1"/>
    <col min="45" max="45" width="1.71428571428571" style="2" customWidth="1"/>
    <col min="46" max="46" width="13.4285714285714" style="2" bestFit="1" customWidth="1"/>
    <col min="47" max="47" width="14" style="2" customWidth="1"/>
    <col min="48" max="48" width="1.71428571428571" style="2" customWidth="1"/>
    <col min="49" max="16384" width="9.14285714285714" style="2"/>
  </cols>
  <sheetData>
    <row r="1" spans="1:1" ht="13">
      <c r="A1" s="1" t="s">
        <v>13</v>
      </c>
    </row>
    <row r="2" spans="1:1" ht="13">
      <c r="A2" s="3" t="s">
        <v>2</v>
      </c>
    </row>
    <row r="3" spans="1:1" ht="13">
      <c r="A3" s="4" t="s">
        <v>11</v>
      </c>
    </row>
    <row r="4" spans="1:1" ht="13">
      <c r="A4" s="5" t="s">
        <v>14</v>
      </c>
    </row>
    <row r="5" spans="1:1" ht="13">
      <c r="A5" s="4" t="s">
        <v>12</v>
      </c>
    </row>
    <row r="6" spans="1:43" ht="13">
      <c r="A6" s="77"/>
      <c r="B6" s="75">
        <v>44196</v>
      </c>
      <c r="C6" s="58"/>
      <c r="D6" s="6"/>
      <c r="E6" s="53">
        <v>44227</v>
      </c>
      <c r="F6" s="53"/>
      <c r="G6" s="6"/>
      <c r="H6" s="53">
        <v>44255</v>
      </c>
      <c r="I6" s="53"/>
      <c r="J6" s="6"/>
      <c r="K6" s="53">
        <v>44286</v>
      </c>
      <c r="L6" s="53"/>
      <c r="M6" s="6"/>
      <c r="N6" s="71"/>
      <c r="O6" s="53">
        <v>44316</v>
      </c>
      <c r="P6" s="72"/>
      <c r="Q6" s="71"/>
      <c r="R6" s="53">
        <v>44347</v>
      </c>
      <c r="S6" s="6"/>
      <c r="T6" s="71"/>
      <c r="U6" s="53">
        <v>44377</v>
      </c>
      <c r="V6" s="6"/>
      <c r="W6" s="71"/>
      <c r="X6" s="53">
        <v>44408</v>
      </c>
      <c r="Y6" s="6"/>
      <c r="Z6" s="71"/>
      <c r="AA6" s="53">
        <v>44439</v>
      </c>
      <c r="AB6" s="6"/>
      <c r="AC6" s="71"/>
      <c r="AD6" s="53">
        <v>44469</v>
      </c>
      <c r="AE6" s="6"/>
      <c r="AF6" s="71"/>
      <c r="AG6" s="53">
        <v>44500</v>
      </c>
      <c r="AH6" s="6"/>
      <c r="AI6" s="71"/>
      <c r="AJ6" s="53">
        <v>44530</v>
      </c>
      <c r="AK6" s="6"/>
      <c r="AL6" s="71"/>
      <c r="AM6" s="53">
        <v>44561</v>
      </c>
      <c r="AN6" s="6"/>
      <c r="AO6" s="6"/>
      <c r="AQ6" s="10" t="s">
        <v>10</v>
      </c>
    </row>
    <row r="7" spans="1:41" s="10" customFormat="1" ht="44.4" customHeight="1">
      <c r="A7" s="78" t="s">
        <v>0</v>
      </c>
      <c r="B7" s="76" t="s">
        <v>8</v>
      </c>
      <c r="C7" s="59" t="s">
        <v>1</v>
      </c>
      <c r="D7" s="8"/>
      <c r="E7" s="7" t="s">
        <v>8</v>
      </c>
      <c r="F7" s="59" t="s">
        <v>1</v>
      </c>
      <c r="G7" s="8"/>
      <c r="H7" s="7" t="s">
        <v>8</v>
      </c>
      <c r="I7" s="59" t="s">
        <v>1</v>
      </c>
      <c r="J7" s="8"/>
      <c r="K7" s="7" t="s">
        <v>8</v>
      </c>
      <c r="L7" s="59" t="s">
        <v>1</v>
      </c>
      <c r="M7" s="8"/>
      <c r="N7" s="7" t="s">
        <v>8</v>
      </c>
      <c r="O7" s="59" t="s">
        <v>1</v>
      </c>
      <c r="P7" s="8"/>
      <c r="Q7" s="7" t="s">
        <v>8</v>
      </c>
      <c r="R7" s="59" t="s">
        <v>1</v>
      </c>
      <c r="S7" s="8"/>
      <c r="T7" s="7" t="s">
        <v>8</v>
      </c>
      <c r="U7" s="59" t="s">
        <v>1</v>
      </c>
      <c r="V7" s="8"/>
      <c r="W7" s="7" t="s">
        <v>8</v>
      </c>
      <c r="X7" s="59" t="s">
        <v>1</v>
      </c>
      <c r="Y7" s="8"/>
      <c r="Z7" s="7" t="s">
        <v>8</v>
      </c>
      <c r="AA7" s="59" t="s">
        <v>1</v>
      </c>
      <c r="AB7" s="8"/>
      <c r="AC7" s="7" t="s">
        <v>8</v>
      </c>
      <c r="AD7" s="59" t="s">
        <v>1</v>
      </c>
      <c r="AE7" s="8"/>
      <c r="AF7" s="7" t="s">
        <v>8</v>
      </c>
      <c r="AG7" s="59" t="s">
        <v>1</v>
      </c>
      <c r="AH7" s="8"/>
      <c r="AI7" s="7" t="s">
        <v>8</v>
      </c>
      <c r="AJ7" s="59" t="s">
        <v>1</v>
      </c>
      <c r="AK7" s="8"/>
      <c r="AL7" s="7" t="s">
        <v>8</v>
      </c>
      <c r="AM7" s="59" t="s">
        <v>1</v>
      </c>
      <c r="AN7" s="9"/>
      <c r="AO7" s="9"/>
    </row>
    <row r="8" spans="1:41" s="13" customFormat="1" ht="14">
      <c r="A8" s="11"/>
      <c r="B8" s="12"/>
      <c r="C8" s="60"/>
      <c r="D8" s="21"/>
      <c r="E8" s="22"/>
      <c r="F8" s="60"/>
      <c r="G8" s="21"/>
      <c r="H8" s="20"/>
      <c r="I8" s="60"/>
      <c r="J8" s="21"/>
      <c r="K8" s="20"/>
      <c r="L8" s="60"/>
      <c r="M8" s="21"/>
      <c r="N8" s="20"/>
      <c r="O8" s="60"/>
      <c r="P8" s="21"/>
      <c r="Q8" s="20"/>
      <c r="R8" s="60"/>
      <c r="S8" s="21"/>
      <c r="T8" s="20"/>
      <c r="U8" s="60"/>
      <c r="V8" s="21"/>
      <c r="W8" s="20"/>
      <c r="X8" s="60"/>
      <c r="Y8" s="21"/>
      <c r="Z8" s="20"/>
      <c r="AA8" s="60"/>
      <c r="AB8" s="21"/>
      <c r="AC8" s="20"/>
      <c r="AD8" s="60"/>
      <c r="AE8" s="21"/>
      <c r="AF8" s="20"/>
      <c r="AG8" s="60"/>
      <c r="AH8" s="21"/>
      <c r="AI8" s="20"/>
      <c r="AJ8" s="60"/>
      <c r="AK8" s="21"/>
      <c r="AL8" s="20"/>
      <c r="AM8" s="60"/>
      <c r="AN8" s="23"/>
      <c r="AO8" s="23"/>
    </row>
    <row r="9" spans="1:43" s="28" customFormat="1" ht="38.5">
      <c r="A9" s="24" t="s">
        <v>7</v>
      </c>
      <c r="B9" s="54">
        <f>B13-B11</f>
        <v>0</v>
      </c>
      <c r="C9" s="61">
        <f>C13-C11</f>
        <v>5916186.7000000002</v>
      </c>
      <c r="D9" s="26"/>
      <c r="E9" s="54">
        <f>E13-E11</f>
        <v>0</v>
      </c>
      <c r="F9" s="61">
        <f>F13-F11</f>
        <v>6173651.0099999998</v>
      </c>
      <c r="G9" s="26"/>
      <c r="H9" s="54">
        <f>H13-H11</f>
        <v>0</v>
      </c>
      <c r="I9" s="61">
        <f>I13-I11</f>
        <v>6171389.4000000004</v>
      </c>
      <c r="J9" s="26"/>
      <c r="K9" s="54">
        <f>K13-K11</f>
        <v>0</v>
      </c>
      <c r="L9" s="61">
        <f>L13-L11</f>
        <v>5961363.0800000001</v>
      </c>
      <c r="M9" s="26"/>
      <c r="N9" s="54">
        <f>N13-N11</f>
        <v>0</v>
      </c>
      <c r="O9" s="61">
        <f>O13-O11</f>
        <v>5761282.29</v>
      </c>
      <c r="P9" s="26"/>
      <c r="Q9" s="54">
        <f>Q13-Q11</f>
        <v>0</v>
      </c>
      <c r="R9" s="61">
        <f>R13-R11</f>
        <v>6114536.6100000003</v>
      </c>
      <c r="S9" s="26"/>
      <c r="T9" s="54">
        <f>T13-T11</f>
        <v>0</v>
      </c>
      <c r="U9" s="61">
        <f>U13-U11</f>
        <v>6894633.2699999996</v>
      </c>
      <c r="V9" s="26"/>
      <c r="W9" s="54">
        <f>W13-W11</f>
        <v>0</v>
      </c>
      <c r="X9" s="61">
        <f>X13-X11</f>
        <v>7270990.9099999992</v>
      </c>
      <c r="Y9" s="26"/>
      <c r="Z9" s="54">
        <f>Z13-Z11</f>
        <v>0</v>
      </c>
      <c r="AA9" s="61">
        <f>AA13-AA11</f>
        <v>7040684.6899999995</v>
      </c>
      <c r="AB9" s="26"/>
      <c r="AC9" s="54">
        <f>AC13-AC11</f>
        <v>0</v>
      </c>
      <c r="AD9" s="61">
        <f>AD13-AD11</f>
        <v>7106273.0999999996</v>
      </c>
      <c r="AE9" s="26"/>
      <c r="AF9" s="54">
        <f>AF13-AF11</f>
        <v>0</v>
      </c>
      <c r="AG9" s="61">
        <f>AG13-AG11</f>
        <v>6865542.3899999997</v>
      </c>
      <c r="AH9" s="26"/>
      <c r="AI9" s="54">
        <f>AI13-AI11</f>
        <v>0</v>
      </c>
      <c r="AJ9" s="61">
        <f>AJ13-AJ11</f>
        <v>7227231.54</v>
      </c>
      <c r="AK9" s="26"/>
      <c r="AL9" s="54">
        <f>AL13-AL11</f>
        <v>0</v>
      </c>
      <c r="AM9" s="61">
        <f>AM13-AM11</f>
        <v>6591328.2999999998</v>
      </c>
      <c r="AN9" s="26"/>
      <c r="AO9" s="26"/>
      <c r="AQ9" s="40">
        <f>+C9+F9+I9+L9+O9+R9+U9+X9+AA9+AD9+AG9+AJ9+AM9</f>
        <v>85095093.289999992</v>
      </c>
    </row>
    <row r="10" spans="1:41" s="10" customFormat="1" ht="12.75" customHeight="1">
      <c r="A10" s="24"/>
      <c r="B10" s="29"/>
      <c r="C10" s="62"/>
      <c r="D10" s="31"/>
      <c r="E10" s="32"/>
      <c r="F10" s="62"/>
      <c r="G10" s="31"/>
      <c r="H10" s="30"/>
      <c r="I10" s="62"/>
      <c r="J10" s="31"/>
      <c r="K10" s="30"/>
      <c r="L10" s="62"/>
      <c r="M10" s="31"/>
      <c r="N10" s="30"/>
      <c r="O10" s="62"/>
      <c r="P10" s="31"/>
      <c r="Q10" s="30"/>
      <c r="R10" s="62"/>
      <c r="S10" s="31"/>
      <c r="T10" s="30"/>
      <c r="U10" s="62"/>
      <c r="V10" s="31"/>
      <c r="W10" s="30"/>
      <c r="X10" s="62"/>
      <c r="Y10" s="31"/>
      <c r="Z10" s="30"/>
      <c r="AA10" s="62"/>
      <c r="AB10" s="31"/>
      <c r="AC10" s="30"/>
      <c r="AD10" s="62"/>
      <c r="AE10" s="31"/>
      <c r="AF10" s="30"/>
      <c r="AG10" s="62"/>
      <c r="AH10" s="31"/>
      <c r="AI10" s="30"/>
      <c r="AJ10" s="62"/>
      <c r="AK10" s="31"/>
      <c r="AL10" s="30"/>
      <c r="AM10" s="62"/>
      <c r="AN10" s="33"/>
      <c r="AO10" s="33"/>
    </row>
    <row r="11" spans="1:41" s="10" customFormat="1" ht="12.75" customHeight="1">
      <c r="A11" s="14" t="s">
        <v>3</v>
      </c>
      <c r="B11" s="34"/>
      <c r="C11" s="63">
        <v>0</v>
      </c>
      <c r="D11" s="31"/>
      <c r="E11" s="35"/>
      <c r="F11" s="63">
        <v>0</v>
      </c>
      <c r="G11" s="31"/>
      <c r="H11" s="35"/>
      <c r="I11" s="63">
        <v>0</v>
      </c>
      <c r="J11" s="31"/>
      <c r="K11" s="35"/>
      <c r="L11" s="63">
        <v>0</v>
      </c>
      <c r="M11" s="31"/>
      <c r="N11" s="35"/>
      <c r="O11" s="63">
        <v>0</v>
      </c>
      <c r="P11" s="31"/>
      <c r="Q11" s="35"/>
      <c r="R11" s="63">
        <v>0</v>
      </c>
      <c r="S11" s="31"/>
      <c r="T11" s="35"/>
      <c r="U11" s="63"/>
      <c r="V11" s="31"/>
      <c r="W11" s="35"/>
      <c r="X11" s="63"/>
      <c r="Y11" s="31"/>
      <c r="Z11" s="35"/>
      <c r="AA11" s="63"/>
      <c r="AB11" s="31"/>
      <c r="AC11" s="35"/>
      <c r="AD11" s="63"/>
      <c r="AE11" s="31"/>
      <c r="AF11" s="35"/>
      <c r="AG11" s="63"/>
      <c r="AH11" s="31"/>
      <c r="AI11" s="35"/>
      <c r="AJ11" s="63"/>
      <c r="AK11" s="31"/>
      <c r="AL11" s="35"/>
      <c r="AM11" s="63"/>
      <c r="AN11" s="33"/>
      <c r="AO11" s="33"/>
    </row>
    <row r="12" spans="1:41" s="10" customFormat="1" ht="13">
      <c r="A12" s="24"/>
      <c r="B12" s="29"/>
      <c r="C12" s="62"/>
      <c r="D12" s="31"/>
      <c r="E12" s="32"/>
      <c r="F12" s="62"/>
      <c r="G12" s="31"/>
      <c r="H12" s="30"/>
      <c r="I12" s="62"/>
      <c r="J12" s="31"/>
      <c r="K12" s="30"/>
      <c r="L12" s="62"/>
      <c r="M12" s="31"/>
      <c r="N12" s="30"/>
      <c r="O12" s="62"/>
      <c r="P12" s="31"/>
      <c r="Q12" s="30"/>
      <c r="R12" s="62"/>
      <c r="S12" s="31"/>
      <c r="T12" s="30"/>
      <c r="U12" s="62"/>
      <c r="V12" s="31"/>
      <c r="W12" s="30"/>
      <c r="X12" s="62"/>
      <c r="Y12" s="31"/>
      <c r="Z12" s="30"/>
      <c r="AA12" s="62"/>
      <c r="AB12" s="31"/>
      <c r="AC12" s="30"/>
      <c r="AD12" s="62"/>
      <c r="AE12" s="31"/>
      <c r="AF12" s="30"/>
      <c r="AG12" s="62"/>
      <c r="AH12" s="31"/>
      <c r="AI12" s="30"/>
      <c r="AJ12" s="62"/>
      <c r="AK12" s="31"/>
      <c r="AL12" s="30"/>
      <c r="AM12" s="62"/>
      <c r="AN12" s="33"/>
      <c r="AO12" s="33"/>
    </row>
    <row r="13" spans="1:41" s="10" customFormat="1" ht="39.5" thickBot="1">
      <c r="A13" s="14" t="s">
        <v>4</v>
      </c>
      <c r="B13" s="36"/>
      <c r="C13" s="64">
        <v>5916186.7000000002</v>
      </c>
      <c r="D13" s="31"/>
      <c r="E13" s="37"/>
      <c r="F13" s="64">
        <v>6173651.0099999998</v>
      </c>
      <c r="G13" s="31"/>
      <c r="H13" s="37"/>
      <c r="I13" s="64">
        <v>6171389.4000000004</v>
      </c>
      <c r="J13" s="31"/>
      <c r="K13" s="37"/>
      <c r="L13" s="64">
        <v>5961363.0800000001</v>
      </c>
      <c r="M13" s="31"/>
      <c r="N13" s="37"/>
      <c r="O13" s="64">
        <v>5761282.29</v>
      </c>
      <c r="P13" s="31"/>
      <c r="Q13" s="37"/>
      <c r="R13" s="64">
        <v>6114536.6100000003</v>
      </c>
      <c r="S13" s="31"/>
      <c r="T13" s="37"/>
      <c r="U13" s="64">
        <v>6894633.2699999996</v>
      </c>
      <c r="V13" s="31"/>
      <c r="W13" s="37"/>
      <c r="X13" s="64">
        <v>7270990.9099999992</v>
      </c>
      <c r="Y13" s="31"/>
      <c r="Z13" s="37"/>
      <c r="AA13" s="64">
        <v>7040684.6899999995</v>
      </c>
      <c r="AB13" s="31"/>
      <c r="AC13" s="37"/>
      <c r="AD13" s="64">
        <v>7106273.0999999996</v>
      </c>
      <c r="AE13" s="31"/>
      <c r="AF13" s="37"/>
      <c r="AG13" s="64">
        <v>6865542.3899999997</v>
      </c>
      <c r="AH13" s="31"/>
      <c r="AI13" s="37"/>
      <c r="AJ13" s="64">
        <v>7227231.54</v>
      </c>
      <c r="AK13" s="31"/>
      <c r="AL13" s="37"/>
      <c r="AM13" s="64">
        <v>6591328.2999999998</v>
      </c>
      <c r="AN13" s="33"/>
      <c r="AO13" s="33"/>
    </row>
    <row r="14" spans="1:41" s="10" customFormat="1" ht="13.5" thickTop="1">
      <c r="A14" s="24"/>
      <c r="B14" s="29"/>
      <c r="C14" s="62"/>
      <c r="D14" s="31"/>
      <c r="E14" s="32"/>
      <c r="F14" s="62"/>
      <c r="G14" s="31"/>
      <c r="H14" s="30"/>
      <c r="I14" s="62"/>
      <c r="J14" s="31"/>
      <c r="K14" s="30"/>
      <c r="L14" s="62"/>
      <c r="M14" s="31"/>
      <c r="N14" s="30"/>
      <c r="O14" s="62"/>
      <c r="P14" s="31"/>
      <c r="Q14" s="30"/>
      <c r="R14" s="62"/>
      <c r="S14" s="31"/>
      <c r="T14" s="30"/>
      <c r="U14" s="62"/>
      <c r="V14" s="31"/>
      <c r="W14" s="30"/>
      <c r="X14" s="62"/>
      <c r="Y14" s="31"/>
      <c r="Z14" s="30"/>
      <c r="AA14" s="62"/>
      <c r="AB14" s="31"/>
      <c r="AC14" s="30"/>
      <c r="AD14" s="62"/>
      <c r="AE14" s="31"/>
      <c r="AF14" s="30"/>
      <c r="AG14" s="62"/>
      <c r="AH14" s="31"/>
      <c r="AI14" s="30"/>
      <c r="AJ14" s="62"/>
      <c r="AK14" s="31"/>
      <c r="AL14" s="30"/>
      <c r="AM14" s="62"/>
      <c r="AN14" s="33"/>
      <c r="AO14" s="33"/>
    </row>
    <row r="15" spans="1:41" s="10" customFormat="1" ht="13">
      <c r="A15" s="24"/>
      <c r="B15" s="29"/>
      <c r="C15" s="62"/>
      <c r="D15" s="31"/>
      <c r="E15" s="32"/>
      <c r="F15" s="62"/>
      <c r="G15" s="31"/>
      <c r="H15" s="30"/>
      <c r="I15" s="62"/>
      <c r="J15" s="31"/>
      <c r="K15" s="30"/>
      <c r="L15" s="62"/>
      <c r="M15" s="31"/>
      <c r="N15" s="30"/>
      <c r="O15" s="62"/>
      <c r="P15" s="31"/>
      <c r="Q15" s="30"/>
      <c r="R15" s="62"/>
      <c r="S15" s="31"/>
      <c r="T15" s="30"/>
      <c r="U15" s="62"/>
      <c r="V15" s="31"/>
      <c r="W15" s="30"/>
      <c r="X15" s="62"/>
      <c r="Y15" s="31"/>
      <c r="Z15" s="30"/>
      <c r="AA15" s="62"/>
      <c r="AB15" s="31"/>
      <c r="AC15" s="30"/>
      <c r="AD15" s="62"/>
      <c r="AE15" s="31"/>
      <c r="AF15" s="30"/>
      <c r="AG15" s="62"/>
      <c r="AH15" s="31"/>
      <c r="AI15" s="30"/>
      <c r="AJ15" s="62"/>
      <c r="AK15" s="31"/>
      <c r="AL15" s="30"/>
      <c r="AM15" s="62"/>
      <c r="AN15" s="33"/>
      <c r="AO15" s="33"/>
    </row>
    <row r="16" spans="1:41" s="28" customFormat="1" ht="38">
      <c r="A16" s="38" t="s">
        <v>15</v>
      </c>
      <c r="B16" s="54">
        <f>B22-B18-B20</f>
        <v>0</v>
      </c>
      <c r="C16" s="65">
        <f>C22-C18-C20</f>
        <v>11315997.927446455</v>
      </c>
      <c r="D16" s="26"/>
      <c r="E16" s="54">
        <f>E22-E18-E20</f>
        <v>0</v>
      </c>
      <c r="F16" s="65">
        <f>F22-F18-F20</f>
        <v>10735089.143822979</v>
      </c>
      <c r="G16" s="26"/>
      <c r="H16" s="54">
        <f>H22-H18-H20</f>
        <v>0</v>
      </c>
      <c r="I16" s="65">
        <f>I22-I18-I20</f>
        <v>11332236.529782804</v>
      </c>
      <c r="J16" s="26"/>
      <c r="K16" s="54">
        <f>K22-K18-K20</f>
        <v>0</v>
      </c>
      <c r="L16" s="65">
        <f>L22-L18-L20</f>
        <v>9897615.3873257544</v>
      </c>
      <c r="M16" s="26"/>
      <c r="N16" s="54">
        <f>N22-N18-N20</f>
        <v>0</v>
      </c>
      <c r="O16" s="65">
        <f>O22-O18-O20</f>
        <v>10034180.999106051</v>
      </c>
      <c r="P16" s="26"/>
      <c r="Q16" s="54">
        <f>Q22-Q18-Q20</f>
        <v>0</v>
      </c>
      <c r="R16" s="65">
        <f>R22-R18-R20</f>
        <v>9562605.5892310012</v>
      </c>
      <c r="S16" s="26"/>
      <c r="T16" s="54">
        <f>T22-T18-T20</f>
        <v>0</v>
      </c>
      <c r="U16" s="65">
        <f>U22-U18-U20</f>
        <v>9390571.3396805674</v>
      </c>
      <c r="V16" s="26"/>
      <c r="W16" s="54">
        <f>W22-W18-W20</f>
        <v>0</v>
      </c>
      <c r="X16" s="65">
        <f>X22-X18-X20</f>
        <v>9278073.6238032989</v>
      </c>
      <c r="Y16" s="26"/>
      <c r="Z16" s="54">
        <f>Z22-Z18-Z20</f>
        <v>0</v>
      </c>
      <c r="AA16" s="65">
        <f>AA22-AA18-AA20</f>
        <v>9957013.2378759235</v>
      </c>
      <c r="AB16" s="26"/>
      <c r="AC16" s="54">
        <f>AC22-AC18-AC20</f>
        <v>0</v>
      </c>
      <c r="AD16" s="65">
        <f>AD22-AD18-AD20</f>
        <v>10179130.424895847</v>
      </c>
      <c r="AE16" s="26"/>
      <c r="AF16" s="54">
        <f>AF22-AF18-AF20</f>
        <v>0</v>
      </c>
      <c r="AG16" s="65">
        <f>AG22-AG18-AG20</f>
        <v>10207076.471597062</v>
      </c>
      <c r="AH16" s="26"/>
      <c r="AI16" s="54">
        <f>AI22-AI18-AI20</f>
        <v>0</v>
      </c>
      <c r="AJ16" s="65">
        <f>AJ22-AJ18-AJ20</f>
        <v>10125625.732775617</v>
      </c>
      <c r="AK16" s="26"/>
      <c r="AL16" s="54">
        <f>AL22-AL18-AL20</f>
        <v>0</v>
      </c>
      <c r="AM16" s="65">
        <f>AM22-AM18-AM20</f>
        <v>12735007.925452044</v>
      </c>
      <c r="AN16" s="26"/>
      <c r="AO16" s="26"/>
    </row>
    <row r="17" spans="1:41" s="28" customFormat="1" ht="12.5">
      <c r="A17" s="39"/>
      <c r="B17" s="25"/>
      <c r="C17" s="65"/>
      <c r="D17" s="26"/>
      <c r="E17" s="27"/>
      <c r="F17" s="65"/>
      <c r="G17" s="26"/>
      <c r="H17" s="27"/>
      <c r="I17" s="65"/>
      <c r="J17" s="26"/>
      <c r="K17" s="27"/>
      <c r="L17" s="65"/>
      <c r="M17" s="26"/>
      <c r="N17" s="27"/>
      <c r="O17" s="65"/>
      <c r="P17" s="26"/>
      <c r="Q17" s="27"/>
      <c r="R17" s="65"/>
      <c r="S17" s="26"/>
      <c r="T17" s="27"/>
      <c r="U17" s="65"/>
      <c r="V17" s="26"/>
      <c r="W17" s="27"/>
      <c r="X17" s="65"/>
      <c r="Y17" s="26"/>
      <c r="Z17" s="27"/>
      <c r="AA17" s="65"/>
      <c r="AB17" s="26"/>
      <c r="AC17" s="27"/>
      <c r="AD17" s="65"/>
      <c r="AE17" s="26"/>
      <c r="AF17" s="27"/>
      <c r="AG17" s="65"/>
      <c r="AH17" s="26"/>
      <c r="AI17" s="27"/>
      <c r="AJ17" s="65"/>
      <c r="AK17" s="26"/>
      <c r="AL17" s="27"/>
      <c r="AM17" s="65"/>
      <c r="AN17" s="26"/>
      <c r="AO17" s="26"/>
    </row>
    <row r="18" spans="1:41" s="28" customFormat="1" ht="38.5">
      <c r="A18" s="38" t="s">
        <v>16</v>
      </c>
      <c r="B18" s="25"/>
      <c r="C18" s="61">
        <v>16044.282553546333</v>
      </c>
      <c r="D18" s="26"/>
      <c r="E18" s="27"/>
      <c r="F18" s="61">
        <v>15602.996177021685</v>
      </c>
      <c r="G18" s="26"/>
      <c r="H18" s="27"/>
      <c r="I18" s="61">
        <v>13555.550217197157</v>
      </c>
      <c r="J18" s="26"/>
      <c r="K18" s="27"/>
      <c r="L18" s="61">
        <v>14461.632674245791</v>
      </c>
      <c r="M18" s="26"/>
      <c r="N18" s="27"/>
      <c r="O18" s="61">
        <v>15020.150893948516</v>
      </c>
      <c r="P18" s="26"/>
      <c r="Q18" s="27"/>
      <c r="R18" s="61">
        <v>14152.930768998012</v>
      </c>
      <c r="S18" s="26"/>
      <c r="T18" s="27"/>
      <c r="U18" s="61">
        <v>13212.370319430793</v>
      </c>
      <c r="V18" s="26"/>
      <c r="W18" s="27"/>
      <c r="X18" s="61">
        <v>12115.046196698899</v>
      </c>
      <c r="Y18" s="26"/>
      <c r="Z18" s="27"/>
      <c r="AA18" s="61">
        <v>12519.802124076447</v>
      </c>
      <c r="AB18" s="26"/>
      <c r="AC18" s="27"/>
      <c r="AD18" s="61">
        <v>12196.945104151295</v>
      </c>
      <c r="AE18" s="26"/>
      <c r="AF18" s="27"/>
      <c r="AG18" s="61">
        <v>11966.748402935991</v>
      </c>
      <c r="AH18" s="26"/>
      <c r="AI18" s="27"/>
      <c r="AJ18" s="61">
        <v>15061.987224381008</v>
      </c>
      <c r="AK18" s="26"/>
      <c r="AL18" s="27"/>
      <c r="AM18" s="61">
        <v>25371.554547956825</v>
      </c>
      <c r="AN18" s="26"/>
      <c r="AO18" s="26"/>
    </row>
    <row r="19" spans="1:41" s="42" customFormat="1" ht="13">
      <c r="A19" s="15"/>
      <c r="B19" s="25"/>
      <c r="C19" s="61"/>
      <c r="D19" s="26"/>
      <c r="E19" s="27"/>
      <c r="F19" s="61"/>
      <c r="G19" s="26"/>
      <c r="H19" s="27"/>
      <c r="I19" s="61"/>
      <c r="J19" s="26"/>
      <c r="K19" s="27"/>
      <c r="L19" s="61"/>
      <c r="M19" s="26"/>
      <c r="N19" s="27"/>
      <c r="O19" s="61"/>
      <c r="P19" s="26"/>
      <c r="Q19" s="27"/>
      <c r="R19" s="61"/>
      <c r="S19" s="26"/>
      <c r="T19" s="27"/>
      <c r="U19" s="61"/>
      <c r="V19" s="26"/>
      <c r="W19" s="27"/>
      <c r="X19" s="61"/>
      <c r="Y19" s="26"/>
      <c r="Z19" s="27"/>
      <c r="AA19" s="61"/>
      <c r="AB19" s="26"/>
      <c r="AC19" s="27"/>
      <c r="AD19" s="61"/>
      <c r="AE19" s="26"/>
      <c r="AF19" s="27"/>
      <c r="AG19" s="61"/>
      <c r="AH19" s="26"/>
      <c r="AI19" s="27"/>
      <c r="AJ19" s="61"/>
      <c r="AK19" s="26"/>
      <c r="AL19" s="27"/>
      <c r="AM19" s="61"/>
      <c r="AN19" s="41"/>
      <c r="AO19" s="41"/>
    </row>
    <row r="20" spans="1:41" s="42" customFormat="1" ht="13">
      <c r="A20" s="15" t="s">
        <v>5</v>
      </c>
      <c r="B20" s="43"/>
      <c r="C20" s="66"/>
      <c r="D20" s="26"/>
      <c r="E20" s="44"/>
      <c r="F20" s="66"/>
      <c r="G20" s="26"/>
      <c r="H20" s="44"/>
      <c r="I20" s="66"/>
      <c r="J20" s="26"/>
      <c r="K20" s="44"/>
      <c r="L20" s="66"/>
      <c r="M20" s="26"/>
      <c r="N20" s="44"/>
      <c r="O20" s="66"/>
      <c r="P20" s="26"/>
      <c r="Q20" s="44"/>
      <c r="R20" s="66"/>
      <c r="S20" s="26"/>
      <c r="T20" s="44"/>
      <c r="U20" s="66"/>
      <c r="V20" s="26"/>
      <c r="W20" s="44"/>
      <c r="X20" s="66"/>
      <c r="Y20" s="26"/>
      <c r="Z20" s="44"/>
      <c r="AA20" s="66"/>
      <c r="AB20" s="26"/>
      <c r="AC20" s="44"/>
      <c r="AD20" s="66"/>
      <c r="AE20" s="26"/>
      <c r="AF20" s="44"/>
      <c r="AG20" s="66"/>
      <c r="AH20" s="26"/>
      <c r="AI20" s="44"/>
      <c r="AJ20" s="66"/>
      <c r="AK20" s="26"/>
      <c r="AL20" s="44"/>
      <c r="AM20" s="66"/>
      <c r="AN20" s="41"/>
      <c r="AO20" s="41"/>
    </row>
    <row r="21" spans="1:41" s="42" customFormat="1" ht="12.5">
      <c r="A21" s="16"/>
      <c r="B21" s="25"/>
      <c r="C21" s="65"/>
      <c r="D21" s="26"/>
      <c r="E21" s="27"/>
      <c r="F21" s="65"/>
      <c r="G21" s="26"/>
      <c r="H21" s="27"/>
      <c r="I21" s="65"/>
      <c r="J21" s="26"/>
      <c r="K21" s="27"/>
      <c r="L21" s="65"/>
      <c r="M21" s="26"/>
      <c r="N21" s="27"/>
      <c r="O21" s="65"/>
      <c r="P21" s="26"/>
      <c r="Q21" s="27"/>
      <c r="R21" s="65"/>
      <c r="S21" s="26"/>
      <c r="T21" s="27"/>
      <c r="U21" s="65"/>
      <c r="V21" s="26"/>
      <c r="W21" s="27"/>
      <c r="X21" s="65"/>
      <c r="Y21" s="26"/>
      <c r="Z21" s="27"/>
      <c r="AA21" s="65"/>
      <c r="AB21" s="26"/>
      <c r="AC21" s="27"/>
      <c r="AD21" s="65"/>
      <c r="AE21" s="26"/>
      <c r="AF21" s="27"/>
      <c r="AG21" s="65"/>
      <c r="AH21" s="26"/>
      <c r="AI21" s="27"/>
      <c r="AJ21" s="65"/>
      <c r="AK21" s="26"/>
      <c r="AL21" s="27"/>
      <c r="AM21" s="65"/>
      <c r="AN21" s="41"/>
      <c r="AO21" s="41"/>
    </row>
    <row r="22" spans="1:43" s="42" customFormat="1" ht="39.5" thickBot="1">
      <c r="A22" s="15" t="s">
        <v>6</v>
      </c>
      <c r="B22" s="45"/>
      <c r="C22" s="67">
        <v>11332042.210000001</v>
      </c>
      <c r="D22" s="26"/>
      <c r="E22" s="46"/>
      <c r="F22" s="67">
        <v>10750692.140000001</v>
      </c>
      <c r="G22" s="26"/>
      <c r="H22" s="46"/>
      <c r="I22" s="67">
        <v>11345792.08</v>
      </c>
      <c r="J22" s="26"/>
      <c r="K22" s="46"/>
      <c r="L22" s="67">
        <v>9912077.0199999996</v>
      </c>
      <c r="M22" s="26"/>
      <c r="N22" s="46"/>
      <c r="O22" s="67">
        <v>10049201.15</v>
      </c>
      <c r="P22" s="26"/>
      <c r="Q22" s="46"/>
      <c r="R22" s="67">
        <v>9576758.5199999996</v>
      </c>
      <c r="S22" s="26"/>
      <c r="T22" s="46"/>
      <c r="U22" s="67">
        <v>9403783.709999999</v>
      </c>
      <c r="V22" s="26"/>
      <c r="W22" s="46"/>
      <c r="X22" s="67">
        <v>9290188.6699999981</v>
      </c>
      <c r="Y22" s="26"/>
      <c r="Z22" s="46"/>
      <c r="AA22" s="67">
        <v>9969533.0399999991</v>
      </c>
      <c r="AB22" s="26"/>
      <c r="AC22" s="46"/>
      <c r="AD22" s="67">
        <v>10191327.369999999</v>
      </c>
      <c r="AE22" s="26"/>
      <c r="AF22" s="46"/>
      <c r="AG22" s="67">
        <v>10219043.219999999</v>
      </c>
      <c r="AH22" s="26"/>
      <c r="AI22" s="46"/>
      <c r="AJ22" s="67">
        <v>10140687.719999999</v>
      </c>
      <c r="AK22" s="26"/>
      <c r="AL22" s="46"/>
      <c r="AM22" s="67">
        <v>12760379.48</v>
      </c>
      <c r="AN22" s="41"/>
      <c r="AO22" s="41"/>
      <c r="AQ22" s="40">
        <f>+C22+F22+I22+L22+O22+R22+U22+X22+AA22+AD22+AG22+AJ22+AM22</f>
        <v>134941506.32999998</v>
      </c>
    </row>
    <row r="23" spans="1:41" s="42" customFormat="1" ht="13" thickTop="1">
      <c r="A23" s="16"/>
      <c r="B23" s="25"/>
      <c r="C23" s="65"/>
      <c r="D23" s="26"/>
      <c r="E23" s="27"/>
      <c r="F23" s="65"/>
      <c r="G23" s="26"/>
      <c r="H23" s="27"/>
      <c r="I23" s="65"/>
      <c r="J23" s="26"/>
      <c r="K23" s="27"/>
      <c r="L23" s="65"/>
      <c r="M23" s="26"/>
      <c r="N23" s="27"/>
      <c r="O23" s="65"/>
      <c r="P23" s="26"/>
      <c r="Q23" s="27"/>
      <c r="R23" s="65"/>
      <c r="S23" s="26"/>
      <c r="T23" s="27"/>
      <c r="U23" s="65"/>
      <c r="V23" s="26"/>
      <c r="W23" s="27"/>
      <c r="X23" s="65"/>
      <c r="Y23" s="26"/>
      <c r="Z23" s="27"/>
      <c r="AA23" s="65"/>
      <c r="AB23" s="26"/>
      <c r="AC23" s="27"/>
      <c r="AD23" s="65"/>
      <c r="AE23" s="26"/>
      <c r="AF23" s="27"/>
      <c r="AG23" s="65"/>
      <c r="AH23" s="26"/>
      <c r="AI23" s="27"/>
      <c r="AJ23" s="65"/>
      <c r="AK23" s="26"/>
      <c r="AL23" s="27"/>
      <c r="AM23" s="65"/>
      <c r="AN23" s="41"/>
      <c r="AO23" s="41"/>
    </row>
    <row r="24" spans="1:41" s="42" customFormat="1" ht="13">
      <c r="A24" s="38" t="s">
        <v>17</v>
      </c>
      <c r="B24" s="43"/>
      <c r="C24" s="68"/>
      <c r="D24" s="47"/>
      <c r="E24" s="48"/>
      <c r="F24" s="68"/>
      <c r="G24" s="47"/>
      <c r="H24" s="48"/>
      <c r="I24" s="68"/>
      <c r="J24" s="47"/>
      <c r="K24" s="48"/>
      <c r="L24" s="68"/>
      <c r="M24" s="47"/>
      <c r="N24" s="48"/>
      <c r="O24" s="68"/>
      <c r="P24" s="47"/>
      <c r="Q24" s="48"/>
      <c r="R24" s="68"/>
      <c r="S24" s="47"/>
      <c r="T24" s="48"/>
      <c r="U24" s="68"/>
      <c r="V24" s="47"/>
      <c r="W24" s="48"/>
      <c r="X24" s="68"/>
      <c r="Y24" s="47"/>
      <c r="Z24" s="48"/>
      <c r="AA24" s="68"/>
      <c r="AB24" s="47"/>
      <c r="AC24" s="48"/>
      <c r="AD24" s="68"/>
      <c r="AE24" s="47"/>
      <c r="AF24" s="48"/>
      <c r="AG24" s="68"/>
      <c r="AH24" s="47"/>
      <c r="AI24" s="48"/>
      <c r="AJ24" s="68"/>
      <c r="AK24" s="47"/>
      <c r="AL24" s="48"/>
      <c r="AM24" s="68"/>
      <c r="AN24" s="49"/>
      <c r="AO24" s="49"/>
    </row>
    <row r="25" spans="1:41" s="42" customFormat="1" ht="12.5">
      <c r="A25" s="16"/>
      <c r="B25" s="25"/>
      <c r="C25" s="65"/>
      <c r="D25" s="26"/>
      <c r="E25" s="27"/>
      <c r="F25" s="65"/>
      <c r="G25" s="26"/>
      <c r="H25" s="27"/>
      <c r="I25" s="65"/>
      <c r="J25" s="26"/>
      <c r="K25" s="27"/>
      <c r="L25" s="65"/>
      <c r="M25" s="26"/>
      <c r="N25" s="27"/>
      <c r="O25" s="65"/>
      <c r="P25" s="26"/>
      <c r="Q25" s="27"/>
      <c r="R25" s="65"/>
      <c r="S25" s="26"/>
      <c r="T25" s="27"/>
      <c r="U25" s="65"/>
      <c r="V25" s="26"/>
      <c r="W25" s="27"/>
      <c r="X25" s="65"/>
      <c r="Y25" s="26"/>
      <c r="Z25" s="27"/>
      <c r="AA25" s="65"/>
      <c r="AB25" s="26"/>
      <c r="AC25" s="27"/>
      <c r="AD25" s="65"/>
      <c r="AE25" s="26"/>
      <c r="AF25" s="27"/>
      <c r="AG25" s="65"/>
      <c r="AH25" s="26"/>
      <c r="AI25" s="27"/>
      <c r="AJ25" s="65"/>
      <c r="AK25" s="26"/>
      <c r="AL25" s="27"/>
      <c r="AM25" s="65"/>
      <c r="AN25" s="41"/>
      <c r="AO25" s="41"/>
    </row>
    <row r="26" spans="1:41" s="42" customFormat="1" ht="12.5">
      <c r="A26" s="16"/>
      <c r="B26" s="25"/>
      <c r="C26" s="65"/>
      <c r="D26" s="26"/>
      <c r="E26" s="27"/>
      <c r="F26" s="65"/>
      <c r="G26" s="26"/>
      <c r="H26" s="27"/>
      <c r="I26" s="65"/>
      <c r="J26" s="26"/>
      <c r="K26" s="27"/>
      <c r="L26" s="65"/>
      <c r="M26" s="26"/>
      <c r="N26" s="27"/>
      <c r="O26" s="65"/>
      <c r="P26" s="26"/>
      <c r="Q26" s="27"/>
      <c r="R26" s="65"/>
      <c r="S26" s="26"/>
      <c r="T26" s="27"/>
      <c r="U26" s="65"/>
      <c r="V26" s="26"/>
      <c r="W26" s="27"/>
      <c r="X26" s="65"/>
      <c r="Y26" s="26"/>
      <c r="Z26" s="27"/>
      <c r="AA26" s="65"/>
      <c r="AB26" s="26"/>
      <c r="AC26" s="27"/>
      <c r="AD26" s="65"/>
      <c r="AE26" s="26"/>
      <c r="AF26" s="27"/>
      <c r="AG26" s="65"/>
      <c r="AH26" s="26"/>
      <c r="AI26" s="27"/>
      <c r="AJ26" s="65"/>
      <c r="AK26" s="26"/>
      <c r="AL26" s="27"/>
      <c r="AM26" s="65"/>
      <c r="AN26" s="41"/>
      <c r="AO26" s="41"/>
    </row>
    <row r="27" spans="1:41" s="42" customFormat="1" ht="39" thickBot="1">
      <c r="A27" s="18" t="s">
        <v>18</v>
      </c>
      <c r="B27" s="56">
        <f>B8+B15+B17+B24</f>
        <v>0</v>
      </c>
      <c r="C27" s="69">
        <f>+C9+C16+C18</f>
        <v>17248228.91</v>
      </c>
      <c r="D27" s="41"/>
      <c r="E27" s="50">
        <v>0</v>
      </c>
      <c r="F27" s="69">
        <f>+F9+F16+F18</f>
        <v>16924343.150000002</v>
      </c>
      <c r="G27" s="41"/>
      <c r="H27" s="50">
        <v>0</v>
      </c>
      <c r="I27" s="69">
        <f>+I9+I16+I18</f>
        <v>17517181.48</v>
      </c>
      <c r="J27" s="41"/>
      <c r="K27" s="50">
        <v>0</v>
      </c>
      <c r="L27" s="69">
        <f>+L9+L16+L18</f>
        <v>15873440.1</v>
      </c>
      <c r="M27" s="41"/>
      <c r="N27" s="50">
        <v>0</v>
      </c>
      <c r="O27" s="69">
        <f>+O9+O16+O18</f>
        <v>15810483.440000001</v>
      </c>
      <c r="P27" s="41"/>
      <c r="Q27" s="50">
        <v>0</v>
      </c>
      <c r="R27" s="69">
        <f>+R9+R16+R18</f>
        <v>15691295.130000001</v>
      </c>
      <c r="S27" s="41"/>
      <c r="T27" s="50">
        <v>0</v>
      </c>
      <c r="U27" s="69">
        <f>+U9+U16+U18</f>
        <v>16298416.979999999</v>
      </c>
      <c r="V27" s="41"/>
      <c r="W27" s="50">
        <v>0</v>
      </c>
      <c r="X27" s="69">
        <f>+X9+X16+X18</f>
        <v>16561179.579999998</v>
      </c>
      <c r="Y27" s="41"/>
      <c r="Z27" s="50">
        <v>0</v>
      </c>
      <c r="AA27" s="69">
        <f>+AA9+AA16+AA18</f>
        <v>17010217.729999997</v>
      </c>
      <c r="AB27" s="41"/>
      <c r="AC27" s="50">
        <v>0</v>
      </c>
      <c r="AD27" s="69">
        <f>+AD9+AD16+AD18</f>
        <v>17297600.469999999</v>
      </c>
      <c r="AE27" s="41"/>
      <c r="AF27" s="50">
        <v>0</v>
      </c>
      <c r="AG27" s="69">
        <f>+AG9+AG16+AG18</f>
        <v>17084585.609999996</v>
      </c>
      <c r="AH27" s="41"/>
      <c r="AI27" s="50">
        <v>0</v>
      </c>
      <c r="AJ27" s="69">
        <f>+AJ9+AJ16+AJ18</f>
        <v>17367919.259999998</v>
      </c>
      <c r="AK27" s="41"/>
      <c r="AL27" s="50">
        <v>0</v>
      </c>
      <c r="AM27" s="69">
        <f>+AM9+AM16+AM18</f>
        <v>19351707.780000001</v>
      </c>
      <c r="AN27" s="41"/>
      <c r="AO27" s="41"/>
    </row>
    <row r="28" spans="1:41" ht="12.5">
      <c r="A28" s="19"/>
      <c r="B28" s="17"/>
      <c r="D28" s="51"/>
      <c r="E28" s="51"/>
      <c r="G28" s="51"/>
      <c r="H28" s="51"/>
      <c r="J28" s="51"/>
      <c r="K28" s="51"/>
      <c r="M28" s="51"/>
      <c r="N28" s="51"/>
      <c r="P28" s="51"/>
      <c r="Q28" s="51"/>
      <c r="S28" s="51"/>
      <c r="T28" s="51"/>
      <c r="V28" s="51"/>
      <c r="W28" s="51"/>
      <c r="Y28" s="51"/>
      <c r="Z28" s="51"/>
      <c r="AB28" s="51"/>
      <c r="AC28" s="51"/>
      <c r="AE28" s="51"/>
      <c r="AF28" s="51"/>
      <c r="AH28" s="51"/>
      <c r="AI28" s="51"/>
      <c r="AK28" s="51"/>
      <c r="AL28" s="51"/>
      <c r="AN28" s="51"/>
      <c r="AO28" s="51"/>
    </row>
    <row r="29" spans="3:41" s="52" customFormat="1" ht="12.5">
      <c r="C29" s="57"/>
      <c r="D29" s="51"/>
      <c r="E29" s="51"/>
      <c r="F29" s="57"/>
      <c r="G29" s="51"/>
      <c r="H29" s="51"/>
      <c r="I29" s="57"/>
      <c r="J29" s="51"/>
      <c r="K29" s="51"/>
      <c r="L29" s="57"/>
      <c r="M29" s="51"/>
      <c r="N29" s="51"/>
      <c r="O29" s="57"/>
      <c r="P29" s="51"/>
      <c r="Q29" s="51"/>
      <c r="R29" s="57"/>
      <c r="S29" s="51"/>
      <c r="T29" s="51"/>
      <c r="U29" s="57"/>
      <c r="V29" s="51"/>
      <c r="W29" s="51"/>
      <c r="X29" s="57"/>
      <c r="Y29" s="51"/>
      <c r="Z29" s="51"/>
      <c r="AA29" s="57"/>
      <c r="AB29" s="51"/>
      <c r="AC29" s="51"/>
      <c r="AD29" s="57"/>
      <c r="AE29" s="51"/>
      <c r="AF29" s="51"/>
      <c r="AG29" s="57"/>
      <c r="AH29" s="51"/>
      <c r="AI29" s="51"/>
      <c r="AJ29" s="57"/>
      <c r="AK29" s="51"/>
      <c r="AL29" s="51"/>
      <c r="AM29" s="57"/>
      <c r="AN29" s="51"/>
      <c r="AO29" s="51"/>
    </row>
    <row r="30" spans="1:41" s="0" customFormat="1" ht="12.5">
      <c r="A30" s="55" t="s">
        <v>9</v>
      </c>
      <c r="C30" s="70"/>
      <c r="D30" s="51"/>
      <c r="E30" s="70"/>
      <c r="F30" s="70"/>
      <c r="G30" s="70"/>
      <c r="H30" s="70"/>
      <c r="I30" s="70"/>
      <c r="J30" s="70"/>
      <c r="K30" s="70"/>
      <c r="L30" s="70"/>
      <c r="M30" s="70"/>
      <c r="N30" s="70"/>
      <c r="O30" s="70"/>
      <c r="P30" s="70"/>
      <c r="Q30" s="70"/>
      <c r="R30" s="70"/>
      <c r="S30" s="70"/>
      <c r="T30" s="70"/>
      <c r="U30" s="70"/>
      <c r="V30" s="70"/>
      <c r="W30" s="70"/>
      <c r="X30" s="70"/>
      <c r="Y30" s="70"/>
      <c r="Z30" s="70"/>
      <c r="AA30" s="70"/>
      <c r="AB30" s="70"/>
      <c r="AC30" s="70"/>
      <c r="AD30" s="70"/>
      <c r="AE30" s="51"/>
      <c r="AF30" s="51"/>
      <c r="AG30" s="70"/>
      <c r="AH30" s="51"/>
      <c r="AI30" s="51"/>
      <c r="AJ30" s="57"/>
      <c r="AK30" s="51"/>
      <c r="AL30" s="51"/>
      <c r="AM30" s="57"/>
      <c r="AN30" s="51"/>
      <c r="AO30" s="51"/>
    </row>
    <row r="31" spans="3:41" s="0" customFormat="1" ht="12.5">
      <c r="C31" s="57"/>
      <c r="D31" s="51"/>
      <c r="E31" s="51"/>
      <c r="F31" s="57"/>
      <c r="G31" s="51"/>
      <c r="H31" s="51"/>
      <c r="I31" s="57"/>
      <c r="J31" s="51"/>
      <c r="K31" s="51"/>
      <c r="L31" s="57"/>
      <c r="M31" s="51"/>
      <c r="N31" s="51"/>
      <c r="O31" s="57"/>
      <c r="P31" s="51"/>
      <c r="Q31" s="51"/>
      <c r="R31" s="57"/>
      <c r="S31" s="51"/>
      <c r="T31" s="51"/>
      <c r="U31" s="57"/>
      <c r="V31" s="51"/>
      <c r="W31" s="51"/>
      <c r="X31" s="57"/>
      <c r="Y31" s="51"/>
      <c r="Z31" s="51"/>
      <c r="AA31" s="57"/>
      <c r="AB31" s="51"/>
      <c r="AC31" s="51"/>
      <c r="AD31" s="57"/>
      <c r="AE31" s="51"/>
      <c r="AF31" s="51"/>
      <c r="AG31" s="57"/>
      <c r="AH31" s="51"/>
      <c r="AI31" s="51"/>
      <c r="AJ31" s="57"/>
      <c r="AK31" s="51"/>
      <c r="AL31" s="51"/>
      <c r="AM31" s="57"/>
      <c r="AN31" s="51"/>
      <c r="AO31" s="51"/>
    </row>
    <row r="32" spans="4:41" ht="12.5">
      <c r="D32" s="51"/>
      <c r="E32" s="51"/>
      <c r="G32" s="51"/>
      <c r="H32" s="51"/>
      <c r="J32" s="51"/>
      <c r="K32" s="51"/>
      <c r="M32" s="51"/>
      <c r="N32" s="51"/>
      <c r="P32" s="51"/>
      <c r="Q32" s="51"/>
      <c r="S32" s="51"/>
      <c r="T32" s="51"/>
      <c r="V32" s="51"/>
      <c r="W32" s="51"/>
      <c r="Y32" s="51"/>
      <c r="Z32" s="51"/>
      <c r="AB32" s="51"/>
      <c r="AC32" s="51"/>
      <c r="AE32" s="51"/>
      <c r="AF32" s="51"/>
      <c r="AH32" s="51"/>
      <c r="AI32" s="51"/>
      <c r="AK32" s="51"/>
      <c r="AL32" s="51"/>
      <c r="AN32" s="51"/>
      <c r="AO32" s="51"/>
    </row>
    <row r="33" spans="1:41" ht="14">
      <c r="A33" s="11"/>
      <c r="B33" s="73"/>
      <c r="C33" s="74"/>
      <c r="D33" s="51"/>
      <c r="E33" s="51"/>
      <c r="F33" s="74"/>
      <c r="G33" s="51"/>
      <c r="H33" s="51"/>
      <c r="J33" s="51"/>
      <c r="K33" s="51"/>
      <c r="M33" s="51"/>
      <c r="N33" s="51"/>
      <c r="P33" s="51"/>
      <c r="Q33" s="51"/>
      <c r="S33" s="51"/>
      <c r="T33" s="51"/>
      <c r="V33" s="51"/>
      <c r="W33" s="51"/>
      <c r="Y33" s="51"/>
      <c r="Z33" s="51"/>
      <c r="AB33" s="51"/>
      <c r="AC33" s="51"/>
      <c r="AE33" s="51"/>
      <c r="AF33" s="51"/>
      <c r="AH33" s="51"/>
      <c r="AI33" s="51"/>
      <c r="AK33" s="51"/>
      <c r="AL33" s="51"/>
      <c r="AN33" s="51"/>
      <c r="AO33" s="51"/>
    </row>
    <row r="34" spans="1:41" ht="13">
      <c r="A34" s="15"/>
      <c r="B34" s="74"/>
      <c r="C34" s="73"/>
      <c r="D34" s="51"/>
      <c r="E34" s="51"/>
      <c r="F34" s="73"/>
      <c r="G34" s="51"/>
      <c r="H34" s="51"/>
      <c r="J34" s="51"/>
      <c r="K34" s="51"/>
      <c r="M34" s="51"/>
      <c r="N34" s="51"/>
      <c r="P34" s="51"/>
      <c r="Q34" s="51"/>
      <c r="S34" s="51"/>
      <c r="T34" s="51"/>
      <c r="V34" s="51"/>
      <c r="W34" s="51"/>
      <c r="Y34" s="51"/>
      <c r="Z34" s="51"/>
      <c r="AB34" s="51"/>
      <c r="AC34" s="51"/>
      <c r="AE34" s="51"/>
      <c r="AF34" s="51"/>
      <c r="AH34" s="51"/>
      <c r="AI34" s="51"/>
      <c r="AK34" s="51"/>
      <c r="AL34" s="51"/>
      <c r="AN34" s="51"/>
      <c r="AO34" s="51"/>
    </row>
    <row r="35" spans="2:41" ht="12.5">
      <c r="B35" s="73"/>
      <c r="C35" s="73"/>
      <c r="D35" s="51"/>
      <c r="E35" s="51"/>
      <c r="F35" s="73"/>
      <c r="G35" s="51"/>
      <c r="H35" s="51"/>
      <c r="J35" s="51"/>
      <c r="K35" s="51"/>
      <c r="M35" s="51"/>
      <c r="N35" s="51"/>
      <c r="P35" s="51"/>
      <c r="Q35" s="51"/>
      <c r="S35" s="51"/>
      <c r="T35" s="51"/>
      <c r="V35" s="51"/>
      <c r="W35" s="51"/>
      <c r="Y35" s="51"/>
      <c r="Z35" s="51"/>
      <c r="AB35" s="51"/>
      <c r="AC35" s="51"/>
      <c r="AE35" s="51"/>
      <c r="AF35" s="51"/>
      <c r="AH35" s="51"/>
      <c r="AI35" s="51"/>
      <c r="AK35" s="51"/>
      <c r="AL35" s="51"/>
      <c r="AN35" s="51"/>
      <c r="AO35" s="51"/>
    </row>
    <row r="36" spans="2:41" ht="12.5">
      <c r="B36" s="73"/>
      <c r="C36" s="74"/>
      <c r="D36" s="51"/>
      <c r="E36" s="51"/>
      <c r="F36" s="74"/>
      <c r="G36" s="51"/>
      <c r="H36" s="51"/>
      <c r="J36" s="51"/>
      <c r="K36" s="51"/>
      <c r="M36" s="51"/>
      <c r="N36" s="51"/>
      <c r="P36" s="51"/>
      <c r="Q36" s="51"/>
      <c r="S36" s="51"/>
      <c r="T36" s="51"/>
      <c r="V36" s="51"/>
      <c r="W36" s="51"/>
      <c r="Y36" s="51"/>
      <c r="Z36" s="51"/>
      <c r="AB36" s="51"/>
      <c r="AC36" s="51"/>
      <c r="AE36" s="51"/>
      <c r="AF36" s="51"/>
      <c r="AH36" s="51"/>
      <c r="AI36" s="51"/>
      <c r="AK36" s="51"/>
      <c r="AL36" s="51"/>
      <c r="AN36" s="51"/>
      <c r="AO36" s="51"/>
    </row>
    <row r="37" spans="2:41" ht="12.5">
      <c r="B37" s="74"/>
      <c r="C37" s="73"/>
      <c r="D37" s="51"/>
      <c r="E37" s="51"/>
      <c r="F37" s="73"/>
      <c r="G37" s="51"/>
      <c r="H37" s="51"/>
      <c r="J37" s="51"/>
      <c r="K37" s="51"/>
      <c r="M37" s="51"/>
      <c r="N37" s="51"/>
      <c r="P37" s="51"/>
      <c r="Q37" s="51"/>
      <c r="S37" s="51"/>
      <c r="T37" s="51"/>
      <c r="V37" s="51"/>
      <c r="W37" s="51"/>
      <c r="Y37" s="51"/>
      <c r="Z37" s="51"/>
      <c r="AB37" s="51"/>
      <c r="AC37" s="51"/>
      <c r="AE37" s="51"/>
      <c r="AF37" s="51"/>
      <c r="AH37" s="51"/>
      <c r="AI37" s="51"/>
      <c r="AK37" s="51"/>
      <c r="AL37" s="51"/>
      <c r="AN37" s="51"/>
      <c r="AO37" s="51"/>
    </row>
    <row r="38" spans="2:41" ht="12.5">
      <c r="B38" s="73"/>
      <c r="C38" s="73"/>
      <c r="D38" s="51"/>
      <c r="E38" s="51"/>
      <c r="F38" s="73"/>
      <c r="G38" s="51"/>
      <c r="H38" s="51"/>
      <c r="J38" s="51"/>
      <c r="K38" s="51"/>
      <c r="M38" s="51"/>
      <c r="N38" s="51"/>
      <c r="P38" s="51"/>
      <c r="Q38" s="51"/>
      <c r="S38" s="51"/>
      <c r="T38" s="51"/>
      <c r="V38" s="51"/>
      <c r="W38" s="51"/>
      <c r="Y38" s="51"/>
      <c r="Z38" s="51"/>
      <c r="AB38" s="51"/>
      <c r="AC38" s="51"/>
      <c r="AE38" s="51"/>
      <c r="AF38" s="51"/>
      <c r="AH38" s="51"/>
      <c r="AI38" s="51"/>
      <c r="AK38" s="51"/>
      <c r="AL38" s="51"/>
      <c r="AN38" s="51"/>
      <c r="AO38" s="51"/>
    </row>
    <row r="39" spans="2:8" ht="12.5">
      <c r="B39" s="73"/>
      <c r="C39" s="74"/>
      <c r="E39" s="51"/>
      <c r="F39" s="74"/>
      <c r="H39" s="51"/>
    </row>
    <row r="40" spans="2:8" ht="12.5">
      <c r="B40" s="74"/>
      <c r="C40" s="73"/>
      <c r="E40" s="51"/>
      <c r="F40" s="73"/>
      <c r="H40" s="51"/>
    </row>
    <row r="41" spans="2:8" ht="12.5">
      <c r="B41" s="73"/>
      <c r="C41" s="73"/>
      <c r="E41" s="51"/>
      <c r="F41" s="73"/>
      <c r="H41" s="51"/>
    </row>
    <row r="42" spans="2:8" ht="12.5">
      <c r="B42" s="73"/>
      <c r="C42" s="74"/>
      <c r="E42" s="51"/>
      <c r="F42" s="74"/>
      <c r="H42" s="51"/>
    </row>
    <row r="43" spans="2:8" ht="12.5">
      <c r="B43" s="74"/>
      <c r="C43" s="73"/>
      <c r="E43" s="51"/>
      <c r="F43" s="73"/>
      <c r="H43" s="51"/>
    </row>
    <row r="44" spans="2:8" ht="12.5">
      <c r="B44" s="73"/>
      <c r="C44" s="73"/>
      <c r="E44" s="51"/>
      <c r="F44" s="73"/>
      <c r="H44" s="51"/>
    </row>
    <row r="45" spans="2:8" ht="12.5">
      <c r="B45" s="73"/>
      <c r="C45" s="74"/>
      <c r="E45" s="51"/>
      <c r="F45" s="74"/>
      <c r="H45" s="51"/>
    </row>
  </sheetData>
  <pageMargins left="0.7" right="0.7" top="2.75" bottom="0.75" header="1.5" footer="0.3"/>
  <pageSetup fitToWidth="0" orientation="landscape" scale="77" r:id="rId1"/>
  <headerFooter>
    <oddHeader>&amp;C
&amp;"Arial,Bold"
2022 RATE CASE
ONCOR ELECTRIC DELIVERY COMPANY LLC
ACCOUNT 163 FUNCTIONALIZED BY MONTH 2021
FOR THE TEST YEAR ENDED DECEMBER 31, 2021
SPONSOR: A. THENMADATHIL&amp;R&amp;"Arial,Bold"WP/II-B-8/01
Page &amp;P of &amp;N</oddHeader>
  </headerFooter>
  <colBreaks count="4" manualBreakCount="4">
    <brk id="7" min="5" max="26" man="1"/>
    <brk id="16" min="5" max="26" man="1"/>
    <brk id="24" min="5" max="26" man="1"/>
    <brk id="33" min="5" max="26" man="1"/>
  </colBreaks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4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27CE8EF2137B4CA3F17065297CF102" ma:contentTypeVersion="5" ma:contentTypeDescription="Create a new document." ma:contentTypeScope="" ma:versionID="c691f8f861fed439a9f9bc405e700cd3">
  <xsd:schema xmlns:xsd="http://www.w3.org/2001/XMLSchema" xmlns:xs="http://www.w3.org/2001/XMLSchema" xmlns:p="http://schemas.microsoft.com/office/2006/metadata/properties" xmlns:ns1="http://schemas.microsoft.com/sharepoint/v3" xmlns:ns2="4f7156c1-be87-4d1f-9274-ce189f982c1a" targetNamespace="http://schemas.microsoft.com/office/2006/metadata/properties" ma:root="true" ma:fieldsID="8690dca1c0a9094a2a6515f869531236" ns1:_="" ns2:_="">
    <xsd:import namespace="http://schemas.microsoft.com/sharepoint/v3"/>
    <xsd:import namespace="4f7156c1-be87-4d1f-9274-ce189f982c1a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_dlc_DocId" minOccurs="0"/>
                <xsd:element ref="ns2:_dlc_DocIdUrl" minOccurs="0"/>
                <xsd:element ref="ns2:_dlc_DocIdPersistId" minOccurs="0"/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4" nillable="true" ma:displayName="Scheduling Start Date" ma:description="Scheduling Start Date is a site column created by the Publishing feature. It is used to specify the date and time on which this page will first appear to site visitors." ma:hidden="true" ma:internalName="PublishingStartDate">
      <xsd:simpleType>
        <xsd:restriction base="dms:Unknown"/>
      </xsd:simpleType>
    </xsd:element>
    <xsd:element name="PublishingExpirationDate" ma:index="5" nillable="true" ma:displayName="Scheduling End Date" ma:description="Scheduling End Date is a site column created by the Publishing feature. It is used to specify the date and time on which this page will no longer appear to site visitors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7156c1-be87-4d1f-9274-ce189f982c1a" elementFormDefault="qualified">
    <xsd:import namespace="http://schemas.microsoft.com/office/2006/documentManagement/types"/>
    <xsd:import namespace="http://schemas.microsoft.com/office/infopath/2007/PartnerControls"/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9" ma:displayName="Content Typ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_dlc_DocId xmlns="4f7156c1-be87-4d1f-9274-ce189f982c1a">FHHXVRPN3UPD-1807981734-31710</_dlc_DocId>
    <_dlc_DocIdUrl xmlns="4f7156c1-be87-4d1f-9274-ce189f982c1a">
      <Url>http://intranet.corp.oncor.com/sites/Finance/_layouts/15/DocIdRedir.aspx?ID=FHHXVRPN3UPD-1807981734-31710</Url>
      <Description>FHHXVRPN3UPD-1807981734-31710</Description>
    </_dlc_DocIdUrl>
  </documentManagement>
</p:properties>
</file>

<file path=customXml/itemProps1.xml><?xml version="1.0" encoding="utf-8"?>
<ds:datastoreItem xmlns:ds="http://schemas.openxmlformats.org/officeDocument/2006/customXml" ds:itemID="{4F6D4D4B-265A-4DB7-878C-4D44F4D1BBA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4f7156c1-be87-4d1f-9274-ce189f982c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F8BF4A9-51B8-4583-A1BB-82619FB2206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B732218-2860-48DB-8AB6-6F54D5CB44FB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D9CE453C-EF31-4FFD-92EA-622AB8A0D384}">
  <ds:schemaRefs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4f7156c1-be87-4d1f-9274-ce189f982c1a"/>
    <ds:schemaRef ds:uri="http://schemas.microsoft.com/sharepoint/v3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15.0300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WP II-B-8_01</vt:lpstr>
    </vt:vector>
  </TitlesOfParts>
  <Template/>
  <Manager/>
  <Company/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0x0101002027CE8EF2137B4CA3F17065297CF102</vt:lpwstr>
  </property>
  <property fmtid="{D5CDD505-2E9C-101B-9397-08002B2CF9AE}" pid="3" name="_dlc_DocIdItemGuid">
    <vt:lpwstr>c3ea27a5-fb29-40d8-a259-8d5362863318</vt:lpwstr>
  </property>
</Properties>
</file>