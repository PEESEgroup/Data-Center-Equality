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1.xml" ContentType="application/vnd.openxmlformats-officedocument.drawing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drawings/drawing2.xml" ContentType="application/vnd.openxmlformats-officedocument.drawing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drawings/drawing3.xml" ContentType="application/vnd.openxmlformats-officedocument.drawing+xml"/>
  <Override PartName="/xl/worksheets/sheet62.xml" ContentType="application/vnd.openxmlformats-officedocument.spreadsheetml.worksheet+xml"/>
  <Override PartName="/xl/drawings/drawing4.xml" ContentType="application/vnd.openxmlformats-officedocument.drawing+xml"/>
  <Override PartName="/xl/worksheets/sheet63.xml" ContentType="application/vnd.openxmlformats-officedocument.spreadsheetml.worksheet+xml"/>
  <Override PartName="/xl/drawings/drawing5.xml" ContentType="application/vnd.openxmlformats-officedocument.drawing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drawings/drawing6.xml" ContentType="application/vnd.openxmlformats-officedocument.drawing+xml"/>
  <Override PartName="/xl/worksheets/sheet66.xml" ContentType="application/vnd.openxmlformats-officedocument.spreadsheetml.worksheet+xml"/>
  <Override PartName="/xl/drawings/drawing7.xml" ContentType="application/vnd.openxmlformats-officedocument.drawing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Z:\2022 Rate Case\Section II (Test Year Data)\Schedule B (Rate Base)\Sch II-B WP\"/>
    </mc:Choice>
  </mc:AlternateContent>
  <bookViews>
    <workbookView xWindow="7630" yWindow="230" windowWidth="7680" windowHeight="5930" tabRatio="862" firstSheet="17" activeTab="38"/>
  </bookViews>
  <sheets>
    <sheet name=" " sheetId="1" r:id="rId2"/>
    <sheet name="1" sheetId="148" r:id="rId3"/>
    <sheet name="1-1" sheetId="296" r:id="rId4"/>
    <sheet name="1-1-2" sheetId="291" r:id="rId5"/>
    <sheet name="1-1-2-1" sheetId="297" r:id="rId6"/>
    <sheet name="1-1-3" sheetId="149" r:id="rId7"/>
    <sheet name="1-1-3-1" sheetId="298" r:id="rId8"/>
    <sheet name="1-1-3-1-1" sheetId="268" r:id="rId9"/>
    <sheet name="2" sheetId="169" r:id="rId10"/>
    <sheet name="2-1" sheetId="170" r:id="rId11"/>
    <sheet name="2-2" sheetId="249" r:id="rId12"/>
    <sheet name="2-2-1" sheetId="350" r:id="rId13"/>
    <sheet name="2-3" sheetId="171" r:id="rId14"/>
    <sheet name="2-3-1" sheetId="172" r:id="rId15"/>
    <sheet name="2-4" sheetId="173" r:id="rId16"/>
    <sheet name="2-5" sheetId="266" r:id="rId17"/>
    <sheet name="2-6" sheetId="195" r:id="rId18"/>
    <sheet name="3" sheetId="176" r:id="rId19"/>
    <sheet name="3-1" sheetId="177" r:id="rId20"/>
    <sheet name="3-2" sheetId="290" r:id="rId21"/>
    <sheet name="4" sheetId="181" r:id="rId22"/>
    <sheet name="5" sheetId="312" r:id="rId23"/>
    <sheet name="6" sheetId="186" r:id="rId24"/>
    <sheet name="6-1" sheetId="303" r:id="rId25"/>
    <sheet name="6-1-1" sheetId="301" r:id="rId26"/>
    <sheet name="6-1-2" sheetId="302" r:id="rId27"/>
    <sheet name="6-1-3" sheetId="270" r:id="rId28"/>
    <sheet name="6-2" sheetId="304" r:id="rId29"/>
    <sheet name="6-2-1" sheetId="305" r:id="rId30"/>
    <sheet name="6-2-2" sheetId="306" r:id="rId31"/>
    <sheet name="6-2-3" sheetId="307" r:id="rId32"/>
    <sheet name="6-3" sheetId="309" r:id="rId33"/>
    <sheet name="6-4" sheetId="348" r:id="rId34"/>
    <sheet name="6-5" sheetId="349" r:id="rId35"/>
    <sheet name="7" sheetId="23" r:id="rId36"/>
    <sheet name="8" sheetId="24" r:id="rId37"/>
    <sheet name="8-1" sheetId="250" r:id="rId38"/>
    <sheet name="8-1-2" sheetId="25" r:id="rId39"/>
    <sheet name="8-2" sheetId="289" r:id="rId40"/>
    <sheet name="8-2-1" sheetId="26" r:id="rId41"/>
    <sheet name="9" sheetId="29" r:id="rId42"/>
    <sheet name="10" sheetId="213" r:id="rId43"/>
    <sheet name="11" sheetId="31" r:id="rId44"/>
    <sheet name="12" sheetId="200" r:id="rId45"/>
    <sheet name="13" sheetId="121" r:id="rId46"/>
    <sheet name="13-1" sheetId="122" r:id="rId47"/>
    <sheet name="13-1-1" sheetId="124" r:id="rId48"/>
    <sheet name="13-1-2" sheetId="123" r:id="rId49"/>
    <sheet name="13-1-3" sheetId="125" r:id="rId50"/>
    <sheet name="13-1-4" sheetId="126" r:id="rId51"/>
    <sheet name="13-1-5" sheetId="128" r:id="rId52"/>
    <sheet name="13-1-6" sheetId="127" r:id="rId53"/>
    <sheet name="13-2" sheetId="328" r:id="rId54"/>
    <sheet name="13-2-1" sheetId="329" r:id="rId55"/>
    <sheet name="13-2-2" sheetId="330" r:id="rId56"/>
    <sheet name="13-2-3" sheetId="331" r:id="rId57"/>
    <sheet name="13-3" sheetId="332" r:id="rId58"/>
    <sheet name="13-3-1" sheetId="333" r:id="rId59"/>
    <sheet name="13-3-1-1" sheetId="334" r:id="rId60"/>
    <sheet name="13-3-1-2" sheetId="335" r:id="rId61"/>
    <sheet name="13-3-2" sheetId="336" r:id="rId62"/>
    <sheet name="13-3-2-1" sheetId="337" r:id="rId63"/>
    <sheet name="13-3-2-2" sheetId="338" r:id="rId64"/>
    <sheet name="13-4" sheetId="339" r:id="rId65"/>
    <sheet name="13-5" sheetId="340" r:id="rId66"/>
    <sheet name="13-5-1" sheetId="341" r:id="rId67"/>
    <sheet name="13-5-2" sheetId="342" r:id="rId68"/>
    <sheet name="14" sheetId="199" r:id="rId69"/>
    <sheet name="15" sheetId="222" r:id="rId70"/>
    <sheet name="Sheet1" sheetId="351" r:id="rId71"/>
  </sheets>
  <externalReferences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\M">#REF!</definedName>
    <definedName name="_asd2">'[1]O &amp; M'!$T$5</definedName>
    <definedName name="_M">#REF!</definedName>
    <definedName name="Account">[2]Source!#REF!</definedName>
    <definedName name="Account2">[2]Source!#REF!</definedName>
    <definedName name="AccountDescr">[2]Source!#REF!</definedName>
    <definedName name="AccountDescr2">[2]Source!#REF!</definedName>
    <definedName name="Activity">[2]Source!#REF!</definedName>
    <definedName name="Activity2">[2]Source!#REF!</definedName>
    <definedName name="ActivityDescr">[2]Source!#REF!</definedName>
    <definedName name="ActivityDescr2">[2]Source!#REF!</definedName>
    <definedName name="Affiliate">[2]Source!#REF!</definedName>
    <definedName name="Affiliate2">[2]Source!#REF!</definedName>
    <definedName name="AffiliateDescr">[2]Source!#REF!</definedName>
    <definedName name="ASD">'[3]O &amp; M'!$T$5</definedName>
    <definedName name="Completed">'[4]FIT Paid - Combined'!$AO$5</definedName>
    <definedName name="completed2">'[5]FIT Paid - Combined'!$AO$5</definedName>
    <definedName name="Credit">[6]JOURNAL!#REF!</definedName>
    <definedName name="Debit">[6]JOURNAL!#REF!</definedName>
    <definedName name="DeptDescr">[2]Source!#REF!</definedName>
    <definedName name="DeptDescr2">[2]Source!#REF!</definedName>
    <definedName name="DeptID">[2]Source!#REF!</definedName>
    <definedName name="DeptID2">[2]Source!#REF!</definedName>
    <definedName name="EC">[2]Source!#REF!</definedName>
    <definedName name="ECDescr">[2]Source!#REF!</definedName>
    <definedName name="ECDescr2">[2]Source!#REF!</definedName>
    <definedName name="ECID">[2]Source!#REF!</definedName>
    <definedName name="Elapsed">'[4]FIT Paid - Combined'!$AO$4</definedName>
    <definedName name="entry">[6]JOURNAL!$B$9:$R$353,[6]JOURNAL!$I$3,[6]JOURNAL!$G$3,[6]JOURNAL!$E$3,[6]JOURNAL!$B$7,[6]JOURNAL!$B$3</definedName>
    <definedName name="EntryFields">[6]JOURNAL!$B$9:$R$353,[6]JOURNAL!$I$3,[6]JOURNAL!$G$3,[6]JOURNAL!$E$3,[6]JOURNAL!$B$7,[6]JOURNAL!$B$3</definedName>
    <definedName name="FFT">#REF!</definedName>
    <definedName name="KeyControlFigure">'[4]FIT Paid - Combined'!$T$399</definedName>
    <definedName name="Lines">[6]JOURNAL!#REF!</definedName>
    <definedName name="Location">[2]Source!#REF!</definedName>
    <definedName name="Location2">[2]Source!#REF!</definedName>
    <definedName name="LocationDescr">[2]Source!#REF!</definedName>
    <definedName name="LocationDescr2">[2]Source!#REF!</definedName>
    <definedName name="MENU">#REF!</definedName>
    <definedName name="NvsASD">"V2000-12-31"</definedName>
    <definedName name="NvsAutoDrillOk">"VN"</definedName>
    <definedName name="NvsElapsedTime" localSheetId="59">0.000582986111112405</definedName>
    <definedName name="NvsElapsedTime">0.000689467597112525</definedName>
    <definedName name="NvsEndTime" localSheetId="59">36257.3051395833</definedName>
    <definedName name="NvsEndTime">36923.3059673611</definedName>
    <definedName name="NvsInstSpec">"%"</definedName>
    <definedName name="NvsLayoutType">"M3"</definedName>
    <definedName name="NvsNplSpec">"%,X,RZF..nPlosion,CZF.."</definedName>
    <definedName name="NvsPanelEffdt">"V1998-01-01"</definedName>
    <definedName name="NvsPanelSetid">"VSHARE"</definedName>
    <definedName name="NvsParentRef">[7]Sheet1!$T$303</definedName>
    <definedName name="NvsReqBU" localSheetId="59">"VGEN"</definedName>
    <definedName name="NvsReqBU">"VLSGD"</definedName>
    <definedName name="NvsReqBUOnly">"VY"</definedName>
    <definedName name="NvsTransLed">"VN"</definedName>
    <definedName name="NvsTreeASD">"V2000-12-31"</definedName>
    <definedName name="NvsValTbl.ACCOUNT">"GL_ACCOUNT_TBL"</definedName>
    <definedName name="NvsValTbl.AFFILIATE">"BUS_UNIT_TBL_FS"</definedName>
    <definedName name="NvsValTbl.CURRENCY_CD">"CURRENCY_CD_TBL"</definedName>
    <definedName name="NvsValTbl.DEPTID">"DEPARTMENT_TBL"</definedName>
    <definedName name="NvsValTbl.TU_LOCATION">"TU_LOC_TBL"</definedName>
    <definedName name="PAGE1">#REF!</definedName>
    <definedName name="PAGE2">#REF!</definedName>
    <definedName name="PAGE3">#REF!</definedName>
    <definedName name="_xlnm.Print_Area" localSheetId="0">' '!$A$1:$E$48</definedName>
    <definedName name="_xlnm.Print_Area" localSheetId="1">'1'!$A$1:$K$17</definedName>
    <definedName name="_xlnm.Print_Area" localSheetId="41">'10'!$A$1:$G$53</definedName>
    <definedName name="_xlnm.Print_Area" localSheetId="2">'1-1'!$A$1:$J$22</definedName>
    <definedName name="_xlnm.Print_Area" localSheetId="4">'1-1-2-1'!$A$1:$I$131</definedName>
    <definedName name="_xlnm.Print_Area" localSheetId="55">'13-2-3'!$A$1:$J$29</definedName>
    <definedName name="_xlnm.Print_Area" localSheetId="65">'13-5-1'!$A$1:$L$36</definedName>
    <definedName name="_xlnm.Print_Area" localSheetId="12">'2-3'!$A$1:$E$59</definedName>
    <definedName name="_xlnm.Print_Area" localSheetId="20">'4'!$A$1:$K$30</definedName>
    <definedName name="_xlnm.Print_Area" localSheetId="21">'5'!$A$1:$E$16</definedName>
    <definedName name="_xlnm.Print_Area" localSheetId="24">'6-1-1'!$A$12:$H$45</definedName>
    <definedName name="_xlnm.Print_Area" localSheetId="25">'6-1-2'!$A$12:$H$35</definedName>
    <definedName name="_xlnm.Print_Area" localSheetId="26">'6-1-3'!$A$12:$H$81</definedName>
    <definedName name="_xlnm.Print_Area" localSheetId="28">'6-2-1'!$A$12:$H$43</definedName>
    <definedName name="_xlnm.Print_Area" localSheetId="29">'6-2-2'!$A$12:$H$32</definedName>
    <definedName name="_xlnm.Print_Area" localSheetId="30">'6-2-3'!$A$12:$H$95</definedName>
    <definedName name="_xlnm.Print_Area" localSheetId="31">'6-3'!$A$12:$H$25</definedName>
    <definedName name="_xlnm.Print_Area" localSheetId="39">'8-2-1'!$A$1:$L$51</definedName>
    <definedName name="_xlnm.Print_Titles" localSheetId="41">'10'!$1:$10</definedName>
    <definedName name="_xlnm.Print_Titles" localSheetId="4">'1-1-2-1'!$1:$9</definedName>
    <definedName name="_xlnm.Print_Titles" localSheetId="7">'1-1-3-1-1'!$1:$6</definedName>
    <definedName name="_xlnm.Print_Titles" localSheetId="46">'13-1-1'!$1:$9</definedName>
    <definedName name="_xlnm.Print_Titles" localSheetId="47">'13-1-2'!$1:$9</definedName>
    <definedName name="_xlnm.Print_Titles" localSheetId="48">'13-1-3'!$1:$9</definedName>
    <definedName name="_xlnm.Print_Titles" localSheetId="49">'13-1-4'!$1:$9</definedName>
    <definedName name="_xlnm.Print_Titles" localSheetId="50">'13-1-5'!$1:$9</definedName>
    <definedName name="_xlnm.Print_Titles" localSheetId="51">'13-1-6'!$1:$9</definedName>
    <definedName name="_xlnm.Print_Titles" localSheetId="12">'2-3'!$1:$8</definedName>
    <definedName name="_xlnm.Print_Titles" localSheetId="24">'6-1-1'!$1:$10</definedName>
    <definedName name="_xlnm.Print_Titles" localSheetId="25">'6-1-2'!$1:$10</definedName>
    <definedName name="_xlnm.Print_Titles" localSheetId="26">'6-1-3'!$1:$10</definedName>
    <definedName name="_xlnm.Print_Titles" localSheetId="28">'6-2-1'!$1:$10</definedName>
    <definedName name="_xlnm.Print_Titles" localSheetId="29">'6-2-2'!$1:$10</definedName>
    <definedName name="_xlnm.Print_Titles" localSheetId="30">'6-2-3'!$1:$10</definedName>
    <definedName name="_xlnm.Print_Titles" localSheetId="31">'6-3'!$1:$10</definedName>
    <definedName name="_xlnm.Print_Titles" localSheetId="32">'6-4'!$1:$9</definedName>
    <definedName name="_xlnm.Print_Titles" localSheetId="36">'8-1'!$1:$10</definedName>
    <definedName name="_xlnm.Print_Titles" localSheetId="37">'8-1-2'!$1:$10</definedName>
    <definedName name="_xlnm.Print_Titles" localSheetId="38">'8-2'!$1:$10</definedName>
    <definedName name="_xlnm.Print_Titles" localSheetId="39">'8-2-1'!$1:$9</definedName>
    <definedName name="SECT1">#REF!</definedName>
    <definedName name="SECT2">#REF!</definedName>
    <definedName name="Task">[2]Source!#REF!</definedName>
    <definedName name="Task2">[2]Source!#REF!</definedName>
    <definedName name="TaskDescr">[2]Source!#REF!</definedName>
    <definedName name="Year">'2-3'!$C$43</definedName>
  </definedNames>
  <calcPr calcId="152511"/>
</workbook>
</file>

<file path=xl/calcChain.xml><?xml version="1.0" encoding="utf-8"?>
<calcChain xmlns="http://schemas.openxmlformats.org/spreadsheetml/2006/main">
  <c r="A48" i="1" l="1"/>
</calcChain>
</file>

<file path=xl/sharedStrings.xml><?xml version="1.0" encoding="utf-8"?>
<sst xmlns="http://schemas.openxmlformats.org/spreadsheetml/2006/main" count="2820" uniqueCount="1063">
  <si>
    <t>FERC Account No.</t>
  </si>
  <si>
    <t>Twelve-Month Amortization</t>
  </si>
  <si>
    <t>Insurance</t>
  </si>
  <si>
    <t>Membership Dues</t>
  </si>
  <si>
    <t>Total Distribution</t>
  </si>
  <si>
    <t>MISCELLANEOUS WORKING FUNDS SUMMARY</t>
  </si>
  <si>
    <t>SUMMARY OF EMPLOYEE ACCOUNT RECEIVABLE</t>
  </si>
  <si>
    <t>HOME PURCHASE PLAN</t>
  </si>
  <si>
    <t>Transmission Division</t>
  </si>
  <si>
    <t>Average service period</t>
  </si>
  <si>
    <t>Revenue Type</t>
  </si>
  <si>
    <t>Revenues</t>
  </si>
  <si>
    <t>Revenue Lag Days</t>
  </si>
  <si>
    <t>Wtd Dollar Days</t>
  </si>
  <si>
    <t>FIM</t>
  </si>
  <si>
    <t>Expense</t>
  </si>
  <si>
    <t>From</t>
  </si>
  <si>
    <t>Total Days</t>
  </si>
  <si>
    <t>Mid-Point</t>
  </si>
  <si>
    <t>Working Funds and Other</t>
  </si>
  <si>
    <t>Federal Income Taxes</t>
  </si>
  <si>
    <t>Taxes Other Than Income Taxes</t>
  </si>
  <si>
    <t>Average Daily Bank Balances</t>
  </si>
  <si>
    <t>Description</t>
  </si>
  <si>
    <t>Amount</t>
  </si>
  <si>
    <t>Reference</t>
  </si>
  <si>
    <t>Total</t>
  </si>
  <si>
    <t>13 Month Average</t>
  </si>
  <si>
    <t>1st Pay Period</t>
  </si>
  <si>
    <t>2nd Pay Period</t>
  </si>
  <si>
    <t>Days Payday Moved Up</t>
  </si>
  <si>
    <t>First Pay Period</t>
  </si>
  <si>
    <t>Second Pay Period</t>
  </si>
  <si>
    <t>Average Days in Month</t>
  </si>
  <si>
    <t>26th - 10th</t>
  </si>
  <si>
    <t>11th - 25th</t>
  </si>
  <si>
    <t>Check Float</t>
  </si>
  <si>
    <t xml:space="preserve">     Direct Deposit</t>
  </si>
  <si>
    <t xml:space="preserve">     Manual</t>
  </si>
  <si>
    <t>Payroll</t>
  </si>
  <si>
    <t>Line</t>
  </si>
  <si>
    <t>No.</t>
  </si>
  <si>
    <t>Direct Deposit</t>
  </si>
  <si>
    <t>Weighted Dollar Days</t>
  </si>
  <si>
    <t>Net Amount</t>
  </si>
  <si>
    <t>Line No.</t>
  </si>
  <si>
    <t>(Lead)/Lag</t>
  </si>
  <si>
    <t>Total (Lead)/Lag</t>
  </si>
  <si>
    <t>To</t>
  </si>
  <si>
    <t>(Lead)/Lag Days</t>
  </si>
  <si>
    <t>Lead Days</t>
  </si>
  <si>
    <t>Revenue</t>
  </si>
  <si>
    <t>Semi-Monthly</t>
  </si>
  <si>
    <t>Return</t>
  </si>
  <si>
    <t>Depreciation Expense</t>
  </si>
  <si>
    <t>(a)</t>
  </si>
  <si>
    <t>(b)</t>
  </si>
  <si>
    <t>(d)</t>
  </si>
  <si>
    <t>(e)</t>
  </si>
  <si>
    <t>(f)</t>
  </si>
  <si>
    <t>(g)</t>
  </si>
  <si>
    <t>Month/
Year</t>
  </si>
  <si>
    <t>(c)</t>
  </si>
  <si>
    <t>(h)</t>
  </si>
  <si>
    <t>(i)</t>
  </si>
  <si>
    <t>Note:</t>
  </si>
  <si>
    <t>Total Payments</t>
  </si>
  <si>
    <t>Assumptions:</t>
  </si>
  <si>
    <t>Days in Period:</t>
  </si>
  <si>
    <t>Col (b) Ln 9 minus Col (b) Ln 12</t>
  </si>
  <si>
    <t>Average First Pay Period</t>
  </si>
  <si>
    <t>Col (b) Ln 11 divided by 2</t>
  </si>
  <si>
    <t>Average Second Pay Period</t>
  </si>
  <si>
    <t>Col (b) Ln 12 divided by 2</t>
  </si>
  <si>
    <t>Days Until Payment:</t>
  </si>
  <si>
    <t>End on 10th, Paid on 15th</t>
  </si>
  <si>
    <t>Month/Year</t>
  </si>
  <si>
    <t>Weekend/Holiday Factor:</t>
  </si>
  <si>
    <t>Payroll Lead Formula:</t>
  </si>
  <si>
    <t>Average First and Second Pay Period</t>
  </si>
  <si>
    <t xml:space="preserve">Line No. </t>
  </si>
  <si>
    <t>Percent</t>
  </si>
  <si>
    <t>(j)</t>
  </si>
  <si>
    <t>1st Pay Period:</t>
  </si>
  <si>
    <t>Total 1st Pay Period</t>
  </si>
  <si>
    <t>2nd Pay Period:</t>
  </si>
  <si>
    <t>Dollar</t>
  </si>
  <si>
    <t>FICA</t>
  </si>
  <si>
    <t>Deposit</t>
  </si>
  <si>
    <t>Check Date</t>
  </si>
  <si>
    <t>Dollar Days</t>
  </si>
  <si>
    <t>FUTA</t>
  </si>
  <si>
    <t>SUTA</t>
  </si>
  <si>
    <t>Payment</t>
  </si>
  <si>
    <t>Month</t>
  </si>
  <si>
    <t>Total T&amp;D</t>
  </si>
  <si>
    <t>Federal &amp; State Unemployment</t>
  </si>
  <si>
    <t>Total 2nd Pay Period</t>
  </si>
  <si>
    <t>Period</t>
  </si>
  <si>
    <t>Manual Checks</t>
  </si>
  <si>
    <t>Total - Direct Deposit and Manual Checks</t>
  </si>
  <si>
    <t>Percent Paid via Direct Deposit</t>
  </si>
  <si>
    <t>Percent Paid via Manual Check</t>
  </si>
  <si>
    <t>(2)</t>
  </si>
  <si>
    <t>(1)</t>
  </si>
  <si>
    <t>Accrual Date</t>
  </si>
  <si>
    <t>Mid Month</t>
  </si>
  <si>
    <t>Payout Date</t>
  </si>
  <si>
    <t>AVERAGE DAILY BANK BALANCES</t>
  </si>
  <si>
    <t>WORKING FUNDS AND OTHER</t>
  </si>
  <si>
    <t>Statutory %</t>
  </si>
  <si>
    <t>of Total</t>
  </si>
  <si>
    <t>Weighted</t>
  </si>
  <si>
    <t>Date</t>
  </si>
  <si>
    <t>Mid-Year</t>
  </si>
  <si>
    <t>Taxes for Year</t>
  </si>
  <si>
    <t>Days</t>
  </si>
  <si>
    <t xml:space="preserve">Weighted </t>
  </si>
  <si>
    <t>Days Paid</t>
  </si>
  <si>
    <t>After EOM</t>
  </si>
  <si>
    <t>Collection Lag</t>
  </si>
  <si>
    <t>Operating Revenues Lag Days</t>
  </si>
  <si>
    <t xml:space="preserve">FICA </t>
  </si>
  <si>
    <t>Operation &amp; Maintenance Expenses</t>
  </si>
  <si>
    <t>Total Payroll</t>
  </si>
  <si>
    <t>Lag Days*</t>
  </si>
  <si>
    <t>N/A</t>
  </si>
  <si>
    <t xml:space="preserve">(c) </t>
  </si>
  <si>
    <t>PAYROLL LEAD - DIRECT DEPOSIT CALCULATION</t>
  </si>
  <si>
    <t xml:space="preserve">   Transmission</t>
  </si>
  <si>
    <t xml:space="preserve">   Distribution</t>
  </si>
  <si>
    <t>Days of Month</t>
  </si>
  <si>
    <t>Difference</t>
  </si>
  <si>
    <t>Divided by Number of Months</t>
  </si>
  <si>
    <t>Transmission</t>
  </si>
  <si>
    <t>Distribution</t>
  </si>
  <si>
    <t xml:space="preserve">    Total </t>
  </si>
  <si>
    <t>Corporate</t>
  </si>
  <si>
    <t>JPMorgan Chase Bank</t>
  </si>
  <si>
    <t>Relocation Advances</t>
  </si>
  <si>
    <t>Travel Advances</t>
  </si>
  <si>
    <t>Working Funds - Petty Cash</t>
  </si>
  <si>
    <t>Beginning Balance</t>
  </si>
  <si>
    <t>Ending Balance at…</t>
  </si>
  <si>
    <t>GL Activity</t>
  </si>
  <si>
    <t>13 Month Total</t>
  </si>
  <si>
    <t xml:space="preserve">Deferred </t>
  </si>
  <si>
    <t>Deferred</t>
  </si>
  <si>
    <t>Debits</t>
  </si>
  <si>
    <t>Ref</t>
  </si>
  <si>
    <t xml:space="preserve"> Credits</t>
  </si>
  <si>
    <t>Job Orders</t>
  </si>
  <si>
    <t>1862700</t>
  </si>
  <si>
    <t>Beg Bal</t>
  </si>
  <si>
    <t>IBNR  Medical and Dental</t>
  </si>
  <si>
    <t>253.1000</t>
  </si>
  <si>
    <t>253.1010</t>
  </si>
  <si>
    <t>2531000 - This is an estimated liability (IBNR) for medical and dental claims incurred by employees but not submitted for processing.</t>
  </si>
  <si>
    <t xml:space="preserve">2531010 – This is an estimated liability (IBNR) for personal injury and property damage claims outstanding.  </t>
  </si>
  <si>
    <t>Beg Bal.</t>
  </si>
  <si>
    <t>13 Month Avg.</t>
  </si>
  <si>
    <t xml:space="preserve">13 Month Avg. </t>
  </si>
  <si>
    <t>Energy Cons.</t>
  </si>
  <si>
    <t>Appliances</t>
  </si>
  <si>
    <t>Payroll Adv.</t>
  </si>
  <si>
    <t xml:space="preserve">Loans to employees to purchase qualifying "energy efficient" items.  The Company pays 90% of the total cost and an amount </t>
  </si>
  <si>
    <t xml:space="preserve">   is deducted from the employee's check.</t>
  </si>
  <si>
    <t>Includes temporary advances to employees for emergency purposes, EXPAT, overtime not paid correctly, etc.</t>
  </si>
  <si>
    <t xml:space="preserve">    Misc. Funds</t>
  </si>
  <si>
    <t>FICA Taxes</t>
  </si>
  <si>
    <t>Federal Income Tax Withholding</t>
  </si>
  <si>
    <t>Thrift Plan Withholding</t>
  </si>
  <si>
    <t>Total Payroll Withholding</t>
  </si>
  <si>
    <t>Payroll Check Date</t>
  </si>
  <si>
    <t>FICA Amount</t>
  </si>
  <si>
    <t>Deposit Date</t>
  </si>
  <si>
    <t>FIT Withholding Amount</t>
  </si>
  <si>
    <t>Payroll Period Check Date</t>
  </si>
  <si>
    <t>Distribution Division</t>
  </si>
  <si>
    <t>COLLECTION LAG</t>
  </si>
  <si>
    <t>AD VALOREM TAXES</t>
  </si>
  <si>
    <t>PAYROLL WITHHOLDING - DISTRIBUTION</t>
  </si>
  <si>
    <t>PAYROLL WITHHOLDING - TRANSMISSION</t>
  </si>
  <si>
    <t>FEDERAL INCOME TAX WITHHOLDING - TRANSMISSION</t>
  </si>
  <si>
    <t>FEDERAL INCOME TAX WITHHOLDING - DISTRIBUTION</t>
  </si>
  <si>
    <t>THRIFT PLAN WITHHOLDING - DISTRIBUTION</t>
  </si>
  <si>
    <t>THRIFT PLAN WITHHOLDING - TRANSMISSION</t>
  </si>
  <si>
    <t>MISCELLANEOUS WORKING FUNDS - CORPORATE</t>
  </si>
  <si>
    <t>MISCELLANEOUS WORKING FUNDS - TRANSMISSION</t>
  </si>
  <si>
    <t>MISCELLANEOUS WORKING FUNDS - DISTRIBUTION</t>
  </si>
  <si>
    <t>DEFERRED DEBITS/CREDITS - TRANSMISSION</t>
  </si>
  <si>
    <t>DEFERRED DEBITS/CREDITS - DISTRIBUTION</t>
  </si>
  <si>
    <t>DEFERRED DEBITS - TRANSMISSION</t>
  </si>
  <si>
    <t>DEFERRED DEBITS - DISTRIBUTION</t>
  </si>
  <si>
    <t>DEFERRED CREDITS - TRANSMISSION</t>
  </si>
  <si>
    <t>DEFERRED CREDITS - DISTRIBUTION</t>
  </si>
  <si>
    <t>*  WP/II-B-9/1</t>
  </si>
  <si>
    <t>WP/II-B-9/2</t>
  </si>
  <si>
    <t>WP/II-B-9/3</t>
  </si>
  <si>
    <t>WP/II-B-9/4</t>
  </si>
  <si>
    <t>WP/II-B-9/5</t>
  </si>
  <si>
    <t>WP/II-B-9/6</t>
  </si>
  <si>
    <t>WP/II-B-9/7</t>
  </si>
  <si>
    <t>WP/II-B-9/8</t>
  </si>
  <si>
    <t>WP/II-B-9/1-1</t>
  </si>
  <si>
    <t>WP/II-B-9/2-2</t>
  </si>
  <si>
    <t>WP/II-B-9/2-3</t>
  </si>
  <si>
    <t>WP/II-B-9/2-1</t>
  </si>
  <si>
    <t>Total of Daily Balances</t>
  </si>
  <si>
    <t>City</t>
  </si>
  <si>
    <t>PREPAID TAX AMORTIZATION</t>
  </si>
  <si>
    <t>Local Gross Receipt Tax Amortization</t>
  </si>
  <si>
    <t>Business Unit</t>
  </si>
  <si>
    <t>Bi-Weekly</t>
  </si>
  <si>
    <t>Conditions:</t>
  </si>
  <si>
    <t>Pay Periods cover 14 days.</t>
  </si>
  <si>
    <t>Start on Monday and end on the second following Sunday.</t>
  </si>
  <si>
    <t>Payroll Expense</t>
  </si>
  <si>
    <t xml:space="preserve">Receipt of funds lag </t>
  </si>
  <si>
    <t xml:space="preserve">Line </t>
  </si>
  <si>
    <t xml:space="preserve">No. </t>
  </si>
  <si>
    <t xml:space="preserve">Total Bi-Weekly Pay </t>
  </si>
  <si>
    <t>Col (d) Ln 38</t>
  </si>
  <si>
    <t xml:space="preserve">Billing Process Lag  </t>
  </si>
  <si>
    <t>First Cycle</t>
  </si>
  <si>
    <t>Second Cycle</t>
  </si>
  <si>
    <t>CUSTOMER INFORMATION SYSTEM DAILY ACCOUNTS RECEIVABLE</t>
  </si>
  <si>
    <t>Later of Due Date</t>
  </si>
  <si>
    <t>Check Cleared</t>
  </si>
  <si>
    <t>or Check Clear</t>
  </si>
  <si>
    <t>Weighted Dollar</t>
  </si>
  <si>
    <t>Voucher</t>
  </si>
  <si>
    <t>Lag/Lead</t>
  </si>
  <si>
    <t>(1)  The calculation is Col (b) Ln 9 divided by Col (d) Ln 9.</t>
  </si>
  <si>
    <t>(2)  The calculation is Col (c) Ln 9 divided by Col (d) Ln 9.</t>
  </si>
  <si>
    <t>Days of Year divided by 12 months</t>
  </si>
  <si>
    <t>Labor</t>
  </si>
  <si>
    <t>Non-Labor</t>
  </si>
  <si>
    <t>Payroll Taxes</t>
  </si>
  <si>
    <t>State Gross Margin Taxes</t>
  </si>
  <si>
    <t>Local Franchise Taxes</t>
  </si>
  <si>
    <t>Ad Valorem Taxes</t>
  </si>
  <si>
    <t>Current</t>
  </si>
  <si>
    <t>WP/II-B-9/9</t>
  </si>
  <si>
    <t>WP/II-B-9/10</t>
  </si>
  <si>
    <t>WP/II-B-9/11</t>
  </si>
  <si>
    <t>WP/II-B-9/12</t>
  </si>
  <si>
    <t>WP/II-B-9/13</t>
  </si>
  <si>
    <t>WP/II-B-9/14</t>
  </si>
  <si>
    <t>Average</t>
  </si>
  <si>
    <t>WP/II-B-9/3-1</t>
  </si>
  <si>
    <t>Total Semi-Monthly</t>
  </si>
  <si>
    <t>WP/II-B-9/2-6</t>
  </si>
  <si>
    <t>WP/II-B-9/2-4</t>
  </si>
  <si>
    <t>WP/II-B-9/2-5</t>
  </si>
  <si>
    <t>Total Lead Days</t>
  </si>
  <si>
    <t>Source:</t>
  </si>
  <si>
    <t>WP/II-B-9/2-3-1</t>
  </si>
  <si>
    <t>Paid</t>
  </si>
  <si>
    <t>Due</t>
  </si>
  <si>
    <t>Later of Paid</t>
  </si>
  <si>
    <t>Prepaid</t>
  </si>
  <si>
    <t>Prepaid Local Franchise Tax</t>
  </si>
  <si>
    <t>Prepaid Non-labor (Third Party) O&amp;M</t>
  </si>
  <si>
    <t>Lead Days from Midpoint to Payroll Payment Date</t>
  </si>
  <si>
    <t>Due Date</t>
  </si>
  <si>
    <t>IBNR Per Injury Prop Damage</t>
  </si>
  <si>
    <t>A/R Balance</t>
  </si>
  <si>
    <t>Total Transmission &amp; Distribution</t>
  </si>
  <si>
    <t>Payroll Type</t>
  </si>
  <si>
    <t>Period/Business Unit</t>
  </si>
  <si>
    <t>Withholding Amount</t>
  </si>
  <si>
    <t>PAYROLL LEAD - BI-WEEKLY PAYROLL CALCULATION</t>
  </si>
  <si>
    <t>PAYROLL LEAD - SEMI-MONTHLY PAYROLL CALCULATION</t>
  </si>
  <si>
    <t>PAYROLL LEAD - PAY CYCLE CALCULATION</t>
  </si>
  <si>
    <t>PAYROLL LEAD - CHECK FLOAT CALCULATION</t>
  </si>
  <si>
    <t>LABOR - PAYROLL LEAD DAYS</t>
  </si>
  <si>
    <t>FEDERAL INCOME TAX LEAD DAYS</t>
  </si>
  <si>
    <t>PAYROLL TAXES - FEDERAL AND STATE UNEMPLOYMENT TAX LEAD DAY CALCULATION - DISTRIBUTION</t>
  </si>
  <si>
    <t>PAYROLL TAXES - FICA TAX LEAD DAY CALCULATION - TRANSMISSION</t>
  </si>
  <si>
    <t>PAYROLL TAXES - FICA TAX LEAD DAY CALCULATION - DISTRIBUTION</t>
  </si>
  <si>
    <t>PAYROLL TAXES - FEDERAL AND STATE UNEMPLOYMENT TAX LEAD DAY CALCULATION - TRANSMISSION</t>
  </si>
  <si>
    <t>PAYROLL TAX LEAD DAY CALCULATION</t>
  </si>
  <si>
    <t>PAYROLL WITHHOLDING BALANCES</t>
  </si>
  <si>
    <t>DEFERRED DEBITS/CREDITS SUMMARY</t>
  </si>
  <si>
    <t>EMPLOYEE ACCOUNT RECEIVABLE - TRANSMISSION</t>
  </si>
  <si>
    <t>PREPAID O&amp;M AMORTIZATION</t>
  </si>
  <si>
    <t>Total Payroll Related Taxes</t>
  </si>
  <si>
    <t>Misc. Working Funds</t>
  </si>
  <si>
    <t>Misc. Deferred Debits &amp; Credits</t>
  </si>
  <si>
    <t>Home Purchase Plan</t>
  </si>
  <si>
    <t>Other Accounts Receivables</t>
  </si>
  <si>
    <t>LABOR - INCENTIVE PAY LEAD DAYS</t>
  </si>
  <si>
    <t>Incentive Pay</t>
  </si>
  <si>
    <t>METER READER INCENTIVE LEAD DAYS - PAYMENT CALCULATION</t>
  </si>
  <si>
    <t>Col (b) Ln 48 plus Col (b) Ln 49 divided by 2</t>
  </si>
  <si>
    <t>Employee loan used for the purchase of appliances.</t>
  </si>
  <si>
    <t>Sources:</t>
  </si>
  <si>
    <t>BILLING LAG</t>
  </si>
  <si>
    <t>Hours</t>
  </si>
  <si>
    <t>Period from Meter Reading Date to Invoice Date:</t>
  </si>
  <si>
    <t>Calculated from invoice sample</t>
  </si>
  <si>
    <t>Total Billing Lag Days</t>
  </si>
  <si>
    <t>Amort of</t>
  </si>
  <si>
    <t>Accrued</t>
  </si>
  <si>
    <t>Portion</t>
  </si>
  <si>
    <t>Schedule II-D-3 *</t>
  </si>
  <si>
    <t>*Net of Incentive Pay</t>
  </si>
  <si>
    <t>PAYROLL LEAD - BI-WEEKLY/SEMI-MONTHLY PAY CALCULATION</t>
  </si>
  <si>
    <t>Monthly Total</t>
  </si>
  <si>
    <t>Total Accounts Receivable</t>
  </si>
  <si>
    <t>Subtotal</t>
  </si>
  <si>
    <t>14 days.   Midpoint = 7</t>
  </si>
  <si>
    <t>Col (b) Ln 13 plus Col (b) Ln 19 plus Col (b) Ln 42</t>
  </si>
  <si>
    <t>Col (b) Ln 14 plus Col (b) Ln 20 plus Col (b) Ln 43</t>
  </si>
  <si>
    <t>REVENUE LAG BY REVENUE TYPE</t>
  </si>
  <si>
    <t>OVERALL REVENUE LAG</t>
  </si>
  <si>
    <t>WP/II-B-9/1-1-2</t>
  </si>
  <si>
    <t>WP/II-B-9/1-1-3</t>
  </si>
  <si>
    <t>Invoice Number</t>
  </si>
  <si>
    <t>Meter Read Date</t>
  </si>
  <si>
    <t>Invoice Date</t>
  </si>
  <si>
    <t>Lag Days from Meter Read to Invoice</t>
  </si>
  <si>
    <t>Meter Read Day of Week</t>
  </si>
  <si>
    <t>REVENUE LAG - CALCULATION OF LAG DAYS FROM METER READ TO INVOICE (INVOICE SAMPLE RESULTS)</t>
  </si>
  <si>
    <t>WP/II-B-9/1-1-2-1</t>
  </si>
  <si>
    <t>CALCULATION OF COLLECTION LAG</t>
  </si>
  <si>
    <t>Collection Lag Days</t>
  </si>
  <si>
    <t>WP/II-B-9/1-1-3-1</t>
  </si>
  <si>
    <t>Source: WP/II-B-9/1-1-3-1-1</t>
  </si>
  <si>
    <t>Begin</t>
  </si>
  <si>
    <t>Type of</t>
  </si>
  <si>
    <t>Begin Date</t>
  </si>
  <si>
    <t>NON-LABOR O&amp;M - THIRD PARTY O&amp;M - TRANSMISSION</t>
  </si>
  <si>
    <t>Strata</t>
  </si>
  <si>
    <t>Population</t>
  </si>
  <si>
    <t>Item Amount_&gt;= $10,000 and &lt;= $25,000</t>
  </si>
  <si>
    <t>Item Amount &lt; $10,000</t>
  </si>
  <si>
    <t>Item Amount &gt; $25,000</t>
  </si>
  <si>
    <t>NON-LABOR O&amp;M - THIRD PARTY O&amp;M SAMPLE - TRANSMISSION (STRATA 1: &lt;$10,000)</t>
  </si>
  <si>
    <t>NON-LABOR O&amp;M - THIRD PARTY O&amp;M SAMPLE - TRANSMISSION (STRATA 3: &gt;$25,000)</t>
  </si>
  <si>
    <t>NON-LABOR O&amp;M - THIRD PARTY O&amp;M SAMPLE - TRANSMISSION (STRATA 2: &gt;=$10,000 AND &lt;=$25,000)</t>
  </si>
  <si>
    <t>NON-LABOR O&amp;M - THIRD PARTY O&amp;M - DISTRIBUTION</t>
  </si>
  <si>
    <t>NON-LABOR O&amp;M - THIRD PARTY O&amp;M SAMPLE - DISTRIBUTION (STRATA 1: &lt;$10,000)</t>
  </si>
  <si>
    <t>NON-LABOR O&amp;M - THIRD PARTY O&amp;M SAMPLE - DISTRIBUTION (STRATA 2: &gt;=$10,000 AND &lt;=$25,000)</t>
  </si>
  <si>
    <t>NON-LABOR O&amp;M - THIRD PARTY O&amp;M SAMPLE - DISTRIBUTION (STRATA 3: &gt;$25,000)</t>
  </si>
  <si>
    <t>NON-LABOR O&amp;M - THIRD PARTY O&amp;M SAMPLE - CORPORATE (DETAIL)</t>
  </si>
  <si>
    <t>County</t>
  </si>
  <si>
    <t>Collector</t>
  </si>
  <si>
    <t>Collection Lag (Line 1/Line 2)</t>
  </si>
  <si>
    <t>STATE GROSS MARGIN TAX</t>
  </si>
  <si>
    <t>Local Gross Receipt Taxes are either prepaid from account 165.9000 or in arrears from Account 236.2410</t>
  </si>
  <si>
    <t>Discretionary Charges are all paid from account 236.2415 and were paid by check.</t>
  </si>
  <si>
    <t>* Twenty five largest tax payments were used.  Top Twenty five = 69% of payments for local gross receipts</t>
  </si>
  <si>
    <t>Amortized O&amp;M Expenses</t>
  </si>
  <si>
    <t>WP/II-B-9/13-1</t>
  </si>
  <si>
    <t>WP/II-B-9/13-2</t>
  </si>
  <si>
    <t>WP/II-B-9/13-3</t>
  </si>
  <si>
    <t>WP/II-B-9/13-4</t>
  </si>
  <si>
    <t>WP/II-B-9/13-5</t>
  </si>
  <si>
    <t>WP/II-B-9/13-1-1 AND WP/II-B-9/13-1-2</t>
  </si>
  <si>
    <t>WP/II-B-9/13-1-3 AND WP/II-B-9/13-1-4</t>
  </si>
  <si>
    <t>WP/II-B-9/13-1-5 AND WP/II-B-9/13-1-6</t>
  </si>
  <si>
    <t>WP/II-B-9/13-2-1</t>
  </si>
  <si>
    <t>WP/II-B-9/13-2-2</t>
  </si>
  <si>
    <t>WP/II-B-9/13-2-3</t>
  </si>
  <si>
    <t>WP/II-B-9/13-3-1</t>
  </si>
  <si>
    <t>WP/II-B-9/13-3-2</t>
  </si>
  <si>
    <t>WP/II-B-9/13-3-1-1</t>
  </si>
  <si>
    <t>WP/II-B-9/13-3-1-2</t>
  </si>
  <si>
    <t>WP/II-B-9/13-3-2-1</t>
  </si>
  <si>
    <t>WP/II-B-9/13-3-2-2</t>
  </si>
  <si>
    <t>WP/II-B-9/13-5-1</t>
  </si>
  <si>
    <t>WP/II-B-9/13-5-2</t>
  </si>
  <si>
    <t>WP/II-B-9/15</t>
  </si>
  <si>
    <t>WP/II-B-9/6-1</t>
  </si>
  <si>
    <t>WP/II-B-9/6-2</t>
  </si>
  <si>
    <t>WP/II-B-9/6-3</t>
  </si>
  <si>
    <t>WP/II-B-9/6-1-1</t>
  </si>
  <si>
    <t>WP/II-B-9/6-1-2</t>
  </si>
  <si>
    <t>WP/II-B-9/6-1-3</t>
  </si>
  <si>
    <t>WP/II-B-9/6-2-1</t>
  </si>
  <si>
    <t>WP/II-B-9/6-2-2</t>
  </si>
  <si>
    <t>WP/II-B-9/6-2-3</t>
  </si>
  <si>
    <t>WP/II-B-9/8-1</t>
  </si>
  <si>
    <t>WP/II-B-9/8-2</t>
  </si>
  <si>
    <t>Transmission (WP/II-B-9/8-1-2)</t>
  </si>
  <si>
    <t>NON-LABOR O&amp;M - OTHER THIRD PARTY O&amp;M</t>
  </si>
  <si>
    <t>TCOS - NON-ONCOR</t>
  </si>
  <si>
    <t>Scheduled Payday</t>
  </si>
  <si>
    <t>Actual Payday</t>
  </si>
  <si>
    <t>Days from end of Service Period to Payment</t>
  </si>
  <si>
    <t>TCOS</t>
  </si>
  <si>
    <t>Oncor</t>
  </si>
  <si>
    <t>Non-Oncor</t>
  </si>
  <si>
    <t>Payroll Withholdings</t>
  </si>
  <si>
    <t>LEAD-LAG STUDY RESULTS</t>
  </si>
  <si>
    <t>WP/II-B-9/6-4</t>
  </si>
  <si>
    <t xml:space="preserve">      Other O&amp;M</t>
  </si>
  <si>
    <t>Source - Trial Balance - TRN</t>
  </si>
  <si>
    <t>Source - Trial Balance - ESD</t>
  </si>
  <si>
    <t>Source - Trial Balance - TRNDS</t>
  </si>
  <si>
    <t>Source - Tabs 13-3-1-1 &amp; 13-3-1-2-TRN</t>
  </si>
  <si>
    <t>Source - Tabs 13-3-2-1 &amp; 13-3-2-2-ESD</t>
  </si>
  <si>
    <t>Transmission Activity</t>
  </si>
  <si>
    <t>Distribution Activity</t>
  </si>
  <si>
    <t>174.6000</t>
  </si>
  <si>
    <t>Energy Cons. Activity</t>
  </si>
  <si>
    <t>Appliances Activity</t>
  </si>
  <si>
    <t>Payroll Adv. Activity</t>
  </si>
  <si>
    <t>EMPLOYEE ACCOUNT RECEIVABLE - DISTRIBUTION</t>
  </si>
  <si>
    <t>Third Cycle</t>
  </si>
  <si>
    <t>Current Software Services &amp; Maintenance</t>
  </si>
  <si>
    <t>% of Total</t>
  </si>
  <si>
    <t>Payment Date</t>
  </si>
  <si>
    <t>Dollars</t>
  </si>
  <si>
    <t xml:space="preserve">Dollars </t>
  </si>
  <si>
    <t xml:space="preserve">Source:   </t>
  </si>
  <si>
    <t>FIT Payment Dates.pdf</t>
  </si>
  <si>
    <t>ONCOR ELECTRIC DELIVERY COMPANY LLC</t>
  </si>
  <si>
    <t>O&amp;M EXPENDITURES - PENSION BENEFITS</t>
  </si>
  <si>
    <t>Payment Type</t>
  </si>
  <si>
    <t>Payment Amount</t>
  </si>
  <si>
    <t xml:space="preserve">      Pension &amp; Supplemental Retirement Benefits </t>
  </si>
  <si>
    <t xml:space="preserve">      Other Post-Employment Benefits </t>
  </si>
  <si>
    <t>WP/II-B-9/6-5</t>
  </si>
  <si>
    <t>Adjusted</t>
  </si>
  <si>
    <t>Qtr-Ending Average</t>
  </si>
  <si>
    <t>1862700 – Job Orders are set up to accumulate job costs and are subsequently cleared to O&amp;M, Capital,</t>
  </si>
  <si>
    <t>or Regulatory Assets upon completion</t>
  </si>
  <si>
    <t>Adjusted Total</t>
  </si>
  <si>
    <t>Adjusted Average</t>
  </si>
  <si>
    <t>Monthly/Quarter Total</t>
  </si>
  <si>
    <t>Loans to employees to purchase qualifying "energy efficient" items.  The Company pays 90% of the total cost and</t>
  </si>
  <si>
    <t xml:space="preserve">   an amount is deducted from the employee's check.</t>
  </si>
  <si>
    <t>Test Year Incentive</t>
  </si>
  <si>
    <t>Total Adjusted Incentive</t>
  </si>
  <si>
    <t>Biweekly</t>
  </si>
  <si>
    <t>Semimonthly</t>
  </si>
  <si>
    <t>PEP AWARD LEAD PAYMENT CALCULATION</t>
  </si>
  <si>
    <t>(7 days) + (4.96 days) =</t>
  </si>
  <si>
    <t xml:space="preserve">Total </t>
  </si>
  <si>
    <t>PAYROLL LEAD - HOLIDAY/WEEKEND FACTOR CALCULATION - SEMI MONTHLY</t>
  </si>
  <si>
    <t>Average of Lead Days Before Payment</t>
  </si>
  <si>
    <t>PAYROLL LEAD - HOLIDAY/WEEKEND FACTOR CALCULATION - BI-WEEKLY</t>
  </si>
  <si>
    <t>Normal Payment Lead Days</t>
  </si>
  <si>
    <t>Lead Days Reflecting Holiday Adjustments</t>
  </si>
  <si>
    <t>Number of Annual Payroll Cycles</t>
  </si>
  <si>
    <t xml:space="preserve">  (If the scheduled pay date is a holiday, payment is made on the preceding work day.  During</t>
  </si>
  <si>
    <t>Payment Checks or Direct Deposits typically are made on Friday, five days after end of pay period.</t>
  </si>
  <si>
    <t>Benefit Period Dates</t>
  </si>
  <si>
    <t>Beginning</t>
  </si>
  <si>
    <t>Ending</t>
  </si>
  <si>
    <t>Benefit Period Mid-Point</t>
  </si>
  <si>
    <t>(h) = (g) - (a)</t>
  </si>
  <si>
    <t>(i) = (c) * (h)</t>
  </si>
  <si>
    <t>Total Payments and Weighted Dollar Days</t>
  </si>
  <si>
    <t>Payment (Lead)/Lag</t>
  </si>
  <si>
    <t>O&amp;M EXPENDITURES - OTHER POST-EMPLOYMENT BENEFITS</t>
  </si>
  <si>
    <t>Pension and OPEB Funding.xlsx</t>
  </si>
  <si>
    <t>Payroll semi-monthly &amp; bi-weekly.xlsx</t>
  </si>
  <si>
    <t>Payroll manual check sample.xlsx</t>
  </si>
  <si>
    <t>Payroll pay cycles.xlsx</t>
  </si>
  <si>
    <t>Holidays.xlsx</t>
  </si>
  <si>
    <t>Payroll direct deposit.xlsx</t>
  </si>
  <si>
    <t>Payroll Account</t>
  </si>
  <si>
    <t>Amortization of prepaids - Local Gross Receipts tax.xlsx</t>
  </si>
  <si>
    <t>Daily Receivable Backup.xlsx</t>
  </si>
  <si>
    <t>Revenue billing sample.xlsx</t>
  </si>
  <si>
    <t>FIM Revenue.xlsx</t>
  </si>
  <si>
    <t xml:space="preserve">  No Longer have Meter Readers thus no incentive effective 1/13.</t>
  </si>
  <si>
    <t>Taxes other than income - Local Gross Receipts.xlsx</t>
  </si>
  <si>
    <t>Tax other than income - Ad Valorem.xlsx</t>
  </si>
  <si>
    <t>Payroll Deduction - Other</t>
  </si>
  <si>
    <t>Payroll Deduction - Other Activity</t>
  </si>
  <si>
    <t>Misc items - ESD.xlsx</t>
  </si>
  <si>
    <t>Misc items - TRN.xlsx</t>
  </si>
  <si>
    <t>Outstanding balances of employee miscellaneous receivables.</t>
  </si>
  <si>
    <t>Thrift.xlsx</t>
  </si>
  <si>
    <t>Taxes Other Than Income - Payroll Taxes.xlsx</t>
  </si>
  <si>
    <t>Tax Other Than Income - Payroll Taxes.xlsx</t>
  </si>
  <si>
    <t>Amortization of Prepaids.xlsx</t>
  </si>
  <si>
    <t xml:space="preserve">  the test period, with the exception of one instance, all paydays fell on the regularly scheduled Friday.) </t>
  </si>
  <si>
    <t>or Due Date</t>
  </si>
  <si>
    <t>(365.25 days/12 months)/2</t>
  </si>
  <si>
    <t>(j) = (h) - (i)</t>
  </si>
  <si>
    <t>(k) = (d) * (j)</t>
  </si>
  <si>
    <t>Service Period</t>
  </si>
  <si>
    <t>Statutory Payment</t>
  </si>
  <si>
    <t>Invoicing Period</t>
  </si>
  <si>
    <t>Start at midnight and end at 5 p.m.</t>
  </si>
  <si>
    <r>
      <t xml:space="preserve">Corporate </t>
    </r>
    <r>
      <rPr>
        <sz val="12"/>
        <rFont val="Arial"/>
        <family val="2"/>
      </rPr>
      <t>*</t>
    </r>
  </si>
  <si>
    <r>
      <rPr>
        <sz val="12"/>
        <rFont val="Arial"/>
        <family val="2"/>
      </rPr>
      <t xml:space="preserve"> *</t>
    </r>
    <r>
      <rPr>
        <sz val="10"/>
        <rFont val="Arial"/>
        <family val="2"/>
      </rPr>
      <t xml:space="preserve"> Source:   </t>
    </r>
  </si>
  <si>
    <t>Total Distrib.</t>
  </si>
  <si>
    <t>Retirement Payments and Weighted Dollar Days</t>
  </si>
  <si>
    <t>Adjustment Needed</t>
  </si>
  <si>
    <t>Adjusted Incentive</t>
  </si>
  <si>
    <t>Source 1</t>
  </si>
  <si>
    <t xml:space="preserve">Source 1: </t>
  </si>
  <si>
    <t xml:space="preserve"> </t>
  </si>
  <si>
    <t>Misc. items - TRN.xlsx</t>
  </si>
  <si>
    <t>Depository Bank Accounts</t>
  </si>
  <si>
    <t>BNY Mellon</t>
  </si>
  <si>
    <t>Miscellaneous Rcpts Acct</t>
  </si>
  <si>
    <t>Rep Receipt Account</t>
  </si>
  <si>
    <t>Cash Concentration Acct</t>
  </si>
  <si>
    <t>OPEB-FAS 106</t>
  </si>
  <si>
    <t>NON-LABOR O&amp;M  -  ONCOR ELECTRIC DELIVERY COMPANY LLC AND OTHER AFFILIATES</t>
  </si>
  <si>
    <t>Payroll Calendar Semi-Monthly</t>
  </si>
  <si>
    <t>Weighted Average Payment Lead =  Column (i), Line 13 divided by Column (c), Line 13</t>
  </si>
  <si>
    <t>Bi-Weekly Payroll Calendar 2020.xlsx</t>
  </si>
  <si>
    <t>Midpoint of Service Period</t>
  </si>
  <si>
    <t>BU</t>
  </si>
  <si>
    <t>TRNDS</t>
  </si>
  <si>
    <t>Retirement Plan</t>
  </si>
  <si>
    <t>Weighted Average Payment Lead =  Column (i), Line 31 divided by Column (c), Line 31</t>
  </si>
  <si>
    <t>Supplemental Retirement Plan</t>
  </si>
  <si>
    <t>Suppl. Payments and Weighted Dollar Days</t>
  </si>
  <si>
    <t>Weighted Average Payment Lead =  Column (i), Line 27 divided by Column (c), Line 27</t>
  </si>
  <si>
    <t>Weighted Average Payment Lead =  Column (i), Line 18 divided by Column (c), Line 18</t>
  </si>
  <si>
    <t>3rd party O&amp;M - ESD sample.XLSX</t>
  </si>
  <si>
    <t>3rd party O&amp;M - ESD sample.xlsx</t>
  </si>
  <si>
    <t>Lead Lag Sample.xlsx</t>
  </si>
  <si>
    <t>Lead Lag Samples</t>
  </si>
  <si>
    <t>SPONSOR:  A. THENMADATHIL</t>
  </si>
  <si>
    <t>( e )</t>
  </si>
  <si>
    <t>Avg Bank Bal - Col (f) Ln 13 divided by</t>
  </si>
  <si>
    <t>CC&amp;B</t>
  </si>
  <si>
    <t>CC&amp;B Revenue.xlsx</t>
  </si>
  <si>
    <t>Sum of CC&amp;B Daily A/R Balances</t>
  </si>
  <si>
    <t>2022 RATE CASE</t>
  </si>
  <si>
    <t>Affiliate Payment Dates 12ME 9.30.21.pdf</t>
  </si>
  <si>
    <t>October 2020</t>
  </si>
  <si>
    <t>September 2021</t>
  </si>
  <si>
    <t>Average Daily Amount (Col (b) Ln 29 divided by 365.25)</t>
  </si>
  <si>
    <t>(Lead)/Lag Days Total (Col (d) Ln 29)</t>
  </si>
  <si>
    <t>Total Withholding (Col (d)  Ln 31 times Ln 33)</t>
  </si>
  <si>
    <t>Average Daily Amount (Col (b) Ln 41 divided by 365.25):</t>
  </si>
  <si>
    <t>(Lead)/Lag Days Total (Col (d) Ln 41)</t>
  </si>
  <si>
    <t>Total Withholding (Col (d)  Ln 43 times Ln 45)</t>
  </si>
  <si>
    <t>Average Daily Amount (Col (b) Ln 85 divided by 365.25):</t>
  </si>
  <si>
    <t>(Lead)/Lag Days Total (Col (d) Ln 85)</t>
  </si>
  <si>
    <t>Total Withholding (Col (d)  Ln 87 times Ln 89)</t>
  </si>
  <si>
    <t>Average Daily Amount (Col (b) Ln 43 divided by 365.25)</t>
  </si>
  <si>
    <t>(Lead)/Lag Days Total (Col (d) Ln 43)</t>
  </si>
  <si>
    <t>Total Withholding (Col (d)  Ln 45 times Ln 47)</t>
  </si>
  <si>
    <t>Average Daily Amount (Col (b) Ln 81 divided by 365.25)</t>
  </si>
  <si>
    <t>(Lead)/Lag Days Total (Col (d) Ln 81)</t>
  </si>
  <si>
    <t>Total Withholding (Col (d)  Ln 83 times Ln 85)</t>
  </si>
  <si>
    <t>Average Daily Amount (Col (b) Ln 55 divided by 365.25)</t>
  </si>
  <si>
    <t>(Lead)/Lag Days Total (Col (d) Ln 55)</t>
  </si>
  <si>
    <t>Total Withholding (Col (d)  Ln 57 times Ln 59)</t>
  </si>
  <si>
    <t>Bi-Weekly Payroll Calendar 2021.xlsx</t>
  </si>
  <si>
    <t>Note:  Top 25 payments to collectors represent approximately 68% of total payments.</t>
  </si>
  <si>
    <t>8100077074126595973Z11</t>
  </si>
  <si>
    <t>8100049185045251330Z10</t>
  </si>
  <si>
    <t>8100024388456009046Z12</t>
  </si>
  <si>
    <t>8100085552562066843Z11</t>
  </si>
  <si>
    <t>8100067654692395487Z05</t>
  </si>
  <si>
    <t>8100071883947499761Z10</t>
  </si>
  <si>
    <t>8100011182484050189Z11</t>
  </si>
  <si>
    <t>8100071193269760821Z10</t>
  </si>
  <si>
    <t>8100099838838429441Z05</t>
  </si>
  <si>
    <t>8100042975703997060Z11</t>
  </si>
  <si>
    <t>8100521646481945548Z11</t>
  </si>
  <si>
    <t>8100078797199145876Z11</t>
  </si>
  <si>
    <t>8100094467212000969Z11</t>
  </si>
  <si>
    <t>8100071300560795773Z12</t>
  </si>
  <si>
    <t>8100092559807215709Z10</t>
  </si>
  <si>
    <t>8100032588616009555Z09</t>
  </si>
  <si>
    <t>8100046564797132938Z11</t>
  </si>
  <si>
    <t>8100020663865963130Z10</t>
  </si>
  <si>
    <t>8100016737058668827Z11</t>
  </si>
  <si>
    <t>8100096370540686678Z11</t>
  </si>
  <si>
    <t>8100089789386514010Z10</t>
  </si>
  <si>
    <t>8100014892445356346Z12</t>
  </si>
  <si>
    <t>8100058164301059281Z12</t>
  </si>
  <si>
    <t>8100046660955076746Z11</t>
  </si>
  <si>
    <t>8100036047276265711Z11</t>
  </si>
  <si>
    <t>8100092695137716728Z07</t>
  </si>
  <si>
    <t>8100062046008737137Z10</t>
  </si>
  <si>
    <t>8100084276401483618Z10</t>
  </si>
  <si>
    <t>8100081252688640270Z10</t>
  </si>
  <si>
    <t>8100035760245182686Z12</t>
  </si>
  <si>
    <t>8100062657868461760Z10</t>
  </si>
  <si>
    <t>8100019808188050738Z10</t>
  </si>
  <si>
    <t>8100002050904667824Z05</t>
  </si>
  <si>
    <t>8100037667649334031Z10</t>
  </si>
  <si>
    <t>8100059028551664170Z10</t>
  </si>
  <si>
    <t>8100011963142913465Z11</t>
  </si>
  <si>
    <t>8100007713157897318Z12</t>
  </si>
  <si>
    <t>8100052226534233067Z10</t>
  </si>
  <si>
    <t>8100033480275522923Z12</t>
  </si>
  <si>
    <t>8100087963832739539Z10</t>
  </si>
  <si>
    <t>8100077479434789320Z10</t>
  </si>
  <si>
    <t>8100018355399108678Z10</t>
  </si>
  <si>
    <t>8100018168701627968Z10</t>
  </si>
  <si>
    <t>8100014878515836248Z06</t>
  </si>
  <si>
    <t>8100055367542164141Z10</t>
  </si>
  <si>
    <t>8100017755459045213Z10</t>
  </si>
  <si>
    <t>8100043730954425439Z10</t>
  </si>
  <si>
    <t>8100099889985935985Z12</t>
  </si>
  <si>
    <t>8100094024334218918Z12</t>
  </si>
  <si>
    <t>8100040281743671363Z10</t>
  </si>
  <si>
    <t>8100024726820145208Z10</t>
  </si>
  <si>
    <t>8100026951232639322Z10</t>
  </si>
  <si>
    <t>8100071719156021454Z10</t>
  </si>
  <si>
    <t>8100010879393209558Z07</t>
  </si>
  <si>
    <t>8100079087361026687Z11</t>
  </si>
  <si>
    <t>8100077663497250430Z10</t>
  </si>
  <si>
    <t>8100080521212495869Z05</t>
  </si>
  <si>
    <t>8100039073011168055Z11</t>
  </si>
  <si>
    <t>8100069329120748832Z10</t>
  </si>
  <si>
    <t>8100048926514972078Z10</t>
  </si>
  <si>
    <t>8100037853653739443Z10</t>
  </si>
  <si>
    <t>8100080456219611987Z10</t>
  </si>
  <si>
    <t>8100022594781329054Z10</t>
  </si>
  <si>
    <t>8100049508108927390Z11</t>
  </si>
  <si>
    <t>8100088592851062141Z11</t>
  </si>
  <si>
    <t>8100055474539217486Z12</t>
  </si>
  <si>
    <t>8100035976680828987Z10</t>
  </si>
  <si>
    <t>8100051890455261857Z10</t>
  </si>
  <si>
    <t>8100083058030129086Z09</t>
  </si>
  <si>
    <t>8100596842509602585Z20</t>
  </si>
  <si>
    <t>8100041825111102939Z10</t>
  </si>
  <si>
    <t>8100059973690690720Z10</t>
  </si>
  <si>
    <t>8100060912810211709Z10</t>
  </si>
  <si>
    <t>8100070357497765763Z11</t>
  </si>
  <si>
    <t>8100008821924166644Z10</t>
  </si>
  <si>
    <t>8100018954275765477Z11</t>
  </si>
  <si>
    <t>8100035506104521839Z11</t>
  </si>
  <si>
    <t>8100009384488554539Z11</t>
  </si>
  <si>
    <t>8100072515593372843Z11</t>
  </si>
  <si>
    <t>8100028128695919930Z11</t>
  </si>
  <si>
    <t>8100081338536924045Z10</t>
  </si>
  <si>
    <t>8100079304813040531Z12</t>
  </si>
  <si>
    <t>8100011314505525524Z13</t>
  </si>
  <si>
    <t>8100085602856111852Z13</t>
  </si>
  <si>
    <t>8100059242118099064Z12</t>
  </si>
  <si>
    <t>8100083710538997582Z11</t>
  </si>
  <si>
    <t>8100016721250593117Z10</t>
  </si>
  <si>
    <t>8100088629683762687Z10</t>
  </si>
  <si>
    <t>8100097257732128462Z10</t>
  </si>
  <si>
    <t>8100043720164249773Z05</t>
  </si>
  <si>
    <t>8100075059099191647Z09</t>
  </si>
  <si>
    <t>8100082361928190354Z10</t>
  </si>
  <si>
    <t>8100073068115991593Z10</t>
  </si>
  <si>
    <t>8100058202246720741Z10</t>
  </si>
  <si>
    <t>8100017651564104067Z11</t>
  </si>
  <si>
    <t>8100085222343481754Z10</t>
  </si>
  <si>
    <t>8100064342553412121Z09</t>
  </si>
  <si>
    <t>8100005150219031212Z10</t>
  </si>
  <si>
    <t>8100052073228917500Z07</t>
  </si>
  <si>
    <t>8100019298545465398Z11</t>
  </si>
  <si>
    <t>8100090437295779173Z10</t>
  </si>
  <si>
    <t>8100080284696444662Z11</t>
  </si>
  <si>
    <t>8100021934247279433Z10</t>
  </si>
  <si>
    <t>8100000444598905006Z09</t>
  </si>
  <si>
    <t>8100063203238295309Z09</t>
  </si>
  <si>
    <t>8100046575365264699Z12</t>
  </si>
  <si>
    <t>8100009599877316739Z11</t>
  </si>
  <si>
    <t>8100024207857941884Z11</t>
  </si>
  <si>
    <t>8100011350904150706Z12</t>
  </si>
  <si>
    <t>8100071191489146244Z06</t>
  </si>
  <si>
    <t>8100025858545970203Z11</t>
  </si>
  <si>
    <t>8100087315890512844Z10</t>
  </si>
  <si>
    <t>8100054619165228276Z10</t>
  </si>
  <si>
    <t>8100062710534570531Z10</t>
  </si>
  <si>
    <t>8100069823288727892Z10</t>
  </si>
  <si>
    <t>8100022522127137542Z10</t>
  </si>
  <si>
    <t>SATURDAY</t>
  </si>
  <si>
    <t>TUESDAY</t>
  </si>
  <si>
    <t>SUNDAY</t>
  </si>
  <si>
    <t>WEDNESDAY</t>
  </si>
  <si>
    <t>MONDAY</t>
  </si>
  <si>
    <t>FRIDAY</t>
  </si>
  <si>
    <t>THURSDAY</t>
  </si>
  <si>
    <t>00480188</t>
  </si>
  <si>
    <t>00492304</t>
  </si>
  <si>
    <t>00506451</t>
  </si>
  <si>
    <t>00457901</t>
  </si>
  <si>
    <t>00469853</t>
  </si>
  <si>
    <t>00508209</t>
  </si>
  <si>
    <t>00462114</t>
  </si>
  <si>
    <t>00509932</t>
  </si>
  <si>
    <t>00457903</t>
  </si>
  <si>
    <t>00461902</t>
  </si>
  <si>
    <t xml:space="preserve">3rd party O&amp;M - TRNDS sample </t>
  </si>
  <si>
    <t>Lead Lag Samples.xlsx</t>
  </si>
  <si>
    <t>Bank balances 12.31.21.xlsx</t>
  </si>
  <si>
    <t>G/L Balance @ 12/31/21</t>
  </si>
  <si>
    <t>M834028</t>
  </si>
  <si>
    <t>M809469</t>
  </si>
  <si>
    <t>M823693</t>
  </si>
  <si>
    <t>M838482</t>
  </si>
  <si>
    <t>00466883</t>
  </si>
  <si>
    <t>M932779</t>
  </si>
  <si>
    <t>00508071</t>
  </si>
  <si>
    <t>00487902</t>
  </si>
  <si>
    <t>00521915</t>
  </si>
  <si>
    <t>00512835</t>
  </si>
  <si>
    <t>00523186</t>
  </si>
  <si>
    <t>00472865</t>
  </si>
  <si>
    <t>M884832</t>
  </si>
  <si>
    <t>00512925</t>
  </si>
  <si>
    <t>M910086</t>
  </si>
  <si>
    <t>M823852</t>
  </si>
  <si>
    <t>M977074</t>
  </si>
  <si>
    <t>00474700</t>
  </si>
  <si>
    <t>00484106</t>
  </si>
  <si>
    <t>M865072</t>
  </si>
  <si>
    <t>M863031</t>
  </si>
  <si>
    <t>M963616</t>
  </si>
  <si>
    <t>00473315</t>
  </si>
  <si>
    <t>00477983</t>
  </si>
  <si>
    <t>00475792</t>
  </si>
  <si>
    <t>00504389</t>
  </si>
  <si>
    <t>M914529</t>
  </si>
  <si>
    <t>00459663</t>
  </si>
  <si>
    <t>M853001</t>
  </si>
  <si>
    <t>M965115</t>
  </si>
  <si>
    <t>M846622</t>
  </si>
  <si>
    <t>M880920</t>
  </si>
  <si>
    <t>M837708</t>
  </si>
  <si>
    <t>M971020</t>
  </si>
  <si>
    <t>M984391</t>
  </si>
  <si>
    <t>M884208</t>
  </si>
  <si>
    <t>00474276</t>
  </si>
  <si>
    <t>00521047</t>
  </si>
  <si>
    <t>M880542</t>
  </si>
  <si>
    <t>M887856</t>
  </si>
  <si>
    <t>M985744</t>
  </si>
  <si>
    <t>M832909</t>
  </si>
  <si>
    <t>M827173</t>
  </si>
  <si>
    <t>M880921</t>
  </si>
  <si>
    <t>M866267</t>
  </si>
  <si>
    <t>M910095</t>
  </si>
  <si>
    <t>M823043</t>
  </si>
  <si>
    <t>00517300</t>
  </si>
  <si>
    <t>00513050</t>
  </si>
  <si>
    <t>M982737</t>
  </si>
  <si>
    <t>M995786</t>
  </si>
  <si>
    <t>M965005</t>
  </si>
  <si>
    <t>M847988</t>
  </si>
  <si>
    <t>M931742</t>
  </si>
  <si>
    <t>M906842</t>
  </si>
  <si>
    <t>M865074</t>
  </si>
  <si>
    <t>M938837</t>
  </si>
  <si>
    <t>M956977</t>
  </si>
  <si>
    <t>00493167</t>
  </si>
  <si>
    <t>M788023</t>
  </si>
  <si>
    <t>M968013</t>
  </si>
  <si>
    <t>00522123</t>
  </si>
  <si>
    <t>M946019</t>
  </si>
  <si>
    <t>M850441</t>
  </si>
  <si>
    <t>M997154</t>
  </si>
  <si>
    <t>00462030</t>
  </si>
  <si>
    <t>00457936</t>
  </si>
  <si>
    <t>00501568</t>
  </si>
  <si>
    <t>M925724</t>
  </si>
  <si>
    <t>00483673</t>
  </si>
  <si>
    <t>M913793</t>
  </si>
  <si>
    <t>00508717</t>
  </si>
  <si>
    <t>M929919</t>
  </si>
  <si>
    <t>00498823</t>
  </si>
  <si>
    <t>M889957</t>
  </si>
  <si>
    <t>00470283</t>
  </si>
  <si>
    <t>00518590</t>
  </si>
  <si>
    <t>00465104</t>
  </si>
  <si>
    <t>00518893</t>
  </si>
  <si>
    <t>00476576</t>
  </si>
  <si>
    <t>00508794</t>
  </si>
  <si>
    <t>00457962</t>
  </si>
  <si>
    <t>00490414</t>
  </si>
  <si>
    <t>00514109</t>
  </si>
  <si>
    <t>00483391</t>
  </si>
  <si>
    <t>00514886</t>
  </si>
  <si>
    <t>M970664</t>
  </si>
  <si>
    <t>00472715</t>
  </si>
  <si>
    <t>00500446</t>
  </si>
  <si>
    <t>M962461</t>
  </si>
  <si>
    <t>00481287</t>
  </si>
  <si>
    <t>00515046</t>
  </si>
  <si>
    <t>M883688</t>
  </si>
  <si>
    <t>00509060</t>
  </si>
  <si>
    <t>M984387</t>
  </si>
  <si>
    <t>M981952</t>
  </si>
  <si>
    <t>00463570</t>
  </si>
  <si>
    <t>M972114</t>
  </si>
  <si>
    <t>00498936</t>
  </si>
  <si>
    <t>M981252</t>
  </si>
  <si>
    <t>00510690</t>
  </si>
  <si>
    <t>M996349</t>
  </si>
  <si>
    <t>M827175</t>
  </si>
  <si>
    <t>00517268</t>
  </si>
  <si>
    <t>M914531</t>
  </si>
  <si>
    <t>M930386</t>
  </si>
  <si>
    <t>M917146</t>
  </si>
  <si>
    <t>M827174</t>
  </si>
  <si>
    <t>M957862</t>
  </si>
  <si>
    <t>M884155</t>
  </si>
  <si>
    <t>M946504</t>
  </si>
  <si>
    <t>00481524</t>
  </si>
  <si>
    <t>M950014</t>
  </si>
  <si>
    <t>00463793</t>
  </si>
  <si>
    <t>M884204</t>
  </si>
  <si>
    <t>M857640</t>
  </si>
  <si>
    <t>3rd party O&amp;M - TRN sample 2021.xlsx</t>
  </si>
  <si>
    <t>00463731</t>
  </si>
  <si>
    <t>M965394</t>
  </si>
  <si>
    <t>M919451</t>
  </si>
  <si>
    <t>M891200</t>
  </si>
  <si>
    <t>M841062</t>
  </si>
  <si>
    <t>00490184</t>
  </si>
  <si>
    <t>M958442</t>
  </si>
  <si>
    <t>M902499</t>
  </si>
  <si>
    <t>M861986</t>
  </si>
  <si>
    <t>00476428</t>
  </si>
  <si>
    <t>M987694</t>
  </si>
  <si>
    <t>M962908</t>
  </si>
  <si>
    <t>M932263</t>
  </si>
  <si>
    <t>M876680</t>
  </si>
  <si>
    <t>M823669</t>
  </si>
  <si>
    <t>00519889</t>
  </si>
  <si>
    <t>00512389</t>
  </si>
  <si>
    <t>M994367</t>
  </si>
  <si>
    <t>00510676</t>
  </si>
  <si>
    <t>M994366</t>
  </si>
  <si>
    <t>M914271</t>
  </si>
  <si>
    <t>M898295</t>
  </si>
  <si>
    <t>M861982</t>
  </si>
  <si>
    <t>M826323</t>
  </si>
  <si>
    <t>00490116</t>
  </si>
  <si>
    <t>M973331</t>
  </si>
  <si>
    <t>M912181</t>
  </si>
  <si>
    <t>M901879</t>
  </si>
  <si>
    <t>M891488</t>
  </si>
  <si>
    <t>M839802</t>
  </si>
  <si>
    <t>00480195</t>
  </si>
  <si>
    <t>M933625</t>
  </si>
  <si>
    <t>M866807</t>
  </si>
  <si>
    <t>M822971</t>
  </si>
  <si>
    <t>00505094</t>
  </si>
  <si>
    <t>00479510</t>
  </si>
  <si>
    <t>M919206</t>
  </si>
  <si>
    <t>M893492</t>
  </si>
  <si>
    <t>M876677</t>
  </si>
  <si>
    <t>M850919</t>
  </si>
  <si>
    <t>M880068</t>
  </si>
  <si>
    <t>M823227</t>
  </si>
  <si>
    <t>00507694</t>
  </si>
  <si>
    <t>00473785</t>
  </si>
  <si>
    <t>00472986</t>
  </si>
  <si>
    <t>M942159</t>
  </si>
  <si>
    <t>M934656</t>
  </si>
  <si>
    <t>M906088</t>
  </si>
  <si>
    <t>M829982</t>
  </si>
  <si>
    <t>00478462</t>
  </si>
  <si>
    <t>M917369</t>
  </si>
  <si>
    <t>M906312</t>
  </si>
  <si>
    <t>M871203</t>
  </si>
  <si>
    <t>00497017</t>
  </si>
  <si>
    <t>M940614</t>
  </si>
  <si>
    <t>M931005</t>
  </si>
  <si>
    <t>M890967</t>
  </si>
  <si>
    <t>M831508</t>
  </si>
  <si>
    <t>00520293</t>
  </si>
  <si>
    <t>M818725</t>
  </si>
  <si>
    <t>00482885</t>
  </si>
  <si>
    <t>M938801</t>
  </si>
  <si>
    <t>M908512</t>
  </si>
  <si>
    <t>M901236</t>
  </si>
  <si>
    <t>M881693</t>
  </si>
  <si>
    <t>M855208</t>
  </si>
  <si>
    <t>00459773</t>
  </si>
  <si>
    <t>M959548</t>
  </si>
  <si>
    <t>M892153</t>
  </si>
  <si>
    <t>M877184</t>
  </si>
  <si>
    <t>M823200</t>
  </si>
  <si>
    <t>00464057</t>
  </si>
  <si>
    <t>M964601</t>
  </si>
  <si>
    <t>M900687</t>
  </si>
  <si>
    <t>00458735</t>
  </si>
  <si>
    <t>M950613</t>
  </si>
  <si>
    <t>M868864</t>
  </si>
  <si>
    <t>M938741</t>
  </si>
  <si>
    <t>M962378</t>
  </si>
  <si>
    <t>M994205</t>
  </si>
  <si>
    <t>M992166</t>
  </si>
  <si>
    <t>M916587</t>
  </si>
  <si>
    <t>M864446</t>
  </si>
  <si>
    <t>M856684</t>
  </si>
  <si>
    <t>00511749</t>
  </si>
  <si>
    <t>00507553</t>
  </si>
  <si>
    <t>M846369</t>
  </si>
  <si>
    <t>M980020</t>
  </si>
  <si>
    <t>00458139</t>
  </si>
  <si>
    <t>M906156</t>
  </si>
  <si>
    <t>M817440</t>
  </si>
  <si>
    <t>M996548</t>
  </si>
  <si>
    <t>M912978</t>
  </si>
  <si>
    <t>M814000</t>
  </si>
  <si>
    <t>M984492</t>
  </si>
  <si>
    <t>M908893</t>
  </si>
  <si>
    <t>M826880</t>
  </si>
  <si>
    <t>00463169</t>
  </si>
  <si>
    <t>M904500</t>
  </si>
  <si>
    <t>M833731</t>
  </si>
  <si>
    <t>00461761</t>
  </si>
  <si>
    <t>M928597</t>
  </si>
  <si>
    <t>M854319</t>
  </si>
  <si>
    <t>00481030</t>
  </si>
  <si>
    <t>M948016</t>
  </si>
  <si>
    <t>M832524</t>
  </si>
  <si>
    <t>00457787</t>
  </si>
  <si>
    <t>M909030</t>
  </si>
  <si>
    <t>M816621</t>
  </si>
  <si>
    <t>M994467</t>
  </si>
  <si>
    <t>M902062</t>
  </si>
  <si>
    <t>M817509</t>
  </si>
  <si>
    <t>M998580</t>
  </si>
  <si>
    <t>*</t>
  </si>
  <si>
    <t xml:space="preserve"> *not included in study due to voucher being cancelled and no payment needed</t>
  </si>
  <si>
    <t>LOCAL GROSS RECEIPTS TAXES</t>
  </si>
  <si>
    <t>Iteration "Adjusted Test Year Amount"</t>
  </si>
  <si>
    <t>Retirement  Plan  (Pro Forma 2021)</t>
  </si>
  <si>
    <t>Affiliate Charges - Sempra</t>
  </si>
  <si>
    <t>Affiliate Charges - Other</t>
  </si>
  <si>
    <t>FOR THE TEST-YEAR ENDING DECEMBER 31, 2021</t>
  </si>
  <si>
    <t>FOR THE LEAD-LAG STUDY-PERIOD ENDING SEPTEMBER 30, 2021</t>
  </si>
  <si>
    <t>Prepaid Affiliate Charges - Other</t>
  </si>
  <si>
    <t>Midpoint of Benefit Period</t>
  </si>
  <si>
    <t>removed from sample</t>
  </si>
  <si>
    <t>DALLAS</t>
  </si>
  <si>
    <t>FORT WORTH</t>
  </si>
  <si>
    <t>ARLINGTON</t>
  </si>
  <si>
    <t>PLANO</t>
  </si>
  <si>
    <t>IRVING</t>
  </si>
  <si>
    <t>RICHARDSON</t>
  </si>
  <si>
    <t>GRAND PRAIRIE</t>
  </si>
  <si>
    <t>WACO</t>
  </si>
  <si>
    <t>CARROLLTON</t>
  </si>
  <si>
    <t>MIDLAND</t>
  </si>
  <si>
    <t>TYLER</t>
  </si>
  <si>
    <t>KILLEEN</t>
  </si>
  <si>
    <t>ODESSA</t>
  </si>
  <si>
    <t>MESQUITE</t>
  </si>
  <si>
    <t>ROUND ROCK</t>
  </si>
  <si>
    <t>TEMPLE</t>
  </si>
  <si>
    <t>WICHITA FALLS</t>
  </si>
  <si>
    <t>MCKINNEY</t>
  </si>
  <si>
    <t>GRAPEVINE</t>
  </si>
  <si>
    <t>ALLEN</t>
  </si>
  <si>
    <t>MIDLOTHIAN</t>
  </si>
  <si>
    <t>MANSFIELD</t>
  </si>
  <si>
    <t>NORTH RICHLAND HILLS</t>
  </si>
  <si>
    <t>COPPELL</t>
  </si>
  <si>
    <t>FARMERS BRANCH</t>
  </si>
  <si>
    <t>2020-10-15</t>
  </si>
  <si>
    <t>2020-10-30</t>
  </si>
  <si>
    <t>2020-11-13</t>
  </si>
  <si>
    <t>2020-11-30</t>
  </si>
  <si>
    <t>2020-12-07</t>
  </si>
  <si>
    <t>2020-12-15</t>
  </si>
  <si>
    <t>2020-12-31</t>
  </si>
  <si>
    <t>2021-01-15</t>
  </si>
  <si>
    <t>2021-01-29</t>
  </si>
  <si>
    <t>2021-02-12</t>
  </si>
  <si>
    <t>2021-02-17</t>
  </si>
  <si>
    <t>2021-02-18</t>
  </si>
  <si>
    <t>2021-02-26</t>
  </si>
  <si>
    <t>2021-03-15</t>
  </si>
  <si>
    <t>2021-03-31</t>
  </si>
  <si>
    <t>2021-04-15</t>
  </si>
  <si>
    <t>2021-04-30</t>
  </si>
  <si>
    <t>2021-05-14</t>
  </si>
  <si>
    <t>2021-05-28</t>
  </si>
  <si>
    <t>2021-06-15</t>
  </si>
  <si>
    <t>2021-06-30</t>
  </si>
  <si>
    <t>2021-07-15</t>
  </si>
  <si>
    <t>2021-07-30</t>
  </si>
  <si>
    <t>2021-08-13</t>
  </si>
  <si>
    <t>2021-08-18</t>
  </si>
  <si>
    <t>2021-08-31</t>
  </si>
  <si>
    <t>2021-09-15</t>
  </si>
  <si>
    <t>2021-09-30</t>
  </si>
  <si>
    <t>2020-10-09</t>
  </si>
  <si>
    <t>2020-10-23</t>
  </si>
  <si>
    <t>2020-11-06</t>
  </si>
  <si>
    <t>2020-11-11</t>
  </si>
  <si>
    <t>2020-11-20</t>
  </si>
  <si>
    <t>2020-12-04</t>
  </si>
  <si>
    <t>2020-12-18</t>
  </si>
  <si>
    <t>2020-12-23</t>
  </si>
  <si>
    <t>2021-01-19</t>
  </si>
  <si>
    <t>2021-01-21</t>
  </si>
  <si>
    <t>2021-03-12</t>
  </si>
  <si>
    <t>2021-03-18</t>
  </si>
  <si>
    <t>2021-03-26</t>
  </si>
  <si>
    <t>2021-04-09</t>
  </si>
  <si>
    <t>2021-04-14</t>
  </si>
  <si>
    <t>2021-04-23</t>
  </si>
  <si>
    <t>2021-05-07</t>
  </si>
  <si>
    <t>2021-05-12</t>
  </si>
  <si>
    <t>2021-05-17</t>
  </si>
  <si>
    <t>2021-05-21</t>
  </si>
  <si>
    <t>2021-06-04</t>
  </si>
  <si>
    <t>2021-06-18</t>
  </si>
  <si>
    <t>2021-07-02</t>
  </si>
  <si>
    <t>2021-07-16</t>
  </si>
  <si>
    <t>2021-08-27</t>
  </si>
  <si>
    <t>2021-09-03</t>
  </si>
  <si>
    <t>2021-09-10</t>
  </si>
  <si>
    <t>2021-09-24</t>
  </si>
  <si>
    <t>Dallas</t>
  </si>
  <si>
    <t>DALLAS COUNTY TAX OFFICE</t>
  </si>
  <si>
    <t>Tarrant</t>
  </si>
  <si>
    <t>TARRANT COUNTY</t>
  </si>
  <si>
    <t>Collin</t>
  </si>
  <si>
    <t>COLLIN COUNTY</t>
  </si>
  <si>
    <t>Bell</t>
  </si>
  <si>
    <t>BELL COUNTY TAX APPRAISAL DIST</t>
  </si>
  <si>
    <t>Denton</t>
  </si>
  <si>
    <t>MICHELLE FRENCH, TAX A/C</t>
  </si>
  <si>
    <t>Midland</t>
  </si>
  <si>
    <t>MIDLAND CAD</t>
  </si>
  <si>
    <t>Ector</t>
  </si>
  <si>
    <t>ECTOR CAD</t>
  </si>
  <si>
    <t>Mclennan</t>
  </si>
  <si>
    <t>MCLENNAN COUNTY</t>
  </si>
  <si>
    <t>Williamson</t>
  </si>
  <si>
    <t>WILLIAMSON COUNTY</t>
  </si>
  <si>
    <t>Smith</t>
  </si>
  <si>
    <t>SMITH COUNTY TAX OFFICE</t>
  </si>
  <si>
    <t>Ellis</t>
  </si>
  <si>
    <t>ELLIS COUNTY</t>
  </si>
  <si>
    <t>Grayson</t>
  </si>
  <si>
    <t>GRAYSON COUNTY</t>
  </si>
  <si>
    <t>Wichita</t>
  </si>
  <si>
    <t>WICHITA COUNTY</t>
  </si>
  <si>
    <t>Parker</t>
  </si>
  <si>
    <t>PARKER CAD</t>
  </si>
  <si>
    <t>Andrews</t>
  </si>
  <si>
    <t>ANDREWS ISD TAX OFFICE</t>
  </si>
  <si>
    <t>Johnson</t>
  </si>
  <si>
    <t>JOHNSON COUNTY</t>
  </si>
  <si>
    <t>Kaufman</t>
  </si>
  <si>
    <t>KAUFMAN COUNTY</t>
  </si>
  <si>
    <t>Rockwall</t>
  </si>
  <si>
    <t>ROCKWALL CAD</t>
  </si>
  <si>
    <t>Navarro</t>
  </si>
  <si>
    <t>NAVARRO COUNTY</t>
  </si>
  <si>
    <t>Scurry</t>
  </si>
  <si>
    <t>SCURRY COUNTY</t>
  </si>
  <si>
    <t>GRAPEVINE AREA TAX OFFICE</t>
  </si>
  <si>
    <t>Nolan</t>
  </si>
  <si>
    <t>NOLAN CAD</t>
  </si>
  <si>
    <t>Wise</t>
  </si>
  <si>
    <t>WISE COUNTY TAX OFFICE</t>
  </si>
  <si>
    <t>Angelina</t>
  </si>
  <si>
    <t>ANGELINA COUNTY TAX OFFICE</t>
  </si>
  <si>
    <t>Brown</t>
  </si>
  <si>
    <t>BROWN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</si>
</sst>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"/>
    <numFmt numFmtId="166" formatCode="#,##0.000_);[Red]\(#,##0.000\)"/>
    <numFmt numFmtId="167" formatCode="mm/dd/yy"/>
    <numFmt numFmtId="168" formatCode="#,##0.000_);\(#,##0.000\)"/>
    <numFmt numFmtId="169" formatCode="_(* #,##0_);_(* \(#,##0\);_(* &quot;-&quot;??_);_(@_)"/>
    <numFmt numFmtId="170" formatCode="0.00_);\(0.00\)"/>
    <numFmt numFmtId="171" formatCode="_(&quot;$&quot;* #,##0_);_(&quot;$&quot;* \(#,##0\);_(&quot;$&quot;* &quot;-&quot;??_);_(@_)"/>
    <numFmt numFmtId="172" formatCode="mmmm\-yy"/>
    <numFmt numFmtId="173" formatCode="_(* #,##0.000_);_(* \(#,##0.000\);_(* &quot;-&quot;??_);_(@_)"/>
    <numFmt numFmtId="174" formatCode="[$-F800]dddd\,\ mmmm\ dd\,\ yyyy"/>
    <numFmt numFmtId="175" formatCode="[$-409]d\-mmm\-yy;@"/>
    <numFmt numFmtId="176" formatCode="0.00_);[Red]\(0.00\)"/>
    <numFmt numFmtId="177" formatCode="0.0%"/>
    <numFmt numFmtId="178" formatCode="&quot;$&quot;#,##0.00"/>
    <numFmt numFmtId="179" formatCode="0.000%"/>
    <numFmt numFmtId="180" formatCode="#,##0.0_);\(#,##0.0\)"/>
    <numFmt numFmtId="181" formatCode="[$-409]d\-mmm;@"/>
    <numFmt numFmtId="182" formatCode="mmmm\-yyyy"/>
    <numFmt numFmtId="183" formatCode="[$-409]mmmm\-yy;@"/>
    <numFmt numFmtId="184" formatCode="m/d/yyyy;@"/>
  </numFmts>
  <fonts count="51"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u val="single"/>
      <sz val="10"/>
      <name val="Arial"/>
      <family val="2"/>
    </font>
    <font>
      <b/>
      <sz val="10"/>
      <name val="Arial"/>
      <family val="2"/>
    </font>
    <font>
      <u val="double"/>
      <sz val="10"/>
      <name val="Arial"/>
      <family val="2"/>
    </font>
    <font>
      <sz val="10"/>
      <color indexed="8"/>
      <name val="Arial"/>
      <family val="2"/>
    </font>
    <font>
      <sz val="10"/>
      <color indexed="2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u val="single"/>
      <sz val="10"/>
      <color indexed="12"/>
      <name val="Arial"/>
      <family val="2"/>
    </font>
    <font>
      <b/>
      <sz val="12"/>
      <color indexed="12"/>
      <name val="Arial"/>
      <family val="2"/>
    </font>
    <font>
      <sz val="10"/>
      <color indexed="62"/>
      <name val="Arial"/>
      <family val="2"/>
    </font>
    <font>
      <sz val="12"/>
      <color indexed="20"/>
      <name val="Arial"/>
      <family val="2"/>
    </font>
    <font>
      <b/>
      <sz val="10"/>
      <name val="Times New Roman"/>
      <family val="1"/>
    </font>
    <font>
      <b/>
      <u val="single"/>
      <sz val="10"/>
      <name val="Arial"/>
      <family val="2"/>
    </font>
    <font>
      <sz val="8.05"/>
      <color indexed="8"/>
      <name val="Arial"/>
      <family val="2"/>
    </font>
    <font>
      <sz val="10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sz val="8"/>
      <name val="Arial"/>
      <family val="2"/>
    </font>
    <font>
      <sz val="8"/>
      <name val="Helv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indexed="8"/>
      <name val="Arial"/>
      <family val="2"/>
    </font>
    <font>
      <sz val="10"/>
      <color indexed="3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 val="single"/>
      <sz val="10"/>
      <color indexed="8"/>
      <name val="Arial"/>
      <family val="2"/>
    </font>
    <font>
      <b/>
      <u val="single"/>
      <sz val="10"/>
      <color indexed="8"/>
      <name val="Arial"/>
      <family val="2"/>
    </font>
    <font>
      <u val="single"/>
      <sz val="11"/>
      <color indexed="8"/>
      <name val="Calibri"/>
      <family val="2"/>
    </font>
    <font>
      <u val="double"/>
      <sz val="11"/>
      <color indexed="8"/>
      <name val="Calibri"/>
      <family val="2"/>
    </font>
    <font>
      <u val="double"/>
      <sz val="10"/>
      <color indexed="8"/>
      <name val="Arial"/>
      <family val="2"/>
    </font>
    <font>
      <b/>
      <sz val="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medium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n">
        <color auto="1"/>
      </bottom>
    </border>
    <border>
      <left/>
      <right/>
      <top/>
      <bottom style="double">
        <color auto="1"/>
      </bottom>
    </border>
    <border>
      <left/>
      <right/>
      <top style="thin">
        <color auto="1"/>
      </top>
      <bottom style="double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double">
        <color auto="1"/>
      </top>
      <bottom style="double">
        <color auto="1"/>
      </bottom>
    </border>
    <border>
      <left/>
      <right style="medium">
        <color auto="1"/>
      </right>
      <top style="thin">
        <color auto="1"/>
      </top>
      <bottom style="double">
        <color auto="1"/>
      </bottom>
    </border>
    <border>
      <left/>
      <right/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/>
      <right style="medium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</borders>
  <cellStyleXfs count="7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9" borderId="0" applyNumberFormat="0" applyBorder="0" applyAlignment="0" applyProtection="0"/>
    <xf numFmtId="0" fontId="30" fillId="3" borderId="0" applyNumberFormat="0" applyBorder="0" applyAlignment="0" applyProtection="0"/>
    <xf numFmtId="0" fontId="31" fillId="20" borderId="1" applyNumberFormat="0" applyAlignment="0" applyProtection="0"/>
    <xf numFmtId="0" fontId="32" fillId="21" borderId="2" applyNumberFormat="0" applyAlignment="0" applyProtection="0"/>
    <xf numFmtId="0" fontId="0" fillId="0" borderId="0" applyNumberFormat="0" applyFill="0" applyBorder="0" applyAlignment="0" applyProtection="0"/>
    <xf numFmtId="40" fontId="19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4" borderId="0" applyNumberFormat="0" applyBorder="0" applyAlignment="0" applyProtection="0"/>
    <xf numFmtId="0" fontId="35" fillId="0" borderId="3" applyNumberFormat="0" applyFill="0" applyAlignment="0" applyProtection="0"/>
    <xf numFmtId="0" fontId="36" fillId="0" borderId="4" applyNumberFormat="0" applyFill="0" applyAlignment="0" applyProtection="0"/>
    <xf numFmtId="0" fontId="37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11" fillId="0" borderId="0" applyNumberFormat="0" applyFill="0" applyBorder="0">
      <alignment/>
      <protection locked="0"/>
    </xf>
    <xf numFmtId="0" fontId="38" fillId="7" borderId="1" applyNumberFormat="0" applyAlignment="0" applyProtection="0"/>
    <xf numFmtId="41" fontId="12" fillId="0" borderId="0">
      <alignment horizontal="left"/>
      <protection/>
    </xf>
    <xf numFmtId="0" fontId="39" fillId="0" borderId="6" applyNumberFormat="0" applyFill="0" applyAlignment="0" applyProtection="0"/>
    <xf numFmtId="0" fontId="40" fillId="22" borderId="0" applyNumberFormat="0" applyBorder="0" applyAlignment="0" applyProtection="0"/>
    <xf numFmtId="0" fontId="19" fillId="0" borderId="0">
      <alignment/>
      <protection/>
    </xf>
    <xf numFmtId="0" fontId="28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8" fillId="23" borderId="7" applyNumberFormat="0" applyFont="0" applyAlignment="0" applyProtection="0"/>
    <xf numFmtId="43" fontId="13" fillId="0" borderId="0">
      <alignment/>
      <protection/>
    </xf>
    <xf numFmtId="0" fontId="41" fillId="20" borderId="8" applyNumberFormat="0" applyAlignment="0" applyProtection="0"/>
    <xf numFmtId="0" fontId="19" fillId="0" borderId="0" applyNumberFormat="0" applyFont="0" applyFill="0" applyBorder="0" applyProtection="0">
      <alignment/>
    </xf>
    <xf numFmtId="15" fontId="19" fillId="0" borderId="0" applyFont="0" applyFill="0" applyBorder="0" applyAlignment="0" applyProtection="0"/>
    <xf numFmtId="4" fontId="19" fillId="0" borderId="0" applyFont="0" applyFill="0" applyBorder="0" applyAlignment="0" applyProtection="0"/>
    <xf numFmtId="0" fontId="20" fillId="0" borderId="9">
      <alignment horizontal="center"/>
      <protection/>
    </xf>
    <xf numFmtId="3" fontId="19" fillId="0" borderId="0" applyFont="0" applyFill="0" applyBorder="0" applyAlignment="0" applyProtection="0"/>
    <xf numFmtId="0" fontId="19" fillId="24" borderId="0" applyNumberFormat="0" applyFont="0" applyBorder="0" applyAlignment="0" applyProtection="0"/>
    <xf numFmtId="0" fontId="42" fillId="0" borderId="0" applyNumberFormat="0" applyFill="0" applyBorder="0" applyAlignment="0" applyProtection="0"/>
    <xf numFmtId="0" fontId="43" fillId="0" borderId="10" applyNumberFormat="0" applyFill="0" applyAlignment="0" applyProtection="0"/>
    <xf numFmtId="0" fontId="44" fillId="0" borderId="0" applyNumberFormat="0" applyFill="0" applyBorder="0" applyAlignment="0" applyProtection="0"/>
    <xf numFmtId="0" fontId="0" fillId="0" borderId="0">
      <alignment/>
      <protection/>
    </xf>
  </cellStyleXfs>
  <cellXfs count="831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0" fontId="0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Font="1" quotePrefix="1"/>
    <xf numFmtId="0" fontId="0" fillId="0" borderId="0" xfId="0" applyFont="1" applyAlignment="1" quotePrefix="1">
      <alignment horizontal="center"/>
    </xf>
    <xf numFmtId="0" fontId="0" fillId="0" borderId="0" xfId="0" applyFont="1" applyAlignment="1">
      <alignment horizontal="right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40" fontId="3" fillId="0" borderId="0" xfId="0" applyNumberFormat="1" applyFont="1" applyProtection="1">
      <protection locked="0"/>
    </xf>
    <xf numFmtId="166" fontId="0" fillId="0" borderId="0" xfId="0" applyNumberFormat="1" applyFont="1"/>
    <xf numFmtId="14" fontId="0" fillId="0" borderId="0" xfId="0" applyNumberFormat="1" applyFont="1"/>
    <xf numFmtId="8" fontId="0" fillId="0" borderId="0" xfId="0" applyNumberFormat="1" applyFont="1"/>
    <xf numFmtId="0" fontId="0" fillId="0" borderId="0" xfId="0" applyFont="1" applyAlignment="1">
      <alignment horizontal="left"/>
    </xf>
    <xf numFmtId="38" fontId="0" fillId="0" borderId="0" xfId="0" applyNumberFormat="1" applyFont="1"/>
    <xf numFmtId="0" fontId="7" fillId="0" borderId="0" xfId="0" applyFont="1" applyAlignment="1" applyProtection="1">
      <alignment horizontal="center"/>
      <protection locked="0"/>
    </xf>
    <xf numFmtId="0" fontId="7" fillId="0" borderId="0" xfId="0" applyFont="1"/>
    <xf numFmtId="0" fontId="0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68" fontId="0" fillId="0" borderId="0" xfId="0" applyNumberFormat="1" applyFont="1"/>
    <xf numFmtId="17" fontId="0" fillId="0" borderId="0" xfId="0" applyNumberFormat="1" applyFont="1" applyAlignment="1">
      <alignment horizontal="center"/>
    </xf>
    <xf numFmtId="0" fontId="5" fillId="0" borderId="0" xfId="0" applyFont="1" applyBorder="1"/>
    <xf numFmtId="0" fontId="0" fillId="0" borderId="0" xfId="0" applyFont="1" applyBorder="1"/>
    <xf numFmtId="40" fontId="5" fillId="0" borderId="0" xfId="0" applyNumberFormat="1" applyFont="1" applyBorder="1" applyAlignment="1">
      <alignment horizontal="center"/>
    </xf>
    <xf numFmtId="39" fontId="0" fillId="0" borderId="0" xfId="0" applyNumberFormat="1"/>
    <xf numFmtId="169" fontId="0" fillId="0" borderId="0" xfId="18" applyNumberFormat="1" applyFont="1"/>
    <xf numFmtId="172" fontId="0" fillId="0" borderId="0" xfId="0" applyNumberFormat="1" applyFont="1" applyAlignment="1">
      <alignment horizontal="left"/>
    </xf>
    <xf numFmtId="0" fontId="0" fillId="0" borderId="0" xfId="0" applyFont="1" applyFill="1"/>
    <xf numFmtId="0" fontId="5" fillId="0" borderId="11" xfId="0" applyFont="1" applyBorder="1" applyAlignment="1">
      <alignment horizontal="center" wrapText="1"/>
    </xf>
    <xf numFmtId="43" fontId="5" fillId="0" borderId="11" xfId="18" applyFont="1" applyBorder="1" applyAlignment="1">
      <alignment horizontal="center" wrapText="1"/>
    </xf>
    <xf numFmtId="0" fontId="9" fillId="0" borderId="0" xfId="0" applyFont="1" applyBorder="1"/>
    <xf numFmtId="168" fontId="0" fillId="0" borderId="0" xfId="0" applyNumberFormat="1" applyFont="1" applyAlignment="1">
      <alignment horizontal="center"/>
    </xf>
    <xf numFmtId="44" fontId="0" fillId="0" borderId="0" xfId="16" applyFont="1" applyFill="1"/>
    <xf numFmtId="39" fontId="0" fillId="0" borderId="0" xfId="0" applyNumberFormat="1" applyFont="1" applyFill="1"/>
    <xf numFmtId="0" fontId="5" fillId="0" borderId="0" xfId="0" applyFont="1" applyBorder="1" applyAlignment="1">
      <alignment horizontal="center" wrapText="1"/>
    </xf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40" fontId="0" fillId="0" borderId="12" xfId="0" applyNumberFormat="1" applyFont="1" applyBorder="1" applyAlignment="1">
      <alignment horizontal="center"/>
    </xf>
    <xf numFmtId="43" fontId="0" fillId="0" borderId="0" xfId="18" applyFont="1"/>
    <xf numFmtId="44" fontId="0" fillId="0" borderId="0" xfId="0" applyNumberFormat="1" applyFont="1"/>
    <xf numFmtId="43" fontId="0" fillId="0" borderId="0" xfId="18" applyFont="1" applyFill="1"/>
    <xf numFmtId="0" fontId="5" fillId="0" borderId="0" xfId="0" applyFont="1" applyBorder="1" applyAlignment="1">
      <alignment wrapText="1"/>
    </xf>
    <xf numFmtId="39" fontId="0" fillId="0" borderId="0" xfId="0" applyNumberFormat="1" applyFont="1"/>
    <xf numFmtId="0" fontId="7" fillId="0" borderId="0" xfId="0" applyFont="1" applyFill="1"/>
    <xf numFmtId="44" fontId="0" fillId="0" borderId="0" xfId="0" applyNumberFormat="1" applyFont="1" applyProtection="1">
      <protection/>
    </xf>
    <xf numFmtId="0" fontId="0" fillId="0" borderId="0" xfId="0" applyFont="1" applyAlignment="1" quotePrefix="1">
      <alignment horizontal="right"/>
    </xf>
    <xf numFmtId="37" fontId="0" fillId="0" borderId="0" xfId="0" applyNumberFormat="1" applyFont="1"/>
    <xf numFmtId="40" fontId="10" fillId="0" borderId="11" xfId="0" applyNumberFormat="1" applyFont="1" applyBorder="1" applyAlignment="1">
      <alignment horizontal="center" wrapText="1"/>
    </xf>
    <xf numFmtId="0" fontId="0" fillId="0" borderId="0" xfId="0" applyFont="1" applyFill="1" applyBorder="1" applyAlignment="1">
      <alignment horizontal="center" wrapText="1"/>
    </xf>
    <xf numFmtId="44" fontId="0" fillId="0" borderId="0" xfId="16" applyFont="1" applyFill="1" applyProtection="1">
      <protection/>
    </xf>
    <xf numFmtId="0" fontId="7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Alignment="1">
      <alignment horizontal="center"/>
    </xf>
    <xf numFmtId="40" fontId="8" fillId="0" borderId="0" xfId="0" applyNumberFormat="1" applyFont="1" applyFill="1" applyProtection="1">
      <protection/>
    </xf>
    <xf numFmtId="0" fontId="5" fillId="0" borderId="11" xfId="0" applyFont="1" applyBorder="1" applyAlignment="1">
      <alignment horizontal="center"/>
    </xf>
    <xf numFmtId="0" fontId="5" fillId="0" borderId="0" xfId="0" applyFont="1" applyFill="1"/>
    <xf numFmtId="14" fontId="14" fillId="0" borderId="0" xfId="0" applyNumberFormat="1" applyFont="1" applyAlignment="1">
      <alignment horizontal="center"/>
    </xf>
    <xf numFmtId="14" fontId="14" fillId="0" borderId="0" xfId="0" applyNumberFormat="1" applyFont="1"/>
    <xf numFmtId="14" fontId="8" fillId="0" borderId="0" xfId="0" applyNumberFormat="1" applyFont="1" applyAlignment="1">
      <alignment horizontal="center"/>
    </xf>
    <xf numFmtId="0" fontId="5" fillId="0" borderId="11" xfId="0" applyFont="1" applyBorder="1"/>
    <xf numFmtId="40" fontId="5" fillId="0" borderId="11" xfId="0" applyNumberFormat="1" applyFont="1" applyBorder="1" applyAlignment="1">
      <alignment horizontal="center"/>
    </xf>
    <xf numFmtId="166" fontId="0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39" fontId="0" fillId="0" borderId="0" xfId="0" applyNumberFormat="1" applyFont="1" applyAlignment="1">
      <alignment horizontal="center"/>
    </xf>
    <xf numFmtId="0" fontId="0" fillId="0" borderId="0" xfId="0" applyBorder="1"/>
    <xf numFmtId="43" fontId="0" fillId="0" borderId="0" xfId="0" applyNumberFormat="1"/>
    <xf numFmtId="0" fontId="5" fillId="0" borderId="11" xfId="0" applyFont="1" applyBorder="1" applyAlignment="1">
      <alignment horizontal="right"/>
    </xf>
    <xf numFmtId="17" fontId="0" fillId="0" borderId="0" xfId="0" applyNumberFormat="1" applyFont="1"/>
    <xf numFmtId="14" fontId="0" fillId="0" borderId="0" xfId="0" applyNumberFormat="1"/>
    <xf numFmtId="164" fontId="0" fillId="0" borderId="0" xfId="0" applyNumberFormat="1" applyFont="1" applyAlignment="1">
      <alignment horizontal="center"/>
    </xf>
    <xf numFmtId="167" fontId="0" fillId="0" borderId="0" xfId="18" applyNumberFormat="1"/>
    <xf numFmtId="43" fontId="0" fillId="0" borderId="0" xfId="18"/>
    <xf numFmtId="171" fontId="0" fillId="0" borderId="0" xfId="16" applyNumberFormat="1" applyFont="1"/>
    <xf numFmtId="0" fontId="0" fillId="0" borderId="11" xfId="0" applyFont="1" applyBorder="1"/>
    <xf numFmtId="168" fontId="5" fillId="0" borderId="11" xfId="0" applyNumberFormat="1" applyFont="1" applyBorder="1"/>
    <xf numFmtId="0" fontId="0" fillId="0" borderId="0" xfId="0" applyAlignment="1">
      <alignment horizontal="centerContinuous"/>
    </xf>
    <xf numFmtId="168" fontId="0" fillId="0" borderId="0" xfId="0" applyNumberFormat="1" applyFont="1" applyBorder="1"/>
    <xf numFmtId="0" fontId="0" fillId="0" borderId="0" xfId="0" quotePrefix="1"/>
    <xf numFmtId="0" fontId="0" fillId="0" borderId="0" xfId="0" applyFont="1" applyAlignment="1" applyProtection="1">
      <alignment horizontal="center"/>
      <protection locked="0"/>
    </xf>
    <xf numFmtId="168" fontId="5" fillId="0" borderId="11" xfId="0" applyNumberFormat="1" applyFont="1" applyBorder="1" applyAlignment="1">
      <alignment horizontal="center"/>
    </xf>
    <xf numFmtId="14" fontId="0" fillId="0" borderId="0" xfId="0" applyNumberFormat="1" applyFont="1" applyProtection="1">
      <protection locked="0"/>
    </xf>
    <xf numFmtId="170" fontId="0" fillId="0" borderId="0" xfId="0" applyNumberFormat="1" applyFont="1"/>
    <xf numFmtId="169" fontId="0" fillId="0" borderId="0" xfId="0" applyNumberFormat="1" applyFont="1"/>
    <xf numFmtId="43" fontId="0" fillId="0" borderId="0" xfId="0" applyNumberFormat="1" applyFont="1"/>
    <xf numFmtId="14" fontId="0" fillId="0" borderId="0" xfId="0" applyNumberFormat="1" applyFont="1" applyFill="1" applyBorder="1" applyAlignment="1" quotePrefix="1">
      <alignment horizontal="center"/>
    </xf>
    <xf numFmtId="164" fontId="0" fillId="0" borderId="0" xfId="0" applyNumberFormat="1" applyFont="1" applyFill="1" applyAlignment="1">
      <alignment horizontal="center"/>
    </xf>
    <xf numFmtId="170" fontId="0" fillId="0" borderId="0" xfId="0" applyNumberFormat="1" applyFont="1" applyFill="1"/>
    <xf numFmtId="0" fontId="0" fillId="0" borderId="0" xfId="0" applyFont="1" applyBorder="1" applyAlignment="1" quotePrefix="1">
      <alignment horizontal="center"/>
    </xf>
    <xf numFmtId="0" fontId="0" fillId="0" borderId="0" xfId="0" applyFont="1" applyFill="1" applyAlignment="1">
      <alignment horizontal="center"/>
    </xf>
    <xf numFmtId="171" fontId="0" fillId="0" borderId="0" xfId="16" applyNumberFormat="1"/>
    <xf numFmtId="14" fontId="0" fillId="0" borderId="0" xfId="0" applyNumberFormat="1" applyFont="1" applyAlignment="1">
      <alignment horizontal="center"/>
    </xf>
    <xf numFmtId="44" fontId="0" fillId="0" borderId="0" xfId="0" applyNumberFormat="1"/>
    <xf numFmtId="0" fontId="5" fillId="0" borderId="0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17" fontId="0" fillId="0" borderId="0" xfId="0" applyNumberFormat="1"/>
    <xf numFmtId="4" fontId="0" fillId="0" borderId="0" xfId="0" applyNumberFormat="1"/>
    <xf numFmtId="0" fontId="17" fillId="0" borderId="0" xfId="0" applyFont="1" applyAlignment="1">
      <alignment vertical="center"/>
    </xf>
    <xf numFmtId="4" fontId="17" fillId="0" borderId="0" xfId="0" applyNumberFormat="1" applyFont="1" applyAlignment="1">
      <alignment vertical="center"/>
    </xf>
    <xf numFmtId="0" fontId="0" fillId="0" borderId="0" xfId="65" applyFont="1">
      <alignment/>
      <protection/>
    </xf>
    <xf numFmtId="0" fontId="5" fillId="0" borderId="0" xfId="65" applyFont="1">
      <alignment/>
      <protection/>
    </xf>
    <xf numFmtId="0" fontId="2" fillId="0" borderId="0" xfId="65" applyFont="1">
      <alignment/>
      <protection/>
    </xf>
    <xf numFmtId="0" fontId="9" fillId="0" borderId="0" xfId="65" applyFont="1">
      <alignment/>
      <protection/>
    </xf>
    <xf numFmtId="0" fontId="0" fillId="0" borderId="0" xfId="65" applyFont="1" applyBorder="1">
      <alignment/>
      <protection/>
    </xf>
    <xf numFmtId="0" fontId="0" fillId="0" borderId="0" xfId="65" applyFont="1" applyBorder="1" applyAlignment="1">
      <alignment wrapText="1"/>
      <protection/>
    </xf>
    <xf numFmtId="0" fontId="5" fillId="0" borderId="0" xfId="65" applyFont="1" applyBorder="1" applyAlignment="1">
      <alignment horizontal="center" wrapText="1"/>
      <protection/>
    </xf>
    <xf numFmtId="0" fontId="0" fillId="0" borderId="0" xfId="65" applyFont="1" applyAlignment="1">
      <alignment wrapText="1"/>
      <protection/>
    </xf>
    <xf numFmtId="0" fontId="5" fillId="0" borderId="0" xfId="65" applyFont="1" applyBorder="1" applyAlignment="1">
      <alignment horizontal="center"/>
      <protection/>
    </xf>
    <xf numFmtId="0" fontId="0" fillId="0" borderId="0" xfId="65" applyFont="1" applyFill="1" applyBorder="1" applyAlignment="1">
      <alignment horizontal="left"/>
      <protection/>
    </xf>
    <xf numFmtId="43" fontId="0" fillId="0" borderId="0" xfId="18" applyFont="1" applyFill="1" applyBorder="1" applyAlignment="1">
      <alignment/>
    </xf>
    <xf numFmtId="0" fontId="0" fillId="0" borderId="0" xfId="65" applyFont="1" applyFill="1" applyBorder="1">
      <alignment/>
      <protection/>
    </xf>
    <xf numFmtId="43" fontId="0" fillId="0" borderId="0" xfId="18" applyFont="1" applyBorder="1"/>
    <xf numFmtId="43" fontId="0" fillId="0" borderId="0" xfId="18" applyFont="1" applyFill="1" applyBorder="1"/>
    <xf numFmtId="43" fontId="0" fillId="0" borderId="0" xfId="65" applyNumberFormat="1" applyFont="1" applyBorder="1">
      <alignment/>
      <protection/>
    </xf>
    <xf numFmtId="43" fontId="0" fillId="0" borderId="0" xfId="18" applyFont="1" applyFill="1" applyBorder="1" quotePrefix="1"/>
    <xf numFmtId="0" fontId="0" fillId="0" borderId="0" xfId="65" applyFont="1" quotePrefix="1">
      <alignment/>
      <protection/>
    </xf>
    <xf numFmtId="0" fontId="5" fillId="0" borderId="0" xfId="65" applyFont="1" applyBorder="1">
      <alignment/>
      <protection/>
    </xf>
    <xf numFmtId="0" fontId="0" fillId="0" borderId="0" xfId="64" applyFont="1">
      <alignment/>
      <protection/>
    </xf>
    <xf numFmtId="0" fontId="0" fillId="0" borderId="0" xfId="64" applyFont="1" applyBorder="1">
      <alignment/>
      <protection/>
    </xf>
    <xf numFmtId="0" fontId="0" fillId="0" borderId="0" xfId="64" applyFont="1" applyBorder="1" applyAlignment="1">
      <alignment horizontal="center"/>
      <protection/>
    </xf>
    <xf numFmtId="0" fontId="0" fillId="0" borderId="0" xfId="64" applyFont="1" applyAlignment="1">
      <alignment horizontal="center"/>
      <protection/>
    </xf>
    <xf numFmtId="0" fontId="0" fillId="0" borderId="0" xfId="64" applyFont="1" applyAlignment="1">
      <alignment wrapText="1"/>
      <protection/>
    </xf>
    <xf numFmtId="0" fontId="5" fillId="0" borderId="0" xfId="64" applyFont="1" applyBorder="1" applyAlignment="1">
      <alignment horizontal="center"/>
      <protection/>
    </xf>
    <xf numFmtId="0" fontId="0" fillId="0" borderId="0" xfId="64" applyFont="1" applyFill="1" applyBorder="1">
      <alignment/>
      <protection/>
    </xf>
    <xf numFmtId="43" fontId="0" fillId="0" borderId="0" xfId="18" applyFont="1" applyFill="1" applyBorder="1" applyAlignment="1">
      <alignment horizontal="center"/>
    </xf>
    <xf numFmtId="43" fontId="5" fillId="0" borderId="0" xfId="18" applyFont="1" applyFill="1" applyBorder="1" applyAlignment="1">
      <alignment horizontal="left"/>
    </xf>
    <xf numFmtId="0" fontId="0" fillId="0" borderId="0" xfId="63" applyFont="1" applyFill="1" applyBorder="1">
      <alignment/>
      <protection/>
    </xf>
    <xf numFmtId="169" fontId="0" fillId="0" borderId="0" xfId="64" applyNumberFormat="1" applyFont="1" applyBorder="1">
      <alignment/>
      <protection/>
    </xf>
    <xf numFmtId="43" fontId="0" fillId="0" borderId="0" xfId="64" applyNumberFormat="1" applyFont="1" applyBorder="1">
      <alignment/>
      <protection/>
    </xf>
    <xf numFmtId="43" fontId="5" fillId="0" borderId="0" xfId="18" applyFont="1" applyBorder="1" applyAlignment="1">
      <alignment horizontal="left"/>
    </xf>
    <xf numFmtId="38" fontId="0" fillId="0" borderId="0" xfId="18" applyNumberFormat="1" applyFont="1" applyFill="1" applyBorder="1" applyAlignment="1">
      <alignment/>
    </xf>
    <xf numFmtId="43" fontId="5" fillId="0" borderId="0" xfId="18" applyFont="1" applyFill="1" applyBorder="1" applyAlignment="1">
      <alignment horizontal="center"/>
    </xf>
    <xf numFmtId="0" fontId="5" fillId="0" borderId="0" xfId="64" applyFont="1" applyBorder="1">
      <alignment/>
      <protection/>
    </xf>
    <xf numFmtId="38" fontId="0" fillId="0" borderId="0" xfId="64" applyNumberFormat="1" applyFont="1" applyFill="1" applyBorder="1">
      <alignment/>
      <protection/>
    </xf>
    <xf numFmtId="0" fontId="0" fillId="0" borderId="0" xfId="63" applyFont="1">
      <alignment/>
      <protection/>
    </xf>
    <xf numFmtId="0" fontId="0" fillId="0" borderId="0" xfId="63" applyFont="1" applyAlignment="1">
      <alignment wrapText="1"/>
      <protection/>
    </xf>
    <xf numFmtId="0" fontId="0" fillId="0" borderId="0" xfId="63" applyFont="1" applyAlignment="1">
      <alignment horizontal="center"/>
      <protection/>
    </xf>
    <xf numFmtId="17" fontId="0" fillId="0" borderId="0" xfId="63" applyNumberFormat="1" applyFont="1" applyAlignment="1">
      <alignment horizontal="center"/>
      <protection/>
    </xf>
    <xf numFmtId="49" fontId="0" fillId="0" borderId="0" xfId="64" applyNumberFormat="1" applyFont="1">
      <alignment/>
      <protection/>
    </xf>
    <xf numFmtId="49" fontId="5" fillId="0" borderId="0" xfId="64" applyNumberFormat="1" applyFont="1" applyBorder="1" applyAlignment="1" quotePrefix="1">
      <alignment horizontal="center"/>
      <protection/>
    </xf>
    <xf numFmtId="43" fontId="0" fillId="0" borderId="0" xfId="64" applyNumberFormat="1" applyFont="1" applyFill="1" applyBorder="1">
      <alignment/>
      <protection/>
    </xf>
    <xf numFmtId="0" fontId="5" fillId="0" borderId="0" xfId="64" applyFont="1" applyAlignment="1">
      <alignment horizontal="right"/>
      <protection/>
    </xf>
    <xf numFmtId="0" fontId="0" fillId="0" borderId="0" xfId="60" applyFont="1">
      <alignment/>
      <protection/>
    </xf>
    <xf numFmtId="0" fontId="5" fillId="0" borderId="0" xfId="60" applyFont="1">
      <alignment/>
      <protection/>
    </xf>
    <xf numFmtId="0" fontId="0" fillId="0" borderId="0" xfId="60" applyFont="1" applyBorder="1">
      <alignment/>
      <protection/>
    </xf>
    <xf numFmtId="0" fontId="5" fillId="0" borderId="0" xfId="60" applyFont="1" applyBorder="1">
      <alignment/>
      <protection/>
    </xf>
    <xf numFmtId="0" fontId="5" fillId="0" borderId="0" xfId="60" applyFont="1" applyBorder="1" applyAlignment="1">
      <alignment horizontal="center"/>
      <protection/>
    </xf>
    <xf numFmtId="0" fontId="5" fillId="0" borderId="0" xfId="60" applyFont="1" applyFill="1" applyBorder="1" applyAlignment="1">
      <alignment horizontal="center"/>
      <protection/>
    </xf>
    <xf numFmtId="0" fontId="0" fillId="0" borderId="0" xfId="60" applyFont="1" applyAlignment="1">
      <alignment horizontal="center"/>
      <protection/>
    </xf>
    <xf numFmtId="40" fontId="5" fillId="0" borderId="0" xfId="60" applyNumberFormat="1" applyFont="1" applyBorder="1">
      <alignment/>
      <protection/>
    </xf>
    <xf numFmtId="0" fontId="5" fillId="0" borderId="0" xfId="60" applyFont="1" applyFill="1" applyBorder="1" applyAlignment="1">
      <alignment wrapText="1"/>
      <protection/>
    </xf>
    <xf numFmtId="0" fontId="5" fillId="0" borderId="0" xfId="60" applyFont="1" applyAlignment="1">
      <alignment wrapText="1"/>
      <protection/>
    </xf>
    <xf numFmtId="40" fontId="5" fillId="0" borderId="0" xfId="60" applyNumberFormat="1" applyFont="1">
      <alignment/>
      <protection/>
    </xf>
    <xf numFmtId="40" fontId="0" fillId="0" borderId="0" xfId="48" applyFont="1" applyBorder="1" applyAlignment="1">
      <alignment horizontal="right"/>
    </xf>
    <xf numFmtId="0" fontId="0" fillId="0" borderId="0" xfId="60" applyFont="1" applyBorder="1" applyAlignment="1">
      <alignment horizontal="left"/>
      <protection/>
    </xf>
    <xf numFmtId="40" fontId="0" fillId="0" borderId="0" xfId="48" applyFont="1" applyAlignment="1">
      <alignment horizontal="center"/>
    </xf>
    <xf numFmtId="40" fontId="0" fillId="0" borderId="0" xfId="48" applyFont="1"/>
    <xf numFmtId="0" fontId="18" fillId="0" borderId="0" xfId="0" applyFont="1"/>
    <xf numFmtId="0" fontId="5" fillId="0" borderId="0" xfId="0" applyFont="1" applyBorder="1" applyAlignment="1">
      <alignment horizontal="right"/>
    </xf>
    <xf numFmtId="40" fontId="5" fillId="0" borderId="11" xfId="0" applyNumberFormat="1" applyFont="1" applyBorder="1" applyAlignment="1">
      <alignment horizontal="center" wrapText="1"/>
    </xf>
    <xf numFmtId="39" fontId="0" fillId="0" borderId="0" xfId="0" applyNumberFormat="1" applyFont="1" applyAlignment="1">
      <alignment horizontal="right"/>
    </xf>
    <xf numFmtId="44" fontId="0" fillId="0" borderId="0" xfId="16" applyFont="1" applyAlignment="1">
      <alignment horizontal="right"/>
    </xf>
    <xf numFmtId="39" fontId="5" fillId="0" borderId="0" xfId="0" applyNumberFormat="1" applyFont="1" applyBorder="1" applyAlignment="1">
      <alignment horizontal="center"/>
    </xf>
    <xf numFmtId="0" fontId="0" fillId="0" borderId="0" xfId="62">
      <alignment/>
      <protection/>
    </xf>
    <xf numFmtId="170" fontId="0" fillId="0" borderId="0" xfId="62" applyNumberFormat="1">
      <alignment/>
      <protection/>
    </xf>
    <xf numFmtId="0" fontId="5" fillId="0" borderId="0" xfId="62" applyFont="1">
      <alignment/>
      <protection/>
    </xf>
    <xf numFmtId="0" fontId="16" fillId="0" borderId="0" xfId="62" applyFont="1" applyAlignment="1">
      <alignment horizontal="center"/>
      <protection/>
    </xf>
    <xf numFmtId="0" fontId="0" fillId="0" borderId="0" xfId="62" applyFont="1">
      <alignment/>
      <protection/>
    </xf>
    <xf numFmtId="0" fontId="0" fillId="0" borderId="0" xfId="62" applyFill="1">
      <alignment/>
      <protection/>
    </xf>
    <xf numFmtId="3" fontId="0" fillId="0" borderId="0" xfId="0" applyNumberFormat="1"/>
    <xf numFmtId="39" fontId="0" fillId="0" borderId="0" xfId="18" applyNumberFormat="1" applyFont="1"/>
    <xf numFmtId="0" fontId="4" fillId="0" borderId="0" xfId="0" applyFont="1"/>
    <xf numFmtId="44" fontId="8" fillId="0" borderId="0" xfId="0" applyNumberFormat="1" applyFont="1"/>
    <xf numFmtId="44" fontId="8" fillId="0" borderId="0" xfId="0" applyNumberFormat="1" applyFont="1" applyAlignment="1">
      <alignment horizontal="center"/>
    </xf>
    <xf numFmtId="44" fontId="0" fillId="0" borderId="0" xfId="16" applyFont="1"/>
    <xf numFmtId="44" fontId="5" fillId="0" borderId="0" xfId="16" applyFont="1" applyAlignment="1">
      <alignment horizontal="center"/>
    </xf>
    <xf numFmtId="44" fontId="5" fillId="0" borderId="11" xfId="16" applyFont="1" applyBorder="1" applyAlignment="1">
      <alignment horizontal="center"/>
    </xf>
    <xf numFmtId="171" fontId="0" fillId="0" borderId="0" xfId="16" applyNumberFormat="1" applyFont="1" applyFill="1"/>
    <xf numFmtId="0" fontId="9" fillId="0" borderId="0" xfId="0" applyFont="1" applyAlignment="1">
      <alignment horizontal="left"/>
    </xf>
    <xf numFmtId="43" fontId="5" fillId="0" borderId="0" xfId="18" applyFont="1" applyAlignment="1">
      <alignment horizontal="left"/>
    </xf>
    <xf numFmtId="0" fontId="15" fillId="0" borderId="0" xfId="0" applyFont="1"/>
    <xf numFmtId="43" fontId="5" fillId="0" borderId="0" xfId="18" applyFont="1" applyAlignment="1">
      <alignment/>
    </xf>
    <xf numFmtId="43" fontId="5" fillId="0" borderId="0" xfId="18" applyFont="1" applyFill="1" applyAlignment="1">
      <alignment horizontal="left"/>
    </xf>
    <xf numFmtId="0" fontId="0" fillId="0" borderId="0" xfId="60" applyFont="1" applyFill="1" applyBorder="1" applyAlignment="1">
      <alignment horizontal="center"/>
      <protection/>
    </xf>
    <xf numFmtId="16" fontId="0" fillId="0" borderId="0" xfId="0" applyNumberFormat="1" applyAlignment="1">
      <alignment horizontal="center"/>
    </xf>
    <xf numFmtId="16" fontId="7" fillId="0" borderId="0" xfId="0" applyNumberFormat="1" applyFont="1" applyAlignment="1" applyProtection="1">
      <alignment horizontal="center"/>
      <protection locked="0"/>
    </xf>
    <xf numFmtId="0" fontId="0" fillId="0" borderId="0" xfId="0" applyFont="1" applyFill="1" applyBorder="1"/>
    <xf numFmtId="0" fontId="0" fillId="0" borderId="0" xfId="0" applyFont="1" applyFill="1" applyAlignment="1">
      <alignment horizontal="left"/>
    </xf>
    <xf numFmtId="0" fontId="5" fillId="0" borderId="11" xfId="0" applyFont="1" applyFill="1" applyBorder="1" applyAlignment="1">
      <alignment horizontal="center" wrapText="1"/>
    </xf>
    <xf numFmtId="8" fontId="6" fillId="0" borderId="0" xfId="0" applyNumberFormat="1" applyFont="1" applyFill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0" fillId="0" borderId="0" xfId="0" applyFont="1" applyFill="1" applyAlignment="1" quotePrefix="1">
      <alignment horizontal="center"/>
    </xf>
    <xf numFmtId="8" fontId="0" fillId="0" borderId="0" xfId="0" applyNumberFormat="1" applyFont="1" applyFill="1"/>
    <xf numFmtId="166" fontId="0" fillId="0" borderId="0" xfId="62" applyNumberFormat="1">
      <alignment/>
      <protection/>
    </xf>
    <xf numFmtId="166" fontId="5" fillId="0" borderId="0" xfId="62" applyNumberFormat="1" applyFont="1">
      <alignment/>
      <protection/>
    </xf>
    <xf numFmtId="0" fontId="16" fillId="0" borderId="0" xfId="0" applyFont="1" applyAlignment="1">
      <alignment horizontal="left"/>
    </xf>
    <xf numFmtId="0" fontId="5" fillId="0" borderId="9" xfId="60" applyFont="1" applyFill="1" applyBorder="1" applyAlignment="1">
      <alignment horizontal="center" wrapText="1"/>
      <protection/>
    </xf>
    <xf numFmtId="0" fontId="5" fillId="0" borderId="0" xfId="60" applyFont="1" applyFill="1" applyBorder="1" applyAlignment="1">
      <alignment horizontal="center" wrapText="1"/>
      <protection/>
    </xf>
    <xf numFmtId="0" fontId="5" fillId="0" borderId="11" xfId="60" applyFont="1" applyFill="1" applyBorder="1" applyAlignment="1">
      <alignment horizontal="center" wrapText="1"/>
      <protection/>
    </xf>
    <xf numFmtId="0" fontId="5" fillId="0" borderId="11" xfId="65" applyFont="1" applyBorder="1" applyAlignment="1">
      <alignment horizontal="center"/>
      <protection/>
    </xf>
    <xf numFmtId="0" fontId="0" fillId="0" borderId="0" xfId="60" applyFont="1" applyBorder="1" applyAlignment="1">
      <alignment horizontal="center"/>
      <protection/>
    </xf>
    <xf numFmtId="0" fontId="0" fillId="0" borderId="0" xfId="65" applyFont="1" applyAlignment="1">
      <alignment horizontal="center"/>
      <protection/>
    </xf>
    <xf numFmtId="0" fontId="5" fillId="0" borderId="11" xfId="62" applyFont="1" applyBorder="1">
      <alignment/>
      <protection/>
    </xf>
    <xf numFmtId="0" fontId="0" fillId="0" borderId="0" xfId="62" applyAlignment="1">
      <alignment horizontal="center"/>
      <protection/>
    </xf>
    <xf numFmtId="0" fontId="5" fillId="0" borderId="11" xfId="62" applyFont="1" applyBorder="1">
      <alignment/>
      <protection/>
    </xf>
    <xf numFmtId="0" fontId="0" fillId="0" borderId="0" xfId="0" applyBorder="1" applyAlignment="1">
      <alignment horizontal="center"/>
    </xf>
    <xf numFmtId="0" fontId="5" fillId="0" borderId="0" xfId="62" applyFont="1" applyBorder="1">
      <alignment/>
      <protection/>
    </xf>
    <xf numFmtId="0" fontId="5" fillId="0" borderId="0" xfId="62" applyFont="1" applyBorder="1">
      <alignment/>
      <protection/>
    </xf>
    <xf numFmtId="16" fontId="0" fillId="0" borderId="0" xfId="0" applyNumberFormat="1" applyAlignment="1">
      <alignment horizontal="left"/>
    </xf>
    <xf numFmtId="43" fontId="5" fillId="0" borderId="0" xfId="18" applyFont="1" applyBorder="1" applyAlignment="1">
      <alignment horizontal="center" wrapText="1"/>
    </xf>
    <xf numFmtId="174" fontId="0" fillId="0" borderId="0" xfId="0" applyNumberFormat="1" applyFont="1" applyAlignment="1">
      <alignment horizontal="center"/>
    </xf>
    <xf numFmtId="0" fontId="3" fillId="0" borderId="0" xfId="0" applyFont="1" applyFill="1" applyBorder="1" applyAlignment="1" applyProtection="1">
      <alignment horizontal="center"/>
      <protection locked="0"/>
    </xf>
    <xf numFmtId="0" fontId="0" fillId="0" borderId="0" xfId="63" applyFont="1" applyFill="1">
      <alignment/>
      <protection/>
    </xf>
    <xf numFmtId="0" fontId="0" fillId="0" borderId="0" xfId="63" applyFont="1" applyFill="1" applyAlignment="1">
      <alignment horizontal="left"/>
      <protection/>
    </xf>
    <xf numFmtId="0" fontId="5" fillId="0" borderId="9" xfId="63" applyFont="1" applyFill="1" applyBorder="1" applyAlignment="1">
      <alignment horizontal="center"/>
      <protection/>
    </xf>
    <xf numFmtId="0" fontId="5" fillId="0" borderId="0" xfId="63" applyFont="1" applyFill="1" applyBorder="1" applyAlignment="1">
      <alignment horizontal="center"/>
      <protection/>
    </xf>
    <xf numFmtId="49" fontId="5" fillId="0" borderId="0" xfId="64" applyNumberFormat="1" applyFont="1" applyFill="1" applyBorder="1" applyAlignment="1" quotePrefix="1">
      <alignment horizontal="center"/>
      <protection/>
    </xf>
    <xf numFmtId="0" fontId="0" fillId="0" borderId="0" xfId="60" applyFont="1" applyFill="1" applyAlignment="1">
      <alignment horizontal="center"/>
      <protection/>
    </xf>
    <xf numFmtId="0" fontId="0" fillId="0" borderId="0" xfId="63" applyFont="1" applyFill="1" applyAlignment="1">
      <alignment horizontal="center"/>
      <protection/>
    </xf>
    <xf numFmtId="17" fontId="0" fillId="0" borderId="0" xfId="63" applyNumberFormat="1" applyFont="1" applyFill="1">
      <alignment/>
      <protection/>
    </xf>
    <xf numFmtId="43" fontId="5" fillId="0" borderId="0" xfId="18" applyFont="1" applyFill="1" applyAlignment="1">
      <alignment horizontal="center"/>
    </xf>
    <xf numFmtId="0" fontId="5" fillId="0" borderId="0" xfId="63" applyFont="1" applyFill="1" applyAlignment="1">
      <alignment horizontal="center"/>
      <protection/>
    </xf>
    <xf numFmtId="171" fontId="0" fillId="0" borderId="0" xfId="16" applyNumberFormat="1" applyFont="1"/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1" xfId="0" applyFill="1" applyBorder="1"/>
    <xf numFmtId="166" fontId="4" fillId="0" borderId="0" xfId="0" applyNumberFormat="1" applyFont="1" applyFill="1" applyAlignment="1">
      <alignment horizontal="right"/>
    </xf>
    <xf numFmtId="0" fontId="5" fillId="0" borderId="0" xfId="0" applyFont="1" applyBorder="1" applyAlignment="1">
      <alignment horizontal="left"/>
    </xf>
    <xf numFmtId="43" fontId="5" fillId="0" borderId="0" xfId="18" applyFont="1" applyBorder="1" applyAlignment="1">
      <alignment/>
    </xf>
    <xf numFmtId="0" fontId="5" fillId="0" borderId="0" xfId="0" applyFont="1" applyBorder="1" quotePrefix="1"/>
    <xf numFmtId="170" fontId="5" fillId="0" borderId="0" xfId="0" applyNumberFormat="1" applyFont="1" applyBorder="1"/>
    <xf numFmtId="10" fontId="0" fillId="0" borderId="0" xfId="15" applyNumberFormat="1" applyFont="1" applyProtection="1">
      <protection locked="0"/>
    </xf>
    <xf numFmtId="0" fontId="0" fillId="0" borderId="0" xfId="0" applyFont="1" applyProtection="1">
      <protection locked="0"/>
    </xf>
    <xf numFmtId="170" fontId="0" fillId="0" borderId="0" xfId="0" applyNumberFormat="1" applyFont="1" applyProtection="1">
      <protection/>
    </xf>
    <xf numFmtId="7" fontId="0" fillId="0" borderId="0" xfId="0" applyNumberFormat="1" applyFont="1"/>
    <xf numFmtId="7" fontId="5" fillId="0" borderId="0" xfId="0" applyNumberFormat="1" applyFont="1" applyBorder="1" applyAlignment="1">
      <alignment horizontal="center"/>
    </xf>
    <xf numFmtId="7" fontId="5" fillId="0" borderId="11" xfId="0" applyNumberFormat="1" applyFont="1" applyBorder="1" applyAlignment="1">
      <alignment horizontal="center"/>
    </xf>
    <xf numFmtId="171" fontId="0" fillId="0" borderId="0" xfId="0" applyNumberFormat="1" applyFont="1"/>
    <xf numFmtId="0" fontId="5" fillId="0" borderId="0" xfId="65" applyFont="1" applyFill="1" applyAlignment="1">
      <alignment horizontal="left"/>
      <protection/>
    </xf>
    <xf numFmtId="0" fontId="0" fillId="0" borderId="0" xfId="64" applyFont="1" applyFill="1">
      <alignment/>
      <protection/>
    </xf>
    <xf numFmtId="0" fontId="0" fillId="0" borderId="0" xfId="64" applyFont="1" applyFill="1" applyAlignment="1">
      <alignment horizontal="center"/>
      <protection/>
    </xf>
    <xf numFmtId="169" fontId="0" fillId="0" borderId="0" xfId="18" applyNumberFormat="1" applyFont="1" applyFill="1"/>
    <xf numFmtId="169" fontId="0" fillId="0" borderId="0" xfId="64" applyNumberFormat="1" applyFont="1" applyFill="1" applyBorder="1">
      <alignment/>
      <protection/>
    </xf>
    <xf numFmtId="0" fontId="4" fillId="0" borderId="0" xfId="0" applyFont="1" applyFill="1"/>
    <xf numFmtId="43" fontId="0" fillId="0" borderId="0" xfId="18" applyFont="1" applyFill="1" applyAlignment="1">
      <alignment horizontal="center"/>
    </xf>
    <xf numFmtId="0" fontId="0" fillId="0" borderId="11" xfId="0" applyFont="1" applyBorder="1" applyAlignment="1">
      <alignment horizontal="center"/>
    </xf>
    <xf numFmtId="0" fontId="24" fillId="0" borderId="0" xfId="0" applyFont="1" applyBorder="1"/>
    <xf numFmtId="0" fontId="23" fillId="0" borderId="0" xfId="0" applyFont="1" applyFill="1" applyBorder="1" applyAlignment="1">
      <alignment horizontal="center"/>
    </xf>
    <xf numFmtId="16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 quotePrefix="1">
      <alignment horizontal="center"/>
    </xf>
    <xf numFmtId="0" fontId="0" fillId="0" borderId="0" xfId="0" applyFont="1" applyAlignment="1">
      <alignment/>
    </xf>
    <xf numFmtId="10" fontId="0" fillId="0" borderId="0" xfId="16" applyNumberFormat="1"/>
    <xf numFmtId="10" fontId="0" fillId="0" borderId="0" xfId="16" applyNumberFormat="1" applyFont="1"/>
    <xf numFmtId="43" fontId="5" fillId="0" borderId="0" xfId="0" applyNumberFormat="1" applyFont="1" applyAlignment="1">
      <alignment/>
    </xf>
    <xf numFmtId="175" fontId="0" fillId="0" borderId="0" xfId="0" applyNumberFormat="1" quotePrefix="1"/>
    <xf numFmtId="175" fontId="0" fillId="0" borderId="0" xfId="0" applyNumberFormat="1"/>
    <xf numFmtId="176" fontId="0" fillId="0" borderId="0" xfId="0" applyNumberFormat="1"/>
    <xf numFmtId="44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176" fontId="5" fillId="0" borderId="11" xfId="0" applyNumberFormat="1" applyFont="1" applyBorder="1" applyAlignment="1">
      <alignment horizontal="center"/>
    </xf>
    <xf numFmtId="175" fontId="0" fillId="0" borderId="0" xfId="0" applyNumberFormat="1" applyAlignment="1">
      <alignment horizontal="right"/>
    </xf>
    <xf numFmtId="43" fontId="5" fillId="0" borderId="0" xfId="18" applyFont="1" applyAlignment="1">
      <alignment horizontal="center"/>
    </xf>
    <xf numFmtId="0" fontId="5" fillId="0" borderId="0" xfId="65" applyFont="1" applyFill="1">
      <alignment/>
      <protection/>
    </xf>
    <xf numFmtId="169" fontId="0" fillId="0" borderId="0" xfId="64" applyNumberFormat="1" applyFont="1" applyFill="1">
      <alignment/>
      <protection/>
    </xf>
    <xf numFmtId="44" fontId="5" fillId="0" borderId="11" xfId="16" applyFont="1" applyBorder="1" applyAlignment="1">
      <alignment horizontal="left"/>
    </xf>
    <xf numFmtId="40" fontId="0" fillId="0" borderId="0" xfId="0" applyNumberFormat="1"/>
    <xf numFmtId="166" fontId="0" fillId="0" borderId="0" xfId="47" applyNumberFormat="1"/>
    <xf numFmtId="166" fontId="5" fillId="0" borderId="11" xfId="47" applyNumberFormat="1" applyFont="1" applyBorder="1" applyAlignment="1">
      <alignment horizontal="center"/>
    </xf>
    <xf numFmtId="166" fontId="0" fillId="0" borderId="0" xfId="0" applyNumberFormat="1" applyFont="1" applyBorder="1"/>
    <xf numFmtId="166" fontId="0" fillId="0" borderId="0" xfId="18" applyNumberFormat="1" applyFont="1"/>
    <xf numFmtId="38" fontId="0" fillId="0" borderId="0" xfId="0" applyNumberFormat="1" applyFont="1" applyFill="1" applyProtection="1">
      <protection locked="0"/>
    </xf>
    <xf numFmtId="38" fontId="0" fillId="0" borderId="0" xfId="16" applyNumberFormat="1" applyFont="1" applyFill="1" applyProtection="1">
      <protection locked="0"/>
    </xf>
    <xf numFmtId="38" fontId="0" fillId="0" borderId="11" xfId="18" applyNumberFormat="1" applyFont="1" applyFill="1" applyBorder="1" applyProtection="1">
      <protection locked="0"/>
    </xf>
    <xf numFmtId="10" fontId="0" fillId="0" borderId="0" xfId="0" applyNumberFormat="1" applyFont="1" applyFill="1" applyAlignment="1">
      <alignment horizontal="left"/>
    </xf>
    <xf numFmtId="10" fontId="5" fillId="0" borderId="11" xfId="0" applyNumberFormat="1" applyFont="1" applyFill="1" applyBorder="1" applyAlignment="1">
      <alignment horizontal="center" wrapText="1"/>
    </xf>
    <xf numFmtId="10" fontId="0" fillId="0" borderId="0" xfId="0" applyNumberFormat="1" applyFont="1" applyFill="1" applyBorder="1" applyAlignment="1">
      <alignment horizontal="center" wrapText="1"/>
    </xf>
    <xf numFmtId="10" fontId="0" fillId="0" borderId="0" xfId="0" applyNumberFormat="1" applyFont="1" applyFill="1"/>
    <xf numFmtId="10" fontId="0" fillId="0" borderId="0" xfId="0" applyNumberFormat="1" applyFont="1" applyFill="1" applyAlignment="1">
      <alignment horizontal="center"/>
    </xf>
    <xf numFmtId="10" fontId="0" fillId="0" borderId="0" xfId="0" applyNumberFormat="1" applyFont="1"/>
    <xf numFmtId="0" fontId="0" fillId="0" borderId="0" xfId="0" applyFont="1" applyAlignment="1">
      <alignment horizontal="left" indent="2"/>
    </xf>
    <xf numFmtId="0" fontId="4" fillId="0" borderId="0" xfId="0" applyFont="1" applyAlignment="1">
      <alignment horizontal="left" indent="1"/>
    </xf>
    <xf numFmtId="39" fontId="0" fillId="0" borderId="0" xfId="0" applyNumberFormat="1" applyFont="1" applyBorder="1"/>
    <xf numFmtId="0" fontId="0" fillId="0" borderId="0" xfId="0" applyFont="1" applyFill="1" applyAlignment="1">
      <alignment horizontal="right"/>
    </xf>
    <xf numFmtId="43" fontId="14" fillId="0" borderId="0" xfId="18" applyFont="1" applyProtection="1">
      <protection/>
    </xf>
    <xf numFmtId="0" fontId="7" fillId="0" borderId="0" xfId="0" applyFont="1" applyAlignment="1">
      <alignment horizontal="left" vertical="center"/>
    </xf>
    <xf numFmtId="0" fontId="11" fillId="0" borderId="0" xfId="55" applyAlignment="1" applyProtection="1">
      <alignment/>
      <protection/>
    </xf>
    <xf numFmtId="174" fontId="0" fillId="0" borderId="0" xfId="0" applyNumberFormat="1" applyFont="1"/>
    <xf numFmtId="43" fontId="0" fillId="0" borderId="0" xfId="18" applyFont="1"/>
    <xf numFmtId="43" fontId="5" fillId="0" borderId="0" xfId="18" applyFont="1" applyBorder="1" applyAlignment="1">
      <alignment horizontal="center"/>
    </xf>
    <xf numFmtId="43" fontId="5" fillId="0" borderId="11" xfId="18" applyFont="1" applyBorder="1" applyAlignment="1">
      <alignment horizontal="center"/>
    </xf>
    <xf numFmtId="43" fontId="0" fillId="0" borderId="0" xfId="18" applyFont="1" applyAlignment="1" quotePrefix="1">
      <alignment horizontal="center"/>
    </xf>
    <xf numFmtId="43" fontId="5" fillId="0" borderId="0" xfId="18" applyFont="1"/>
    <xf numFmtId="43" fontId="0" fillId="0" borderId="0" xfId="18" applyFont="1" applyAlignment="1">
      <alignment horizontal="center"/>
    </xf>
    <xf numFmtId="43" fontId="0" fillId="0" borderId="0" xfId="18" applyFont="1" applyAlignment="1">
      <alignment horizontal="left"/>
    </xf>
    <xf numFmtId="43" fontId="0" fillId="0" borderId="0" xfId="18" applyFont="1" applyAlignment="1">
      <alignment horizontal="fill"/>
    </xf>
    <xf numFmtId="43" fontId="0" fillId="0" borderId="0" xfId="18" applyFont="1" applyAlignment="1">
      <alignment horizontal="centerContinuous"/>
    </xf>
    <xf numFmtId="43" fontId="0" fillId="0" borderId="0" xfId="18" applyFont="1" applyAlignment="1">
      <alignment/>
    </xf>
    <xf numFmtId="0" fontId="0" fillId="0" borderId="11" xfId="62" applyFont="1" applyBorder="1">
      <alignment/>
      <protection/>
    </xf>
    <xf numFmtId="0" fontId="5" fillId="0" borderId="11" xfId="62" applyFont="1" applyBorder="1" applyAlignment="1">
      <alignment horizontal="center"/>
      <protection/>
    </xf>
    <xf numFmtId="166" fontId="5" fillId="0" borderId="11" xfId="62" applyNumberFormat="1" applyFont="1" applyBorder="1" applyAlignment="1">
      <alignment horizontal="center"/>
      <protection/>
    </xf>
    <xf numFmtId="2" fontId="5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168" fontId="5" fillId="0" borderId="0" xfId="0" applyNumberFormat="1" applyFont="1" applyBorder="1" applyAlignment="1">
      <alignment horizontal="center"/>
    </xf>
    <xf numFmtId="168" fontId="0" fillId="0" borderId="0" xfId="0" applyNumberFormat="1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76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 quotePrefix="1">
      <alignment horizontal="center"/>
    </xf>
    <xf numFmtId="44" fontId="5" fillId="0" borderId="11" xfId="0" applyNumberFormat="1" applyFont="1" applyBorder="1" applyAlignment="1">
      <alignment horizontal="center"/>
    </xf>
    <xf numFmtId="44" fontId="0" fillId="0" borderId="0" xfId="16" applyFont="1" applyAlignment="1">
      <alignment horizontal="center"/>
    </xf>
    <xf numFmtId="43" fontId="0" fillId="0" borderId="0" xfId="18" applyFont="1" applyAlignment="1">
      <alignment horizontal="center"/>
    </xf>
    <xf numFmtId="166" fontId="5" fillId="0" borderId="0" xfId="47" applyNumberFormat="1" applyFont="1" applyBorder="1" applyAlignment="1">
      <alignment horizontal="center"/>
    </xf>
    <xf numFmtId="0" fontId="0" fillId="0" borderId="0" xfId="64" applyFont="1" applyBorder="1" applyAlignment="1">
      <alignment wrapText="1"/>
      <protection/>
    </xf>
    <xf numFmtId="0" fontId="5" fillId="0" borderId="0" xfId="64" applyFont="1" applyBorder="1" applyAlignment="1">
      <alignment horizontal="center" wrapText="1"/>
      <protection/>
    </xf>
    <xf numFmtId="49" fontId="5" fillId="0" borderId="0" xfId="64" applyNumberFormat="1" applyFont="1" applyBorder="1" applyAlignment="1">
      <alignment horizontal="center"/>
      <protection/>
    </xf>
    <xf numFmtId="0" fontId="0" fillId="0" borderId="0" xfId="64" applyFont="1" applyBorder="1" applyAlignment="1">
      <alignment horizontal="center" wrapText="1"/>
      <protection/>
    </xf>
    <xf numFmtId="0" fontId="5" fillId="0" borderId="11" xfId="64" applyFont="1" applyBorder="1" applyAlignment="1">
      <alignment horizontal="center"/>
      <protection/>
    </xf>
    <xf numFmtId="0" fontId="0" fillId="0" borderId="11" xfId="64" applyFont="1" applyBorder="1">
      <alignment/>
      <protection/>
    </xf>
    <xf numFmtId="0" fontId="5" fillId="0" borderId="11" xfId="64" applyFont="1" applyBorder="1" applyAlignment="1">
      <alignment horizontal="center" wrapText="1"/>
      <protection/>
    </xf>
    <xf numFmtId="0" fontId="0" fillId="0" borderId="0" xfId="63" applyFont="1" applyBorder="1" applyAlignment="1">
      <alignment horizontal="center" wrapText="1"/>
      <protection/>
    </xf>
    <xf numFmtId="0" fontId="5" fillId="0" borderId="0" xfId="63" applyFont="1" applyBorder="1" applyAlignment="1">
      <alignment horizontal="center" wrapText="1"/>
      <protection/>
    </xf>
    <xf numFmtId="0" fontId="5" fillId="0" borderId="11" xfId="63" applyFont="1" applyBorder="1" applyAlignment="1">
      <alignment horizontal="center"/>
      <protection/>
    </xf>
    <xf numFmtId="49" fontId="5" fillId="0" borderId="11" xfId="64" applyNumberFormat="1" applyFont="1" applyBorder="1" applyAlignment="1">
      <alignment horizontal="center"/>
      <protection/>
    </xf>
    <xf numFmtId="49" fontId="0" fillId="0" borderId="11" xfId="64" applyNumberFormat="1" applyFont="1" applyBorder="1">
      <alignment/>
      <protection/>
    </xf>
    <xf numFmtId="49" fontId="0" fillId="0" borderId="11" xfId="64" applyNumberFormat="1" applyFont="1" applyBorder="1" applyAlignment="1">
      <alignment horizontal="center"/>
      <protection/>
    </xf>
    <xf numFmtId="49" fontId="5" fillId="0" borderId="11" xfId="67" applyNumberFormat="1" applyFont="1" applyBorder="1" applyAlignment="1" quotePrefix="1">
      <alignment horizontal="center"/>
      <protection/>
    </xf>
    <xf numFmtId="0" fontId="0" fillId="0" borderId="0" xfId="63" applyFont="1" applyFill="1" applyBorder="1" applyAlignment="1">
      <alignment horizontal="center"/>
      <protection/>
    </xf>
    <xf numFmtId="0" fontId="5" fillId="0" borderId="0" xfId="60" applyFont="1" applyBorder="1" applyAlignment="1">
      <alignment wrapText="1"/>
      <protection/>
    </xf>
    <xf numFmtId="0" fontId="5" fillId="0" borderId="11" xfId="60" applyFont="1" applyFill="1" applyBorder="1" applyAlignment="1">
      <alignment horizontal="center"/>
      <protection/>
    </xf>
    <xf numFmtId="169" fontId="0" fillId="0" borderId="11" xfId="18" applyNumberFormat="1" applyBorder="1"/>
    <xf numFmtId="169" fontId="0" fillId="0" borderId="11" xfId="18" applyNumberFormat="1" applyFont="1" applyFill="1" applyBorder="1"/>
    <xf numFmtId="43" fontId="0" fillId="0" borderId="0" xfId="18" applyFont="1" applyFill="1"/>
    <xf numFmtId="169" fontId="0" fillId="0" borderId="11" xfId="18" applyNumberFormat="1" applyFont="1" applyBorder="1"/>
    <xf numFmtId="169" fontId="0" fillId="0" borderId="0" xfId="18" applyNumberFormat="1" applyFont="1"/>
    <xf numFmtId="169" fontId="5" fillId="0" borderId="11" xfId="0" applyNumberFormat="1" applyFont="1" applyBorder="1" applyAlignment="1">
      <alignment horizontal="center"/>
    </xf>
    <xf numFmtId="169" fontId="0" fillId="0" borderId="0" xfId="0" applyNumberFormat="1" applyFont="1" applyFill="1" applyBorder="1" applyAlignment="1">
      <alignment horizontal="center"/>
    </xf>
    <xf numFmtId="169" fontId="0" fillId="0" borderId="0" xfId="0" applyNumberFormat="1"/>
    <xf numFmtId="171" fontId="0" fillId="0" borderId="13" xfId="16" applyNumberFormat="1" applyFont="1" applyBorder="1"/>
    <xf numFmtId="171" fontId="0" fillId="0" borderId="12" xfId="16" applyNumberFormat="1" applyFont="1" applyBorder="1"/>
    <xf numFmtId="39" fontId="0" fillId="0" borderId="0" xfId="0" applyNumberFormat="1" applyFont="1" applyFill="1" applyAlignment="1">
      <alignment horizontal="center"/>
    </xf>
    <xf numFmtId="39" fontId="0" fillId="0" borderId="11" xfId="0" applyNumberFormat="1" applyFont="1" applyFill="1" applyBorder="1" applyAlignment="1">
      <alignment horizontal="center"/>
    </xf>
    <xf numFmtId="39" fontId="0" fillId="0" borderId="0" xfId="0" applyNumberFormat="1" applyFont="1" applyFill="1" applyBorder="1" applyAlignment="1">
      <alignment horizontal="center"/>
    </xf>
    <xf numFmtId="37" fontId="0" fillId="0" borderId="11" xfId="0" applyNumberFormat="1" applyFont="1" applyBorder="1"/>
    <xf numFmtId="171" fontId="0" fillId="0" borderId="14" xfId="16" applyNumberFormat="1" applyFont="1" applyBorder="1"/>
    <xf numFmtId="171" fontId="0" fillId="0" borderId="12" xfId="16" applyNumberFormat="1" applyFont="1" applyBorder="1"/>
    <xf numFmtId="171" fontId="0" fillId="0" borderId="0" xfId="16" applyNumberFormat="1" applyFont="1" applyFill="1" applyProtection="1">
      <protection/>
    </xf>
    <xf numFmtId="171" fontId="0" fillId="0" borderId="0" xfId="0" applyNumberFormat="1" applyFont="1" applyProtection="1">
      <protection/>
    </xf>
    <xf numFmtId="169" fontId="0" fillId="0" borderId="0" xfId="18" applyNumberFormat="1" applyFont="1" applyFill="1" applyProtection="1">
      <protection/>
    </xf>
    <xf numFmtId="169" fontId="0" fillId="0" borderId="0" xfId="18" applyNumberFormat="1" applyFont="1" applyProtection="1">
      <protection/>
    </xf>
    <xf numFmtId="169" fontId="0" fillId="0" borderId="0" xfId="18" applyNumberFormat="1" applyFont="1" applyFill="1" applyProtection="1">
      <protection locked="0"/>
    </xf>
    <xf numFmtId="169" fontId="3" fillId="0" borderId="0" xfId="18" applyNumberFormat="1" applyFont="1" applyProtection="1">
      <protection locked="0"/>
    </xf>
    <xf numFmtId="169" fontId="0" fillId="0" borderId="11" xfId="18" applyNumberFormat="1" applyFont="1" applyFill="1" applyBorder="1" applyProtection="1">
      <protection/>
    </xf>
    <xf numFmtId="169" fontId="0" fillId="0" borderId="11" xfId="18" applyNumberFormat="1" applyFont="1" applyBorder="1" applyProtection="1">
      <protection/>
    </xf>
    <xf numFmtId="171" fontId="7" fillId="0" borderId="12" xfId="16" applyNumberFormat="1" applyFont="1" applyBorder="1" applyProtection="1">
      <protection/>
    </xf>
    <xf numFmtId="44" fontId="0" fillId="0" borderId="12" xfId="0" applyNumberFormat="1" applyBorder="1"/>
    <xf numFmtId="44" fontId="0" fillId="0" borderId="12" xfId="16" applyNumberFormat="1" applyBorder="1"/>
    <xf numFmtId="10" fontId="0" fillId="0" borderId="15" xfId="16" applyNumberFormat="1" applyBorder="1"/>
    <xf numFmtId="10" fontId="0" fillId="0" borderId="12" xfId="15" applyNumberFormat="1" applyFont="1" applyFill="1" applyBorder="1"/>
    <xf numFmtId="10" fontId="0" fillId="0" borderId="12" xfId="0" applyNumberFormat="1" applyFill="1" applyBorder="1"/>
    <xf numFmtId="171" fontId="0" fillId="0" borderId="12" xfId="0" applyNumberFormat="1" applyBorder="1"/>
    <xf numFmtId="171" fontId="0" fillId="0" borderId="12" xfId="0" applyNumberFormat="1" applyFill="1" applyBorder="1"/>
    <xf numFmtId="171" fontId="0" fillId="0" borderId="12" xfId="16" applyNumberFormat="1" applyBorder="1"/>
    <xf numFmtId="164" fontId="0" fillId="0" borderId="0" xfId="0" applyNumberFormat="1" applyFont="1"/>
    <xf numFmtId="39" fontId="0" fillId="0" borderId="13" xfId="18" applyNumberFormat="1" applyFont="1" applyBorder="1"/>
    <xf numFmtId="39" fontId="7" fillId="0" borderId="0" xfId="0" applyNumberFormat="1" applyFont="1" applyProtection="1">
      <protection/>
    </xf>
    <xf numFmtId="39" fontId="7" fillId="0" borderId="11" xfId="0" applyNumberFormat="1" applyFont="1" applyBorder="1" applyProtection="1">
      <protection/>
    </xf>
    <xf numFmtId="39" fontId="7" fillId="0" borderId="12" xfId="0" applyNumberFormat="1" applyFont="1" applyBorder="1" applyProtection="1">
      <protection/>
    </xf>
    <xf numFmtId="170" fontId="0" fillId="0" borderId="0" xfId="0" applyNumberFormat="1" applyFont="1" applyAlignment="1">
      <alignment horizontal="right"/>
    </xf>
    <xf numFmtId="170" fontId="0" fillId="0" borderId="11" xfId="0" applyNumberFormat="1" applyFont="1" applyBorder="1" applyAlignment="1">
      <alignment horizontal="right"/>
    </xf>
    <xf numFmtId="170" fontId="0" fillId="0" borderId="12" xfId="0" applyNumberFormat="1" applyFont="1" applyBorder="1" applyAlignment="1">
      <alignment horizontal="right"/>
    </xf>
    <xf numFmtId="171" fontId="0" fillId="0" borderId="0" xfId="16" applyNumberFormat="1" applyFont="1" applyFill="1" applyProtection="1">
      <protection locked="0"/>
    </xf>
    <xf numFmtId="171" fontId="0" fillId="0" borderId="0" xfId="16" applyNumberFormat="1" applyFont="1" applyFill="1" applyBorder="1" applyProtection="1">
      <protection locked="0"/>
    </xf>
    <xf numFmtId="171" fontId="0" fillId="0" borderId="12" xfId="16" applyNumberFormat="1" applyFont="1" applyFill="1" applyBorder="1" applyProtection="1">
      <protection locked="0"/>
    </xf>
    <xf numFmtId="169" fontId="0" fillId="0" borderId="0" xfId="18" applyNumberFormat="1" applyFont="1" applyAlignment="1">
      <alignment horizontal="right"/>
    </xf>
    <xf numFmtId="171" fontId="4" fillId="0" borderId="0" xfId="16" applyNumberFormat="1" applyFont="1" applyAlignment="1">
      <alignment horizontal="center"/>
    </xf>
    <xf numFmtId="171" fontId="7" fillId="0" borderId="0" xfId="16" applyNumberFormat="1" applyFont="1" applyAlignment="1" applyProtection="1">
      <alignment horizontal="center"/>
      <protection locked="0"/>
    </xf>
    <xf numFmtId="40" fontId="0" fillId="0" borderId="11" xfId="0" applyNumberFormat="1" applyFont="1" applyBorder="1" applyAlignment="1">
      <alignment horizontal="right"/>
    </xf>
    <xf numFmtId="40" fontId="0" fillId="0" borderId="0" xfId="0" applyNumberFormat="1" applyFont="1" applyAlignment="1">
      <alignment horizontal="right"/>
    </xf>
    <xf numFmtId="40" fontId="0" fillId="0" borderId="11" xfId="0" applyNumberFormat="1" applyFont="1" applyFill="1" applyBorder="1" applyAlignment="1">
      <alignment horizontal="right"/>
    </xf>
    <xf numFmtId="40" fontId="0" fillId="0" borderId="12" xfId="0" applyNumberFormat="1" applyFont="1" applyBorder="1" applyAlignment="1">
      <alignment horizontal="right"/>
    </xf>
    <xf numFmtId="171" fontId="0" fillId="0" borderId="0" xfId="16" applyNumberFormat="1" applyFont="1" applyBorder="1"/>
    <xf numFmtId="40" fontId="0" fillId="0" borderId="0" xfId="0" applyNumberFormat="1" applyFont="1" applyBorder="1" applyAlignment="1">
      <alignment horizontal="right"/>
    </xf>
    <xf numFmtId="169" fontId="0" fillId="0" borderId="11" xfId="18" applyNumberFormat="1" applyFont="1" applyBorder="1"/>
    <xf numFmtId="171" fontId="0" fillId="0" borderId="13" xfId="16" applyNumberFormat="1" applyFont="1" applyBorder="1"/>
    <xf numFmtId="40" fontId="0" fillId="0" borderId="13" xfId="0" applyNumberFormat="1" applyFont="1" applyBorder="1" applyAlignment="1">
      <alignment horizontal="right"/>
    </xf>
    <xf numFmtId="169" fontId="8" fillId="0" borderId="0" xfId="18" applyNumberFormat="1" applyFont="1"/>
    <xf numFmtId="169" fontId="0" fillId="0" borderId="0" xfId="18" applyNumberFormat="1" applyFont="1" applyBorder="1"/>
    <xf numFmtId="40" fontId="0" fillId="0" borderId="13" xfId="0" applyNumberFormat="1" applyFont="1" applyBorder="1"/>
    <xf numFmtId="4" fontId="0" fillId="0" borderId="0" xfId="0" applyNumberFormat="1" applyFont="1"/>
    <xf numFmtId="43" fontId="25" fillId="0" borderId="0" xfId="18" applyFont="1" applyAlignment="1">
      <alignment/>
    </xf>
    <xf numFmtId="39" fontId="0" fillId="0" borderId="11" xfId="0" applyNumberFormat="1" applyFont="1" applyFill="1" applyBorder="1"/>
    <xf numFmtId="169" fontId="0" fillId="0" borderId="11" xfId="18" applyNumberFormat="1" applyFont="1" applyFill="1" applyBorder="1"/>
    <xf numFmtId="39" fontId="0" fillId="0" borderId="12" xfId="0" applyNumberFormat="1" applyFont="1" applyFill="1" applyBorder="1"/>
    <xf numFmtId="175" fontId="0" fillId="0" borderId="0" xfId="0" applyNumberFormat="1" applyFill="1"/>
    <xf numFmtId="169" fontId="0" fillId="0" borderId="11" xfId="18" applyNumberFormat="1" applyFont="1" applyFill="1" applyBorder="1" quotePrefix="1"/>
    <xf numFmtId="169" fontId="0" fillId="0" borderId="0" xfId="18" applyNumberFormat="1" applyFont="1" applyAlignment="1">
      <alignment horizontal="center"/>
    </xf>
    <xf numFmtId="171" fontId="0" fillId="0" borderId="13" xfId="16" applyNumberFormat="1" applyFont="1" applyFill="1" applyBorder="1"/>
    <xf numFmtId="43" fontId="0" fillId="0" borderId="13" xfId="18" applyFont="1" applyBorder="1" applyAlignment="1">
      <alignment horizontal="center"/>
    </xf>
    <xf numFmtId="171" fontId="0" fillId="0" borderId="0" xfId="16" applyNumberFormat="1" applyFont="1" applyAlignment="1">
      <alignment horizontal="right"/>
    </xf>
    <xf numFmtId="171" fontId="0" fillId="0" borderId="12" xfId="16" applyNumberFormat="1" applyFont="1" applyBorder="1" applyAlignment="1">
      <alignment horizontal="right"/>
    </xf>
    <xf numFmtId="0" fontId="11" fillId="0" borderId="0" xfId="55" applyFill="1" applyAlignment="1" applyProtection="1">
      <alignment/>
      <protection/>
    </xf>
    <xf numFmtId="14" fontId="0" fillId="0" borderId="0" xfId="65" applyNumberFormat="1" applyFont="1" applyFill="1" applyAlignment="1">
      <alignment horizontal="left"/>
      <protection/>
    </xf>
    <xf numFmtId="171" fontId="0" fillId="0" borderId="0" xfId="16" applyNumberFormat="1" applyFont="1" applyFill="1" applyBorder="1" applyAlignment="1">
      <alignment/>
    </xf>
    <xf numFmtId="169" fontId="0" fillId="0" borderId="0" xfId="18" applyNumberFormat="1" applyFont="1" applyFill="1" applyBorder="1" applyAlignment="1">
      <alignment horizontal="center"/>
    </xf>
    <xf numFmtId="169" fontId="0" fillId="0" borderId="0" xfId="18" applyNumberFormat="1" applyFont="1" applyFill="1" applyBorder="1"/>
    <xf numFmtId="0" fontId="0" fillId="0" borderId="11" xfId="65" applyFont="1" applyBorder="1">
      <alignment/>
      <protection/>
    </xf>
    <xf numFmtId="0" fontId="0" fillId="0" borderId="0" xfId="65" applyFont="1" applyBorder="1" applyAlignment="1">
      <alignment horizontal="center"/>
      <protection/>
    </xf>
    <xf numFmtId="171" fontId="0" fillId="0" borderId="0" xfId="16" applyNumberFormat="1" applyFont="1" applyAlignment="1">
      <alignment horizontal="center"/>
    </xf>
    <xf numFmtId="171" fontId="0" fillId="0" borderId="0" xfId="16" applyNumberFormat="1" applyFont="1" applyFill="1" applyBorder="1"/>
    <xf numFmtId="171" fontId="0" fillId="0" borderId="14" xfId="16" applyNumberFormat="1" applyFont="1" applyFill="1" applyBorder="1"/>
    <xf numFmtId="171" fontId="5" fillId="0" borderId="14" xfId="16" applyNumberFormat="1" applyFont="1" applyFill="1" applyBorder="1" applyAlignment="1">
      <alignment horizontal="center"/>
    </xf>
    <xf numFmtId="171" fontId="5" fillId="0" borderId="13" xfId="16" applyNumberFormat="1" applyFont="1" applyFill="1" applyBorder="1" applyAlignment="1">
      <alignment horizontal="center"/>
    </xf>
    <xf numFmtId="171" fontId="0" fillId="0" borderId="0" xfId="16" applyNumberFormat="1" applyFont="1" applyFill="1" applyBorder="1" applyAlignment="1">
      <alignment horizontal="center"/>
    </xf>
    <xf numFmtId="169" fontId="0" fillId="0" borderId="0" xfId="18" applyNumberFormat="1" applyFont="1" applyBorder="1" applyAlignment="1">
      <alignment horizontal="right"/>
    </xf>
    <xf numFmtId="169" fontId="0" fillId="0" borderId="0" xfId="18" applyNumberFormat="1" applyFont="1" applyBorder="1" applyAlignment="1">
      <alignment horizontal="center"/>
    </xf>
    <xf numFmtId="171" fontId="0" fillId="0" borderId="0" xfId="16" applyNumberFormat="1" applyFont="1" applyBorder="1" applyAlignment="1">
      <alignment horizontal="right"/>
    </xf>
    <xf numFmtId="0" fontId="0" fillId="0" borderId="0" xfId="63" applyFont="1" applyBorder="1">
      <alignment/>
      <protection/>
    </xf>
    <xf numFmtId="169" fontId="0" fillId="0" borderId="0" xfId="18" applyNumberFormat="1" applyFont="1" applyFill="1" applyBorder="1" applyAlignment="1">
      <alignment/>
    </xf>
    <xf numFmtId="0" fontId="0" fillId="0" borderId="13" xfId="64" applyFont="1" applyFill="1" applyBorder="1">
      <alignment/>
      <protection/>
    </xf>
    <xf numFmtId="43" fontId="0" fillId="0" borderId="13" xfId="64" applyNumberFormat="1" applyFont="1" applyFill="1" applyBorder="1">
      <alignment/>
      <protection/>
    </xf>
    <xf numFmtId="171" fontId="0" fillId="0" borderId="16" xfId="16" applyNumberFormat="1" applyFont="1" applyFill="1" applyBorder="1"/>
    <xf numFmtId="171" fontId="0" fillId="0" borderId="0" xfId="16" applyNumberFormat="1" applyFont="1" applyFill="1" applyAlignment="1">
      <alignment horizontal="center"/>
    </xf>
    <xf numFmtId="169" fontId="0" fillId="0" borderId="0" xfId="18" applyNumberFormat="1" applyFont="1" applyFill="1" applyAlignment="1">
      <alignment horizontal="center"/>
    </xf>
    <xf numFmtId="0" fontId="0" fillId="0" borderId="0" xfId="60" applyFont="1" applyBorder="1" applyAlignment="1">
      <alignment/>
      <protection/>
    </xf>
    <xf numFmtId="169" fontId="0" fillId="0" borderId="0" xfId="18" applyNumberFormat="1" applyFill="1" applyAlignment="1">
      <alignment horizontal="center"/>
    </xf>
    <xf numFmtId="171" fontId="0" fillId="0" borderId="0" xfId="16" applyNumberFormat="1" applyFill="1" applyAlignment="1">
      <alignment horizontal="center"/>
    </xf>
    <xf numFmtId="0" fontId="0" fillId="0" borderId="0" xfId="0" applyFont="1" applyFill="1" applyAlignment="1">
      <alignment horizontal="left" indent="1"/>
    </xf>
    <xf numFmtId="0" fontId="0" fillId="0" borderId="0" xfId="0" applyFont="1" applyFill="1" applyAlignment="1">
      <alignment horizontal="left" indent="3"/>
    </xf>
    <xf numFmtId="171" fontId="0" fillId="0" borderId="12" xfId="16" applyNumberFormat="1" applyFont="1" applyFill="1" applyBorder="1"/>
    <xf numFmtId="0" fontId="0" fillId="0" borderId="0" xfId="0" applyFont="1" applyAlignment="1">
      <alignment horizontal="left" indent="3"/>
    </xf>
    <xf numFmtId="10" fontId="0" fillId="0" borderId="0" xfId="15" applyNumberFormat="1" applyFont="1" applyFill="1" applyAlignment="1">
      <alignment horizontal="center"/>
    </xf>
    <xf numFmtId="10" fontId="0" fillId="0" borderId="12" xfId="15" applyNumberFormat="1" applyFont="1" applyBorder="1"/>
    <xf numFmtId="175" fontId="0" fillId="0" borderId="0" xfId="0" applyNumberFormat="1" applyFont="1" applyAlignment="1">
      <alignment horizontal="center"/>
    </xf>
    <xf numFmtId="175" fontId="7" fillId="0" borderId="0" xfId="0" applyNumberFormat="1" applyFont="1" applyAlignment="1">
      <alignment horizontal="center"/>
    </xf>
    <xf numFmtId="175" fontId="3" fillId="0" borderId="0" xfId="0" applyNumberFormat="1" applyFont="1" applyAlignment="1">
      <alignment horizontal="center"/>
    </xf>
    <xf numFmtId="175" fontId="0" fillId="0" borderId="0" xfId="0" applyNumberFormat="1" applyFont="1"/>
    <xf numFmtId="175" fontId="0" fillId="0" borderId="0" xfId="0" applyNumberFormat="1" applyFont="1" applyProtection="1">
      <protection/>
    </xf>
    <xf numFmtId="175" fontId="0" fillId="0" borderId="0" xfId="0" applyNumberFormat="1" applyFont="1" applyFill="1" applyAlignment="1">
      <alignment horizontal="center"/>
    </xf>
    <xf numFmtId="175" fontId="8" fillId="0" borderId="0" xfId="0" applyNumberFormat="1" applyFont="1" applyAlignment="1">
      <alignment horizontal="center"/>
    </xf>
    <xf numFmtId="43" fontId="0" fillId="0" borderId="11" xfId="18" applyFont="1" applyFill="1" applyBorder="1"/>
    <xf numFmtId="171" fontId="0" fillId="0" borderId="11" xfId="16" applyNumberFormat="1" applyFill="1" applyBorder="1" applyAlignment="1">
      <alignment horizontal="center"/>
    </xf>
    <xf numFmtId="171" fontId="0" fillId="0" borderId="12" xfId="0" applyNumberFormat="1" applyFont="1" applyBorder="1"/>
    <xf numFmtId="10" fontId="0" fillId="0" borderId="0" xfId="15" applyNumberFormat="1"/>
    <xf numFmtId="0" fontId="16" fillId="0" borderId="0" xfId="0" applyFont="1" applyFill="1"/>
    <xf numFmtId="0" fontId="0" fillId="0" borderId="0" xfId="0" applyFont="1" applyBorder="1" applyAlignment="1">
      <alignment horizontal="left"/>
    </xf>
    <xf numFmtId="43" fontId="0" fillId="0" borderId="11" xfId="18" applyFont="1" applyBorder="1" applyAlignment="1">
      <alignment horizontal="right"/>
    </xf>
    <xf numFmtId="40" fontId="7" fillId="0" borderId="0" xfId="0" applyNumberFormat="1" applyFont="1"/>
    <xf numFmtId="8" fontId="7" fillId="0" borderId="0" xfId="0" applyNumberFormat="1" applyFont="1"/>
    <xf numFmtId="171" fontId="7" fillId="0" borderId="0" xfId="16" applyNumberFormat="1" applyFont="1"/>
    <xf numFmtId="169" fontId="7" fillId="0" borderId="0" xfId="18" applyNumberFormat="1" applyFont="1"/>
    <xf numFmtId="171" fontId="7" fillId="0" borderId="0" xfId="16" applyNumberFormat="1" applyFont="1" applyFill="1"/>
    <xf numFmtId="40" fontId="7" fillId="0" borderId="0" xfId="18" applyNumberFormat="1" applyFont="1"/>
    <xf numFmtId="166" fontId="0" fillId="0" borderId="12" xfId="0" applyNumberFormat="1" applyFill="1" applyBorder="1"/>
    <xf numFmtId="0" fontId="0" fillId="0" borderId="0" xfId="0" applyFont="1" applyAlignment="1">
      <alignment horizontal="left" indent="4"/>
    </xf>
    <xf numFmtId="0" fontId="0" fillId="0" borderId="0" xfId="62" applyFill="1" applyAlignment="1">
      <alignment horizontal="center"/>
      <protection/>
    </xf>
    <xf numFmtId="0" fontId="0" fillId="0" borderId="0" xfId="62" applyFont="1" applyFill="1">
      <alignment/>
      <protection/>
    </xf>
    <xf numFmtId="171" fontId="0" fillId="0" borderId="0" xfId="16" applyNumberFormat="1" applyFill="1"/>
    <xf numFmtId="166" fontId="0" fillId="0" borderId="0" xfId="62" applyNumberFormat="1" applyFill="1">
      <alignment/>
      <protection/>
    </xf>
    <xf numFmtId="0" fontId="0" fillId="0" borderId="0" xfId="62" applyFont="1" applyFill="1" quotePrefix="1">
      <alignment/>
      <protection/>
    </xf>
    <xf numFmtId="40" fontId="0" fillId="0" borderId="0" xfId="62" applyNumberFormat="1" applyFill="1">
      <alignment/>
      <protection/>
    </xf>
    <xf numFmtId="169" fontId="0" fillId="0" borderId="11" xfId="18" applyNumberFormat="1" applyFill="1" applyBorder="1"/>
    <xf numFmtId="169" fontId="0" fillId="0" borderId="0" xfId="18" applyNumberFormat="1" applyFont="1" applyFill="1" applyAlignment="1" quotePrefix="1">
      <alignment horizontal="center"/>
    </xf>
    <xf numFmtId="171" fontId="0" fillId="0" borderId="12" xfId="62" applyNumberFormat="1" applyFill="1" applyBorder="1">
      <alignment/>
      <protection/>
    </xf>
    <xf numFmtId="0" fontId="0" fillId="0" borderId="0" xfId="62" applyFont="1" applyFill="1" applyAlignment="1" quotePrefix="1">
      <alignment horizontal="center"/>
      <protection/>
    </xf>
    <xf numFmtId="10" fontId="0" fillId="0" borderId="0" xfId="15" applyNumberFormat="1" applyFont="1"/>
    <xf numFmtId="175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37" fontId="0" fillId="0" borderId="11" xfId="0" applyNumberFormat="1" applyFill="1" applyBorder="1"/>
    <xf numFmtId="0" fontId="0" fillId="0" borderId="0" xfId="0" applyFont="1" applyFill="1" applyAlignment="1" applyProtection="1">
      <alignment horizontal="center"/>
      <protection locked="0"/>
    </xf>
    <xf numFmtId="174" fontId="0" fillId="0" borderId="0" xfId="0" applyNumberFormat="1"/>
    <xf numFmtId="9" fontId="0" fillId="0" borderId="0" xfId="15" applyFont="1"/>
    <xf numFmtId="43" fontId="0" fillId="0" borderId="0" xfId="18" applyFill="1"/>
    <xf numFmtId="40" fontId="0" fillId="0" borderId="11" xfId="62" applyNumberFormat="1" applyFill="1" applyBorder="1">
      <alignment/>
      <protection/>
    </xf>
    <xf numFmtId="166" fontId="0" fillId="0" borderId="12" xfId="62" applyNumberFormat="1" applyFill="1" applyBorder="1">
      <alignment/>
      <protection/>
    </xf>
    <xf numFmtId="166" fontId="5" fillId="0" borderId="0" xfId="62" applyNumberFormat="1" applyFont="1" applyFill="1" applyAlignment="1">
      <alignment horizontal="center"/>
      <protection/>
    </xf>
    <xf numFmtId="166" fontId="5" fillId="0" borderId="11" xfId="62" applyNumberFormat="1" applyFont="1" applyFill="1" applyBorder="1" applyAlignment="1">
      <alignment horizontal="center"/>
      <protection/>
    </xf>
    <xf numFmtId="43" fontId="5" fillId="0" borderId="0" xfId="18" applyFont="1" applyFill="1" applyAlignment="1" applyProtection="1">
      <alignment horizontal="left"/>
      <protection locked="0"/>
    </xf>
    <xf numFmtId="16" fontId="0" fillId="0" borderId="0" xfId="0" applyNumberFormat="1" applyAlignment="1" quotePrefix="1">
      <alignment horizontal="center"/>
    </xf>
    <xf numFmtId="169" fontId="0" fillId="0" borderId="0" xfId="18" applyNumberFormat="1" applyFont="1" applyAlignment="1" quotePrefix="1">
      <alignment horizontal="center"/>
    </xf>
    <xf numFmtId="166" fontId="0" fillId="0" borderId="0" xfId="62" applyNumberFormat="1" applyFill="1" applyBorder="1">
      <alignment/>
      <protection/>
    </xf>
    <xf numFmtId="0" fontId="5" fillId="0" borderId="11" xfId="62" applyFont="1" applyBorder="1" applyAlignment="1">
      <alignment wrapText="1"/>
      <protection/>
    </xf>
    <xf numFmtId="0" fontId="5" fillId="0" borderId="11" xfId="62" applyFont="1" applyBorder="1" applyAlignment="1">
      <alignment wrapText="1"/>
      <protection/>
    </xf>
    <xf numFmtId="0" fontId="5" fillId="0" borderId="11" xfId="62" applyFont="1" applyBorder="1" applyAlignment="1">
      <alignment horizontal="center" wrapText="1"/>
      <protection/>
    </xf>
    <xf numFmtId="166" fontId="5" fillId="0" borderId="11" xfId="62" applyNumberFormat="1" applyFont="1" applyBorder="1" applyAlignment="1">
      <alignment horizontal="center" wrapText="1"/>
      <protection/>
    </xf>
    <xf numFmtId="0" fontId="5" fillId="0" borderId="11" xfId="62" applyFont="1" applyBorder="1" applyAlignment="1">
      <alignment horizontal="center" wrapText="1"/>
      <protection/>
    </xf>
    <xf numFmtId="0" fontId="0" fillId="0" borderId="0" xfId="0" applyAlignment="1">
      <alignment wrapText="1"/>
    </xf>
    <xf numFmtId="0" fontId="5" fillId="0" borderId="0" xfId="62" applyFont="1" applyAlignment="1">
      <alignment wrapText="1"/>
      <protection/>
    </xf>
    <xf numFmtId="0" fontId="0" fillId="0" borderId="0" xfId="62" applyAlignment="1">
      <alignment wrapText="1"/>
      <protection/>
    </xf>
    <xf numFmtId="175" fontId="0" fillId="0" borderId="0" xfId="0" applyNumberFormat="1" applyAlignment="1">
      <alignment horizontal="center"/>
    </xf>
    <xf numFmtId="169" fontId="0" fillId="0" borderId="0" xfId="18" applyNumberFormat="1" applyFont="1" applyAlignment="1">
      <alignment horizontal="center"/>
    </xf>
    <xf numFmtId="169" fontId="0" fillId="0" borderId="11" xfId="18" applyNumberFormat="1" applyFont="1" applyBorder="1" applyAlignment="1">
      <alignment horizontal="center"/>
    </xf>
    <xf numFmtId="0" fontId="0" fillId="0" borderId="0" xfId="62" applyFont="1" applyAlignment="1">
      <alignment horizontal="center"/>
      <protection/>
    </xf>
    <xf numFmtId="43" fontId="0" fillId="0" borderId="0" xfId="18" applyFont="1" applyFill="1"/>
    <xf numFmtId="171" fontId="0" fillId="10" borderId="0" xfId="16" applyNumberFormat="1" applyFill="1"/>
    <xf numFmtId="169" fontId="0" fillId="0" borderId="0" xfId="18" applyNumberFormat="1" applyFill="1"/>
    <xf numFmtId="44" fontId="0" fillId="0" borderId="12" xfId="16" applyBorder="1"/>
    <xf numFmtId="44" fontId="0" fillId="0" borderId="0" xfId="0" applyNumberFormat="1" applyBorder="1"/>
    <xf numFmtId="39" fontId="0" fillId="0" borderId="0" xfId="0" applyNumberFormat="1" applyFont="1" applyFill="1" applyBorder="1"/>
    <xf numFmtId="175" fontId="0" fillId="0" borderId="0" xfId="0" applyNumberFormat="1" applyBorder="1" applyAlignment="1">
      <alignment horizontal="right"/>
    </xf>
    <xf numFmtId="175" fontId="0" fillId="0" borderId="0" xfId="0" applyNumberFormat="1" applyBorder="1" applyAlignment="1">
      <alignment horizontal="center"/>
    </xf>
    <xf numFmtId="43" fontId="0" fillId="0" borderId="0" xfId="18" applyFont="1" applyBorder="1"/>
    <xf numFmtId="0" fontId="0" fillId="0" borderId="0" xfId="0" applyAlignment="1">
      <alignment horizontal="right"/>
    </xf>
    <xf numFmtId="37" fontId="0" fillId="0" borderId="0" xfId="0" applyNumberFormat="1" applyFill="1"/>
    <xf numFmtId="44" fontId="0" fillId="0" borderId="0" xfId="16"/>
    <xf numFmtId="43" fontId="0" fillId="0" borderId="11" xfId="18" applyFont="1" applyBorder="1"/>
    <xf numFmtId="43" fontId="0" fillId="0" borderId="11" xfId="18" applyFill="1" applyBorder="1"/>
    <xf numFmtId="43" fontId="0" fillId="0" borderId="0" xfId="18" applyAlignment="1">
      <alignment horizontal="center"/>
    </xf>
    <xf numFmtId="44" fontId="0" fillId="0" borderId="0" xfId="0" applyNumberFormat="1" applyFill="1"/>
    <xf numFmtId="44" fontId="5" fillId="0" borderId="0" xfId="16" applyFont="1" applyFill="1" applyBorder="1" applyAlignment="1">
      <alignment horizontal="center"/>
    </xf>
    <xf numFmtId="0" fontId="0" fillId="0" borderId="0" xfId="65" applyFont="1" applyFill="1">
      <alignment/>
      <protection/>
    </xf>
    <xf numFmtId="166" fontId="0" fillId="0" borderId="0" xfId="16" applyNumberFormat="1"/>
    <xf numFmtId="169" fontId="0" fillId="0" borderId="0" xfId="18" applyNumberFormat="1"/>
    <xf numFmtId="44" fontId="0" fillId="0" borderId="0" xfId="16" applyFont="1" applyFill="1" applyBorder="1"/>
    <xf numFmtId="44" fontId="0" fillId="0" borderId="0" xfId="16" applyFont="1" applyBorder="1"/>
    <xf numFmtId="177" fontId="0" fillId="0" borderId="0" xfId="15" applyNumberFormat="1" applyFont="1"/>
    <xf numFmtId="39" fontId="0" fillId="0" borderId="12" xfId="0" applyNumberFormat="1" applyFont="1" applyFill="1" applyBorder="1" applyAlignment="1">
      <alignment horizontal="center"/>
    </xf>
    <xf numFmtId="10" fontId="5" fillId="0" borderId="0" xfId="0" applyNumberFormat="1" applyFont="1" applyFill="1"/>
    <xf numFmtId="39" fontId="0" fillId="0" borderId="0" xfId="0" applyNumberFormat="1" applyFill="1"/>
    <xf numFmtId="171" fontId="0" fillId="0" borderId="12" xfId="16" applyNumberFormat="1" applyFill="1" applyBorder="1"/>
    <xf numFmtId="0" fontId="5" fillId="0" borderId="11" xfId="62" applyFont="1" applyBorder="1" applyAlignment="1">
      <alignment horizontal="center"/>
      <protection/>
    </xf>
    <xf numFmtId="169" fontId="7" fillId="0" borderId="0" xfId="18" applyNumberFormat="1" applyFont="1" applyFill="1"/>
    <xf numFmtId="166" fontId="0" fillId="0" borderId="0" xfId="0" applyNumberFormat="1"/>
    <xf numFmtId="166" fontId="0" fillId="0" borderId="0" xfId="0" applyNumberFormat="1" applyAlignment="1">
      <alignment horizontal="center"/>
    </xf>
    <xf numFmtId="173" fontId="0" fillId="0" borderId="0" xfId="18" applyNumberFormat="1" applyFont="1" applyBorder="1"/>
    <xf numFmtId="173" fontId="0" fillId="0" borderId="11" xfId="18" applyNumberFormat="1" applyFont="1" applyBorder="1"/>
    <xf numFmtId="173" fontId="0" fillId="0" borderId="12" xfId="18" applyNumberFormat="1" applyFont="1" applyBorder="1"/>
    <xf numFmtId="43" fontId="9" fillId="0" borderId="0" xfId="18" applyFont="1" applyAlignment="1">
      <alignment horizontal="left"/>
    </xf>
    <xf numFmtId="43" fontId="2" fillId="0" borderId="0" xfId="18" applyFont="1"/>
    <xf numFmtId="43" fontId="9" fillId="0" borderId="0" xfId="18" applyFont="1" applyAlignment="1">
      <alignment/>
    </xf>
    <xf numFmtId="43" fontId="9" fillId="0" borderId="11" xfId="18" applyFont="1" applyBorder="1" applyAlignment="1">
      <alignment horizontal="center" wrapText="1"/>
    </xf>
    <xf numFmtId="43" fontId="9" fillId="0" borderId="11" xfId="18" applyFont="1" applyBorder="1" applyAlignment="1">
      <alignment horizontal="centerContinuous" wrapText="1"/>
    </xf>
    <xf numFmtId="0" fontId="2" fillId="0" borderId="11" xfId="0" applyFont="1" applyBorder="1" applyAlignment="1">
      <alignment horizontal="centerContinuous"/>
    </xf>
    <xf numFmtId="0" fontId="2" fillId="0" borderId="0" xfId="0" applyFont="1"/>
    <xf numFmtId="0" fontId="2" fillId="0" borderId="0" xfId="0" applyFont="1" applyAlignment="1">
      <alignment horizontal="center"/>
    </xf>
    <xf numFmtId="0" fontId="9" fillId="0" borderId="0" xfId="0" applyFont="1"/>
    <xf numFmtId="2" fontId="2" fillId="0" borderId="0" xfId="0" applyNumberFormat="1" applyFont="1" applyAlignment="1" applyProtection="1">
      <alignment horizontal="center"/>
      <protection/>
    </xf>
    <xf numFmtId="0" fontId="2" fillId="0" borderId="0" xfId="0" applyFont="1" applyAlignment="1">
      <alignment horizontal="left"/>
    </xf>
    <xf numFmtId="14" fontId="2" fillId="0" borderId="0" xfId="0" applyNumberFormat="1" applyFon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5" fontId="2" fillId="0" borderId="0" xfId="0" applyNumberFormat="1" applyFont="1"/>
    <xf numFmtId="2" fontId="2" fillId="0" borderId="0" xfId="0" applyNumberFormat="1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39" fontId="2" fillId="0" borderId="0" xfId="0" applyNumberFormat="1" applyFont="1" applyAlignment="1">
      <alignment horizontal="center"/>
    </xf>
    <xf numFmtId="168" fontId="2" fillId="0" borderId="0" xfId="0" applyNumberFormat="1" applyFont="1"/>
    <xf numFmtId="0" fontId="9" fillId="0" borderId="0" xfId="0" applyFont="1" applyAlignment="1">
      <alignment horizontal="center"/>
    </xf>
    <xf numFmtId="39" fontId="2" fillId="0" borderId="0" xfId="0" applyNumberFormat="1" applyFont="1"/>
    <xf numFmtId="40" fontId="2" fillId="0" borderId="0" xfId="0" applyNumberFormat="1" applyFont="1"/>
    <xf numFmtId="0" fontId="26" fillId="0" borderId="0" xfId="0" applyFont="1" applyAlignment="1" applyProtection="1">
      <alignment horizontal="center"/>
      <protection locked="0"/>
    </xf>
    <xf numFmtId="166" fontId="2" fillId="0" borderId="0" xfId="0" applyNumberFormat="1" applyFont="1"/>
    <xf numFmtId="174" fontId="0" fillId="0" borderId="0" xfId="0" applyNumberFormat="1" applyFont="1" applyFill="1"/>
    <xf numFmtId="174" fontId="0" fillId="0" borderId="0" xfId="0" applyNumberFormat="1" applyFont="1" applyFill="1" applyAlignment="1">
      <alignment horizontal="center"/>
    </xf>
    <xf numFmtId="0" fontId="3" fillId="0" borderId="0" xfId="65" applyFont="1">
      <alignment/>
      <protection/>
    </xf>
    <xf numFmtId="0" fontId="3" fillId="0" borderId="0" xfId="64" applyFont="1">
      <alignment/>
      <protection/>
    </xf>
    <xf numFmtId="43" fontId="0" fillId="0" borderId="0" xfId="18" applyNumberFormat="1"/>
    <xf numFmtId="169" fontId="0" fillId="0" borderId="0" xfId="18" applyNumberFormat="1" applyFont="1" applyFill="1" applyBorder="1" applyAlignment="1">
      <alignment horizontal="right"/>
    </xf>
    <xf numFmtId="43" fontId="5" fillId="0" borderId="0" xfId="18" applyNumberFormat="1" applyFont="1" applyFill="1" applyAlignment="1">
      <alignment horizontal="center"/>
    </xf>
    <xf numFmtId="0" fontId="3" fillId="0" borderId="0" xfId="64" applyFont="1" applyBorder="1">
      <alignment/>
      <protection/>
    </xf>
    <xf numFmtId="44" fontId="0" fillId="0" borderId="0" xfId="16" applyNumberFormat="1" applyFont="1" applyFill="1" applyBorder="1" applyAlignment="1">
      <alignment/>
    </xf>
    <xf numFmtId="0" fontId="5" fillId="0" borderId="9" xfId="63" applyFont="1" applyFill="1" applyBorder="1" applyAlignment="1">
      <alignment horizontal="center" wrapText="1"/>
      <protection/>
    </xf>
    <xf numFmtId="0" fontId="5" fillId="0" borderId="0" xfId="63" applyFont="1" applyFill="1" applyBorder="1" applyAlignment="1" quotePrefix="1">
      <alignment horizontal="center"/>
      <protection/>
    </xf>
    <xf numFmtId="44" fontId="0" fillId="0" borderId="0" xfId="63" applyNumberFormat="1" applyFont="1" applyFill="1">
      <alignment/>
      <protection/>
    </xf>
    <xf numFmtId="0" fontId="3" fillId="0" borderId="0" xfId="63" applyFont="1" applyFill="1">
      <alignment/>
      <protection/>
    </xf>
    <xf numFmtId="44" fontId="0" fillId="0" borderId="0" xfId="16" applyFont="1" applyFill="1" applyBorder="1" applyAlignment="1">
      <alignment/>
    </xf>
    <xf numFmtId="41" fontId="0" fillId="0" borderId="0" xfId="18" applyNumberFormat="1" applyFont="1" applyFill="1" applyBorder="1" applyAlignment="1">
      <alignment/>
    </xf>
    <xf numFmtId="0" fontId="0" fillId="0" borderId="0" xfId="60" applyFont="1" applyFill="1">
      <alignment/>
      <protection/>
    </xf>
    <xf numFmtId="44" fontId="0" fillId="0" borderId="14" xfId="16" applyFont="1" applyBorder="1" applyAlignment="1">
      <alignment/>
    </xf>
    <xf numFmtId="44" fontId="0" fillId="0" borderId="13" xfId="16" applyFont="1" applyBorder="1" applyAlignment="1">
      <alignment/>
    </xf>
    <xf numFmtId="40" fontId="5" fillId="0" borderId="0" xfId="60" applyNumberFormat="1" applyFont="1" applyFill="1">
      <alignment/>
      <protection/>
    </xf>
    <xf numFmtId="0" fontId="0" fillId="0" borderId="14" xfId="60" applyFont="1" applyBorder="1" applyAlignment="1">
      <alignment/>
      <protection/>
    </xf>
    <xf numFmtId="0" fontId="0" fillId="0" borderId="13" xfId="60" applyFont="1" applyBorder="1" applyAlignment="1">
      <alignment/>
      <protection/>
    </xf>
    <xf numFmtId="171" fontId="0" fillId="0" borderId="11" xfId="16" applyNumberFormat="1" applyFont="1" applyBorder="1"/>
    <xf numFmtId="0" fontId="4" fillId="0" borderId="0" xfId="0" applyFont="1" applyFill="1" applyAlignment="1">
      <alignment/>
    </xf>
    <xf numFmtId="171" fontId="0" fillId="0" borderId="11" xfId="16" applyNumberFormat="1" applyFont="1" applyFill="1" applyBorder="1" applyProtection="1">
      <protection locked="0"/>
    </xf>
    <xf numFmtId="7" fontId="27" fillId="0" borderId="0" xfId="16" applyNumberFormat="1" applyFont="1"/>
    <xf numFmtId="178" fontId="27" fillId="0" borderId="0" xfId="0" applyNumberFormat="1" applyFont="1" applyFill="1"/>
    <xf numFmtId="0" fontId="27" fillId="0" borderId="0" xfId="0" applyFont="1" applyFill="1" applyAlignment="1">
      <alignment horizontal="left"/>
    </xf>
    <xf numFmtId="0" fontId="7" fillId="0" borderId="0" xfId="61" applyFont="1">
      <alignment/>
      <protection/>
    </xf>
    <xf numFmtId="0" fontId="7" fillId="0" borderId="0" xfId="61" applyFont="1" applyAlignment="1">
      <alignment horizontal="center"/>
      <protection/>
    </xf>
    <xf numFmtId="14" fontId="7" fillId="0" borderId="0" xfId="61" applyNumberFormat="1" applyFont="1" applyAlignment="1">
      <alignment horizontal="center"/>
      <protection/>
    </xf>
    <xf numFmtId="14" fontId="7" fillId="0" borderId="0" xfId="61" applyNumberFormat="1" applyFont="1">
      <alignment/>
      <protection/>
    </xf>
    <xf numFmtId="37" fontId="7" fillId="0" borderId="0" xfId="61" applyNumberFormat="1" applyFont="1">
      <alignment/>
      <protection/>
    </xf>
    <xf numFmtId="39" fontId="7" fillId="0" borderId="0" xfId="61" applyNumberFormat="1" applyFont="1">
      <alignment/>
      <protection/>
    </xf>
    <xf numFmtId="168" fontId="7" fillId="0" borderId="0" xfId="61" applyNumberFormat="1" applyFont="1">
      <alignment/>
      <protection/>
    </xf>
    <xf numFmtId="37" fontId="45" fillId="0" borderId="0" xfId="61" applyNumberFormat="1" applyFont="1">
      <alignment/>
      <protection/>
    </xf>
    <xf numFmtId="0" fontId="10" fillId="0" borderId="0" xfId="61" applyFont="1">
      <alignment/>
      <protection/>
    </xf>
    <xf numFmtId="0" fontId="46" fillId="0" borderId="0" xfId="61" applyFont="1" applyAlignment="1">
      <alignment horizontal="center" wrapText="1"/>
      <protection/>
    </xf>
    <xf numFmtId="10" fontId="10" fillId="0" borderId="0" xfId="61" applyNumberFormat="1" applyFont="1">
      <alignment/>
      <protection/>
    </xf>
    <xf numFmtId="10" fontId="46" fillId="0" borderId="0" xfId="61" applyNumberFormat="1" applyFont="1" applyAlignment="1">
      <alignment horizontal="center" wrapText="1"/>
      <protection/>
    </xf>
    <xf numFmtId="10" fontId="7" fillId="0" borderId="0" xfId="61" applyNumberFormat="1" applyFont="1" applyAlignment="1">
      <alignment horizontal="center"/>
      <protection/>
    </xf>
    <xf numFmtId="10" fontId="7" fillId="0" borderId="0" xfId="15" applyNumberFormat="1" applyFont="1"/>
    <xf numFmtId="10" fontId="7" fillId="0" borderId="0" xfId="61" applyNumberFormat="1" applyFont="1">
      <alignment/>
      <protection/>
    </xf>
    <xf numFmtId="39" fontId="0" fillId="0" borderId="17" xfId="0" applyNumberFormat="1" applyFont="1" applyBorder="1"/>
    <xf numFmtId="37" fontId="0" fillId="0" borderId="18" xfId="0" applyNumberFormat="1" applyFont="1" applyBorder="1"/>
    <xf numFmtId="171" fontId="0" fillId="0" borderId="18" xfId="16" applyNumberFormat="1" applyFont="1" applyBorder="1"/>
    <xf numFmtId="171" fontId="0" fillId="0" borderId="19" xfId="16" applyNumberFormat="1" applyFont="1" applyBorder="1"/>
    <xf numFmtId="10" fontId="5" fillId="0" borderId="20" xfId="0" applyNumberFormat="1" applyFont="1" applyBorder="1" applyAlignment="1">
      <alignment horizontal="center"/>
    </xf>
    <xf numFmtId="10" fontId="5" fillId="0" borderId="20" xfId="0" applyNumberFormat="1" applyFont="1" applyFill="1" applyBorder="1" applyAlignment="1">
      <alignment horizontal="center"/>
    </xf>
    <xf numFmtId="10" fontId="0" fillId="0" borderId="21" xfId="0" applyNumberFormat="1" applyFont="1" applyFill="1" applyBorder="1" applyAlignment="1">
      <alignment horizontal="center"/>
    </xf>
    <xf numFmtId="39" fontId="0" fillId="0" borderId="17" xfId="0" applyNumberFormat="1" applyFont="1" applyFill="1" applyBorder="1" applyAlignment="1">
      <alignment horizontal="center"/>
    </xf>
    <xf numFmtId="0" fontId="16" fillId="0" borderId="0" xfId="0" applyFont="1"/>
    <xf numFmtId="40" fontId="0" fillId="0" borderId="0" xfId="0" applyNumberFormat="1" applyFont="1" applyBorder="1" applyAlignment="1">
      <alignment horizontal="center"/>
    </xf>
    <xf numFmtId="0" fontId="11" fillId="0" borderId="0" xfId="55" applyAlignment="1" applyProtection="1">
      <alignment horizontal="center"/>
      <protection/>
    </xf>
    <xf numFmtId="0" fontId="0" fillId="0" borderId="14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43" fontId="5" fillId="0" borderId="0" xfId="18" applyFont="1" applyAlignment="1">
      <alignment horizontal="centerContinuous"/>
    </xf>
    <xf numFmtId="174" fontId="7" fillId="0" borderId="0" xfId="0" applyNumberFormat="1" applyFont="1" applyAlignment="1">
      <alignment horizontal="center"/>
    </xf>
    <xf numFmtId="171" fontId="48" fillId="0" borderId="0" xfId="16" applyNumberFormat="1" applyFont="1"/>
    <xf numFmtId="179" fontId="48" fillId="0" borderId="0" xfId="0" applyNumberFormat="1" applyFont="1"/>
    <xf numFmtId="14" fontId="0" fillId="0" borderId="0" xfId="0" applyNumberFormat="1" applyAlignment="1">
      <alignment horizontal="center"/>
    </xf>
    <xf numFmtId="39" fontId="0" fillId="0" borderId="0" xfId="0" applyNumberFormat="1" applyAlignment="1">
      <alignment horizontal="center"/>
    </xf>
    <xf numFmtId="0" fontId="47" fillId="0" borderId="0" xfId="0" applyFont="1" applyAlignment="1">
      <alignment horizontal="center" wrapText="1"/>
    </xf>
    <xf numFmtId="14" fontId="0" fillId="0" borderId="0" xfId="15" applyNumberFormat="1" applyFont="1" applyAlignment="1">
      <alignment horizontal="center"/>
    </xf>
    <xf numFmtId="37" fontId="0" fillId="0" borderId="0" xfId="0" applyNumberFormat="1" applyAlignment="1">
      <alignment horizontal="right"/>
    </xf>
    <xf numFmtId="180" fontId="0" fillId="0" borderId="0" xfId="0" applyNumberFormat="1" applyAlignment="1">
      <alignment horizontal="center"/>
    </xf>
    <xf numFmtId="180" fontId="0" fillId="0" borderId="0" xfId="0" applyNumberFormat="1"/>
    <xf numFmtId="37" fontId="0" fillId="0" borderId="0" xfId="0" applyNumberFormat="1"/>
    <xf numFmtId="14" fontId="0" fillId="0" borderId="0" xfId="15" applyNumberFormat="1" applyFont="1"/>
    <xf numFmtId="176" fontId="16" fillId="0" borderId="0" xfId="0" applyNumberFormat="1" applyFont="1" applyAlignment="1">
      <alignment horizontal="center" wrapText="1"/>
    </xf>
    <xf numFmtId="0" fontId="0" fillId="0" borderId="0" xfId="62" applyFont="1" applyAlignment="1" quotePrefix="1">
      <alignment horizontal="right"/>
      <protection/>
    </xf>
    <xf numFmtId="43" fontId="10" fillId="0" borderId="0" xfId="18" applyFont="1"/>
    <xf numFmtId="39" fontId="7" fillId="0" borderId="0" xfId="0" applyNumberFormat="1" applyFont="1"/>
    <xf numFmtId="171" fontId="49" fillId="0" borderId="0" xfId="16" applyNumberFormat="1" applyFont="1"/>
    <xf numFmtId="179" fontId="49" fillId="0" borderId="0" xfId="0" applyNumberFormat="1" applyFont="1"/>
    <xf numFmtId="39" fontId="0" fillId="0" borderId="0" xfId="18" applyNumberFormat="1" applyFont="1" applyProtection="1">
      <protection locked="0"/>
    </xf>
    <xf numFmtId="39" fontId="0" fillId="0" borderId="11" xfId="18" applyNumberFormat="1" applyFont="1" applyBorder="1"/>
    <xf numFmtId="39" fontId="0" fillId="0" borderId="12" xfId="18" applyNumberFormat="1" applyFont="1" applyBorder="1"/>
    <xf numFmtId="175" fontId="7" fillId="0" borderId="0" xfId="0" applyNumberFormat="1" applyFont="1" applyAlignment="1">
      <alignment horizontal="center"/>
    </xf>
    <xf numFmtId="171" fontId="7" fillId="0" borderId="0" xfId="16" applyNumberFormat="1" applyFont="1"/>
    <xf numFmtId="39" fontId="0" fillId="0" borderId="0" xfId="18" applyNumberFormat="1"/>
    <xf numFmtId="39" fontId="0" fillId="0" borderId="0" xfId="47" applyNumberFormat="1"/>
    <xf numFmtId="39" fontId="0" fillId="0" borderId="11" xfId="47" applyNumberFormat="1" applyBorder="1"/>
    <xf numFmtId="39" fontId="0" fillId="0" borderId="12" xfId="47" applyNumberFormat="1" applyFont="1" applyBorder="1"/>
    <xf numFmtId="37" fontId="0" fillId="0" borderId="0" xfId="64" applyNumberFormat="1" applyFont="1" applyFill="1">
      <alignment/>
      <protection/>
    </xf>
    <xf numFmtId="39" fontId="0" fillId="0" borderId="11" xfId="0" applyNumberFormat="1" applyBorder="1"/>
    <xf numFmtId="39" fontId="0" fillId="0" borderId="12" xfId="0" applyNumberFormat="1" applyBorder="1"/>
    <xf numFmtId="39" fontId="0" fillId="0" borderId="0" xfId="62" applyNumberFormat="1">
      <alignment/>
      <protection/>
    </xf>
    <xf numFmtId="39" fontId="0" fillId="0" borderId="0" xfId="62" applyNumberFormat="1" applyFill="1">
      <alignment/>
      <protection/>
    </xf>
    <xf numFmtId="39" fontId="0" fillId="0" borderId="11" xfId="62" applyNumberFormat="1" applyFill="1" applyBorder="1">
      <alignment/>
      <protection/>
    </xf>
    <xf numFmtId="39" fontId="0" fillId="0" borderId="12" xfId="62" applyNumberFormat="1" applyFill="1" applyBorder="1">
      <alignment/>
      <protection/>
    </xf>
    <xf numFmtId="169" fontId="7" fillId="0" borderId="0" xfId="18" applyNumberFormat="1" applyFont="1" applyAlignment="1">
      <alignment horizontal="center"/>
    </xf>
    <xf numFmtId="169" fontId="7" fillId="0" borderId="11" xfId="18" applyNumberFormat="1" applyFont="1" applyBorder="1" applyAlignment="1">
      <alignment horizontal="center"/>
    </xf>
    <xf numFmtId="37" fontId="0" fillId="0" borderId="11" xfId="0" applyNumberFormat="1" applyBorder="1" applyAlignment="1">
      <alignment horizontal="right"/>
    </xf>
    <xf numFmtId="49" fontId="0" fillId="0" borderId="0" xfId="0" applyNumberFormat="1" applyAlignment="1">
      <alignment horizontal="center"/>
    </xf>
    <xf numFmtId="181" fontId="4" fillId="0" borderId="0" xfId="0" applyNumberFormat="1" applyFont="1" applyAlignment="1">
      <alignment horizontal="left"/>
    </xf>
    <xf numFmtId="182" fontId="0" fillId="0" borderId="0" xfId="0" applyNumberFormat="1" applyFont="1" applyAlignment="1">
      <alignment horizontal="left"/>
    </xf>
    <xf numFmtId="39" fontId="7" fillId="0" borderId="0" xfId="0" applyNumberFormat="1" applyFont="1" applyBorder="1" applyProtection="1">
      <protection/>
    </xf>
    <xf numFmtId="17" fontId="0" fillId="0" borderId="0" xfId="0" applyNumberFormat="1" applyFont="1" applyAlignment="1">
      <alignment horizontal="left"/>
    </xf>
    <xf numFmtId="39" fontId="0" fillId="0" borderId="12" xfId="18" applyNumberFormat="1" applyBorder="1"/>
    <xf numFmtId="39" fontId="0" fillId="0" borderId="0" xfId="18" applyNumberFormat="1" applyBorder="1"/>
    <xf numFmtId="43" fontId="0" fillId="0" borderId="11" xfId="18" applyBorder="1"/>
    <xf numFmtId="43" fontId="0" fillId="0" borderId="13" xfId="18" applyNumberFormat="1" applyFont="1" applyBorder="1" applyAlignment="1">
      <alignment horizontal="right"/>
    </xf>
    <xf numFmtId="43" fontId="0" fillId="0" borderId="11" xfId="18" applyFont="1" applyFill="1" applyBorder="1" applyAlignment="1">
      <alignment horizontal="center"/>
    </xf>
    <xf numFmtId="183" fontId="0" fillId="0" borderId="0" xfId="18" applyNumberFormat="1" applyFont="1" applyFill="1" applyAlignment="1">
      <alignment horizontal="left" indent="2"/>
    </xf>
    <xf numFmtId="0" fontId="0" fillId="0" borderId="0" xfId="0" applyFont="1" applyBorder="1"/>
    <xf numFmtId="0" fontId="5" fillId="0" borderId="11" xfId="0" applyFont="1" applyBorder="1" applyAlignment="1">
      <alignment horizontal="center"/>
    </xf>
    <xf numFmtId="169" fontId="7" fillId="0" borderId="0" xfId="18" applyNumberFormat="1" applyFont="1"/>
    <xf numFmtId="0" fontId="0" fillId="0" borderId="0" xfId="64" applyFont="1" applyFill="1" applyBorder="1">
      <alignment/>
      <protection/>
    </xf>
    <xf numFmtId="0" fontId="0" fillId="0" borderId="0" xfId="63" applyFont="1" applyFill="1">
      <alignment/>
      <protection/>
    </xf>
    <xf numFmtId="17" fontId="0" fillId="0" borderId="0" xfId="60" applyNumberFormat="1" applyFont="1" applyBorder="1">
      <alignment/>
      <protection/>
    </xf>
    <xf numFmtId="171" fontId="0" fillId="0" borderId="0" xfId="63" applyNumberFormat="1" applyFont="1" applyFill="1">
      <alignment/>
      <protection/>
    </xf>
    <xf numFmtId="171" fontId="0" fillId="0" borderId="0" xfId="60" applyNumberFormat="1" applyFont="1" applyBorder="1">
      <alignment/>
      <protection/>
    </xf>
    <xf numFmtId="0" fontId="0" fillId="0" borderId="0" xfId="60" applyFont="1" applyAlignment="1">
      <alignment horizontal="left"/>
      <protection/>
    </xf>
    <xf numFmtId="171" fontId="0" fillId="0" borderId="0" xfId="18" applyNumberFormat="1" applyFont="1" applyFill="1" applyBorder="1"/>
    <xf numFmtId="0" fontId="5" fillId="0" borderId="11" xfId="0" applyFont="1" applyBorder="1" applyAlignment="1">
      <alignment horizont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Font="1" applyAlignment="1" quotePrefix="1">
      <alignment horizontal="center"/>
    </xf>
    <xf numFmtId="0" fontId="5" fillId="0" borderId="11" xfId="0" applyFont="1" applyBorder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40" fontId="0" fillId="0" borderId="0" xfId="0" applyNumberFormat="1" applyFont="1" applyBorder="1"/>
    <xf numFmtId="171" fontId="0" fillId="0" borderId="0" xfId="16" applyNumberFormat="1" applyFont="1" applyAlignment="1">
      <alignment horizontal="right"/>
    </xf>
    <xf numFmtId="10" fontId="7" fillId="0" borderId="11" xfId="15" applyNumberFormat="1" applyFont="1" applyBorder="1"/>
    <xf numFmtId="171" fontId="0" fillId="0" borderId="0" xfId="0" applyNumberFormat="1"/>
    <xf numFmtId="2" fontId="0" fillId="0" borderId="0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44" fontId="0" fillId="0" borderId="0" xfId="16" applyNumberFormat="1" applyFont="1" applyFill="1"/>
    <xf numFmtId="44" fontId="0" fillId="0" borderId="0" xfId="18" applyNumberFormat="1" applyFont="1" applyFill="1"/>
    <xf numFmtId="44" fontId="0" fillId="0" borderId="11" xfId="18" applyNumberFormat="1" applyFont="1" applyFill="1" applyBorder="1"/>
    <xf numFmtId="7" fontId="0" fillId="0" borderId="0" xfId="18" applyNumberFormat="1"/>
    <xf numFmtId="7" fontId="0" fillId="0" borderId="12" xfId="16" applyNumberFormat="1" applyBorder="1"/>
    <xf numFmtId="44" fontId="0" fillId="0" borderId="0" xfId="18" applyNumberFormat="1" applyFont="1" applyFill="1" applyBorder="1"/>
    <xf numFmtId="44" fontId="0" fillId="0" borderId="0" xfId="16" applyNumberFormat="1" applyFont="1" applyFill="1" applyBorder="1"/>
    <xf numFmtId="7" fontId="0" fillId="0" borderId="0" xfId="0" applyNumberFormat="1" applyBorder="1"/>
    <xf numFmtId="7" fontId="0" fillId="0" borderId="12" xfId="0" applyNumberFormat="1" applyBorder="1"/>
    <xf numFmtId="173" fontId="0" fillId="0" borderId="12" xfId="18" applyNumberFormat="1" applyBorder="1"/>
    <xf numFmtId="172" fontId="0" fillId="0" borderId="0" xfId="65" applyNumberFormat="1" applyFont="1" applyFill="1" applyBorder="1" applyAlignment="1">
      <alignment horizontal="right"/>
      <protection/>
    </xf>
    <xf numFmtId="171" fontId="0" fillId="0" borderId="0" xfId="16" applyNumberFormat="1" applyFont="1" applyFill="1"/>
    <xf numFmtId="169" fontId="0" fillId="0" borderId="0" xfId="18" applyNumberFormat="1" applyFont="1" applyFill="1"/>
    <xf numFmtId="169" fontId="0" fillId="0" borderId="0" xfId="18" applyNumberFormat="1" applyFont="1" applyFill="1" applyBorder="1"/>
    <xf numFmtId="169" fontId="0" fillId="0" borderId="0" xfId="18" applyNumberFormat="1" applyFont="1" applyFill="1" applyBorder="1" applyAlignment="1">
      <alignment/>
    </xf>
    <xf numFmtId="44" fontId="0" fillId="0" borderId="13" xfId="16" applyNumberFormat="1" applyFont="1" applyFill="1" applyBorder="1"/>
    <xf numFmtId="0" fontId="5" fillId="0" borderId="22" xfId="0" applyFont="1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5" fillId="0" borderId="23" xfId="0" applyFont="1" applyBorder="1" applyAlignment="1">
      <alignment horizontal="center"/>
    </xf>
    <xf numFmtId="0" fontId="50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5" fillId="0" borderId="18" xfId="0" applyFont="1" applyBorder="1" applyAlignment="1">
      <alignment horizontal="center"/>
    </xf>
    <xf numFmtId="171" fontId="0" fillId="0" borderId="0" xfId="16" applyNumberFormat="1" applyFont="1"/>
    <xf numFmtId="171" fontId="0" fillId="0" borderId="12" xfId="16" applyNumberFormat="1" applyFont="1" applyBorder="1"/>
    <xf numFmtId="171" fontId="0" fillId="0" borderId="0" xfId="16" applyNumberFormat="1" applyFont="1" applyBorder="1"/>
    <xf numFmtId="17" fontId="0" fillId="0" borderId="0" xfId="0" applyNumberFormat="1" applyFont="1"/>
    <xf numFmtId="175" fontId="0" fillId="0" borderId="0" xfId="0" applyNumberFormat="1" applyFont="1" applyProtection="1">
      <protection locked="0"/>
    </xf>
    <xf numFmtId="175" fontId="0" fillId="0" borderId="0" xfId="0" applyNumberFormat="1" applyFont="1" applyFill="1" applyBorder="1" applyAlignment="1" quotePrefix="1">
      <alignment horizontal="center"/>
    </xf>
    <xf numFmtId="175" fontId="0" fillId="0" borderId="0" xfId="0" applyNumberFormat="1" applyFont="1" applyBorder="1" applyAlignment="1" quotePrefix="1">
      <alignment horizontal="center"/>
    </xf>
    <xf numFmtId="17" fontId="0" fillId="0" borderId="0" xfId="0" applyNumberFormat="1" applyFont="1" applyAlignment="1">
      <alignment horizontal="center"/>
    </xf>
    <xf numFmtId="175" fontId="0" fillId="0" borderId="0" xfId="0" applyNumberFormat="1" applyFont="1" applyAlignment="1">
      <alignment horizontal="center"/>
    </xf>
    <xf numFmtId="14" fontId="0" fillId="0" borderId="0" xfId="0" applyNumberFormat="1" applyFont="1" applyFill="1"/>
    <xf numFmtId="171" fontId="0" fillId="0" borderId="11" xfId="16" applyNumberFormat="1" applyBorder="1"/>
    <xf numFmtId="10" fontId="5" fillId="25" borderId="21" xfId="0" applyNumberFormat="1" applyFont="1" applyFill="1" applyBorder="1" applyAlignment="1">
      <alignment horizontal="center"/>
    </xf>
    <xf numFmtId="39" fontId="0" fillId="25" borderId="0" xfId="0" applyNumberFormat="1" applyFont="1" applyFill="1" applyAlignment="1">
      <alignment horizontal="center"/>
    </xf>
    <xf numFmtId="169" fontId="0" fillId="0" borderId="0" xfId="18" applyNumberFormat="1" applyFont="1" applyBorder="1" applyAlignment="1">
      <alignment horizontal="center"/>
    </xf>
    <xf numFmtId="49" fontId="0" fillId="0" borderId="0" xfId="0" applyNumberFormat="1"/>
    <xf numFmtId="0" fontId="27" fillId="0" borderId="0" xfId="78" applyFont="1">
      <alignment/>
      <protection/>
    </xf>
    <xf numFmtId="175" fontId="0" fillId="0" borderId="0" xfId="78" applyNumberFormat="1" applyBorder="1" applyAlignment="1">
      <alignment horizontal="center"/>
      <protection/>
    </xf>
    <xf numFmtId="175" fontId="0" fillId="0" borderId="0" xfId="0" applyNumberFormat="1" applyFont="1"/>
    <xf numFmtId="43" fontId="5" fillId="0" borderId="0" xfId="18" applyFont="1" applyAlignment="1">
      <alignment horizontal="left"/>
    </xf>
    <xf numFmtId="41" fontId="7" fillId="0" borderId="0" xfId="61" applyNumberFormat="1" applyFont="1" applyAlignment="1">
      <alignment horizontal="center"/>
      <protection/>
    </xf>
    <xf numFmtId="41" fontId="7" fillId="0" borderId="11" xfId="61" applyNumberFormat="1" applyFont="1" applyBorder="1" applyAlignment="1">
      <alignment horizontal="center"/>
      <protection/>
    </xf>
    <xf numFmtId="10" fontId="7" fillId="0" borderId="11" xfId="61" applyNumberFormat="1" applyFont="1" applyBorder="1" applyAlignment="1">
      <alignment horizontal="center"/>
      <protection/>
    </xf>
    <xf numFmtId="184" fontId="7" fillId="0" borderId="0" xfId="61" applyNumberFormat="1" applyFont="1" applyAlignment="1">
      <alignment horizontal="center"/>
      <protection/>
    </xf>
    <xf numFmtId="171" fontId="0" fillId="0" borderId="11" xfId="16" applyNumberFormat="1" applyFont="1" applyBorder="1" applyAlignment="1">
      <alignment horizontal="right"/>
    </xf>
    <xf numFmtId="171" fontId="0" fillId="0" borderId="12" xfId="0" applyNumberFormat="1" applyBorder="1" applyAlignment="1">
      <alignment horizontal="center"/>
    </xf>
    <xf numFmtId="10" fontId="7" fillId="0" borderId="12" xfId="61" applyNumberFormat="1" applyFont="1" applyBorder="1" applyAlignment="1">
      <alignment horizontal="center"/>
      <protection/>
    </xf>
    <xf numFmtId="171" fontId="7" fillId="0" borderId="12" xfId="16" applyNumberFormat="1" applyFont="1" applyBorder="1" applyAlignment="1">
      <alignment horizontal="center"/>
    </xf>
    <xf numFmtId="0" fontId="5" fillId="25" borderId="0" xfId="61" applyFont="1" applyFill="1">
      <alignment/>
      <protection/>
    </xf>
    <xf numFmtId="10" fontId="10" fillId="25" borderId="0" xfId="61" applyNumberFormat="1" applyFont="1" applyFill="1">
      <alignment/>
      <protection/>
    </xf>
    <xf numFmtId="0" fontId="0" fillId="25" borderId="0" xfId="0" applyFill="1"/>
    <xf numFmtId="43" fontId="0" fillId="0" borderId="0" xfId="0" applyNumberFormat="1" applyAlignment="1">
      <alignment horizontal="center"/>
    </xf>
    <xf numFmtId="49" fontId="0" fillId="0" borderId="0" xfId="0" applyNumberFormat="1" applyFont="1"/>
    <xf numFmtId="44" fontId="0" fillId="0" borderId="11" xfId="16" applyFont="1" applyFill="1" applyBorder="1"/>
    <xf numFmtId="169" fontId="0" fillId="0" borderId="11" xfId="18" applyNumberFormat="1" applyFont="1" applyFill="1" applyBorder="1"/>
    <xf numFmtId="171" fontId="5" fillId="25" borderId="12" xfId="16" applyNumberFormat="1" applyFont="1" applyFill="1" applyBorder="1"/>
    <xf numFmtId="0" fontId="5" fillId="25" borderId="0" xfId="0" applyFont="1" applyFill="1" applyAlignment="1">
      <alignment horizontal="center"/>
    </xf>
    <xf numFmtId="174" fontId="0" fillId="0" borderId="0" xfId="0" applyNumberFormat="1" applyFont="1" applyAlignment="1">
      <alignment horizontal="center"/>
    </xf>
    <xf numFmtId="169" fontId="0" fillId="25" borderId="11" xfId="18" applyNumberFormat="1" applyFill="1" applyBorder="1"/>
    <xf numFmtId="171" fontId="0" fillId="25" borderId="0" xfId="0" applyNumberFormat="1" applyFont="1" applyFill="1" applyBorder="1"/>
    <xf numFmtId="14" fontId="0" fillId="0" borderId="0" xfId="15" applyNumberFormat="1" applyFont="1"/>
    <xf numFmtId="14" fontId="0" fillId="0" borderId="11" xfId="0" applyNumberFormat="1" applyBorder="1" applyAlignment="1">
      <alignment horizontal="center"/>
    </xf>
    <xf numFmtId="14" fontId="0" fillId="0" borderId="11" xfId="15" applyNumberFormat="1" applyFont="1" applyBorder="1" applyAlignment="1">
      <alignment horizontal="center"/>
    </xf>
    <xf numFmtId="39" fontId="0" fillId="0" borderId="11" xfId="0" applyNumberFormat="1" applyBorder="1" applyAlignment="1">
      <alignment horizontal="center"/>
    </xf>
    <xf numFmtId="49" fontId="0" fillId="25" borderId="0" xfId="0" applyNumberFormat="1" applyFill="1"/>
    <xf numFmtId="14" fontId="0" fillId="25" borderId="0" xfId="0" applyNumberFormat="1" applyFill="1"/>
    <xf numFmtId="166" fontId="0" fillId="25" borderId="0" xfId="62" applyNumberFormat="1" applyFill="1">
      <alignment/>
      <protection/>
    </xf>
    <xf numFmtId="40" fontId="0" fillId="25" borderId="0" xfId="62" applyNumberFormat="1" applyFill="1">
      <alignment/>
      <protection/>
    </xf>
    <xf numFmtId="40" fontId="0" fillId="25" borderId="11" xfId="62" applyNumberFormat="1" applyFill="1" applyBorder="1">
      <alignment/>
      <protection/>
    </xf>
    <xf numFmtId="40" fontId="0" fillId="25" borderId="12" xfId="18" applyNumberFormat="1" applyFill="1" applyBorder="1"/>
    <xf numFmtId="1" fontId="0" fillId="0" borderId="0" xfId="0" applyNumberFormat="1" quotePrefix="1"/>
    <xf numFmtId="43" fontId="0" fillId="0" borderId="11" xfId="18" applyFont="1" applyBorder="1"/>
    <xf numFmtId="171" fontId="0" fillId="0" borderId="0" xfId="16" applyNumberFormat="1" applyFont="1" applyFill="1" applyBorder="1" applyAlignment="1">
      <alignment/>
    </xf>
    <xf numFmtId="171" fontId="0" fillId="0" borderId="0" xfId="16" applyNumberFormat="1" applyFont="1" applyBorder="1" applyAlignment="1">
      <alignment horizontal="right"/>
    </xf>
    <xf numFmtId="169" fontId="0" fillId="25" borderId="0" xfId="18" applyNumberFormat="1" applyFont="1" applyFill="1"/>
    <xf numFmtId="169" fontId="0" fillId="25" borderId="11" xfId="18" applyNumberFormat="1" applyFont="1" applyFill="1" applyBorder="1"/>
    <xf numFmtId="0" fontId="0" fillId="25" borderId="0" xfId="0" applyFill="1" applyAlignment="1">
      <alignment horizontal="center"/>
    </xf>
    <xf numFmtId="43" fontId="0" fillId="25" borderId="0" xfId="18" applyFont="1" applyFill="1"/>
    <xf numFmtId="175" fontId="0" fillId="25" borderId="0" xfId="0" applyNumberFormat="1" applyFill="1" applyAlignment="1">
      <alignment horizontal="right"/>
    </xf>
    <xf numFmtId="175" fontId="0" fillId="25" borderId="0" xfId="0" applyNumberFormat="1" applyFill="1" applyAlignment="1">
      <alignment horizontal="center"/>
    </xf>
    <xf numFmtId="39" fontId="0" fillId="25" borderId="0" xfId="0" applyNumberFormat="1" applyFont="1" applyFill="1"/>
    <xf numFmtId="43" fontId="0" fillId="25" borderId="0" xfId="18" applyFont="1" applyFill="1"/>
    <xf numFmtId="44" fontId="0" fillId="25" borderId="0" xfId="0" applyNumberFormat="1" applyFill="1"/>
    <xf numFmtId="175" fontId="0" fillId="25" borderId="0" xfId="0" applyNumberFormat="1" applyFill="1"/>
    <xf numFmtId="39" fontId="0" fillId="25" borderId="11" xfId="0" applyNumberFormat="1" applyFont="1" applyFill="1" applyBorder="1"/>
    <xf numFmtId="39" fontId="0" fillId="25" borderId="12" xfId="0" applyNumberFormat="1" applyFont="1" applyFill="1" applyBorder="1"/>
    <xf numFmtId="49" fontId="0" fillId="25" borderId="0" xfId="0" applyNumberFormat="1" applyFont="1" applyFill="1"/>
    <xf numFmtId="0" fontId="7" fillId="25" borderId="0" xfId="61" applyFont="1" applyFill="1" applyAlignment="1">
      <alignment horizontal="center"/>
      <protection/>
    </xf>
    <xf numFmtId="0" fontId="46" fillId="25" borderId="0" xfId="61" applyFont="1" applyFill="1">
      <alignment/>
      <protection/>
    </xf>
    <xf numFmtId="0" fontId="7" fillId="25" borderId="0" xfId="61" applyFont="1" applyFill="1">
      <alignment/>
      <protection/>
    </xf>
    <xf numFmtId="10" fontId="7" fillId="25" borderId="0" xfId="61" applyNumberFormat="1" applyFont="1" applyFill="1">
      <alignment/>
      <protection/>
    </xf>
    <xf numFmtId="14" fontId="0" fillId="25" borderId="0" xfId="0" applyNumberFormat="1" applyFill="1" applyAlignment="1">
      <alignment horizontal="center"/>
    </xf>
    <xf numFmtId="39" fontId="0" fillId="25" borderId="0" xfId="0" applyNumberFormat="1" applyFill="1" applyAlignment="1">
      <alignment horizontal="center"/>
    </xf>
    <xf numFmtId="0" fontId="0" fillId="25" borderId="0" xfId="0" applyFont="1" applyFill="1"/>
    <xf numFmtId="14" fontId="7" fillId="25" borderId="0" xfId="61" applyNumberFormat="1" applyFont="1" applyFill="1" applyAlignment="1">
      <alignment horizontal="center"/>
      <protection/>
    </xf>
    <xf numFmtId="171" fontId="7" fillId="25" borderId="0" xfId="16" applyNumberFormat="1" applyFont="1" applyFill="1" applyAlignment="1">
      <alignment horizontal="center"/>
    </xf>
    <xf numFmtId="10" fontId="7" fillId="25" borderId="0" xfId="15" applyNumberFormat="1" applyFont="1" applyFill="1"/>
    <xf numFmtId="14" fontId="0" fillId="25" borderId="0" xfId="15" applyNumberFormat="1" applyFont="1" applyFill="1" applyAlignment="1">
      <alignment horizontal="center"/>
    </xf>
    <xf numFmtId="171" fontId="0" fillId="25" borderId="0" xfId="16" applyNumberFormat="1" applyFont="1" applyFill="1" applyAlignment="1">
      <alignment horizontal="right"/>
    </xf>
    <xf numFmtId="169" fontId="7" fillId="25" borderId="0" xfId="18" applyNumberFormat="1" applyFont="1" applyFill="1" applyAlignment="1">
      <alignment horizontal="center"/>
    </xf>
    <xf numFmtId="169" fontId="7" fillId="25" borderId="11" xfId="18" applyNumberFormat="1" applyFont="1" applyFill="1" applyBorder="1" applyAlignment="1">
      <alignment horizontal="center"/>
    </xf>
    <xf numFmtId="171" fontId="0" fillId="25" borderId="11" xfId="16" applyNumberFormat="1" applyFont="1" applyFill="1" applyBorder="1" applyAlignment="1">
      <alignment horizontal="right"/>
    </xf>
    <xf numFmtId="169" fontId="7" fillId="25" borderId="0" xfId="18" applyNumberFormat="1" applyFont="1" applyFill="1" applyBorder="1" applyAlignment="1">
      <alignment horizontal="center"/>
    </xf>
    <xf numFmtId="10" fontId="45" fillId="25" borderId="0" xfId="15" applyNumberFormat="1" applyFont="1" applyFill="1"/>
    <xf numFmtId="37" fontId="0" fillId="25" borderId="0" xfId="0" applyNumberFormat="1" applyFill="1" applyBorder="1" applyAlignment="1">
      <alignment horizontal="right"/>
    </xf>
    <xf numFmtId="171" fontId="49" fillId="25" borderId="0" xfId="16" applyNumberFormat="1" applyFont="1" applyFill="1"/>
    <xf numFmtId="10" fontId="49" fillId="25" borderId="0" xfId="15" applyNumberFormat="1" applyFont="1" applyFill="1"/>
    <xf numFmtId="14" fontId="6" fillId="25" borderId="0" xfId="0" applyNumberFormat="1" applyFont="1" applyFill="1" applyAlignment="1">
      <alignment horizontal="center"/>
    </xf>
    <xf numFmtId="14" fontId="6" fillId="25" borderId="0" xfId="15" applyNumberFormat="1" applyFont="1" applyFill="1" applyAlignment="1">
      <alignment horizontal="center"/>
    </xf>
    <xf numFmtId="39" fontId="6" fillId="25" borderId="0" xfId="0" applyNumberFormat="1" applyFont="1" applyFill="1" applyAlignment="1">
      <alignment horizontal="center"/>
    </xf>
    <xf numFmtId="171" fontId="49" fillId="25" borderId="0" xfId="16" applyNumberFormat="1" applyFont="1" applyFill="1" applyAlignment="1">
      <alignment horizontal="right"/>
    </xf>
    <xf numFmtId="1" fontId="0" fillId="25" borderId="0" xfId="0" applyNumberFormat="1" applyFill="1" quotePrefix="1"/>
    <xf numFmtId="175" fontId="0" fillId="25" borderId="0" xfId="78" applyNumberFormat="1" applyFill="1" applyBorder="1" applyAlignment="1">
      <alignment horizontal="center"/>
      <protection/>
    </xf>
    <xf numFmtId="0" fontId="27" fillId="25" borderId="0" xfId="78" applyFont="1" applyFill="1">
      <alignment/>
      <protection/>
    </xf>
    <xf numFmtId="44" fontId="0" fillId="25" borderId="0" xfId="18" applyNumberFormat="1" applyFont="1" applyFill="1"/>
    <xf numFmtId="175" fontId="0" fillId="25" borderId="0" xfId="0" applyNumberFormat="1" applyFont="1" applyFill="1"/>
    <xf numFmtId="0" fontId="0" fillId="25" borderId="0" xfId="78" applyFill="1">
      <alignment/>
      <protection/>
    </xf>
    <xf numFmtId="44" fontId="0" fillId="25" borderId="0" xfId="0" applyNumberFormat="1" applyFont="1" applyFill="1"/>
    <xf numFmtId="39" fontId="0" fillId="25" borderId="0" xfId="0" applyNumberFormat="1" applyFill="1"/>
    <xf numFmtId="171" fontId="0" fillId="25" borderId="0" xfId="16" applyNumberFormat="1" applyFont="1" applyFill="1"/>
    <xf numFmtId="37" fontId="0" fillId="25" borderId="11" xfId="0" applyNumberFormat="1" applyFont="1" applyFill="1" applyBorder="1"/>
    <xf numFmtId="171" fontId="0" fillId="25" borderId="0" xfId="16" applyNumberFormat="1" applyFont="1" applyFill="1"/>
    <xf numFmtId="0" fontId="0" fillId="25" borderId="0" xfId="0" applyFont="1" applyFill="1"/>
    <xf numFmtId="171" fontId="0" fillId="0" borderId="11" xfId="0" applyNumberFormat="1" applyBorder="1"/>
    <xf numFmtId="0" fontId="0" fillId="0" borderId="0" xfId="0" applyFont="1" applyAlignment="1">
      <alignment horizontal="left" indent="2"/>
    </xf>
    <xf numFmtId="43" fontId="5" fillId="0" borderId="0" xfId="18" applyFont="1" applyAlignment="1">
      <alignment horizontal="left"/>
    </xf>
    <xf numFmtId="43" fontId="5" fillId="0" borderId="0" xfId="18" applyFont="1" applyAlignment="1">
      <alignment horizontal="left"/>
    </xf>
    <xf numFmtId="43" fontId="0" fillId="0" borderId="0" xfId="18" applyFont="1" applyAlignment="1">
      <alignment horizontal="left"/>
    </xf>
    <xf numFmtId="0" fontId="0" fillId="0" borderId="0" xfId="0" applyFont="1" applyFill="1" applyAlignment="1">
      <alignment horizontal="left" indent="1"/>
    </xf>
    <xf numFmtId="0" fontId="0" fillId="0" borderId="0" xfId="0" applyFont="1" applyFill="1" applyAlignment="1">
      <alignment/>
    </xf>
    <xf numFmtId="171" fontId="0" fillId="0" borderId="0" xfId="16" applyNumberFormat="1" applyFont="1" applyFill="1" applyBorder="1"/>
    <xf numFmtId="0" fontId="5" fillId="0" borderId="11" xfId="0" applyFont="1" applyBorder="1" applyAlignment="1">
      <alignment horizontal="center"/>
    </xf>
    <xf numFmtId="43" fontId="5" fillId="0" borderId="0" xfId="18" applyFont="1" applyAlignment="1">
      <alignment horizontal="left"/>
    </xf>
    <xf numFmtId="40" fontId="5" fillId="0" borderId="0" xfId="18" applyNumberFormat="1" applyFont="1" applyAlignment="1">
      <alignment horizontal="left"/>
    </xf>
    <xf numFmtId="0" fontId="5" fillId="0" borderId="11" xfId="65" applyFont="1" applyBorder="1" applyAlignment="1">
      <alignment horizontal="center" wrapText="1"/>
      <protection/>
    </xf>
    <xf numFmtId="0" fontId="5" fillId="0" borderId="11" xfId="65" applyFont="1" applyBorder="1" applyAlignment="1">
      <alignment horizontal="center"/>
      <protection/>
    </xf>
    <xf numFmtId="0" fontId="5" fillId="0" borderId="14" xfId="65" applyFont="1" applyBorder="1" applyAlignment="1">
      <alignment horizontal="center"/>
      <protection/>
    </xf>
    <xf numFmtId="0" fontId="5" fillId="0" borderId="11" xfId="64" applyFont="1" applyBorder="1" applyAlignment="1">
      <alignment horizontal="center" wrapText="1"/>
      <protection/>
    </xf>
    <xf numFmtId="49" fontId="5" fillId="0" borderId="11" xfId="64" applyNumberFormat="1" applyFont="1" applyBorder="1" applyAlignment="1">
      <alignment horizontal="center"/>
      <protection/>
    </xf>
  </cellXfs>
  <cellStyles count="6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" xfId="20" builtinId="30"/>
    <cellStyle name="20% - Accent2" xfId="21" builtinId="34"/>
    <cellStyle name="20% - Accent3" xfId="22" builtinId="38"/>
    <cellStyle name="20% - Accent4" xfId="23" builtinId="42"/>
    <cellStyle name="20% - Accent5" xfId="24" builtinId="46"/>
    <cellStyle name="20% - Accent6" xfId="25" builtinId="50"/>
    <cellStyle name="40% - Accent1" xfId="26" builtinId="31"/>
    <cellStyle name="40% - Accent2" xfId="27" builtinId="35"/>
    <cellStyle name="40% - Accent3" xfId="28" builtinId="39"/>
    <cellStyle name="40% - Accent4" xfId="29" builtinId="43"/>
    <cellStyle name="40% - Accent5" xfId="30" builtinId="47"/>
    <cellStyle name="40% - Accent6" xfId="31" builtinId="51"/>
    <cellStyle name="60% - Accent1" xfId="32" builtinId="32"/>
    <cellStyle name="60% - Accent2" xfId="33" builtinId="36"/>
    <cellStyle name="60% - Accent3" xfId="34" builtinId="40"/>
    <cellStyle name="60% - Accent4" xfId="35" builtinId="44"/>
    <cellStyle name="60% - Accent5" xfId="36" builtinId="48"/>
    <cellStyle name="60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Bad" xfId="44" builtinId="27"/>
    <cellStyle name="Calculation" xfId="45" builtinId="22"/>
    <cellStyle name="Check Cell" xfId="46" builtinId="23"/>
    <cellStyle name="Comma_2006 - Ad Valorem - Lead Lag Study" xfId="47"/>
    <cellStyle name="Comma_EmployeeAR" xfId="48"/>
    <cellStyle name="Explanatory Text" xfId="49" builtinId="53"/>
    <cellStyle name="Good" xfId="50" builtinId="26"/>
    <cellStyle name="Heading 1" xfId="51" builtinId="16"/>
    <cellStyle name="Heading 2" xfId="52" builtinId="17"/>
    <cellStyle name="Heading 3" xfId="53" builtinId="18"/>
    <cellStyle name="Heading 4" xfId="54" builtinId="19"/>
    <cellStyle name="Hyperlink" xfId="55" builtinId="8"/>
    <cellStyle name="Input" xfId="56" builtinId="20"/>
    <cellStyle name="kirkdollars" xfId="57"/>
    <cellStyle name="Linked Cell" xfId="58" builtinId="24"/>
    <cellStyle name="Neutral" xfId="59" builtinId="28"/>
    <cellStyle name="Normal_EmployeeAR" xfId="60"/>
    <cellStyle name="Normal_Final Funding Summary (TY ended 06-30-2010)" xfId="61"/>
    <cellStyle name="Normal_Sched E-4 Pg 2" xfId="62"/>
    <cellStyle name="Normal_TXUED Misc. Funds 12ME 06-04" xfId="63"/>
    <cellStyle name="Normal_TxueDefCr" xfId="64"/>
    <cellStyle name="Normal_WorkingFunds" xfId="65"/>
    <cellStyle name="Note" xfId="66" builtinId="10"/>
    <cellStyle name="nPlosion" xfId="67"/>
    <cellStyle name="Output" xfId="68" builtinId="21"/>
    <cellStyle name="PSChar" xfId="69"/>
    <cellStyle name="PSDate" xfId="70"/>
    <cellStyle name="PSDec" xfId="71"/>
    <cellStyle name="PSHeading" xfId="72"/>
    <cellStyle name="PSInt" xfId="73"/>
    <cellStyle name="PSSpacer" xfId="74"/>
    <cellStyle name="Title" xfId="75" builtinId="15"/>
    <cellStyle name="Total" xfId="76" builtinId="25"/>
    <cellStyle name="Warning Text" xfId="77" builtinId="11"/>
    <cellStyle name="Normal 2" xfId="7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2.xml" /><Relationship Id="rId73" Type="http://schemas.openxmlformats.org/officeDocument/2006/relationships/sharedStrings" Target="sharedStrings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79" Type="http://schemas.openxmlformats.org/officeDocument/2006/relationships/externalLink" Target="externalLinks/externalLink6.xml" /><Relationship Id="rId34" Type="http://schemas.openxmlformats.org/officeDocument/2006/relationships/worksheet" Target="worksheets/sheet33.xml" /><Relationship Id="rId35" Type="http://schemas.openxmlformats.org/officeDocument/2006/relationships/worksheet" Target="worksheets/sheet34.xml" /><Relationship Id="rId36" Type="http://schemas.openxmlformats.org/officeDocument/2006/relationships/worksheet" Target="worksheets/sheet35.xml" /><Relationship Id="rId37" Type="http://schemas.openxmlformats.org/officeDocument/2006/relationships/worksheet" Target="worksheets/sheet36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worksheet" Target="worksheets/sheet31.xml" /><Relationship Id="rId33" Type="http://schemas.openxmlformats.org/officeDocument/2006/relationships/worksheet" Target="worksheets/sheet32.xml" /><Relationship Id="rId9" Type="http://schemas.openxmlformats.org/officeDocument/2006/relationships/worksheet" Target="worksheets/sheet8.xml" /><Relationship Id="rId38" Type="http://schemas.openxmlformats.org/officeDocument/2006/relationships/worksheet" Target="worksheets/sheet37.xml" /><Relationship Id="rId39" Type="http://schemas.openxmlformats.org/officeDocument/2006/relationships/worksheet" Target="worksheets/sheet38.xml" /><Relationship Id="rId54" Type="http://schemas.openxmlformats.org/officeDocument/2006/relationships/worksheet" Target="worksheets/sheet53.xml" /><Relationship Id="rId55" Type="http://schemas.openxmlformats.org/officeDocument/2006/relationships/worksheet" Target="worksheets/sheet54.xml" /><Relationship Id="rId56" Type="http://schemas.openxmlformats.org/officeDocument/2006/relationships/worksheet" Target="worksheets/sheet55.xml" /><Relationship Id="rId57" Type="http://schemas.openxmlformats.org/officeDocument/2006/relationships/worksheet" Target="worksheets/sheet56.xml" /><Relationship Id="rId50" Type="http://schemas.openxmlformats.org/officeDocument/2006/relationships/worksheet" Target="worksheets/sheet49.xml" /><Relationship Id="rId51" Type="http://schemas.openxmlformats.org/officeDocument/2006/relationships/worksheet" Target="worksheets/sheet50.xml" /><Relationship Id="rId52" Type="http://schemas.openxmlformats.org/officeDocument/2006/relationships/worksheet" Target="worksheets/sheet51.xml" /><Relationship Id="rId53" Type="http://schemas.openxmlformats.org/officeDocument/2006/relationships/worksheet" Target="worksheets/sheet52.xml" /><Relationship Id="rId75" Type="http://schemas.openxmlformats.org/officeDocument/2006/relationships/externalLink" Target="externalLinks/externalLink2.xml" /><Relationship Id="rId58" Type="http://schemas.openxmlformats.org/officeDocument/2006/relationships/worksheet" Target="worksheets/sheet57.xml" /><Relationship Id="rId59" Type="http://schemas.openxmlformats.org/officeDocument/2006/relationships/worksheet" Target="worksheets/sheet58.xml" /><Relationship Id="rId5" Type="http://schemas.openxmlformats.org/officeDocument/2006/relationships/worksheet" Target="worksheets/sheet4.xml" /><Relationship Id="rId77" Type="http://schemas.openxmlformats.org/officeDocument/2006/relationships/externalLink" Target="externalLinks/externalLink4.xml" /><Relationship Id="rId71" Type="http://schemas.openxmlformats.org/officeDocument/2006/relationships/worksheet" Target="worksheets/sheet70.xml" /><Relationship Id="rId1" Type="http://schemas.openxmlformats.org/officeDocument/2006/relationships/theme" Target="theme/theme1.xml" /><Relationship Id="rId7" Type="http://schemas.openxmlformats.org/officeDocument/2006/relationships/worksheet" Target="worksheets/sheet6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Relationship Id="rId80" Type="http://schemas.openxmlformats.org/officeDocument/2006/relationships/externalLink" Target="externalLinks/externalLink7.xml" /><Relationship Id="rId81" Type="http://schemas.openxmlformats.org/officeDocument/2006/relationships/calcChain" Target="calcChain.xml" /><Relationship Id="rId76" Type="http://schemas.openxmlformats.org/officeDocument/2006/relationships/externalLink" Target="externalLinks/externalLink3.xml" /><Relationship Id="rId8" Type="http://schemas.openxmlformats.org/officeDocument/2006/relationships/worksheet" Target="worksheets/sheet7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44" Type="http://schemas.openxmlformats.org/officeDocument/2006/relationships/worksheet" Target="worksheets/sheet43.xml" /><Relationship Id="rId45" Type="http://schemas.openxmlformats.org/officeDocument/2006/relationships/worksheet" Target="worksheets/sheet44.xml" /><Relationship Id="rId46" Type="http://schemas.openxmlformats.org/officeDocument/2006/relationships/worksheet" Target="worksheets/sheet45.xml" /><Relationship Id="rId47" Type="http://schemas.openxmlformats.org/officeDocument/2006/relationships/worksheet" Target="worksheets/sheet46.xml" /><Relationship Id="rId40" Type="http://schemas.openxmlformats.org/officeDocument/2006/relationships/worksheet" Target="worksheets/sheet39.xml" /><Relationship Id="rId41" Type="http://schemas.openxmlformats.org/officeDocument/2006/relationships/worksheet" Target="worksheets/sheet40.xml" /><Relationship Id="rId42" Type="http://schemas.openxmlformats.org/officeDocument/2006/relationships/worksheet" Target="worksheets/sheet41.xml" /><Relationship Id="rId43" Type="http://schemas.openxmlformats.org/officeDocument/2006/relationships/worksheet" Target="worksheets/sheet42.xml" /><Relationship Id="rId48" Type="http://schemas.openxmlformats.org/officeDocument/2006/relationships/worksheet" Target="worksheets/sheet47.xml" /><Relationship Id="rId49" Type="http://schemas.openxmlformats.org/officeDocument/2006/relationships/worksheet" Target="worksheets/sheet48.xml" /><Relationship Id="rId74" Type="http://schemas.openxmlformats.org/officeDocument/2006/relationships/externalLink" Target="externalLinks/externalLink1.xml" /><Relationship Id="rId64" Type="http://schemas.openxmlformats.org/officeDocument/2006/relationships/worksheet" Target="worksheets/sheet63.xml" /><Relationship Id="rId65" Type="http://schemas.openxmlformats.org/officeDocument/2006/relationships/worksheet" Target="worksheets/sheet64.xml" /><Relationship Id="rId4" Type="http://schemas.openxmlformats.org/officeDocument/2006/relationships/worksheet" Target="worksheets/sheet3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1" Type="http://schemas.openxmlformats.org/officeDocument/2006/relationships/worksheet" Target="worksheets/sheet60.xml" /><Relationship Id="rId62" Type="http://schemas.openxmlformats.org/officeDocument/2006/relationships/worksheet" Target="worksheets/sheet61.xml" /><Relationship Id="rId63" Type="http://schemas.openxmlformats.org/officeDocument/2006/relationships/worksheet" Target="worksheets/sheet62.xml" /><Relationship Id="rId68" Type="http://schemas.openxmlformats.org/officeDocument/2006/relationships/worksheet" Target="worksheets/sheet67.xml" /><Relationship Id="rId69" Type="http://schemas.openxmlformats.org/officeDocument/2006/relationships/worksheet" Target="worksheets/sheet68.xml" /><Relationship Id="rId70" Type="http://schemas.openxmlformats.org/officeDocument/2006/relationships/worksheet" Target="worksheets/sheet69.xml" /><Relationship Id="rId6" Type="http://schemas.openxmlformats.org/officeDocument/2006/relationships/worksheet" Target="worksheets/sheet5.xml" /><Relationship Id="rId66" Type="http://schemas.openxmlformats.org/officeDocument/2006/relationships/worksheet" Target="worksheets/sheet65.xml" /><Relationship Id="rId72" Type="http://schemas.openxmlformats.org/officeDocument/2006/relationships/styles" Target="styles.xml" /><Relationship Id="rId78" Type="http://schemas.openxmlformats.org/officeDocument/2006/relationships/externalLink" Target="externalLinks/externalLink5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716280</xdr:colOff>
      <xdr:row>28</xdr:row>
      <xdr:rowOff>0</xdr:rowOff>
    </xdr:from>
    <xdr:to>
      <xdr:col>1</xdr:col>
      <xdr:colOff>792480</xdr:colOff>
      <xdr:row>29</xdr:row>
      <xdr:rowOff>30480</xdr:rowOff>
    </xdr:to>
    <xdr:sp macro="">
      <xdr:nvSpPr>
        <xdr:cNvPr id="43025" name="Text Box 1"/>
        <xdr:cNvSpPr txBox="1">
          <a:spLocks noChangeArrowheads="1"/>
        </xdr:cNvSpPr>
      </xdr:nvSpPr>
      <xdr:spPr bwMode="auto">
        <a:xfrm>
          <a:off x="1323975" y="4524375"/>
          <a:ext cx="76200" cy="1905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0</xdr:colOff>
      <xdr:row>30</xdr:row>
      <xdr:rowOff>0</xdr:rowOff>
    </xdr:from>
    <xdr:to>
      <xdr:col>3</xdr:col>
      <xdr:colOff>76200</xdr:colOff>
      <xdr:row>31</xdr:row>
      <xdr:rowOff>38100</xdr:rowOff>
    </xdr:to>
    <xdr:sp macro="">
      <xdr:nvSpPr>
        <xdr:cNvPr id="45073" name="Text Box 1"/>
        <xdr:cNvSpPr txBox="1">
          <a:spLocks noChangeArrowheads="1"/>
        </xdr:cNvSpPr>
      </xdr:nvSpPr>
      <xdr:spPr bwMode="auto">
        <a:xfrm>
          <a:off x="2143125" y="4876800"/>
          <a:ext cx="76200" cy="1905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28</xdr:row>
      <xdr:rowOff>0</xdr:rowOff>
    </xdr:from>
    <xdr:to>
      <xdr:col>1</xdr:col>
      <xdr:colOff>76200</xdr:colOff>
      <xdr:row>29</xdr:row>
      <xdr:rowOff>38100</xdr:rowOff>
    </xdr:to>
    <xdr:sp macro="">
      <xdr:nvSpPr>
        <xdr:cNvPr id="46100" name="Text Box 1"/>
        <xdr:cNvSpPr txBox="1">
          <a:spLocks noChangeArrowheads="1"/>
        </xdr:cNvSpPr>
      </xdr:nvSpPr>
      <xdr:spPr bwMode="auto">
        <a:xfrm>
          <a:off x="628650" y="4924425"/>
          <a:ext cx="76200" cy="1905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76200</xdr:colOff>
      <xdr:row>29</xdr:row>
      <xdr:rowOff>38100</xdr:rowOff>
    </xdr:to>
    <xdr:sp macro="">
      <xdr:nvSpPr>
        <xdr:cNvPr id="46101" name="Text Box 1"/>
        <xdr:cNvSpPr txBox="1">
          <a:spLocks noChangeArrowheads="1"/>
        </xdr:cNvSpPr>
      </xdr:nvSpPr>
      <xdr:spPr bwMode="auto">
        <a:xfrm>
          <a:off x="2124075" y="4924425"/>
          <a:ext cx="76200" cy="1905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0</xdr:colOff>
      <xdr:row>30</xdr:row>
      <xdr:rowOff>0</xdr:rowOff>
    </xdr:from>
    <xdr:to>
      <xdr:col>3</xdr:col>
      <xdr:colOff>76200</xdr:colOff>
      <xdr:row>31</xdr:row>
      <xdr:rowOff>38100</xdr:rowOff>
    </xdr:to>
    <xdr:sp macro="">
      <xdr:nvSpPr>
        <xdr:cNvPr id="47121" name="Text Box 1"/>
        <xdr:cNvSpPr txBox="1">
          <a:spLocks noChangeArrowheads="1"/>
        </xdr:cNvSpPr>
      </xdr:nvSpPr>
      <xdr:spPr bwMode="auto">
        <a:xfrm>
          <a:off x="2209800" y="4867275"/>
          <a:ext cx="76200" cy="1905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0</xdr:colOff>
      <xdr:row>28</xdr:row>
      <xdr:rowOff>0</xdr:rowOff>
    </xdr:from>
    <xdr:to>
      <xdr:col>3</xdr:col>
      <xdr:colOff>76200</xdr:colOff>
      <xdr:row>29</xdr:row>
      <xdr:rowOff>38100</xdr:rowOff>
    </xdr:to>
    <xdr:sp macro="">
      <xdr:nvSpPr>
        <xdr:cNvPr id="48161" name="Text Box 1"/>
        <xdr:cNvSpPr txBox="1">
          <a:spLocks noChangeArrowheads="1"/>
        </xdr:cNvSpPr>
      </xdr:nvSpPr>
      <xdr:spPr bwMode="auto">
        <a:xfrm>
          <a:off x="2143125" y="4705350"/>
          <a:ext cx="76200" cy="1905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  <xdr:twoCellAnchor editAs="oneCell">
    <xdr:from>
      <xdr:col>3</xdr:col>
      <xdr:colOff>22860</xdr:colOff>
      <xdr:row>27</xdr:row>
      <xdr:rowOff>0</xdr:rowOff>
    </xdr:from>
    <xdr:to>
      <xdr:col>3</xdr:col>
      <xdr:colOff>99060</xdr:colOff>
      <xdr:row>28</xdr:row>
      <xdr:rowOff>38100</xdr:rowOff>
    </xdr:to>
    <xdr:sp macro="">
      <xdr:nvSpPr>
        <xdr:cNvPr id="48162" name="Text Box 2"/>
        <xdr:cNvSpPr txBox="1">
          <a:spLocks noChangeArrowheads="1"/>
        </xdr:cNvSpPr>
      </xdr:nvSpPr>
      <xdr:spPr bwMode="auto">
        <a:xfrm>
          <a:off x="2162175" y="4552950"/>
          <a:ext cx="76200" cy="1905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0</xdr:colOff>
      <xdr:row>31</xdr:row>
      <xdr:rowOff>0</xdr:rowOff>
    </xdr:from>
    <xdr:to>
      <xdr:col>2</xdr:col>
      <xdr:colOff>76200</xdr:colOff>
      <xdr:row>32</xdr:row>
      <xdr:rowOff>38100</xdr:rowOff>
    </xdr:to>
    <xdr:sp macro="">
      <xdr:nvSpPr>
        <xdr:cNvPr id="49169" name="Text Box 1"/>
        <xdr:cNvSpPr txBox="1">
          <a:spLocks noChangeArrowheads="1"/>
        </xdr:cNvSpPr>
      </xdr:nvSpPr>
      <xdr:spPr bwMode="auto">
        <a:xfrm>
          <a:off x="2019300" y="5543550"/>
          <a:ext cx="762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7620</xdr:colOff>
      <xdr:row>33</xdr:row>
      <xdr:rowOff>0</xdr:rowOff>
    </xdr:from>
    <xdr:to>
      <xdr:col>2</xdr:col>
      <xdr:colOff>91440</xdr:colOff>
      <xdr:row>34</xdr:row>
      <xdr:rowOff>38100</xdr:rowOff>
    </xdr:to>
    <xdr:sp macro="">
      <xdr:nvSpPr>
        <xdr:cNvPr id="50193" name="Text Box 1"/>
        <xdr:cNvSpPr txBox="1">
          <a:spLocks noChangeArrowheads="1"/>
        </xdr:cNvSpPr>
      </xdr:nvSpPr>
      <xdr:spPr bwMode="auto">
        <a:xfrm>
          <a:off x="2047875" y="6067425"/>
          <a:ext cx="85725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Q:\2003%20Rate%20Cases\TXU%20Lone%20Star%20Pipeline\E\E-08%20Relied%20Upons\VLSG%20O&amp;M%202000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Q:\Lead%20Lag%202002\Distribution\Tax%20Support\2002%20Local%20Gross%20Receipts%20Drill%20CF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Q:\As%20Filed\TXU%20Lone%20Star%20Pipeline\E\E-08%20Relied%20Upons\VLSG%20O&amp;M%202000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Q:\As%20Filed\TXU%20Lone%20Star%20Pipeline\E\E-08%20Relied%20Upons\RU_WP%20C\FIT%20Support.xls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Q:\2003%20Rate%20Cases\TXU%20Lone%20Star%20Pipeline\E\E-08%20Relied%20Upons\RU_WP%20C\FIT%20Support.xls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Ddcshrnasp03\u_eratefp\My%20Documents\Leadlag\JE_2003-08-31_0000316380.xls" TargetMode="External" /></Relationships>
</file>

<file path=xl/externalLinks/_rels/externalLink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eucprdnas01\U_RegFin\Utility\Distribution\2002\Dec\Trial%20Balance\LSGD%20Trial%20Balance%20Dec%20200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 &amp; E"/>
      <sheetName val="O &amp; M"/>
    </sheetNames>
    <sheetDataSet>
      <sheetData sheetId="0"/>
      <sheetData sheetId="1">
        <row r="5">
          <cell r="T5" t="str">
            <v>2000-12-31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urce"/>
      <sheetName val="Total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 &amp; E"/>
      <sheetName val="O &amp; M"/>
    </sheetNames>
    <sheetDataSet>
      <sheetData sheetId="0"/>
      <sheetData sheetId="1">
        <row r="5">
          <cell r="T5" t="str">
            <v>2000-12-31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IT Paid - Combined"/>
      <sheetName val="FIT Paid - LSP"/>
      <sheetName val="FIT Paid - TPSRV"/>
      <sheetName val="FIT Paid - COREP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IT Paid - Combined"/>
      <sheetName val="FIT Paid - LSP"/>
      <sheetName val="FIT Paid - TPSRV"/>
      <sheetName val="FIT Paid - COREP"/>
      <sheetName val="FIT Support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Schedule (allco curr mo sales)"/>
      <sheetName val="Discount"/>
      <sheetName val="Previous Month's Schedule"/>
      <sheetName val="DA"/>
      <sheetName val="Setup"/>
    </sheetNames>
    <sheetDataSet>
      <sheetData sheetId="0" refreshError="1">
        <row r="3">
          <cell r="B3" t="str">
            <v>LSP</v>
          </cell>
          <cell r="E3" t="str">
            <v>Date</v>
          </cell>
          <cell r="I3" t="str">
            <v>Document</v>
          </cell>
        </row>
        <row r="7">
          <cell r="B7" t="str">
            <v>To transfer receivables related to Citigroup Receivable Program</v>
          </cell>
        </row>
        <row r="9">
          <cell r="B9" t="str">
            <v>LSP</v>
          </cell>
          <cell r="C9" t="str">
            <v>101090</v>
          </cell>
          <cell r="D9">
            <v>1430100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J9">
            <v>0</v>
          </cell>
          <cell r="L9" t="str">
            <v>Reverse Discount DA</v>
          </cell>
          <cell r="M9" t="str">
            <v>USD</v>
          </cell>
          <cell r="N9" t="str">
            <v>CRRNT</v>
          </cell>
          <cell r="O9">
            <v>1</v>
          </cell>
          <cell r="P9">
            <v>0</v>
          </cell>
        </row>
        <row r="10">
          <cell r="B10" t="str">
            <v>LSP</v>
          </cell>
          <cell r="C10" t="str">
            <v>101090</v>
          </cell>
          <cell r="D10">
            <v>1868900</v>
          </cell>
          <cell r="E10" t="str">
            <v>000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0</v>
          </cell>
          <cell r="L10" t="str">
            <v>Reverse Discount DA</v>
          </cell>
          <cell r="M10" t="str">
            <v>USD</v>
          </cell>
          <cell r="N10" t="str">
            <v>CRRNT</v>
          </cell>
          <cell r="O10">
            <v>1</v>
          </cell>
          <cell r="P10">
            <v>0</v>
          </cell>
        </row>
        <row r="11">
          <cell r="B11" t="str">
            <v>LSGD</v>
          </cell>
          <cell r="C11" t="str">
            <v>140090</v>
          </cell>
          <cell r="D11">
            <v>1869000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0</v>
          </cell>
          <cell r="L11" t="str">
            <v>Reverse Discount DA</v>
          </cell>
          <cell r="M11" t="str">
            <v>USD</v>
          </cell>
          <cell r="N11" t="str">
            <v>CRRNT</v>
          </cell>
          <cell r="O11">
            <v>1</v>
          </cell>
          <cell r="P11">
            <v>0</v>
          </cell>
        </row>
        <row r="12">
          <cell r="B12" t="str">
            <v>LSGD</v>
          </cell>
          <cell r="C12" t="str">
            <v>140090</v>
          </cell>
          <cell r="D12">
            <v>1868900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J12">
            <v>0</v>
          </cell>
          <cell r="L12" t="str">
            <v>Reverse Discount DA</v>
          </cell>
          <cell r="M12" t="str">
            <v>USD</v>
          </cell>
          <cell r="N12" t="str">
            <v>CRRNT</v>
          </cell>
          <cell r="O12">
            <v>1</v>
          </cell>
          <cell r="P12">
            <v>0</v>
          </cell>
        </row>
        <row r="13">
          <cell r="B13" t="str">
            <v>ELREP</v>
          </cell>
          <cell r="C13" t="str">
            <v>288000</v>
          </cell>
          <cell r="D13">
            <v>1868000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J13">
            <v>-680000</v>
          </cell>
          <cell r="L13" t="str">
            <v>Reverse Discount DA</v>
          </cell>
          <cell r="M13" t="str">
            <v>USD</v>
          </cell>
          <cell r="N13" t="str">
            <v>CRRNT</v>
          </cell>
          <cell r="O13">
            <v>1</v>
          </cell>
          <cell r="P13">
            <v>-680000</v>
          </cell>
        </row>
        <row r="14">
          <cell r="B14" t="str">
            <v>ELREP</v>
          </cell>
          <cell r="C14">
            <v>288000</v>
          </cell>
          <cell r="D14">
            <v>1868900</v>
          </cell>
          <cell r="E14" t="str">
            <v>000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680000</v>
          </cell>
          <cell r="L14" t="str">
            <v>Reverse Discount DA</v>
          </cell>
          <cell r="M14" t="str">
            <v>USD</v>
          </cell>
          <cell r="N14" t="str">
            <v>CRRNT</v>
          </cell>
          <cell r="O14">
            <v>1</v>
          </cell>
          <cell r="P14">
            <v>680000</v>
          </cell>
        </row>
        <row r="15">
          <cell r="B15" t="str">
            <v>ESD</v>
          </cell>
          <cell r="C15" t="str">
            <v>521900</v>
          </cell>
          <cell r="D15">
            <v>1430100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0</v>
          </cell>
          <cell r="L15" t="str">
            <v>Reverse Discount DA</v>
          </cell>
          <cell r="M15" t="str">
            <v>USD</v>
          </cell>
          <cell r="N15" t="str">
            <v>CRRNT</v>
          </cell>
          <cell r="O15">
            <v>1</v>
          </cell>
          <cell r="P15">
            <v>0</v>
          </cell>
        </row>
        <row r="16">
          <cell r="B16" t="str">
            <v>ESD</v>
          </cell>
          <cell r="C16" t="str">
            <v>521900</v>
          </cell>
          <cell r="D16">
            <v>1868900</v>
          </cell>
          <cell r="E16" t="str">
            <v>000</v>
          </cell>
          <cell r="F16" t="str">
            <v>00000000</v>
          </cell>
          <cell r="G16" t="str">
            <v>0000</v>
          </cell>
          <cell r="H16" t="str">
            <v>0000</v>
          </cell>
          <cell r="J16">
            <v>0</v>
          </cell>
          <cell r="L16" t="str">
            <v>Reverse Discount DA</v>
          </cell>
          <cell r="M16" t="str">
            <v>USD</v>
          </cell>
          <cell r="N16" t="str">
            <v>CRRNT</v>
          </cell>
          <cell r="O16">
            <v>1</v>
          </cell>
          <cell r="P16">
            <v>0</v>
          </cell>
        </row>
        <row r="17">
          <cell r="B17" t="str">
            <v>SESRP</v>
          </cell>
          <cell r="C17" t="str">
            <v>297000</v>
          </cell>
          <cell r="D17">
            <v>1869000</v>
          </cell>
          <cell r="E17" t="str">
            <v>000</v>
          </cell>
          <cell r="F17" t="str">
            <v>00000000</v>
          </cell>
          <cell r="G17" t="str">
            <v>0000</v>
          </cell>
          <cell r="H17" t="str">
            <v>0000</v>
          </cell>
          <cell r="J17">
            <v>-1019.65</v>
          </cell>
          <cell r="L17" t="str">
            <v>Reverse Discount DA</v>
          </cell>
          <cell r="M17" t="str">
            <v>USD</v>
          </cell>
          <cell r="N17" t="str">
            <v>CRRNT</v>
          </cell>
          <cell r="O17">
            <v>1</v>
          </cell>
          <cell r="P17">
            <v>-1019.65</v>
          </cell>
        </row>
        <row r="18">
          <cell r="B18" t="str">
            <v>SESRP</v>
          </cell>
          <cell r="C18" t="str">
            <v>297000</v>
          </cell>
          <cell r="D18">
            <v>1868900</v>
          </cell>
          <cell r="E18" t="str">
            <v>000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1019.65</v>
          </cell>
          <cell r="L18" t="str">
            <v>Reverse Discount DA</v>
          </cell>
          <cell r="M18" t="str">
            <v>USD</v>
          </cell>
          <cell r="N18" t="str">
            <v>CRRNT</v>
          </cell>
          <cell r="O18">
            <v>1</v>
          </cell>
          <cell r="P18">
            <v>1019.65</v>
          </cell>
        </row>
        <row r="19">
          <cell r="B19" t="str">
            <v>TRN</v>
          </cell>
          <cell r="C19" t="str">
            <v>571900</v>
          </cell>
          <cell r="D19">
            <v>1430100</v>
          </cell>
          <cell r="E19" t="str">
            <v>000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0</v>
          </cell>
          <cell r="L19" t="str">
            <v>Reverse Discount DA</v>
          </cell>
          <cell r="M19" t="str">
            <v>USD</v>
          </cell>
          <cell r="N19" t="str">
            <v>CRRNT</v>
          </cell>
          <cell r="O19">
            <v>1</v>
          </cell>
          <cell r="P19">
            <v>0</v>
          </cell>
        </row>
        <row r="20">
          <cell r="B20" t="str">
            <v>TRN</v>
          </cell>
          <cell r="C20" t="str">
            <v>571900</v>
          </cell>
          <cell r="D20">
            <v>1868900</v>
          </cell>
          <cell r="E20" t="str">
            <v>000</v>
          </cell>
          <cell r="F20" t="str">
            <v>00000000</v>
          </cell>
          <cell r="G20" t="str">
            <v>0000</v>
          </cell>
          <cell r="H20" t="str">
            <v>0000</v>
          </cell>
          <cell r="J20">
            <v>0</v>
          </cell>
          <cell r="L20" t="str">
            <v>Reverse Discount DA</v>
          </cell>
          <cell r="M20" t="str">
            <v>USD</v>
          </cell>
          <cell r="N20" t="str">
            <v>CRRNT</v>
          </cell>
          <cell r="O20">
            <v>1</v>
          </cell>
          <cell r="P20">
            <v>0</v>
          </cell>
        </row>
        <row r="21">
          <cell r="B21" t="str">
            <v>LSP</v>
          </cell>
          <cell r="C21" t="str">
            <v>101090</v>
          </cell>
          <cell r="D21">
            <v>9030001</v>
          </cell>
          <cell r="E21" t="str">
            <v>056</v>
          </cell>
          <cell r="F21" t="str">
            <v>ARFEELSP</v>
          </cell>
          <cell r="G21" t="str">
            <v>0000</v>
          </cell>
          <cell r="H21" t="str">
            <v>0000</v>
          </cell>
          <cell r="I21" t="str">
            <v>ERINC</v>
          </cell>
          <cell r="J21">
            <v>0</v>
          </cell>
          <cell r="L21" t="str">
            <v>Record Current Month SAR</v>
          </cell>
          <cell r="M21" t="str">
            <v>USD</v>
          </cell>
          <cell r="N21" t="str">
            <v>CRRNT</v>
          </cell>
          <cell r="O21">
            <v>1</v>
          </cell>
          <cell r="P21">
            <v>0</v>
          </cell>
        </row>
        <row r="22">
          <cell r="B22" t="str">
            <v>LSP</v>
          </cell>
          <cell r="C22" t="str">
            <v>101090</v>
          </cell>
          <cell r="D22">
            <v>1868900</v>
          </cell>
          <cell r="E22" t="str">
            <v>000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2945715.64</v>
          </cell>
          <cell r="L22" t="str">
            <v>Record Current Month SAR</v>
          </cell>
          <cell r="M22" t="str">
            <v>USD</v>
          </cell>
          <cell r="N22" t="str">
            <v>CRRNT</v>
          </cell>
          <cell r="O22">
            <v>1</v>
          </cell>
          <cell r="P22">
            <v>2945715.64</v>
          </cell>
        </row>
        <row r="23">
          <cell r="B23" t="str">
            <v>LSP</v>
          </cell>
          <cell r="C23" t="str">
            <v>101090</v>
          </cell>
          <cell r="D23">
            <v>1433001</v>
          </cell>
          <cell r="E23" t="str">
            <v>000</v>
          </cell>
          <cell r="F23" t="str">
            <v>00000000</v>
          </cell>
          <cell r="G23" t="str">
            <v>0000</v>
          </cell>
          <cell r="H23" t="str">
            <v>0000</v>
          </cell>
          <cell r="I23" t="str">
            <v>ERINC</v>
          </cell>
          <cell r="J23">
            <v>4549284.36</v>
          </cell>
          <cell r="L23" t="str">
            <v>Record Current Month SAR</v>
          </cell>
          <cell r="M23" t="str">
            <v>USD</v>
          </cell>
          <cell r="N23" t="str">
            <v>CRRNT</v>
          </cell>
          <cell r="O23">
            <v>1</v>
          </cell>
          <cell r="P23">
            <v>4549284.36</v>
          </cell>
        </row>
        <row r="24">
          <cell r="B24" t="str">
            <v>LSP</v>
          </cell>
          <cell r="C24" t="str">
            <v>101090</v>
          </cell>
          <cell r="D24">
            <v>1433000</v>
          </cell>
          <cell r="E24" t="str">
            <v>000</v>
          </cell>
          <cell r="F24" t="str">
            <v>00000000</v>
          </cell>
          <cell r="G24" t="str">
            <v>0000</v>
          </cell>
          <cell r="H24" t="str">
            <v>3000</v>
          </cell>
          <cell r="I24" t="str">
            <v>ERINC</v>
          </cell>
          <cell r="J24">
            <v>-7495000</v>
          </cell>
          <cell r="L24" t="str">
            <v>Record Current Month SAR</v>
          </cell>
          <cell r="M24" t="str">
            <v>USD</v>
          </cell>
          <cell r="N24" t="str">
            <v>CRRNT</v>
          </cell>
          <cell r="O24">
            <v>1</v>
          </cell>
          <cell r="P24">
            <v>-7495000</v>
          </cell>
        </row>
        <row r="25">
          <cell r="B25" t="str">
            <v>ERINC</v>
          </cell>
          <cell r="C25" t="str">
            <v>478000</v>
          </cell>
          <cell r="D25">
            <v>1420000</v>
          </cell>
          <cell r="E25" t="str">
            <v>000</v>
          </cell>
          <cell r="F25" t="str">
            <v>00000000</v>
          </cell>
          <cell r="G25" t="str">
            <v>0000</v>
          </cell>
          <cell r="H25" t="str">
            <v>0000</v>
          </cell>
          <cell r="I25" t="str">
            <v>LSP</v>
          </cell>
          <cell r="J25">
            <v>7495000</v>
          </cell>
          <cell r="L25" t="str">
            <v>Record Current Month SAR</v>
          </cell>
          <cell r="M25" t="str">
            <v>USD</v>
          </cell>
          <cell r="N25" t="str">
            <v>CRRNT</v>
          </cell>
          <cell r="O25">
            <v>1</v>
          </cell>
          <cell r="P25">
            <v>7495000</v>
          </cell>
        </row>
        <row r="26">
          <cell r="B26" t="str">
            <v>ERINC</v>
          </cell>
          <cell r="C26" t="str">
            <v>478000</v>
          </cell>
          <cell r="D26">
            <v>2320700</v>
          </cell>
          <cell r="E26" t="str">
            <v>000</v>
          </cell>
          <cell r="F26" t="str">
            <v>00000000</v>
          </cell>
          <cell r="G26" t="str">
            <v>0000</v>
          </cell>
          <cell r="H26" t="str">
            <v>0000</v>
          </cell>
          <cell r="I26" t="str">
            <v>LSP</v>
          </cell>
          <cell r="J26">
            <v>-4549284.36</v>
          </cell>
          <cell r="L26" t="str">
            <v>Record Current Month SAR</v>
          </cell>
          <cell r="M26" t="str">
            <v>USD</v>
          </cell>
          <cell r="N26" t="str">
            <v>CRRNT</v>
          </cell>
          <cell r="O26">
            <v>1</v>
          </cell>
          <cell r="P26">
            <v>-4549284.36</v>
          </cell>
        </row>
        <row r="27">
          <cell r="B27" t="str">
            <v>ERINC</v>
          </cell>
          <cell r="C27" t="str">
            <v>478000</v>
          </cell>
          <cell r="D27">
            <v>2539000</v>
          </cell>
          <cell r="E27" t="str">
            <v>000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0</v>
          </cell>
          <cell r="L27" t="str">
            <v>Record Current Month SAR</v>
          </cell>
          <cell r="M27" t="str">
            <v>USD</v>
          </cell>
          <cell r="N27" t="str">
            <v>CRRNT</v>
          </cell>
          <cell r="O27">
            <v>1</v>
          </cell>
          <cell r="P27">
            <v>0</v>
          </cell>
        </row>
        <row r="28">
          <cell r="B28" t="str">
            <v>ERINC</v>
          </cell>
          <cell r="C28" t="str">
            <v>478000</v>
          </cell>
          <cell r="D28">
            <v>4570001</v>
          </cell>
          <cell r="E28" t="str">
            <v>046</v>
          </cell>
          <cell r="F28" t="str">
            <v>00000000</v>
          </cell>
          <cell r="G28" t="str">
            <v>0000</v>
          </cell>
          <cell r="H28" t="str">
            <v>0000</v>
          </cell>
          <cell r="I28" t="str">
            <v>LSP</v>
          </cell>
          <cell r="J28">
            <v>0</v>
          </cell>
          <cell r="L28" t="str">
            <v>Record Current Month SAR</v>
          </cell>
          <cell r="M28" t="str">
            <v>USD</v>
          </cell>
          <cell r="N28" t="str">
            <v>CRRNT</v>
          </cell>
          <cell r="O28">
            <v>1</v>
          </cell>
          <cell r="P28">
            <v>0</v>
          </cell>
        </row>
        <row r="29">
          <cell r="B29" t="str">
            <v>LSGD</v>
          </cell>
          <cell r="C29" t="str">
            <v>140090</v>
          </cell>
          <cell r="D29">
            <v>9030001</v>
          </cell>
          <cell r="E29" t="str">
            <v>056</v>
          </cell>
          <cell r="F29" t="str">
            <v>Z0000995</v>
          </cell>
          <cell r="G29" t="str">
            <v>0000</v>
          </cell>
          <cell r="H29" t="str">
            <v>0000</v>
          </cell>
          <cell r="I29" t="str">
            <v>ERINC</v>
          </cell>
          <cell r="J29">
            <v>0</v>
          </cell>
          <cell r="L29" t="str">
            <v>Record Current Month SAR</v>
          </cell>
          <cell r="M29" t="str">
            <v>USD</v>
          </cell>
          <cell r="N29" t="str">
            <v>CRRNT</v>
          </cell>
          <cell r="O29">
            <v>1</v>
          </cell>
          <cell r="P29">
            <v>0</v>
          </cell>
        </row>
        <row r="30">
          <cell r="B30" t="str">
            <v>LSGD</v>
          </cell>
          <cell r="C30" t="str">
            <v>140090</v>
          </cell>
          <cell r="D30">
            <v>1868900</v>
          </cell>
          <cell r="E30" t="str">
            <v>000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26547599</v>
          </cell>
          <cell r="L30" t="str">
            <v>Record Current Month SAR</v>
          </cell>
          <cell r="M30" t="str">
            <v>USD</v>
          </cell>
          <cell r="N30" t="str">
            <v>CRRNT</v>
          </cell>
          <cell r="O30">
            <v>1</v>
          </cell>
          <cell r="P30">
            <v>26547599</v>
          </cell>
        </row>
        <row r="31">
          <cell r="B31" t="str">
            <v>LSGD</v>
          </cell>
          <cell r="C31" t="str">
            <v>140090</v>
          </cell>
          <cell r="D31">
            <v>1423200</v>
          </cell>
          <cell r="E31" t="str">
            <v>000</v>
          </cell>
          <cell r="F31" t="str">
            <v>00000000</v>
          </cell>
          <cell r="G31" t="str">
            <v>0000</v>
          </cell>
          <cell r="H31" t="str">
            <v>0000</v>
          </cell>
          <cell r="I31" t="str">
            <v>ERINC</v>
          </cell>
          <cell r="J31">
            <v>40999401</v>
          </cell>
          <cell r="L31" t="str">
            <v>Record Current Month SAR</v>
          </cell>
          <cell r="M31" t="str">
            <v>USD</v>
          </cell>
          <cell r="N31" t="str">
            <v>CRRNT</v>
          </cell>
          <cell r="O31">
            <v>1</v>
          </cell>
          <cell r="P31">
            <v>40999401</v>
          </cell>
        </row>
        <row r="32">
          <cell r="B32" t="str">
            <v>LSGD</v>
          </cell>
          <cell r="C32" t="str">
            <v>140090</v>
          </cell>
          <cell r="D32">
            <v>1423100</v>
          </cell>
          <cell r="E32" t="str">
            <v>000</v>
          </cell>
          <cell r="F32" t="str">
            <v>00000000</v>
          </cell>
          <cell r="G32" t="str">
            <v>0000</v>
          </cell>
          <cell r="H32" t="str">
            <v>0000</v>
          </cell>
          <cell r="I32" t="str">
            <v>ERINC</v>
          </cell>
          <cell r="J32">
            <v>-67547000</v>
          </cell>
          <cell r="L32" t="str">
            <v>Record Current Month SAR</v>
          </cell>
          <cell r="M32" t="str">
            <v>USD</v>
          </cell>
          <cell r="N32" t="str">
            <v>CRRNT</v>
          </cell>
          <cell r="O32">
            <v>1</v>
          </cell>
          <cell r="P32">
            <v>-67547000</v>
          </cell>
        </row>
        <row r="33">
          <cell r="B33" t="str">
            <v>ERINC</v>
          </cell>
          <cell r="C33" t="str">
            <v>478000</v>
          </cell>
          <cell r="D33">
            <v>1420000</v>
          </cell>
          <cell r="E33" t="str">
            <v>000</v>
          </cell>
          <cell r="F33" t="str">
            <v>00000000</v>
          </cell>
          <cell r="G33" t="str">
            <v>0000</v>
          </cell>
          <cell r="H33" t="str">
            <v>0000</v>
          </cell>
          <cell r="I33" t="str">
            <v>LSGD</v>
          </cell>
          <cell r="J33">
            <v>67547000</v>
          </cell>
          <cell r="L33" t="str">
            <v>Record Current Month SAR</v>
          </cell>
          <cell r="M33" t="str">
            <v>USD</v>
          </cell>
          <cell r="N33" t="str">
            <v>CRRNT</v>
          </cell>
          <cell r="O33">
            <v>1</v>
          </cell>
          <cell r="P33">
            <v>67547000</v>
          </cell>
        </row>
        <row r="34">
          <cell r="B34" t="str">
            <v>ERINC</v>
          </cell>
          <cell r="C34" t="str">
            <v>478000</v>
          </cell>
          <cell r="D34">
            <v>2320700</v>
          </cell>
          <cell r="E34" t="str">
            <v>000</v>
          </cell>
          <cell r="F34" t="str">
            <v>00000000</v>
          </cell>
          <cell r="G34" t="str">
            <v>0000</v>
          </cell>
          <cell r="H34" t="str">
            <v>0000</v>
          </cell>
          <cell r="I34" t="str">
            <v>LSGD</v>
          </cell>
          <cell r="J34">
            <v>-40999401</v>
          </cell>
          <cell r="L34" t="str">
            <v>Record Current Month SAR</v>
          </cell>
          <cell r="M34" t="str">
            <v>USD</v>
          </cell>
          <cell r="N34" t="str">
            <v>CRRNT</v>
          </cell>
          <cell r="O34">
            <v>1</v>
          </cell>
          <cell r="P34">
            <v>-40999401</v>
          </cell>
        </row>
        <row r="35">
          <cell r="B35" t="str">
            <v>ERINC</v>
          </cell>
          <cell r="C35" t="str">
            <v>478000</v>
          </cell>
          <cell r="D35">
            <v>2539000</v>
          </cell>
          <cell r="E35" t="str">
            <v>000</v>
          </cell>
          <cell r="F35" t="str">
            <v>00000000</v>
          </cell>
          <cell r="G35" t="str">
            <v>0000</v>
          </cell>
          <cell r="H35" t="str">
            <v>0000</v>
          </cell>
          <cell r="J35">
            <v>0</v>
          </cell>
          <cell r="L35" t="str">
            <v>Record Current Month SAR</v>
          </cell>
          <cell r="M35" t="str">
            <v>USD</v>
          </cell>
          <cell r="N35" t="str">
            <v>CRRNT</v>
          </cell>
          <cell r="O35">
            <v>1</v>
          </cell>
          <cell r="P35">
            <v>0</v>
          </cell>
        </row>
        <row r="36">
          <cell r="B36" t="str">
            <v>ERINC</v>
          </cell>
          <cell r="C36" t="str">
            <v>478000</v>
          </cell>
          <cell r="D36">
            <v>4570001</v>
          </cell>
          <cell r="E36" t="str">
            <v>046</v>
          </cell>
          <cell r="F36" t="str">
            <v>00000000</v>
          </cell>
          <cell r="G36" t="str">
            <v>0000</v>
          </cell>
          <cell r="H36" t="str">
            <v>0000</v>
          </cell>
          <cell r="I36" t="str">
            <v>LSGD</v>
          </cell>
          <cell r="J36">
            <v>0</v>
          </cell>
          <cell r="L36" t="str">
            <v>Record Current Month SAR</v>
          </cell>
          <cell r="M36" t="str">
            <v>USD</v>
          </cell>
          <cell r="N36" t="str">
            <v>CRRNT</v>
          </cell>
          <cell r="O36">
            <v>1</v>
          </cell>
          <cell r="P36">
            <v>0</v>
          </cell>
        </row>
        <row r="37">
          <cell r="B37" t="str">
            <v>ELREP</v>
          </cell>
          <cell r="C37" t="str">
            <v>288999</v>
          </cell>
          <cell r="D37" t="str">
            <v>9030001</v>
          </cell>
          <cell r="E37" t="str">
            <v>056</v>
          </cell>
          <cell r="F37" t="str">
            <v>ARFEERET</v>
          </cell>
          <cell r="G37" t="str">
            <v>0000</v>
          </cell>
          <cell r="H37" t="str">
            <v>0000</v>
          </cell>
          <cell r="I37" t="str">
            <v>ERINC</v>
          </cell>
          <cell r="J37" t="e">
            <v>#REF!</v>
          </cell>
          <cell r="L37" t="str">
            <v>Record Current Month SAR</v>
          </cell>
          <cell r="M37" t="str">
            <v>USD</v>
          </cell>
          <cell r="N37" t="str">
            <v>CRRNT</v>
          </cell>
          <cell r="O37">
            <v>1</v>
          </cell>
          <cell r="P37">
            <v>680000</v>
          </cell>
        </row>
        <row r="38">
          <cell r="B38" t="str">
            <v>ELREP</v>
          </cell>
          <cell r="C38" t="str">
            <v>288000</v>
          </cell>
          <cell r="D38">
            <v>1868900</v>
          </cell>
          <cell r="E38" t="str">
            <v>000</v>
          </cell>
          <cell r="F38" t="str">
            <v>00000000</v>
          </cell>
          <cell r="G38" t="str">
            <v>0000</v>
          </cell>
          <cell r="H38" t="str">
            <v>0000</v>
          </cell>
          <cell r="J38" t="e">
            <v>#REF!</v>
          </cell>
          <cell r="L38" t="str">
            <v>Record Current Month SAR</v>
          </cell>
          <cell r="M38" t="str">
            <v>USD</v>
          </cell>
          <cell r="N38" t="str">
            <v>CRRNT</v>
          </cell>
          <cell r="O38">
            <v>1</v>
          </cell>
          <cell r="P38">
            <v>476606504.02</v>
          </cell>
        </row>
        <row r="39">
          <cell r="B39" t="str">
            <v>ELREP</v>
          </cell>
          <cell r="C39" t="str">
            <v>288000</v>
          </cell>
          <cell r="D39">
            <v>1423200</v>
          </cell>
          <cell r="E39" t="str">
            <v>000</v>
          </cell>
          <cell r="F39" t="str">
            <v>00000000</v>
          </cell>
          <cell r="G39" t="str">
            <v>0000</v>
          </cell>
          <cell r="H39" t="str">
            <v>0000</v>
          </cell>
          <cell r="I39" t="str">
            <v>ERINC</v>
          </cell>
          <cell r="J39" t="e">
            <v>#REF!</v>
          </cell>
          <cell r="L39" t="str">
            <v>Record Current Month SAR</v>
          </cell>
          <cell r="M39" t="str">
            <v>USD</v>
          </cell>
          <cell r="N39" t="str">
            <v>CRRNT</v>
          </cell>
          <cell r="O39">
            <v>1</v>
          </cell>
          <cell r="P39">
            <v>737108495.98</v>
          </cell>
        </row>
        <row r="40">
          <cell r="B40" t="str">
            <v>ELREP</v>
          </cell>
          <cell r="C40" t="str">
            <v>288000</v>
          </cell>
          <cell r="D40">
            <v>1423000</v>
          </cell>
          <cell r="E40" t="str">
            <v>000</v>
          </cell>
          <cell r="F40" t="str">
            <v>00000000</v>
          </cell>
          <cell r="G40" t="str">
            <v>0000</v>
          </cell>
          <cell r="H40" t="str">
            <v>0000</v>
          </cell>
          <cell r="I40" t="str">
            <v>ERINC</v>
          </cell>
          <cell r="J40">
            <v>-1214395000</v>
          </cell>
          <cell r="L40" t="str">
            <v>Record Current Month SAR</v>
          </cell>
          <cell r="M40" t="str">
            <v>USD</v>
          </cell>
          <cell r="N40" t="str">
            <v>CRRNT</v>
          </cell>
          <cell r="O40">
            <v>1</v>
          </cell>
          <cell r="P40">
            <v>-1214395000</v>
          </cell>
        </row>
        <row r="41">
          <cell r="B41" t="str">
            <v>ERINC</v>
          </cell>
          <cell r="C41" t="str">
            <v>478000</v>
          </cell>
          <cell r="D41">
            <v>1420000</v>
          </cell>
          <cell r="E41" t="str">
            <v>000</v>
          </cell>
          <cell r="F41" t="str">
            <v>00000000</v>
          </cell>
          <cell r="G41" t="str">
            <v>0000</v>
          </cell>
          <cell r="H41" t="str">
            <v>0000</v>
          </cell>
          <cell r="I41" t="str">
            <v>ELREP</v>
          </cell>
          <cell r="J41">
            <v>1214395000</v>
          </cell>
          <cell r="L41" t="str">
            <v>Record Current Month SAR</v>
          </cell>
          <cell r="M41" t="str">
            <v>USD</v>
          </cell>
          <cell r="N41" t="str">
            <v>CRRNT</v>
          </cell>
          <cell r="O41">
            <v>1</v>
          </cell>
          <cell r="P41">
            <v>1214395000</v>
          </cell>
        </row>
        <row r="42">
          <cell r="B42" t="str">
            <v>ERINC</v>
          </cell>
          <cell r="C42" t="str">
            <v>478000</v>
          </cell>
          <cell r="D42">
            <v>2320700</v>
          </cell>
          <cell r="E42" t="str">
            <v>000</v>
          </cell>
          <cell r="F42" t="str">
            <v>00000000</v>
          </cell>
          <cell r="G42" t="str">
            <v>0000</v>
          </cell>
          <cell r="H42" t="str">
            <v>0000</v>
          </cell>
          <cell r="I42" t="str">
            <v>ELREP</v>
          </cell>
          <cell r="J42" t="e">
            <v>#REF!</v>
          </cell>
          <cell r="L42" t="str">
            <v>Record Current Month SAR</v>
          </cell>
          <cell r="M42" t="str">
            <v>USD</v>
          </cell>
          <cell r="N42" t="str">
            <v>CRRNT</v>
          </cell>
          <cell r="O42">
            <v>1</v>
          </cell>
          <cell r="P42">
            <v>-737108495.98</v>
          </cell>
        </row>
        <row r="43">
          <cell r="B43" t="str">
            <v>ERINC</v>
          </cell>
          <cell r="C43" t="str">
            <v>478000</v>
          </cell>
          <cell r="D43">
            <v>2539000</v>
          </cell>
          <cell r="E43" t="str">
            <v>000</v>
          </cell>
          <cell r="F43" t="str">
            <v>00000000</v>
          </cell>
          <cell r="G43" t="str">
            <v>0000</v>
          </cell>
          <cell r="H43" t="str">
            <v>0000</v>
          </cell>
          <cell r="J43" t="e">
            <v>#REF!</v>
          </cell>
          <cell r="L43" t="str">
            <v>Record Current Month SAR</v>
          </cell>
          <cell r="M43" t="str">
            <v>USD</v>
          </cell>
          <cell r="N43" t="str">
            <v>CRRNT</v>
          </cell>
          <cell r="O43">
            <v>1</v>
          </cell>
          <cell r="P43">
            <v>680000</v>
          </cell>
        </row>
        <row r="44">
          <cell r="B44" t="str">
            <v>ERINC</v>
          </cell>
          <cell r="C44" t="str">
            <v>478000</v>
          </cell>
          <cell r="D44">
            <v>4570001</v>
          </cell>
          <cell r="E44" t="str">
            <v>046</v>
          </cell>
          <cell r="F44" t="str">
            <v>00000000</v>
          </cell>
          <cell r="G44" t="str">
            <v>0000</v>
          </cell>
          <cell r="H44" t="str">
            <v>0000</v>
          </cell>
          <cell r="I44" t="str">
            <v>ELREP</v>
          </cell>
          <cell r="J44" t="e">
            <v>#REF!</v>
          </cell>
          <cell r="L44" t="str">
            <v>Record Current Month SAR</v>
          </cell>
          <cell r="M44" t="str">
            <v>USD</v>
          </cell>
          <cell r="N44" t="str">
            <v>CRRNT</v>
          </cell>
          <cell r="O44">
            <v>1</v>
          </cell>
          <cell r="P44">
            <v>-680000</v>
          </cell>
        </row>
        <row r="45">
          <cell r="B45" t="str">
            <v>ESD</v>
          </cell>
          <cell r="C45" t="str">
            <v>521900</v>
          </cell>
          <cell r="D45" t="str">
            <v>9030001</v>
          </cell>
          <cell r="E45" t="str">
            <v>056</v>
          </cell>
          <cell r="F45" t="str">
            <v>00002800</v>
          </cell>
          <cell r="G45" t="str">
            <v>0000</v>
          </cell>
          <cell r="H45" t="str">
            <v>2800</v>
          </cell>
          <cell r="I45" t="str">
            <v>ERINC</v>
          </cell>
          <cell r="J45">
            <v>0</v>
          </cell>
          <cell r="L45" t="str">
            <v>Record Current Month SAR</v>
          </cell>
          <cell r="M45" t="str">
            <v>USD</v>
          </cell>
          <cell r="N45" t="str">
            <v>CRRNT</v>
          </cell>
          <cell r="O45">
            <v>1</v>
          </cell>
          <cell r="P45">
            <v>0</v>
          </cell>
        </row>
        <row r="46">
          <cell r="B46" t="str">
            <v>ESD</v>
          </cell>
          <cell r="C46" t="str">
            <v>521900</v>
          </cell>
          <cell r="D46">
            <v>1868900</v>
          </cell>
          <cell r="E46" t="str">
            <v>000</v>
          </cell>
          <cell r="F46" t="str">
            <v>00000000</v>
          </cell>
          <cell r="G46" t="str">
            <v>0000</v>
          </cell>
          <cell r="H46" t="str">
            <v>0000</v>
          </cell>
          <cell r="J46">
            <v>25815002.07</v>
          </cell>
          <cell r="K46" t="str">
            <v>   </v>
          </cell>
          <cell r="L46" t="str">
            <v>Record Current Month SAR</v>
          </cell>
          <cell r="M46" t="str">
            <v>USD</v>
          </cell>
          <cell r="N46" t="str">
            <v>CRRNT</v>
          </cell>
          <cell r="O46">
            <v>1</v>
          </cell>
          <cell r="P46">
            <v>25815002.07</v>
          </cell>
        </row>
        <row r="47">
          <cell r="B47" t="str">
            <v>ESD</v>
          </cell>
          <cell r="C47" t="str">
            <v>521900</v>
          </cell>
          <cell r="D47">
            <v>1423200</v>
          </cell>
          <cell r="E47" t="str">
            <v>000</v>
          </cell>
          <cell r="F47" t="str">
            <v>00000000</v>
          </cell>
          <cell r="G47" t="str">
            <v>0000</v>
          </cell>
          <cell r="H47" t="str">
            <v>0000</v>
          </cell>
          <cell r="I47" t="str">
            <v>ERINC</v>
          </cell>
          <cell r="J47">
            <v>39867997.93</v>
          </cell>
          <cell r="K47" t="str">
            <v>   </v>
          </cell>
          <cell r="L47" t="str">
            <v>Record Current Month SAR</v>
          </cell>
          <cell r="M47" t="str">
            <v>USD</v>
          </cell>
          <cell r="N47" t="str">
            <v>CRRNT</v>
          </cell>
          <cell r="O47">
            <v>1</v>
          </cell>
          <cell r="P47">
            <v>39867997.93</v>
          </cell>
        </row>
        <row r="48">
          <cell r="B48" t="str">
            <v>ESD</v>
          </cell>
          <cell r="C48" t="str">
            <v>521900</v>
          </cell>
          <cell r="D48">
            <v>1423000</v>
          </cell>
          <cell r="E48" t="str">
            <v>000</v>
          </cell>
          <cell r="F48" t="str">
            <v>00000000</v>
          </cell>
          <cell r="G48" t="str">
            <v>0000</v>
          </cell>
          <cell r="H48" t="str">
            <v>0000</v>
          </cell>
          <cell r="I48" t="str">
            <v>ERINC</v>
          </cell>
          <cell r="J48">
            <v>-65683000</v>
          </cell>
          <cell r="K48" t="str">
            <v>   </v>
          </cell>
          <cell r="L48" t="str">
            <v>Record Current Month SAR</v>
          </cell>
          <cell r="M48" t="str">
            <v>USD</v>
          </cell>
          <cell r="N48" t="str">
            <v>CRRNT</v>
          </cell>
          <cell r="O48">
            <v>1</v>
          </cell>
          <cell r="P48">
            <v>-65683000</v>
          </cell>
        </row>
        <row r="49">
          <cell r="B49" t="str">
            <v>ERINC</v>
          </cell>
          <cell r="C49" t="str">
            <v>478000</v>
          </cell>
          <cell r="D49">
            <v>1420000</v>
          </cell>
          <cell r="E49" t="str">
            <v>000</v>
          </cell>
          <cell r="F49" t="str">
            <v>00000000</v>
          </cell>
          <cell r="G49" t="str">
            <v>0000</v>
          </cell>
          <cell r="H49" t="str">
            <v>0000</v>
          </cell>
          <cell r="I49" t="str">
            <v>ESD</v>
          </cell>
          <cell r="J49">
            <v>65683000</v>
          </cell>
          <cell r="K49" t="str">
            <v>   </v>
          </cell>
          <cell r="L49" t="str">
            <v>Record Current Month SAR</v>
          </cell>
          <cell r="M49" t="str">
            <v>USD</v>
          </cell>
          <cell r="N49" t="str">
            <v>CRRNT</v>
          </cell>
          <cell r="O49">
            <v>1</v>
          </cell>
          <cell r="P49">
            <v>65683000</v>
          </cell>
        </row>
        <row r="50">
          <cell r="B50" t="str">
            <v>ERINC</v>
          </cell>
          <cell r="C50" t="str">
            <v>478000</v>
          </cell>
          <cell r="D50">
            <v>2320700</v>
          </cell>
          <cell r="E50" t="str">
            <v>000</v>
          </cell>
          <cell r="F50" t="str">
            <v>00000000</v>
          </cell>
          <cell r="G50" t="str">
            <v>0000</v>
          </cell>
          <cell r="H50" t="str">
            <v>0000</v>
          </cell>
          <cell r="I50" t="str">
            <v>ESD</v>
          </cell>
          <cell r="J50">
            <v>-39867997.93</v>
          </cell>
          <cell r="K50" t="str">
            <v>   </v>
          </cell>
          <cell r="L50" t="str">
            <v>Record Current Month SAR</v>
          </cell>
          <cell r="M50" t="str">
            <v>USD</v>
          </cell>
          <cell r="N50" t="str">
            <v>CRRNT</v>
          </cell>
          <cell r="O50">
            <v>1</v>
          </cell>
          <cell r="P50">
            <v>-39867997.93</v>
          </cell>
        </row>
        <row r="51">
          <cell r="B51" t="str">
            <v>ERINC</v>
          </cell>
          <cell r="C51" t="str">
            <v>478000</v>
          </cell>
          <cell r="D51">
            <v>2539000</v>
          </cell>
          <cell r="E51" t="str">
            <v>000</v>
          </cell>
          <cell r="F51" t="str">
            <v>00000000</v>
          </cell>
          <cell r="G51" t="str">
            <v>0000</v>
          </cell>
          <cell r="H51" t="str">
            <v>0000</v>
          </cell>
          <cell r="J51">
            <v>0</v>
          </cell>
          <cell r="K51" t="str">
            <v>   </v>
          </cell>
          <cell r="L51" t="str">
            <v>Record Current Month SAR</v>
          </cell>
          <cell r="M51" t="str">
            <v>USD</v>
          </cell>
          <cell r="N51" t="str">
            <v>CRRNT</v>
          </cell>
          <cell r="O51">
            <v>1</v>
          </cell>
          <cell r="P51">
            <v>0</v>
          </cell>
        </row>
        <row r="52">
          <cell r="B52" t="str">
            <v>ERINC</v>
          </cell>
          <cell r="C52" t="str">
            <v>478000</v>
          </cell>
          <cell r="D52">
            <v>4570001</v>
          </cell>
          <cell r="E52" t="str">
            <v>046</v>
          </cell>
          <cell r="F52" t="str">
            <v>00000000</v>
          </cell>
          <cell r="G52" t="str">
            <v>0000</v>
          </cell>
          <cell r="H52" t="str">
            <v>0000</v>
          </cell>
          <cell r="I52" t="str">
            <v>ESD</v>
          </cell>
          <cell r="J52">
            <v>0</v>
          </cell>
          <cell r="K52" t="str">
            <v>   </v>
          </cell>
          <cell r="L52" t="str">
            <v>Record Current Month SAR</v>
          </cell>
          <cell r="M52" t="str">
            <v>USD</v>
          </cell>
          <cell r="N52" t="str">
            <v>CRRNT</v>
          </cell>
          <cell r="O52">
            <v>1</v>
          </cell>
          <cell r="P52">
            <v>0</v>
          </cell>
        </row>
        <row r="53">
          <cell r="B53" t="str">
            <v>SESRP</v>
          </cell>
          <cell r="C53" t="str">
            <v>297000</v>
          </cell>
          <cell r="D53" t="str">
            <v>9030001</v>
          </cell>
          <cell r="E53" t="str">
            <v>056</v>
          </cell>
          <cell r="F53" t="str">
            <v>ARFEERET</v>
          </cell>
          <cell r="G53" t="str">
            <v>0000</v>
          </cell>
          <cell r="H53" t="str">
            <v>2800</v>
          </cell>
          <cell r="I53" t="str">
            <v>ERINC</v>
          </cell>
          <cell r="J53" t="e">
            <v>#REF!</v>
          </cell>
          <cell r="L53" t="str">
            <v>Record Current Month SAR</v>
          </cell>
          <cell r="M53" t="str">
            <v>USD</v>
          </cell>
          <cell r="N53" t="str">
            <v>CRRNT</v>
          </cell>
          <cell r="O53">
            <v>1</v>
          </cell>
          <cell r="P53">
            <v>1019.65</v>
          </cell>
        </row>
        <row r="54">
          <cell r="B54" t="str">
            <v>SESRP</v>
          </cell>
          <cell r="C54" t="str">
            <v>297000</v>
          </cell>
          <cell r="D54">
            <v>1868900</v>
          </cell>
          <cell r="E54" t="str">
            <v>000</v>
          </cell>
          <cell r="F54" t="str">
            <v>00000000</v>
          </cell>
          <cell r="G54" t="str">
            <v>0000</v>
          </cell>
          <cell r="H54" t="str">
            <v>0000</v>
          </cell>
          <cell r="J54" t="e">
            <v>#REF!</v>
          </cell>
          <cell r="L54" t="str">
            <v>Record Current Month SAR</v>
          </cell>
          <cell r="M54" t="str">
            <v>USD</v>
          </cell>
          <cell r="N54" t="str">
            <v>CRRNT</v>
          </cell>
          <cell r="O54">
            <v>1</v>
          </cell>
          <cell r="P54">
            <v>4005468.04</v>
          </cell>
        </row>
        <row r="55">
          <cell r="B55" t="str">
            <v>SESRP</v>
          </cell>
          <cell r="C55" t="str">
            <v>297000</v>
          </cell>
          <cell r="D55">
            <v>1423200</v>
          </cell>
          <cell r="E55" t="str">
            <v>000</v>
          </cell>
          <cell r="F55" t="str">
            <v>00000000</v>
          </cell>
          <cell r="G55" t="str">
            <v>0000</v>
          </cell>
          <cell r="H55" t="str">
            <v>0000</v>
          </cell>
          <cell r="I55" t="str">
            <v>ERINC</v>
          </cell>
          <cell r="J55" t="e">
            <v>#REF!</v>
          </cell>
          <cell r="L55" t="str">
            <v>Record Current Month SAR</v>
          </cell>
          <cell r="M55" t="str">
            <v>USD</v>
          </cell>
          <cell r="N55" t="str">
            <v>CRRNT</v>
          </cell>
          <cell r="O55">
            <v>1</v>
          </cell>
          <cell r="P55">
            <v>6187512.31</v>
          </cell>
        </row>
        <row r="56">
          <cell r="B56" t="str">
            <v>SESRP</v>
          </cell>
          <cell r="C56" t="str">
            <v>297000</v>
          </cell>
          <cell r="D56">
            <v>1423000</v>
          </cell>
          <cell r="E56" t="str">
            <v>000</v>
          </cell>
          <cell r="F56" t="str">
            <v>00000000</v>
          </cell>
          <cell r="G56" t="str">
            <v>0000</v>
          </cell>
          <cell r="H56" t="str">
            <v>0000</v>
          </cell>
          <cell r="I56" t="str">
            <v>ERINC</v>
          </cell>
          <cell r="J56">
            <v>-10194000</v>
          </cell>
          <cell r="L56" t="str">
            <v>Record Current Month SAR</v>
          </cell>
          <cell r="M56" t="str">
            <v>USD</v>
          </cell>
          <cell r="N56" t="str">
            <v>CRRNT</v>
          </cell>
          <cell r="O56">
            <v>1</v>
          </cell>
          <cell r="P56">
            <v>-10194000</v>
          </cell>
        </row>
        <row r="57">
          <cell r="B57" t="str">
            <v>ERINC</v>
          </cell>
          <cell r="C57" t="str">
            <v>478000</v>
          </cell>
          <cell r="D57">
            <v>1420000</v>
          </cell>
          <cell r="E57" t="str">
            <v>000</v>
          </cell>
          <cell r="F57" t="str">
            <v>00000000</v>
          </cell>
          <cell r="G57" t="str">
            <v>0000</v>
          </cell>
          <cell r="H57" t="str">
            <v>0000</v>
          </cell>
          <cell r="I57" t="str">
            <v>SESRP</v>
          </cell>
          <cell r="J57">
            <v>10194000</v>
          </cell>
          <cell r="L57" t="str">
            <v>Record Current Month SAR</v>
          </cell>
          <cell r="M57" t="str">
            <v>USD</v>
          </cell>
          <cell r="N57" t="str">
            <v>CRRNT</v>
          </cell>
          <cell r="O57">
            <v>1</v>
          </cell>
          <cell r="P57">
            <v>10194000</v>
          </cell>
        </row>
        <row r="58">
          <cell r="B58" t="str">
            <v>ERINC</v>
          </cell>
          <cell r="C58" t="str">
            <v>478000</v>
          </cell>
          <cell r="D58">
            <v>2320700</v>
          </cell>
          <cell r="E58" t="str">
            <v>000</v>
          </cell>
          <cell r="F58" t="str">
            <v>00000000</v>
          </cell>
          <cell r="G58" t="str">
            <v>0000</v>
          </cell>
          <cell r="H58" t="str">
            <v>0000</v>
          </cell>
          <cell r="I58" t="str">
            <v>SESRP</v>
          </cell>
          <cell r="J58" t="e">
            <v>#REF!</v>
          </cell>
          <cell r="L58" t="str">
            <v>Record Current Month SAR</v>
          </cell>
          <cell r="M58" t="str">
            <v>USD</v>
          </cell>
          <cell r="N58" t="str">
            <v>CRRNT</v>
          </cell>
          <cell r="O58">
            <v>1</v>
          </cell>
          <cell r="P58">
            <v>-6187512.31</v>
          </cell>
        </row>
        <row r="59">
          <cell r="B59" t="str">
            <v>ERINC</v>
          </cell>
          <cell r="C59" t="str">
            <v>478000</v>
          </cell>
          <cell r="D59">
            <v>2539000</v>
          </cell>
          <cell r="E59" t="str">
            <v>000</v>
          </cell>
          <cell r="F59" t="str">
            <v>00000000</v>
          </cell>
          <cell r="G59" t="str">
            <v>0000</v>
          </cell>
          <cell r="H59" t="str">
            <v>0000</v>
          </cell>
          <cell r="J59" t="e">
            <v>#REF!</v>
          </cell>
          <cell r="L59" t="str">
            <v>Record Current Month SAR</v>
          </cell>
          <cell r="M59" t="str">
            <v>USD</v>
          </cell>
          <cell r="N59" t="str">
            <v>CRRNT</v>
          </cell>
          <cell r="O59">
            <v>1</v>
          </cell>
          <cell r="P59">
            <v>1019.65</v>
          </cell>
        </row>
        <row r="60">
          <cell r="B60" t="str">
            <v>ERINC</v>
          </cell>
          <cell r="C60" t="str">
            <v>478000</v>
          </cell>
          <cell r="D60">
            <v>4570001</v>
          </cell>
          <cell r="E60" t="str">
            <v>046</v>
          </cell>
          <cell r="F60" t="str">
            <v>00000000</v>
          </cell>
          <cell r="G60" t="str">
            <v>0000</v>
          </cell>
          <cell r="H60" t="str">
            <v>0000</v>
          </cell>
          <cell r="I60" t="str">
            <v>SESRP</v>
          </cell>
          <cell r="J60" t="e">
            <v>#REF!</v>
          </cell>
          <cell r="L60" t="str">
            <v>Record Current Month SAR</v>
          </cell>
          <cell r="M60" t="str">
            <v>USD</v>
          </cell>
          <cell r="N60" t="str">
            <v>CRRNT</v>
          </cell>
          <cell r="O60">
            <v>1</v>
          </cell>
          <cell r="P60">
            <v>-1019.65</v>
          </cell>
        </row>
        <row r="61">
          <cell r="B61" t="str">
            <v>TRN</v>
          </cell>
          <cell r="C61" t="str">
            <v>571900</v>
          </cell>
          <cell r="D61">
            <v>9030001</v>
          </cell>
          <cell r="E61" t="str">
            <v>056</v>
          </cell>
          <cell r="F61" t="str">
            <v>ARFEETRN</v>
          </cell>
          <cell r="G61" t="str">
            <v>0000</v>
          </cell>
          <cell r="H61" t="str">
            <v>9010</v>
          </cell>
          <cell r="I61" t="str">
            <v>ERINC</v>
          </cell>
          <cell r="J61">
            <v>0</v>
          </cell>
          <cell r="K61" t="str">
            <v>   </v>
          </cell>
          <cell r="L61" t="str">
            <v>Record Current Month SAR</v>
          </cell>
          <cell r="M61" t="str">
            <v>USD</v>
          </cell>
          <cell r="N61" t="str">
            <v>CRRNT</v>
          </cell>
          <cell r="O61">
            <v>1</v>
          </cell>
          <cell r="P61">
            <v>0</v>
          </cell>
        </row>
        <row r="62">
          <cell r="B62" t="str">
            <v>TRN</v>
          </cell>
          <cell r="C62" t="str">
            <v>571900</v>
          </cell>
          <cell r="D62">
            <v>1868900</v>
          </cell>
          <cell r="E62" t="str">
            <v>000</v>
          </cell>
          <cell r="F62" t="str">
            <v>00000000</v>
          </cell>
          <cell r="G62" t="str">
            <v>0000</v>
          </cell>
          <cell r="H62" t="str">
            <v>0000</v>
          </cell>
          <cell r="J62">
            <v>3645691.57</v>
          </cell>
          <cell r="K62" t="str">
            <v>   </v>
          </cell>
          <cell r="L62" t="str">
            <v>Record Current Month SAR</v>
          </cell>
          <cell r="M62" t="str">
            <v>USD</v>
          </cell>
          <cell r="N62" t="str">
            <v>CRRNT</v>
          </cell>
          <cell r="O62">
            <v>1</v>
          </cell>
          <cell r="P62">
            <v>3645691.57</v>
          </cell>
        </row>
        <row r="63">
          <cell r="B63" t="str">
            <v>TRN</v>
          </cell>
          <cell r="C63" t="str">
            <v>571900</v>
          </cell>
          <cell r="D63">
            <v>1423200</v>
          </cell>
          <cell r="E63" t="str">
            <v>000</v>
          </cell>
          <cell r="F63" t="str">
            <v>00000000</v>
          </cell>
          <cell r="G63" t="str">
            <v>0000</v>
          </cell>
          <cell r="H63" t="str">
            <v>0000</v>
          </cell>
          <cell r="I63" t="str">
            <v>ERINC</v>
          </cell>
          <cell r="J63">
            <v>5630308.43</v>
          </cell>
          <cell r="K63" t="str">
            <v>   </v>
          </cell>
          <cell r="L63" t="str">
            <v>Record Current Month SAR</v>
          </cell>
          <cell r="M63" t="str">
            <v>USD</v>
          </cell>
          <cell r="N63" t="str">
            <v>CRRNT</v>
          </cell>
          <cell r="O63">
            <v>1</v>
          </cell>
          <cell r="P63">
            <v>5630308.43</v>
          </cell>
        </row>
        <row r="64">
          <cell r="B64" t="str">
            <v>TRN</v>
          </cell>
          <cell r="C64" t="str">
            <v>571900</v>
          </cell>
          <cell r="D64">
            <v>1423000</v>
          </cell>
          <cell r="E64" t="str">
            <v>000</v>
          </cell>
          <cell r="F64" t="str">
            <v>00000000</v>
          </cell>
          <cell r="G64" t="str">
            <v>0000</v>
          </cell>
          <cell r="H64" t="str">
            <v>0000</v>
          </cell>
          <cell r="I64" t="str">
            <v>ERINC</v>
          </cell>
          <cell r="J64">
            <v>-9276000</v>
          </cell>
          <cell r="K64" t="str">
            <v>   </v>
          </cell>
          <cell r="L64" t="str">
            <v>Record Current Month SAR</v>
          </cell>
          <cell r="M64" t="str">
            <v>USD</v>
          </cell>
          <cell r="N64" t="str">
            <v>CRRNT</v>
          </cell>
          <cell r="O64">
            <v>1</v>
          </cell>
          <cell r="P64">
            <v>-9276000</v>
          </cell>
        </row>
        <row r="65">
          <cell r="B65" t="str">
            <v>ERINC</v>
          </cell>
          <cell r="C65" t="str">
            <v>478000</v>
          </cell>
          <cell r="D65">
            <v>1420000</v>
          </cell>
          <cell r="E65" t="str">
            <v>000</v>
          </cell>
          <cell r="F65" t="str">
            <v>00000000</v>
          </cell>
          <cell r="G65" t="str">
            <v>0000</v>
          </cell>
          <cell r="H65" t="str">
            <v>0000</v>
          </cell>
          <cell r="I65" t="str">
            <v>TRN</v>
          </cell>
          <cell r="J65">
            <v>9276000</v>
          </cell>
          <cell r="K65" t="str">
            <v>   </v>
          </cell>
          <cell r="L65" t="str">
            <v>Record Current Month SAR</v>
          </cell>
          <cell r="M65" t="str">
            <v>USD</v>
          </cell>
          <cell r="N65" t="str">
            <v>CRRNT</v>
          </cell>
          <cell r="O65">
            <v>1</v>
          </cell>
          <cell r="P65">
            <v>9276000</v>
          </cell>
        </row>
        <row r="66">
          <cell r="B66" t="str">
            <v>ERINC</v>
          </cell>
          <cell r="C66" t="str">
            <v>478000</v>
          </cell>
          <cell r="D66">
            <v>2320700</v>
          </cell>
          <cell r="E66" t="str">
            <v>000</v>
          </cell>
          <cell r="F66" t="str">
            <v>00000000</v>
          </cell>
          <cell r="G66" t="str">
            <v>0000</v>
          </cell>
          <cell r="H66" t="str">
            <v>0000</v>
          </cell>
          <cell r="I66" t="str">
            <v>TRN</v>
          </cell>
          <cell r="J66">
            <v>-5630308.43</v>
          </cell>
          <cell r="K66" t="str">
            <v>   </v>
          </cell>
          <cell r="L66" t="str">
            <v>Record Current Month SAR</v>
          </cell>
          <cell r="M66" t="str">
            <v>USD</v>
          </cell>
          <cell r="N66" t="str">
            <v>CRRNT</v>
          </cell>
          <cell r="O66">
            <v>1</v>
          </cell>
          <cell r="P66">
            <v>-5630308.43</v>
          </cell>
        </row>
        <row r="67">
          <cell r="B67" t="str">
            <v>ERINC</v>
          </cell>
          <cell r="C67" t="str">
            <v>478000</v>
          </cell>
          <cell r="D67">
            <v>2539000</v>
          </cell>
          <cell r="E67" t="str">
            <v>000</v>
          </cell>
          <cell r="F67" t="str">
            <v>00000000</v>
          </cell>
          <cell r="G67" t="str">
            <v>0000</v>
          </cell>
          <cell r="H67" t="str">
            <v>0000</v>
          </cell>
          <cell r="J67">
            <v>0</v>
          </cell>
          <cell r="K67" t="str">
            <v>   </v>
          </cell>
          <cell r="L67" t="str">
            <v>Record Current Month SAR</v>
          </cell>
          <cell r="M67" t="str">
            <v>USD</v>
          </cell>
          <cell r="N67" t="str">
            <v>CRRNT</v>
          </cell>
          <cell r="O67">
            <v>1</v>
          </cell>
          <cell r="P67">
            <v>0</v>
          </cell>
        </row>
        <row r="68">
          <cell r="B68" t="str">
            <v>ERINC</v>
          </cell>
          <cell r="C68" t="str">
            <v>478000</v>
          </cell>
          <cell r="D68">
            <v>4570001</v>
          </cell>
          <cell r="E68" t="str">
            <v>046</v>
          </cell>
          <cell r="F68" t="str">
            <v>00000000</v>
          </cell>
          <cell r="G68" t="str">
            <v>0000</v>
          </cell>
          <cell r="H68" t="str">
            <v>0000</v>
          </cell>
          <cell r="I68" t="str">
            <v>TRN</v>
          </cell>
          <cell r="J68">
            <v>0</v>
          </cell>
          <cell r="K68" t="str">
            <v>   </v>
          </cell>
          <cell r="L68" t="str">
            <v>Record Current Month SAR</v>
          </cell>
          <cell r="M68" t="str">
            <v>USD</v>
          </cell>
          <cell r="N68" t="str">
            <v>CRRNT</v>
          </cell>
          <cell r="O68">
            <v>1</v>
          </cell>
          <cell r="P68">
            <v>0</v>
          </cell>
        </row>
        <row r="69">
          <cell r="B69" t="str">
            <v>LSGD</v>
          </cell>
          <cell r="C69" t="str">
            <v>140090</v>
          </cell>
          <cell r="D69">
            <v>1868900</v>
          </cell>
          <cell r="E69" t="str">
            <v>000</v>
          </cell>
          <cell r="F69" t="str">
            <v>00000000</v>
          </cell>
          <cell r="G69" t="str">
            <v>0000</v>
          </cell>
          <cell r="H69" t="str">
            <v>0000</v>
          </cell>
          <cell r="J69">
            <v>-35984774.74</v>
          </cell>
          <cell r="L69" t="str">
            <v>Collection of Prior Month's AR</v>
          </cell>
          <cell r="M69" t="str">
            <v>USD</v>
          </cell>
          <cell r="N69" t="str">
            <v>CRRNT</v>
          </cell>
          <cell r="O69">
            <v>1</v>
          </cell>
          <cell r="P69">
            <v>-35984774.74</v>
          </cell>
        </row>
        <row r="70">
          <cell r="B70" t="str">
            <v>LSGD</v>
          </cell>
          <cell r="C70" t="str">
            <v>140090</v>
          </cell>
          <cell r="D70">
            <v>1423200</v>
          </cell>
          <cell r="E70" t="str">
            <v>000</v>
          </cell>
          <cell r="F70" t="str">
            <v>00000000</v>
          </cell>
          <cell r="G70" t="str">
            <v>0000</v>
          </cell>
          <cell r="H70" t="str">
            <v>0000</v>
          </cell>
          <cell r="I70" t="str">
            <v>ERINC</v>
          </cell>
          <cell r="J70">
            <v>-51218225.26</v>
          </cell>
          <cell r="L70" t="str">
            <v>Collection of Prior Month's AR</v>
          </cell>
          <cell r="M70" t="str">
            <v>USD</v>
          </cell>
          <cell r="N70" t="str">
            <v>CRRNT</v>
          </cell>
          <cell r="O70">
            <v>1</v>
          </cell>
          <cell r="P70">
            <v>-51218225.26</v>
          </cell>
        </row>
        <row r="71">
          <cell r="B71" t="str">
            <v>LSGD</v>
          </cell>
          <cell r="C71" t="str">
            <v>140090</v>
          </cell>
          <cell r="D71">
            <v>1423100</v>
          </cell>
          <cell r="E71" t="str">
            <v>000</v>
          </cell>
          <cell r="F71" t="str">
            <v>00000000</v>
          </cell>
          <cell r="G71" t="str">
            <v>0000</v>
          </cell>
          <cell r="H71" t="str">
            <v>0000</v>
          </cell>
          <cell r="I71" t="str">
            <v>ERINC</v>
          </cell>
          <cell r="J71">
            <v>87203000</v>
          </cell>
          <cell r="L71" t="str">
            <v>Collection of Prior Month's AR</v>
          </cell>
          <cell r="M71" t="str">
            <v>USD</v>
          </cell>
          <cell r="N71" t="str">
            <v>CRRNT</v>
          </cell>
          <cell r="O71">
            <v>1</v>
          </cell>
          <cell r="P71">
            <v>87203000</v>
          </cell>
        </row>
        <row r="72">
          <cell r="B72" t="str">
            <v>ERINC</v>
          </cell>
          <cell r="C72" t="str">
            <v>478000</v>
          </cell>
          <cell r="D72">
            <v>1420000</v>
          </cell>
          <cell r="E72" t="str">
            <v>000</v>
          </cell>
          <cell r="F72" t="str">
            <v>00000000</v>
          </cell>
          <cell r="G72" t="str">
            <v>0000</v>
          </cell>
          <cell r="H72" t="str">
            <v>0000</v>
          </cell>
          <cell r="I72" t="str">
            <v>LSGD</v>
          </cell>
          <cell r="J72">
            <v>-87203000</v>
          </cell>
          <cell r="L72" t="str">
            <v>Collection of Prior Month's AR</v>
          </cell>
          <cell r="M72" t="str">
            <v>USD</v>
          </cell>
          <cell r="N72" t="str">
            <v>CRRNT</v>
          </cell>
          <cell r="O72">
            <v>1</v>
          </cell>
          <cell r="P72">
            <v>-87203000</v>
          </cell>
        </row>
        <row r="73">
          <cell r="B73" t="str">
            <v>ERINC</v>
          </cell>
          <cell r="C73" t="str">
            <v>478000</v>
          </cell>
          <cell r="D73">
            <v>2320700</v>
          </cell>
          <cell r="E73" t="str">
            <v>000</v>
          </cell>
          <cell r="F73" t="str">
            <v>00000000</v>
          </cell>
          <cell r="G73" t="str">
            <v>0000</v>
          </cell>
          <cell r="H73" t="str">
            <v>0000</v>
          </cell>
          <cell r="I73" t="str">
            <v>LSGD</v>
          </cell>
          <cell r="J73">
            <v>51218225.26</v>
          </cell>
          <cell r="L73" t="str">
            <v>Collection of Prior Month's AR</v>
          </cell>
          <cell r="M73" t="str">
            <v>USD</v>
          </cell>
          <cell r="N73" t="str">
            <v>CRRNT</v>
          </cell>
          <cell r="O73">
            <v>1</v>
          </cell>
          <cell r="P73">
            <v>51218225.26</v>
          </cell>
        </row>
        <row r="74">
          <cell r="B74" t="str">
            <v>LSP</v>
          </cell>
          <cell r="C74" t="str">
            <v>101090</v>
          </cell>
          <cell r="D74">
            <v>1868900</v>
          </cell>
          <cell r="E74" t="str">
            <v>000</v>
          </cell>
          <cell r="F74" t="str">
            <v>00000000</v>
          </cell>
          <cell r="G74" t="str">
            <v>0000</v>
          </cell>
          <cell r="H74" t="str">
            <v>0000</v>
          </cell>
          <cell r="J74">
            <v>-2714033.5</v>
          </cell>
          <cell r="L74" t="str">
            <v>Collection of Prior Month's AR</v>
          </cell>
          <cell r="M74" t="str">
            <v>USD</v>
          </cell>
          <cell r="N74" t="str">
            <v>CRRNT</v>
          </cell>
          <cell r="O74">
            <v>1</v>
          </cell>
          <cell r="P74">
            <v>-2714033.5</v>
          </cell>
        </row>
        <row r="75">
          <cell r="B75" t="str">
            <v>LSP</v>
          </cell>
          <cell r="C75" t="str">
            <v>101090</v>
          </cell>
          <cell r="D75">
            <v>1433001</v>
          </cell>
          <cell r="E75" t="str">
            <v>000</v>
          </cell>
          <cell r="F75" t="str">
            <v>00000000</v>
          </cell>
          <cell r="G75" t="str">
            <v>0000</v>
          </cell>
          <cell r="H75" t="str">
            <v>0000</v>
          </cell>
          <cell r="I75" t="str">
            <v>ERINC</v>
          </cell>
          <cell r="J75">
            <v>-3862966.5</v>
          </cell>
          <cell r="L75" t="str">
            <v>Collection of Prior Month's AR</v>
          </cell>
          <cell r="M75" t="str">
            <v>USD</v>
          </cell>
          <cell r="N75" t="str">
            <v>CRRNT</v>
          </cell>
          <cell r="O75">
            <v>1</v>
          </cell>
          <cell r="P75">
            <v>-3862966.5</v>
          </cell>
        </row>
        <row r="76">
          <cell r="B76" t="str">
            <v>LSP</v>
          </cell>
          <cell r="C76" t="str">
            <v>101090</v>
          </cell>
          <cell r="D76">
            <v>1433000</v>
          </cell>
          <cell r="E76" t="str">
            <v>000</v>
          </cell>
          <cell r="F76" t="str">
            <v>00000000</v>
          </cell>
          <cell r="G76" t="str">
            <v>0000</v>
          </cell>
          <cell r="H76" t="str">
            <v>3000</v>
          </cell>
          <cell r="I76" t="str">
            <v>ERINC</v>
          </cell>
          <cell r="J76">
            <v>6577000</v>
          </cell>
          <cell r="L76" t="str">
            <v>Collection of Prior Month's AR</v>
          </cell>
          <cell r="M76" t="str">
            <v>USD</v>
          </cell>
          <cell r="N76" t="str">
            <v>CRRNT</v>
          </cell>
          <cell r="O76">
            <v>1</v>
          </cell>
          <cell r="P76">
            <v>6577000</v>
          </cell>
        </row>
        <row r="77">
          <cell r="B77" t="str">
            <v>ERINC</v>
          </cell>
          <cell r="C77" t="str">
            <v>478000</v>
          </cell>
          <cell r="D77">
            <v>1420000</v>
          </cell>
          <cell r="E77" t="str">
            <v>000</v>
          </cell>
          <cell r="F77" t="str">
            <v>00000000</v>
          </cell>
          <cell r="G77" t="str">
            <v>0000</v>
          </cell>
          <cell r="H77" t="str">
            <v>0000</v>
          </cell>
          <cell r="I77" t="str">
            <v>LSP</v>
          </cell>
          <cell r="J77">
            <v>-6577000</v>
          </cell>
          <cell r="L77" t="str">
            <v>Collection of Prior Month's AR</v>
          </cell>
          <cell r="M77" t="str">
            <v>USD</v>
          </cell>
          <cell r="N77" t="str">
            <v>CRRNT</v>
          </cell>
          <cell r="O77">
            <v>1</v>
          </cell>
          <cell r="P77">
            <v>-6577000</v>
          </cell>
        </row>
        <row r="78">
          <cell r="B78" t="str">
            <v>ERINC</v>
          </cell>
          <cell r="C78" t="str">
            <v>478000</v>
          </cell>
          <cell r="D78">
            <v>2320700</v>
          </cell>
          <cell r="E78" t="str">
            <v>000</v>
          </cell>
          <cell r="F78" t="str">
            <v>00000000</v>
          </cell>
          <cell r="G78" t="str">
            <v>0000</v>
          </cell>
          <cell r="H78" t="str">
            <v>0000</v>
          </cell>
          <cell r="I78" t="str">
            <v>LSP</v>
          </cell>
          <cell r="J78">
            <v>3862966.5</v>
          </cell>
          <cell r="L78" t="str">
            <v>Collection of Prior Month's AR</v>
          </cell>
          <cell r="M78" t="str">
            <v>USD</v>
          </cell>
          <cell r="N78" t="str">
            <v>CRRNT</v>
          </cell>
          <cell r="O78">
            <v>1</v>
          </cell>
          <cell r="P78">
            <v>3862966.5</v>
          </cell>
        </row>
        <row r="79">
          <cell r="B79" t="str">
            <v>ELREP</v>
          </cell>
          <cell r="C79" t="str">
            <v>288000</v>
          </cell>
          <cell r="D79">
            <v>1868900</v>
          </cell>
          <cell r="E79" t="str">
            <v>000</v>
          </cell>
          <cell r="F79" t="str">
            <v>00000000</v>
          </cell>
          <cell r="G79" t="str">
            <v>0000</v>
          </cell>
          <cell r="H79" t="str">
            <v>0000</v>
          </cell>
          <cell r="J79">
            <v>-467661356.23</v>
          </cell>
          <cell r="K79" t="str">
            <v>   </v>
          </cell>
          <cell r="L79" t="str">
            <v>Collection of Prior Month's AR</v>
          </cell>
          <cell r="M79" t="str">
            <v>USD</v>
          </cell>
          <cell r="N79" t="str">
            <v>CRRNT</v>
          </cell>
          <cell r="O79">
            <v>1</v>
          </cell>
          <cell r="P79">
            <v>-467661356.23</v>
          </cell>
        </row>
        <row r="80">
          <cell r="B80" t="str">
            <v>ELREP</v>
          </cell>
          <cell r="C80" t="str">
            <v>288000</v>
          </cell>
          <cell r="D80">
            <v>1423200</v>
          </cell>
          <cell r="E80" t="str">
            <v>000</v>
          </cell>
          <cell r="F80" t="str">
            <v>00000000</v>
          </cell>
          <cell r="G80" t="str">
            <v>0000</v>
          </cell>
          <cell r="H80" t="str">
            <v>0000</v>
          </cell>
          <cell r="I80" t="str">
            <v>ERINC</v>
          </cell>
          <cell r="J80">
            <v>-665636643.77</v>
          </cell>
          <cell r="L80" t="str">
            <v>Collection of Prior Month's AR</v>
          </cell>
          <cell r="M80" t="str">
            <v>USD</v>
          </cell>
          <cell r="N80" t="str">
            <v>CRRNT</v>
          </cell>
          <cell r="O80">
            <v>1</v>
          </cell>
          <cell r="P80">
            <v>-665636643.77</v>
          </cell>
        </row>
        <row r="81">
          <cell r="B81" t="str">
            <v>ELREP</v>
          </cell>
          <cell r="C81" t="str">
            <v>288000</v>
          </cell>
          <cell r="D81">
            <v>1423000</v>
          </cell>
          <cell r="E81" t="str">
            <v>000</v>
          </cell>
          <cell r="F81" t="str">
            <v>00000000</v>
          </cell>
          <cell r="G81" t="str">
            <v>0000</v>
          </cell>
          <cell r="H81" t="str">
            <v>0000</v>
          </cell>
          <cell r="I81" t="str">
            <v>ERINC</v>
          </cell>
          <cell r="J81">
            <v>1133298000</v>
          </cell>
          <cell r="K81" t="str">
            <v>   </v>
          </cell>
          <cell r="L81" t="str">
            <v>Collection of Prior Month's AR</v>
          </cell>
          <cell r="M81" t="str">
            <v>USD</v>
          </cell>
          <cell r="N81" t="str">
            <v>CRRNT</v>
          </cell>
          <cell r="O81">
            <v>1</v>
          </cell>
          <cell r="P81">
            <v>1133298000</v>
          </cell>
        </row>
        <row r="82">
          <cell r="B82" t="str">
            <v>ERINC</v>
          </cell>
          <cell r="C82" t="str">
            <v>478000</v>
          </cell>
          <cell r="D82">
            <v>1420000</v>
          </cell>
          <cell r="E82" t="str">
            <v>000</v>
          </cell>
          <cell r="F82" t="str">
            <v>00000000</v>
          </cell>
          <cell r="G82" t="str">
            <v>0000</v>
          </cell>
          <cell r="H82" t="str">
            <v>0000</v>
          </cell>
          <cell r="I82" t="str">
            <v>ELREP</v>
          </cell>
          <cell r="J82">
            <v>-1133298000</v>
          </cell>
          <cell r="K82" t="str">
            <v>   </v>
          </cell>
          <cell r="L82" t="str">
            <v>Collection of Prior Month's AR</v>
          </cell>
          <cell r="M82" t="str">
            <v>USD</v>
          </cell>
          <cell r="N82" t="str">
            <v>CRRNT</v>
          </cell>
          <cell r="O82">
            <v>1</v>
          </cell>
          <cell r="P82">
            <v>-1133298000</v>
          </cell>
        </row>
        <row r="83">
          <cell r="B83" t="str">
            <v>ERINC</v>
          </cell>
          <cell r="C83" t="str">
            <v>478000</v>
          </cell>
          <cell r="D83">
            <v>2320700</v>
          </cell>
          <cell r="E83" t="str">
            <v>000</v>
          </cell>
          <cell r="F83" t="str">
            <v>00000000</v>
          </cell>
          <cell r="G83" t="str">
            <v>0000</v>
          </cell>
          <cell r="H83" t="str">
            <v>0000</v>
          </cell>
          <cell r="I83" t="str">
            <v>ELREP</v>
          </cell>
          <cell r="J83">
            <v>665636643.77</v>
          </cell>
          <cell r="L83" t="str">
            <v>Collection of Prior Month's AR</v>
          </cell>
          <cell r="M83" t="str">
            <v>USD</v>
          </cell>
          <cell r="N83" t="str">
            <v>CRRNT</v>
          </cell>
          <cell r="O83">
            <v>1</v>
          </cell>
          <cell r="P83">
            <v>665636643.77</v>
          </cell>
        </row>
        <row r="84">
          <cell r="B84" t="str">
            <v>ESD</v>
          </cell>
          <cell r="C84" t="str">
            <v>521900</v>
          </cell>
          <cell r="D84">
            <v>1868900</v>
          </cell>
          <cell r="E84" t="str">
            <v>000</v>
          </cell>
          <cell r="F84" t="str">
            <v>00000000</v>
          </cell>
          <cell r="G84" t="str">
            <v>0000</v>
          </cell>
          <cell r="H84" t="str">
            <v>0000</v>
          </cell>
          <cell r="J84">
            <v>-25878847.96</v>
          </cell>
          <cell r="K84" t="str">
            <v>   </v>
          </cell>
          <cell r="L84" t="str">
            <v>Collection of Prior Month's AR</v>
          </cell>
          <cell r="M84" t="str">
            <v>USD</v>
          </cell>
          <cell r="N84" t="str">
            <v>CRRNT</v>
          </cell>
          <cell r="O84">
            <v>1</v>
          </cell>
          <cell r="P84">
            <v>-25878847.96</v>
          </cell>
        </row>
        <row r="85">
          <cell r="B85" t="str">
            <v>ESD</v>
          </cell>
          <cell r="C85" t="str">
            <v>521900</v>
          </cell>
          <cell r="D85">
            <v>1423200</v>
          </cell>
          <cell r="E85" t="str">
            <v>000</v>
          </cell>
          <cell r="F85" t="str">
            <v>00000000</v>
          </cell>
          <cell r="G85" t="str">
            <v>0000</v>
          </cell>
          <cell r="H85" t="str">
            <v>0000</v>
          </cell>
          <cell r="I85" t="str">
            <v>ERINC</v>
          </cell>
          <cell r="J85">
            <v>-36834152.04</v>
          </cell>
          <cell r="L85" t="str">
            <v>Collection of Prior Month's AR</v>
          </cell>
          <cell r="M85" t="str">
            <v>USD</v>
          </cell>
          <cell r="N85" t="str">
            <v>CRRNT</v>
          </cell>
          <cell r="O85">
            <v>1</v>
          </cell>
          <cell r="P85">
            <v>-36834152.04</v>
          </cell>
        </row>
        <row r="86">
          <cell r="B86" t="str">
            <v>ESD</v>
          </cell>
          <cell r="C86" t="str">
            <v>521900</v>
          </cell>
          <cell r="D86">
            <v>1423000</v>
          </cell>
          <cell r="E86" t="str">
            <v>000</v>
          </cell>
          <cell r="F86" t="str">
            <v>00000000</v>
          </cell>
          <cell r="G86" t="str">
            <v>0000</v>
          </cell>
          <cell r="H86" t="str">
            <v>0000</v>
          </cell>
          <cell r="I86" t="str">
            <v>ERINC</v>
          </cell>
          <cell r="J86">
            <v>62713000</v>
          </cell>
          <cell r="K86" t="str">
            <v>   </v>
          </cell>
          <cell r="L86" t="str">
            <v>Collection of Prior Month's AR</v>
          </cell>
          <cell r="M86" t="str">
            <v>USD</v>
          </cell>
          <cell r="N86" t="str">
            <v>CRRNT</v>
          </cell>
          <cell r="O86">
            <v>1</v>
          </cell>
          <cell r="P86">
            <v>62713000</v>
          </cell>
        </row>
        <row r="87">
          <cell r="B87" t="str">
            <v>ERINC</v>
          </cell>
          <cell r="C87" t="str">
            <v>478000</v>
          </cell>
          <cell r="D87">
            <v>1420000</v>
          </cell>
          <cell r="E87" t="str">
            <v>000</v>
          </cell>
          <cell r="F87" t="str">
            <v>00000000</v>
          </cell>
          <cell r="G87" t="str">
            <v>0000</v>
          </cell>
          <cell r="H87" t="str">
            <v>0000</v>
          </cell>
          <cell r="I87" t="str">
            <v>ESD</v>
          </cell>
          <cell r="J87">
            <v>-62713000</v>
          </cell>
          <cell r="K87" t="str">
            <v>   </v>
          </cell>
          <cell r="L87" t="str">
            <v>Collection of Prior Month's AR</v>
          </cell>
          <cell r="M87" t="str">
            <v>USD</v>
          </cell>
          <cell r="N87" t="str">
            <v>CRRNT</v>
          </cell>
          <cell r="O87">
            <v>1</v>
          </cell>
          <cell r="P87">
            <v>-62713000</v>
          </cell>
        </row>
        <row r="88">
          <cell r="B88" t="str">
            <v>ERINC</v>
          </cell>
          <cell r="C88" t="str">
            <v>478000</v>
          </cell>
          <cell r="D88">
            <v>2320700</v>
          </cell>
          <cell r="E88" t="str">
            <v>000</v>
          </cell>
          <cell r="F88" t="str">
            <v>00000000</v>
          </cell>
          <cell r="G88" t="str">
            <v>0000</v>
          </cell>
          <cell r="H88" t="str">
            <v>0000</v>
          </cell>
          <cell r="I88" t="str">
            <v>ESD</v>
          </cell>
          <cell r="J88">
            <v>36834152.04</v>
          </cell>
          <cell r="L88" t="str">
            <v>Collection of Prior Month's AR</v>
          </cell>
          <cell r="M88" t="str">
            <v>USD</v>
          </cell>
          <cell r="N88" t="str">
            <v>CRRNT</v>
          </cell>
          <cell r="O88">
            <v>1</v>
          </cell>
          <cell r="P88">
            <v>36834152.04</v>
          </cell>
        </row>
        <row r="89">
          <cell r="B89" t="str">
            <v>SESRP</v>
          </cell>
          <cell r="C89" t="str">
            <v>297000</v>
          </cell>
          <cell r="D89">
            <v>1868900</v>
          </cell>
          <cell r="E89" t="str">
            <v>000</v>
          </cell>
          <cell r="F89" t="str">
            <v>00000000</v>
          </cell>
          <cell r="G89" t="str">
            <v>0000</v>
          </cell>
          <cell r="H89" t="str">
            <v>0000</v>
          </cell>
          <cell r="J89">
            <v>-3615685.2</v>
          </cell>
          <cell r="L89" t="str">
            <v>Collection of Prior Month's AR</v>
          </cell>
          <cell r="M89" t="str">
            <v>USD</v>
          </cell>
          <cell r="N89" t="str">
            <v>CRRNT</v>
          </cell>
          <cell r="O89">
            <v>1</v>
          </cell>
          <cell r="P89">
            <v>-3615685.2</v>
          </cell>
        </row>
        <row r="90">
          <cell r="B90" t="str">
            <v>SESRP</v>
          </cell>
          <cell r="C90" t="str">
            <v>297000</v>
          </cell>
          <cell r="D90">
            <v>1423200</v>
          </cell>
          <cell r="E90" t="str">
            <v>000</v>
          </cell>
          <cell r="F90" t="str">
            <v>00000000</v>
          </cell>
          <cell r="G90" t="str">
            <v>0000</v>
          </cell>
          <cell r="H90" t="str">
            <v>0000</v>
          </cell>
          <cell r="I90" t="str">
            <v>ERINC</v>
          </cell>
          <cell r="J90">
            <v>-5146314.8</v>
          </cell>
          <cell r="L90" t="str">
            <v>Collection of Prior Month's AR</v>
          </cell>
          <cell r="M90" t="str">
            <v>USD</v>
          </cell>
          <cell r="N90" t="str">
            <v>CRRNT</v>
          </cell>
          <cell r="O90">
            <v>1</v>
          </cell>
          <cell r="P90">
            <v>-5146314.8</v>
          </cell>
        </row>
        <row r="91">
          <cell r="B91" t="str">
            <v>SESRP</v>
          </cell>
          <cell r="C91" t="str">
            <v>297000</v>
          </cell>
          <cell r="D91">
            <v>1423000</v>
          </cell>
          <cell r="E91" t="str">
            <v>000</v>
          </cell>
          <cell r="F91" t="str">
            <v>00000000</v>
          </cell>
          <cell r="G91" t="str">
            <v>0000</v>
          </cell>
          <cell r="H91" t="str">
            <v>0000</v>
          </cell>
          <cell r="I91" t="str">
            <v>ERINC</v>
          </cell>
          <cell r="J91">
            <v>8762000</v>
          </cell>
          <cell r="L91" t="str">
            <v>Collection of Prior Month's AR</v>
          </cell>
          <cell r="M91" t="str">
            <v>USD</v>
          </cell>
          <cell r="N91" t="str">
            <v>CRRNT</v>
          </cell>
          <cell r="O91">
            <v>1</v>
          </cell>
          <cell r="P91">
            <v>8762000</v>
          </cell>
        </row>
        <row r="92">
          <cell r="B92" t="str">
            <v>ERINC</v>
          </cell>
          <cell r="C92" t="str">
            <v>478000</v>
          </cell>
          <cell r="D92">
            <v>1420000</v>
          </cell>
          <cell r="E92" t="str">
            <v>000</v>
          </cell>
          <cell r="F92" t="str">
            <v>00000000</v>
          </cell>
          <cell r="G92" t="str">
            <v>0000</v>
          </cell>
          <cell r="H92" t="str">
            <v>0000</v>
          </cell>
          <cell r="I92" t="str">
            <v>SESRP</v>
          </cell>
          <cell r="J92">
            <v>-8762000</v>
          </cell>
          <cell r="L92" t="str">
            <v>Collection of Prior Month's AR</v>
          </cell>
          <cell r="M92" t="str">
            <v>USD</v>
          </cell>
          <cell r="N92" t="str">
            <v>CRRNT</v>
          </cell>
          <cell r="O92">
            <v>1</v>
          </cell>
          <cell r="P92">
            <v>-8762000</v>
          </cell>
        </row>
        <row r="93">
          <cell r="B93" t="str">
            <v>ERINC</v>
          </cell>
          <cell r="C93" t="str">
            <v>478000</v>
          </cell>
          <cell r="D93">
            <v>2320700</v>
          </cell>
          <cell r="E93" t="str">
            <v>000</v>
          </cell>
          <cell r="F93" t="str">
            <v>00000000</v>
          </cell>
          <cell r="G93" t="str">
            <v>0000</v>
          </cell>
          <cell r="H93" t="str">
            <v>0000</v>
          </cell>
          <cell r="I93" t="str">
            <v>SESRP</v>
          </cell>
          <cell r="J93">
            <v>5146314.8</v>
          </cell>
          <cell r="L93" t="str">
            <v>Collection of Prior Month's AR</v>
          </cell>
          <cell r="M93" t="str">
            <v>USD</v>
          </cell>
          <cell r="N93" t="str">
            <v>CRRNT</v>
          </cell>
          <cell r="O93">
            <v>1</v>
          </cell>
          <cell r="P93">
            <v>5146314.8</v>
          </cell>
        </row>
        <row r="94">
          <cell r="B94" t="str">
            <v>TRN</v>
          </cell>
          <cell r="C94" t="str">
            <v>571900</v>
          </cell>
          <cell r="D94">
            <v>1868900</v>
          </cell>
          <cell r="E94" t="str">
            <v>000</v>
          </cell>
          <cell r="F94" t="str">
            <v>00000000</v>
          </cell>
          <cell r="G94" t="str">
            <v>0000</v>
          </cell>
          <cell r="H94" t="str">
            <v>0000</v>
          </cell>
          <cell r="J94">
            <v>-4392302.36</v>
          </cell>
          <cell r="K94" t="str">
            <v>   </v>
          </cell>
          <cell r="L94" t="str">
            <v>Collection of Prior Month's AR</v>
          </cell>
          <cell r="M94" t="str">
            <v>USD</v>
          </cell>
          <cell r="N94" t="str">
            <v>CRRNT</v>
          </cell>
          <cell r="O94">
            <v>1</v>
          </cell>
          <cell r="P94">
            <v>-4392302.36</v>
          </cell>
        </row>
        <row r="95">
          <cell r="B95" t="str">
            <v>TRN</v>
          </cell>
          <cell r="C95" t="str">
            <v>571900</v>
          </cell>
          <cell r="D95">
            <v>1423200</v>
          </cell>
          <cell r="E95" t="str">
            <v>000</v>
          </cell>
          <cell r="F95" t="str">
            <v>00000000</v>
          </cell>
          <cell r="G95" t="str">
            <v>0000</v>
          </cell>
          <cell r="H95" t="str">
            <v>0000</v>
          </cell>
          <cell r="I95" t="str">
            <v>ERINC</v>
          </cell>
          <cell r="J95">
            <v>-6251697.64</v>
          </cell>
          <cell r="L95" t="str">
            <v>Collection of Prior Month's AR</v>
          </cell>
          <cell r="M95" t="str">
            <v>USD</v>
          </cell>
          <cell r="N95" t="str">
            <v>CRRNT</v>
          </cell>
          <cell r="O95">
            <v>1</v>
          </cell>
          <cell r="P95">
            <v>-6251697.64</v>
          </cell>
        </row>
        <row r="96">
          <cell r="B96" t="str">
            <v>TRN</v>
          </cell>
          <cell r="C96" t="str">
            <v>571900</v>
          </cell>
          <cell r="D96">
            <v>1423000</v>
          </cell>
          <cell r="E96" t="str">
            <v>000</v>
          </cell>
          <cell r="F96" t="str">
            <v>00000000</v>
          </cell>
          <cell r="G96" t="str">
            <v>0000</v>
          </cell>
          <cell r="H96" t="str">
            <v>0000</v>
          </cell>
          <cell r="I96" t="str">
            <v>ERINC</v>
          </cell>
          <cell r="J96">
            <v>10644000</v>
          </cell>
          <cell r="K96" t="str">
            <v>   </v>
          </cell>
          <cell r="L96" t="str">
            <v>Collection of Prior Month's AR</v>
          </cell>
          <cell r="M96" t="str">
            <v>USD</v>
          </cell>
          <cell r="N96" t="str">
            <v>CRRNT</v>
          </cell>
          <cell r="O96">
            <v>1</v>
          </cell>
          <cell r="P96">
            <v>10644000</v>
          </cell>
        </row>
        <row r="97">
          <cell r="B97" t="str">
            <v>ERINC</v>
          </cell>
          <cell r="C97" t="str">
            <v>478000</v>
          </cell>
          <cell r="D97">
            <v>1420000</v>
          </cell>
          <cell r="E97" t="str">
            <v>000</v>
          </cell>
          <cell r="F97" t="str">
            <v>00000000</v>
          </cell>
          <cell r="G97" t="str">
            <v>0000</v>
          </cell>
          <cell r="H97" t="str">
            <v>0000</v>
          </cell>
          <cell r="I97" t="str">
            <v>TRN</v>
          </cell>
          <cell r="J97">
            <v>-10644000</v>
          </cell>
          <cell r="K97" t="str">
            <v>   </v>
          </cell>
          <cell r="L97" t="str">
            <v>Collection of Prior Month's AR</v>
          </cell>
          <cell r="M97" t="str">
            <v>USD</v>
          </cell>
          <cell r="N97" t="str">
            <v>CRRNT</v>
          </cell>
          <cell r="O97">
            <v>1</v>
          </cell>
          <cell r="P97">
            <v>-10644000</v>
          </cell>
        </row>
        <row r="98">
          <cell r="B98" t="str">
            <v>ERINC</v>
          </cell>
          <cell r="C98" t="str">
            <v>478000</v>
          </cell>
          <cell r="D98">
            <v>2320700</v>
          </cell>
          <cell r="E98" t="str">
            <v>000</v>
          </cell>
          <cell r="F98" t="str">
            <v>00000000</v>
          </cell>
          <cell r="G98" t="str">
            <v>0000</v>
          </cell>
          <cell r="H98" t="str">
            <v>0000</v>
          </cell>
          <cell r="I98" t="str">
            <v>TRN</v>
          </cell>
          <cell r="J98">
            <v>6251697.64</v>
          </cell>
          <cell r="L98" t="str">
            <v>Collection of Prior Month's AR</v>
          </cell>
          <cell r="M98" t="str">
            <v>USD</v>
          </cell>
          <cell r="N98" t="str">
            <v>CRRNT</v>
          </cell>
          <cell r="O98">
            <v>1</v>
          </cell>
          <cell r="P98">
            <v>6251697.64</v>
          </cell>
        </row>
        <row r="99">
          <cell r="F99" t="str">
            <v> Please make sure there are no Journal Lines below this End of File Marker</v>
          </cell>
        </row>
        <row r="103">
          <cell r="J103" t="e">
            <v>#REF!</v>
          </cell>
        </row>
        <row r="124">
          <cell r="F124" t="str">
            <v> </v>
          </cell>
        </row>
        <row r="125">
          <cell r="M125" t="str">
            <v>USD</v>
          </cell>
          <cell r="N125" t="str">
            <v>CRRNT</v>
          </cell>
          <cell r="O125">
            <v>1</v>
          </cell>
          <cell r="P125">
            <v>230</v>
          </cell>
        </row>
        <row r="126">
          <cell r="M126" t="str">
            <v>USD</v>
          </cell>
          <cell r="N126" t="str">
            <v>CRRNT</v>
          </cell>
          <cell r="O126">
            <v>1</v>
          </cell>
          <cell r="P126">
            <v>-230</v>
          </cell>
        </row>
        <row r="127">
          <cell r="M127" t="str">
            <v>USD</v>
          </cell>
          <cell r="N127" t="str">
            <v>CRRNT</v>
          </cell>
          <cell r="O127">
            <v>1</v>
          </cell>
          <cell r="P127">
            <v>200</v>
          </cell>
        </row>
        <row r="128">
          <cell r="M128" t="str">
            <v>USD</v>
          </cell>
          <cell r="N128" t="str">
            <v>CRRNT</v>
          </cell>
          <cell r="O128">
            <v>1</v>
          </cell>
          <cell r="P128">
            <v>-200</v>
          </cell>
        </row>
        <row r="129">
          <cell r="M129" t="str">
            <v>USD</v>
          </cell>
          <cell r="N129" t="str">
            <v>CRRNT</v>
          </cell>
          <cell r="O129">
            <v>1</v>
          </cell>
          <cell r="P129">
            <v>400</v>
          </cell>
        </row>
        <row r="130">
          <cell r="F130" t="str">
            <v> </v>
          </cell>
        </row>
        <row r="131">
          <cell r="M131" t="str">
            <v>USD</v>
          </cell>
          <cell r="N131" t="str">
            <v>CRRNT</v>
          </cell>
          <cell r="O131">
            <v>1</v>
          </cell>
          <cell r="P131">
            <v>-400</v>
          </cell>
        </row>
        <row r="132">
          <cell r="M132" t="str">
            <v>USD</v>
          </cell>
          <cell r="N132" t="str">
            <v>CRRNT</v>
          </cell>
          <cell r="O132">
            <v>1</v>
          </cell>
          <cell r="P132">
            <v>150</v>
          </cell>
        </row>
        <row r="133">
          <cell r="M133" t="str">
            <v>USD</v>
          </cell>
          <cell r="N133" t="str">
            <v>CRRNT</v>
          </cell>
          <cell r="O133">
            <v>1</v>
          </cell>
          <cell r="P133">
            <v>-150</v>
          </cell>
        </row>
        <row r="134">
          <cell r="F134" t="str">
            <v> </v>
          </cell>
        </row>
        <row r="135">
          <cell r="F135" t="str">
            <v> </v>
          </cell>
        </row>
        <row r="136">
          <cell r="F136" t="str">
            <v> </v>
          </cell>
        </row>
        <row r="137">
          <cell r="F137" t="str">
            <v> </v>
          </cell>
        </row>
        <row r="138">
          <cell r="F138" t="str">
            <v> </v>
          </cell>
        </row>
        <row r="139">
          <cell r="K139" t="str">
            <v>   </v>
          </cell>
        </row>
        <row r="140">
          <cell r="K140" t="str">
            <v>   </v>
          </cell>
        </row>
        <row r="141">
          <cell r="K141" t="str">
            <v>   </v>
          </cell>
        </row>
        <row r="142">
          <cell r="K142" t="str">
            <v>   </v>
          </cell>
        </row>
        <row r="143">
          <cell r="K143" t="str">
            <v>   </v>
          </cell>
        </row>
        <row r="144">
          <cell r="K144" t="str">
            <v>   </v>
          </cell>
        </row>
        <row r="145">
          <cell r="K145" t="str">
            <v>   </v>
          </cell>
        </row>
        <row r="146">
          <cell r="K146" t="str">
            <v>   </v>
          </cell>
        </row>
        <row r="147">
          <cell r="K147" t="str">
            <v>   </v>
          </cell>
        </row>
        <row r="148">
          <cell r="K148" t="str">
            <v>   </v>
          </cell>
        </row>
        <row r="149">
          <cell r="K149" t="str">
            <v>   </v>
          </cell>
        </row>
        <row r="150">
          <cell r="K150" t="str">
            <v>   </v>
          </cell>
        </row>
        <row r="151">
          <cell r="K151" t="str">
            <v>   </v>
          </cell>
        </row>
        <row r="152">
          <cell r="K152" t="str">
            <v>   </v>
          </cell>
        </row>
        <row r="153">
          <cell r="K153" t="str">
            <v>   </v>
          </cell>
        </row>
        <row r="154">
          <cell r="K154" t="str">
            <v>   </v>
          </cell>
        </row>
        <row r="155">
          <cell r="K155" t="str">
            <v>   </v>
          </cell>
        </row>
        <row r="156">
          <cell r="K156" t="str">
            <v>   </v>
          </cell>
        </row>
        <row r="157">
          <cell r="K157" t="str">
            <v>   </v>
          </cell>
        </row>
        <row r="158">
          <cell r="K158" t="str">
            <v>   </v>
          </cell>
        </row>
        <row r="159">
          <cell r="K159" t="str">
            <v>   </v>
          </cell>
        </row>
        <row r="160">
          <cell r="K160" t="str">
            <v>   </v>
          </cell>
        </row>
        <row r="161">
          <cell r="K161" t="str">
            <v>   </v>
          </cell>
        </row>
        <row r="162">
          <cell r="K162" t="str">
            <v>   </v>
          </cell>
        </row>
        <row r="163">
          <cell r="K163" t="str">
            <v>   </v>
          </cell>
        </row>
        <row r="164">
          <cell r="K164" t="str">
            <v>   </v>
          </cell>
        </row>
        <row r="165">
          <cell r="K165" t="str">
            <v>   </v>
          </cell>
        </row>
        <row r="166">
          <cell r="K166" t="str">
            <v>   </v>
          </cell>
        </row>
        <row r="167">
          <cell r="K167" t="str">
            <v>   </v>
          </cell>
        </row>
        <row r="168">
          <cell r="K168" t="str">
            <v>   </v>
          </cell>
        </row>
        <row r="169">
          <cell r="K169" t="str">
            <v>   </v>
          </cell>
        </row>
        <row r="170">
          <cell r="K170" t="str">
            <v>   </v>
          </cell>
        </row>
        <row r="171">
          <cell r="K171" t="str">
            <v>   </v>
          </cell>
        </row>
        <row r="172">
          <cell r="K172" t="str">
            <v>   </v>
          </cell>
        </row>
        <row r="173">
          <cell r="K173" t="str">
            <v>   </v>
          </cell>
        </row>
        <row r="174">
          <cell r="K174" t="str">
            <v>   </v>
          </cell>
        </row>
        <row r="175">
          <cell r="K175" t="str">
            <v>   </v>
          </cell>
        </row>
        <row r="176">
          <cell r="K176" t="str">
            <v>   </v>
          </cell>
        </row>
        <row r="177">
          <cell r="K177" t="str">
            <v>   </v>
          </cell>
        </row>
        <row r="178">
          <cell r="K178" t="str">
            <v>   </v>
          </cell>
        </row>
        <row r="179">
          <cell r="K179" t="str">
            <v>   </v>
          </cell>
        </row>
        <row r="181">
          <cell r="K181" t="str">
            <v> </v>
          </cell>
        </row>
        <row r="182">
          <cell r="K182" t="str">
            <v> </v>
          </cell>
        </row>
        <row r="183">
          <cell r="K183" t="str">
            <v> </v>
          </cell>
        </row>
        <row r="184">
          <cell r="K184" t="str">
            <v> </v>
          </cell>
        </row>
        <row r="185">
          <cell r="K185" t="str">
            <v> </v>
          </cell>
        </row>
        <row r="186">
          <cell r="K186" t="str">
            <v> </v>
          </cell>
        </row>
        <row r="187">
          <cell r="K187" t="str">
            <v> </v>
          </cell>
        </row>
        <row r="188">
          <cell r="K188" t="str">
            <v> </v>
          </cell>
        </row>
        <row r="189">
          <cell r="K189" t="str">
            <v> </v>
          </cell>
        </row>
        <row r="190">
          <cell r="K190" t="str">
            <v> </v>
          </cell>
        </row>
        <row r="191">
          <cell r="K191" t="str">
            <v> </v>
          </cell>
        </row>
        <row r="192">
          <cell r="K192" t="str">
            <v> </v>
          </cell>
        </row>
        <row r="193">
          <cell r="K193" t="str">
            <v> </v>
          </cell>
        </row>
        <row r="194">
          <cell r="K194" t="str">
            <v> </v>
          </cell>
        </row>
        <row r="195">
          <cell r="K195" t="str">
            <v> </v>
          </cell>
        </row>
        <row r="196">
          <cell r="K196" t="str">
            <v> </v>
          </cell>
        </row>
        <row r="197">
          <cell r="K197" t="str">
            <v> </v>
          </cell>
        </row>
        <row r="198">
          <cell r="K198" t="str">
            <v> </v>
          </cell>
          <cell r="N198" t="str">
            <v>     </v>
          </cell>
        </row>
        <row r="199">
          <cell r="K199" t="str">
            <v> </v>
          </cell>
          <cell r="N199" t="str">
            <v>     </v>
          </cell>
        </row>
        <row r="200">
          <cell r="K200" t="str">
            <v> </v>
          </cell>
          <cell r="N200" t="str">
            <v>     </v>
          </cell>
        </row>
        <row r="201">
          <cell r="K201" t="str">
            <v> </v>
          </cell>
          <cell r="N201" t="str">
            <v>     </v>
          </cell>
        </row>
        <row r="202">
          <cell r="K202" t="str">
            <v> </v>
          </cell>
          <cell r="N202" t="str">
            <v>     </v>
          </cell>
        </row>
        <row r="203">
          <cell r="K203" t="str">
            <v> </v>
          </cell>
          <cell r="N203" t="str">
            <v>     </v>
          </cell>
        </row>
        <row r="204">
          <cell r="K204" t="str">
            <v> </v>
          </cell>
          <cell r="N204" t="str">
            <v>     </v>
          </cell>
        </row>
        <row r="205">
          <cell r="K205" t="str">
            <v> </v>
          </cell>
          <cell r="N205" t="str">
            <v>     </v>
          </cell>
        </row>
        <row r="206">
          <cell r="K206" t="str">
            <v> </v>
          </cell>
          <cell r="N206" t="str">
            <v>     </v>
          </cell>
        </row>
        <row r="207">
          <cell r="K207" t="str">
            <v> </v>
          </cell>
          <cell r="N207" t="str">
            <v>     </v>
          </cell>
        </row>
        <row r="208">
          <cell r="K208" t="str">
            <v> </v>
          </cell>
          <cell r="N208" t="str">
            <v>     </v>
          </cell>
        </row>
        <row r="209">
          <cell r="K209" t="str">
            <v> </v>
          </cell>
          <cell r="N209" t="str">
            <v>     </v>
          </cell>
        </row>
        <row r="210">
          <cell r="K210" t="str">
            <v> </v>
          </cell>
          <cell r="N210" t="str">
            <v>     </v>
          </cell>
        </row>
        <row r="211">
          <cell r="K211" t="str">
            <v> </v>
          </cell>
          <cell r="N211" t="str">
            <v>     </v>
          </cell>
        </row>
        <row r="212">
          <cell r="K212" t="str">
            <v> </v>
          </cell>
          <cell r="N212" t="str">
            <v>     </v>
          </cell>
        </row>
        <row r="213">
          <cell r="K213" t="str">
            <v> </v>
          </cell>
          <cell r="N213" t="str">
            <v>     </v>
          </cell>
        </row>
        <row r="214">
          <cell r="K214" t="str">
            <v> </v>
          </cell>
          <cell r="N214" t="str">
            <v>     </v>
          </cell>
        </row>
        <row r="215">
          <cell r="K215" t="str">
            <v> </v>
          </cell>
          <cell r="N215" t="str">
            <v>     </v>
          </cell>
        </row>
        <row r="216">
          <cell r="K216" t="str">
            <v> </v>
          </cell>
          <cell r="N216" t="str">
            <v>     </v>
          </cell>
        </row>
        <row r="217">
          <cell r="K217" t="str">
            <v> </v>
          </cell>
          <cell r="N217" t="str">
            <v>     </v>
          </cell>
        </row>
        <row r="218">
          <cell r="K218" t="str">
            <v> </v>
          </cell>
          <cell r="N218" t="str">
            <v>     </v>
          </cell>
        </row>
        <row r="219">
          <cell r="K219" t="str">
            <v> </v>
          </cell>
          <cell r="N219" t="str">
            <v>     </v>
          </cell>
        </row>
        <row r="220">
          <cell r="K220" t="str">
            <v> </v>
          </cell>
          <cell r="N220" t="str">
            <v>     </v>
          </cell>
        </row>
        <row r="221">
          <cell r="K221" t="str">
            <v> </v>
          </cell>
          <cell r="N221" t="str">
            <v>     </v>
          </cell>
        </row>
        <row r="222">
          <cell r="K222" t="str">
            <v> </v>
          </cell>
          <cell r="N222" t="str">
            <v>     </v>
          </cell>
        </row>
        <row r="223">
          <cell r="K223" t="str">
            <v> </v>
          </cell>
          <cell r="N223" t="str">
            <v>     </v>
          </cell>
        </row>
        <row r="224">
          <cell r="K224" t="str">
            <v> </v>
          </cell>
          <cell r="N224" t="str">
            <v>     </v>
          </cell>
        </row>
        <row r="225">
          <cell r="K225" t="str">
            <v> </v>
          </cell>
          <cell r="N225" t="str">
            <v>     </v>
          </cell>
        </row>
        <row r="226">
          <cell r="K226" t="str">
            <v> </v>
          </cell>
          <cell r="N226" t="str">
            <v>     </v>
          </cell>
        </row>
        <row r="227">
          <cell r="K227" t="str">
            <v> </v>
          </cell>
          <cell r="N227" t="str">
            <v>     </v>
          </cell>
        </row>
        <row r="228">
          <cell r="K228" t="str">
            <v> </v>
          </cell>
          <cell r="N228" t="str">
            <v>     </v>
          </cell>
        </row>
        <row r="229">
          <cell r="K229" t="str">
            <v> </v>
          </cell>
          <cell r="N229" t="str">
            <v>     </v>
          </cell>
        </row>
        <row r="230">
          <cell r="K230" t="str">
            <v> </v>
          </cell>
          <cell r="N230" t="str">
            <v>     </v>
          </cell>
        </row>
        <row r="231">
          <cell r="K231" t="str">
            <v> </v>
          </cell>
          <cell r="N231" t="str">
            <v>     </v>
          </cell>
        </row>
        <row r="232">
          <cell r="K232" t="str">
            <v> </v>
          </cell>
          <cell r="N232" t="str">
            <v>     </v>
          </cell>
        </row>
        <row r="233">
          <cell r="K233" t="str">
            <v> </v>
          </cell>
          <cell r="N233" t="str">
            <v>     </v>
          </cell>
        </row>
        <row r="234">
          <cell r="K234" t="str">
            <v> </v>
          </cell>
          <cell r="N234" t="str">
            <v>     </v>
          </cell>
        </row>
        <row r="235">
          <cell r="K235" t="str">
            <v> </v>
          </cell>
          <cell r="N235" t="str">
            <v>     </v>
          </cell>
        </row>
        <row r="236">
          <cell r="K236" t="str">
            <v> </v>
          </cell>
          <cell r="N236" t="str">
            <v>     </v>
          </cell>
        </row>
        <row r="237">
          <cell r="K237" t="str">
            <v> </v>
          </cell>
          <cell r="N237" t="str">
            <v>     </v>
          </cell>
        </row>
        <row r="238">
          <cell r="K238" t="str">
            <v> </v>
          </cell>
          <cell r="N238" t="str">
            <v>     </v>
          </cell>
        </row>
        <row r="239">
          <cell r="K239" t="str">
            <v> </v>
          </cell>
          <cell r="N239" t="str">
            <v>     </v>
          </cell>
        </row>
        <row r="240">
          <cell r="K240" t="str">
            <v> </v>
          </cell>
          <cell r="N240" t="str">
            <v>     </v>
          </cell>
        </row>
        <row r="241">
          <cell r="K241" t="str">
            <v> </v>
          </cell>
          <cell r="N241" t="str">
            <v>     </v>
          </cell>
        </row>
        <row r="242">
          <cell r="K242" t="str">
            <v> </v>
          </cell>
          <cell r="N242" t="str">
            <v>     </v>
          </cell>
        </row>
        <row r="243">
          <cell r="K243" t="str">
            <v> </v>
          </cell>
          <cell r="N243" t="str">
            <v>     </v>
          </cell>
        </row>
        <row r="244">
          <cell r="K244" t="str">
            <v> </v>
          </cell>
          <cell r="N244" t="str">
            <v>     </v>
          </cell>
        </row>
        <row r="245">
          <cell r="K245" t="str">
            <v> </v>
          </cell>
          <cell r="N245" t="str">
            <v>     </v>
          </cell>
        </row>
        <row r="246">
          <cell r="K246" t="str">
            <v> </v>
          </cell>
          <cell r="N246" t="str">
            <v>     </v>
          </cell>
        </row>
        <row r="247">
          <cell r="K247" t="str">
            <v> </v>
          </cell>
          <cell r="N247" t="str">
            <v>     </v>
          </cell>
        </row>
        <row r="248">
          <cell r="K248" t="str">
            <v> </v>
          </cell>
          <cell r="N248" t="str">
            <v>     </v>
          </cell>
        </row>
        <row r="249">
          <cell r="K249" t="str">
            <v> </v>
          </cell>
          <cell r="N249" t="str">
            <v>     </v>
          </cell>
        </row>
        <row r="250">
          <cell r="K250" t="str">
            <v> </v>
          </cell>
          <cell r="N250" t="str">
            <v>     </v>
          </cell>
        </row>
        <row r="251">
          <cell r="K251" t="str">
            <v> </v>
          </cell>
          <cell r="N251" t="str">
            <v>     </v>
          </cell>
        </row>
        <row r="252">
          <cell r="K252" t="str">
            <v> </v>
          </cell>
          <cell r="N252" t="str">
            <v>     </v>
          </cell>
        </row>
        <row r="253">
          <cell r="K253" t="str">
            <v> </v>
          </cell>
          <cell r="N253" t="str">
            <v>     </v>
          </cell>
        </row>
        <row r="254">
          <cell r="K254" t="str">
            <v> </v>
          </cell>
          <cell r="N254" t="str">
            <v>     </v>
          </cell>
        </row>
        <row r="255">
          <cell r="K255" t="str">
            <v> </v>
          </cell>
          <cell r="N255" t="str">
            <v>     </v>
          </cell>
        </row>
        <row r="256">
          <cell r="K256" t="str">
            <v> </v>
          </cell>
          <cell r="N256" t="str">
            <v>     </v>
          </cell>
        </row>
        <row r="257">
          <cell r="K257" t="str">
            <v> </v>
          </cell>
          <cell r="N257" t="str">
            <v>     </v>
          </cell>
        </row>
        <row r="258">
          <cell r="K258" t="str">
            <v> </v>
          </cell>
          <cell r="N258" t="str">
            <v>     </v>
          </cell>
        </row>
        <row r="259">
          <cell r="K259" t="str">
            <v> </v>
          </cell>
          <cell r="N259" t="str">
            <v>     </v>
          </cell>
        </row>
        <row r="260">
          <cell r="K260" t="str">
            <v> </v>
          </cell>
          <cell r="N260" t="str">
            <v>     </v>
          </cell>
        </row>
        <row r="261">
          <cell r="K261" t="str">
            <v> </v>
          </cell>
          <cell r="N261" t="str">
            <v>     </v>
          </cell>
        </row>
        <row r="262">
          <cell r="K262" t="str">
            <v> </v>
          </cell>
          <cell r="N262" t="str">
            <v>     </v>
          </cell>
        </row>
        <row r="263">
          <cell r="K263" t="str">
            <v> </v>
          </cell>
          <cell r="N263" t="str">
            <v>     </v>
          </cell>
        </row>
        <row r="264">
          <cell r="K264" t="str">
            <v> </v>
          </cell>
          <cell r="N264" t="str">
            <v>     </v>
          </cell>
        </row>
        <row r="265">
          <cell r="K265" t="str">
            <v> </v>
          </cell>
          <cell r="N265" t="str">
            <v>     </v>
          </cell>
        </row>
        <row r="266">
          <cell r="K266" t="str">
            <v> </v>
          </cell>
          <cell r="N266" t="str">
            <v>     </v>
          </cell>
        </row>
        <row r="267">
          <cell r="K267" t="str">
            <v> </v>
          </cell>
          <cell r="N267" t="str">
            <v>     </v>
          </cell>
        </row>
        <row r="268">
          <cell r="K268" t="str">
            <v> </v>
          </cell>
          <cell r="N268" t="str">
            <v>     </v>
          </cell>
        </row>
        <row r="269">
          <cell r="K269" t="str">
            <v> </v>
          </cell>
          <cell r="N269" t="str">
            <v>     </v>
          </cell>
        </row>
        <row r="270">
          <cell r="K270" t="str">
            <v> </v>
          </cell>
          <cell r="N270" t="str">
            <v>     </v>
          </cell>
        </row>
        <row r="271">
          <cell r="K271" t="str">
            <v> </v>
          </cell>
          <cell r="N271" t="str">
            <v>     </v>
          </cell>
        </row>
        <row r="272">
          <cell r="K272" t="str">
            <v> </v>
          </cell>
          <cell r="N272" t="str">
            <v>     </v>
          </cell>
        </row>
        <row r="273">
          <cell r="K273" t="str">
            <v> </v>
          </cell>
          <cell r="N273" t="str">
            <v>     </v>
          </cell>
        </row>
        <row r="274">
          <cell r="K274" t="str">
            <v> </v>
          </cell>
          <cell r="N274" t="str">
            <v>     </v>
          </cell>
        </row>
        <row r="275">
          <cell r="K275" t="str">
            <v> </v>
          </cell>
          <cell r="N275" t="str">
            <v>     </v>
          </cell>
        </row>
        <row r="276">
          <cell r="K276" t="str">
            <v> </v>
          </cell>
          <cell r="N276" t="str">
            <v>     </v>
          </cell>
        </row>
        <row r="277">
          <cell r="K277" t="str">
            <v> </v>
          </cell>
          <cell r="N277" t="str">
            <v>     </v>
          </cell>
        </row>
        <row r="278">
          <cell r="K278" t="str">
            <v> </v>
          </cell>
          <cell r="N278" t="str">
            <v>     </v>
          </cell>
        </row>
        <row r="279">
          <cell r="K279" t="str">
            <v> </v>
          </cell>
          <cell r="N279" t="str">
            <v>     </v>
          </cell>
        </row>
        <row r="280">
          <cell r="K280" t="str">
            <v> </v>
          </cell>
          <cell r="N280" t="str">
            <v>     </v>
          </cell>
        </row>
        <row r="281">
          <cell r="K281" t="str">
            <v> </v>
          </cell>
          <cell r="N281" t="str">
            <v>     </v>
          </cell>
        </row>
        <row r="282">
          <cell r="K282" t="str">
            <v> </v>
          </cell>
          <cell r="N282" t="str">
            <v>     </v>
          </cell>
        </row>
        <row r="283">
          <cell r="K283" t="str">
            <v> </v>
          </cell>
          <cell r="N283" t="str">
            <v>     </v>
          </cell>
        </row>
        <row r="284">
          <cell r="K284" t="str">
            <v> </v>
          </cell>
          <cell r="N284" t="str">
            <v>     </v>
          </cell>
        </row>
        <row r="285">
          <cell r="K285" t="str">
            <v> </v>
          </cell>
          <cell r="N285" t="str">
            <v>     </v>
          </cell>
        </row>
        <row r="286">
          <cell r="K286" t="str">
            <v> </v>
          </cell>
          <cell r="N286" t="str">
            <v>     </v>
          </cell>
        </row>
        <row r="287">
          <cell r="K287" t="str">
            <v> </v>
          </cell>
          <cell r="N287" t="str">
            <v>     </v>
          </cell>
        </row>
        <row r="288">
          <cell r="K288" t="str">
            <v> </v>
          </cell>
          <cell r="N288" t="str">
            <v>     </v>
          </cell>
        </row>
        <row r="289">
          <cell r="K289" t="str">
            <v> </v>
          </cell>
          <cell r="N289" t="str">
            <v>     </v>
          </cell>
        </row>
        <row r="290">
          <cell r="K290" t="str">
            <v> </v>
          </cell>
          <cell r="N290" t="str">
            <v>     </v>
          </cell>
        </row>
        <row r="291">
          <cell r="K291" t="str">
            <v> </v>
          </cell>
          <cell r="N291" t="str">
            <v>     </v>
          </cell>
        </row>
        <row r="292">
          <cell r="K292" t="str">
            <v> </v>
          </cell>
          <cell r="N292" t="str">
            <v>     </v>
          </cell>
        </row>
        <row r="293">
          <cell r="K293" t="str">
            <v> </v>
          </cell>
          <cell r="N293" t="str">
            <v>     </v>
          </cell>
        </row>
        <row r="294">
          <cell r="K294" t="str">
            <v> </v>
          </cell>
          <cell r="N294" t="str">
            <v>     </v>
          </cell>
        </row>
        <row r="295">
          <cell r="K295" t="str">
            <v> </v>
          </cell>
          <cell r="N295" t="str">
            <v>     </v>
          </cell>
        </row>
        <row r="296">
          <cell r="K296" t="str">
            <v> </v>
          </cell>
          <cell r="N296" t="str">
            <v>     </v>
          </cell>
        </row>
        <row r="297">
          <cell r="K297" t="str">
            <v> </v>
          </cell>
          <cell r="N297" t="str">
            <v>     </v>
          </cell>
        </row>
        <row r="298">
          <cell r="K298" t="str">
            <v> </v>
          </cell>
          <cell r="N298" t="str">
            <v>     </v>
          </cell>
        </row>
        <row r="299">
          <cell r="K299" t="str">
            <v> </v>
          </cell>
          <cell r="N299" t="str">
            <v>     </v>
          </cell>
        </row>
        <row r="300">
          <cell r="K300" t="str">
            <v> </v>
          </cell>
          <cell r="N300" t="str">
            <v>     </v>
          </cell>
        </row>
        <row r="301">
          <cell r="K301" t="str">
            <v> </v>
          </cell>
          <cell r="N301" t="str">
            <v>     </v>
          </cell>
        </row>
        <row r="302">
          <cell r="K302" t="str">
            <v> </v>
          </cell>
          <cell r="N302" t="str">
            <v>     </v>
          </cell>
        </row>
        <row r="303">
          <cell r="K303" t="str">
            <v> </v>
          </cell>
          <cell r="N303" t="str">
            <v>     </v>
          </cell>
        </row>
        <row r="304">
          <cell r="K304" t="str">
            <v> </v>
          </cell>
          <cell r="N304" t="str">
            <v>     </v>
          </cell>
        </row>
        <row r="305">
          <cell r="K305" t="str">
            <v> </v>
          </cell>
          <cell r="N305" t="str">
            <v>     </v>
          </cell>
        </row>
        <row r="306">
          <cell r="K306" t="str">
            <v> </v>
          </cell>
          <cell r="N306" t="str">
            <v>     </v>
          </cell>
        </row>
        <row r="307">
          <cell r="K307" t="str">
            <v> </v>
          </cell>
          <cell r="N307" t="str">
            <v>     </v>
          </cell>
        </row>
        <row r="308">
          <cell r="K308" t="str">
            <v> </v>
          </cell>
          <cell r="N308" t="str">
            <v>     </v>
          </cell>
        </row>
        <row r="309">
          <cell r="K309" t="str">
            <v> </v>
          </cell>
          <cell r="N309" t="str">
            <v>     </v>
          </cell>
        </row>
        <row r="310">
          <cell r="K310" t="str">
            <v> </v>
          </cell>
          <cell r="N310" t="str">
            <v>     </v>
          </cell>
        </row>
        <row r="311">
          <cell r="K311" t="str">
            <v> </v>
          </cell>
          <cell r="N311" t="str">
            <v>     </v>
          </cell>
        </row>
        <row r="312">
          <cell r="K312" t="str">
            <v> </v>
          </cell>
          <cell r="N312" t="str">
            <v>     </v>
          </cell>
        </row>
        <row r="313">
          <cell r="K313" t="str">
            <v> </v>
          </cell>
          <cell r="N313" t="str">
            <v>     </v>
          </cell>
        </row>
        <row r="314">
          <cell r="K314" t="str">
            <v> </v>
          </cell>
          <cell r="N314" t="str">
            <v>     </v>
          </cell>
        </row>
        <row r="315">
          <cell r="K315" t="str">
            <v> </v>
          </cell>
          <cell r="N315" t="str">
            <v>     </v>
          </cell>
        </row>
        <row r="316">
          <cell r="K316" t="str">
            <v> </v>
          </cell>
          <cell r="N316" t="str">
            <v>     </v>
          </cell>
        </row>
        <row r="317">
          <cell r="K317" t="str">
            <v> </v>
          </cell>
          <cell r="N317" t="str">
            <v>     </v>
          </cell>
        </row>
        <row r="318">
          <cell r="K318" t="str">
            <v> </v>
          </cell>
          <cell r="N318" t="str">
            <v>     </v>
          </cell>
        </row>
        <row r="319">
          <cell r="K319" t="str">
            <v> </v>
          </cell>
          <cell r="N319" t="str">
            <v>     </v>
          </cell>
        </row>
        <row r="320">
          <cell r="K320" t="str">
            <v> </v>
          </cell>
          <cell r="N320" t="str">
            <v>     </v>
          </cell>
        </row>
        <row r="321">
          <cell r="K321" t="str">
            <v> </v>
          </cell>
          <cell r="N321" t="str">
            <v>     </v>
          </cell>
        </row>
        <row r="322">
          <cell r="K322" t="str">
            <v> </v>
          </cell>
          <cell r="N322" t="str">
            <v>     </v>
          </cell>
        </row>
        <row r="323">
          <cell r="K323" t="str">
            <v> </v>
          </cell>
          <cell r="N323" t="str">
            <v>     </v>
          </cell>
        </row>
        <row r="324">
          <cell r="K324" t="str">
            <v> </v>
          </cell>
          <cell r="N324" t="str">
            <v>     </v>
          </cell>
        </row>
        <row r="325">
          <cell r="K325" t="str">
            <v> </v>
          </cell>
          <cell r="N325" t="str">
            <v>     </v>
          </cell>
        </row>
        <row r="326">
          <cell r="K326" t="str">
            <v> </v>
          </cell>
          <cell r="N326" t="str">
            <v>     </v>
          </cell>
        </row>
        <row r="327">
          <cell r="K327" t="str">
            <v> </v>
          </cell>
          <cell r="N327" t="str">
            <v>     </v>
          </cell>
        </row>
        <row r="328">
          <cell r="K328" t="str">
            <v> </v>
          </cell>
          <cell r="N328" t="str">
            <v>     </v>
          </cell>
        </row>
        <row r="329">
          <cell r="K329" t="str">
            <v> </v>
          </cell>
          <cell r="N329" t="str">
            <v>     </v>
          </cell>
        </row>
        <row r="330">
          <cell r="K330" t="str">
            <v> </v>
          </cell>
          <cell r="N330" t="str">
            <v>     </v>
          </cell>
        </row>
        <row r="331">
          <cell r="K331" t="str">
            <v> </v>
          </cell>
          <cell r="N331" t="str">
            <v>     </v>
          </cell>
        </row>
        <row r="332">
          <cell r="K332" t="str">
            <v> </v>
          </cell>
          <cell r="N332" t="str">
            <v>     </v>
          </cell>
        </row>
        <row r="333">
          <cell r="K333" t="str">
            <v> </v>
          </cell>
          <cell r="N333" t="str">
            <v>     </v>
          </cell>
        </row>
        <row r="334">
          <cell r="K334" t="str">
            <v> </v>
          </cell>
          <cell r="N334" t="str">
            <v>     </v>
          </cell>
        </row>
        <row r="335">
          <cell r="K335" t="str">
            <v> </v>
          </cell>
          <cell r="N335" t="str">
            <v>     </v>
          </cell>
        </row>
        <row r="336">
          <cell r="K336" t="str">
            <v> </v>
          </cell>
          <cell r="N336" t="str">
            <v>     </v>
          </cell>
        </row>
        <row r="337">
          <cell r="K337" t="str">
            <v> </v>
          </cell>
          <cell r="N337" t="str">
            <v>     </v>
          </cell>
        </row>
        <row r="338">
          <cell r="K338" t="str">
            <v> </v>
          </cell>
          <cell r="N338" t="str">
            <v>     </v>
          </cell>
        </row>
        <row r="339">
          <cell r="K339" t="str">
            <v> </v>
          </cell>
          <cell r="N339" t="str">
            <v>     </v>
          </cell>
        </row>
        <row r="340">
          <cell r="K340" t="str">
            <v> </v>
          </cell>
          <cell r="N340" t="str">
            <v>     </v>
          </cell>
        </row>
        <row r="341">
          <cell r="K341" t="str">
            <v> </v>
          </cell>
          <cell r="N341" t="str">
            <v>     </v>
          </cell>
        </row>
        <row r="342">
          <cell r="K342" t="str">
            <v> </v>
          </cell>
          <cell r="N342" t="str">
            <v>     </v>
          </cell>
        </row>
        <row r="343">
          <cell r="K343" t="str">
            <v> </v>
          </cell>
          <cell r="N343" t="str">
            <v>     </v>
          </cell>
        </row>
        <row r="344">
          <cell r="K344" t="str">
            <v> </v>
          </cell>
          <cell r="N344" t="str">
            <v>     </v>
          </cell>
        </row>
        <row r="345">
          <cell r="K345" t="str">
            <v> </v>
          </cell>
          <cell r="N345" t="str">
            <v>     </v>
          </cell>
        </row>
        <row r="346">
          <cell r="K346" t="str">
            <v> </v>
          </cell>
          <cell r="N346" t="str">
            <v>     </v>
          </cell>
        </row>
        <row r="347">
          <cell r="K347" t="str">
            <v> </v>
          </cell>
          <cell r="N347" t="str">
            <v>     </v>
          </cell>
        </row>
        <row r="348">
          <cell r="K348" t="str">
            <v> </v>
          </cell>
          <cell r="N348" t="str">
            <v>     </v>
          </cell>
        </row>
        <row r="349">
          <cell r="K349" t="str">
            <v> </v>
          </cell>
          <cell r="N349" t="str">
            <v>     </v>
          </cell>
        </row>
        <row r="350">
          <cell r="K350" t="str">
            <v> </v>
          </cell>
          <cell r="N350" t="str">
            <v>     </v>
          </cell>
        </row>
        <row r="351">
          <cell r="K351" t="str">
            <v> </v>
          </cell>
          <cell r="N351" t="str">
            <v>     </v>
          </cell>
        </row>
        <row r="352">
          <cell r="K352" t="str">
            <v> </v>
          </cell>
          <cell r="N352" t="str">
            <v>     </v>
          </cell>
        </row>
        <row r="353">
          <cell r="K353" t="str">
            <v> </v>
          </cell>
          <cell r="N353" t="str">
            <v>     </v>
          </cell>
          <cell r="R353">
            <v>-580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303">
          <cell r="T303">
            <v>33771791.83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file:///C:\Documents%20and%20Settings\e5wn\Application%20Data\2007%20Rate%20Case\2007%20Lead%20Lag%20Study\Revision\TNC%20Prepaids%20TYE%2006-30-2006.xls" TargetMode="External" /><Relationship Id="rId2" Type="http://schemas.openxmlformats.org/officeDocument/2006/relationships/hyperlink" Target="file:///C:\Documents%20and%20Settings\e5wn\Application%20Data\2007%20Rate%20Case\2007%20Lead%20Lag%20Study\Revision\TCC-TNC-PSO%20Prepaid%20Taxes%20TYE%2006-30-2006.xls" TargetMode="External" /><Relationship Id="rId3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CCB%20Revenue%2012ME93021.xlsx" TargetMode="External" /><Relationship Id="rId2" Type="http://schemas.openxmlformats.org/officeDocument/2006/relationships/hyperlink" Target="file:///\\eucprdnas01\U_RegFin\LESN\2022%20Rate%20Case\Lead%20Lag_CWC\Raw%20Data\FIM%20Revenue_DLS_XFMR_NTS.xlsx" TargetMode="External" /><Relationship Id="rId3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FIM%20Revenue_DLS_XFMR_NTS.xlsx" TargetMode="Externa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Samples\Revenue%20Lead%20Lag%202020__10_01_TO_2021_09_30_2021%20Sample.xlsx" TargetMode="Externa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CCB%20Revenue%2012ME93021.xlsx" TargetMode="Externa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Daily%20Receivable%20Backup%2012ME9.30.21.xlsx" TargetMode="Externa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Payroll%20direct%20deposit%209.30.21.xlsx" TargetMode="Externa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Holidays.xlsx" TargetMode="External" /><Relationship Id="rId2" Type="http://schemas.openxmlformats.org/officeDocument/2006/relationships/hyperlink" Target="file:///\\eucprdnas01\U_RegFin\LESN\2022%20Rate%20Case\Lead%20Lag_CWC\Raw%20Data\2021%20Bi-Weekly%20Payroll%20Schedule.pdf" TargetMode="External" /><Relationship Id="rId4" Type="http://schemas.openxmlformats.org/officeDocument/2006/relationships/printerSettings" Target="../printerSettings/printerSettings11.bin" /><Relationship Id="rId3" Type="http://schemas.openxmlformats.org/officeDocument/2006/relationships/hyperlink" Target="file:///\\eucprdnas01\U_RegFin\LESN\2022%20Rate%20Case\Lead%20Lag_CWC\Raw%20Data\2020%20Bi-Weekly%20Payroll%20Schedule.pdf" TargetMode="Externa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Holidays.xlsx" TargetMode="External" /><Relationship Id="rId2" Type="http://schemas.openxmlformats.org/officeDocument/2006/relationships/hyperlink" Target="file:///\\eucprdnas01\U_RegFin\LESN\2022%20Rate%20Case\Lead%20Lag_CWC\Raw%20Data\2021%20Bi-Weekly%20Payroll%20Schedule.pdf" TargetMode="External" /><Relationship Id="rId4" Type="http://schemas.openxmlformats.org/officeDocument/2006/relationships/printerSettings" Target="../printerSettings/printerSettings12.bin" /><Relationship Id="rId3" Type="http://schemas.openxmlformats.org/officeDocument/2006/relationships/hyperlink" Target="file:///\\eucprdnas01\U_RegFin\LESN\2022%20Rate%20Case\Lead%20Lag_CWC\Raw%20Data\2020%20Bi-Weekly%20Payroll%20Schedule.pdf" TargetMode="Externa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Holidays.xlsx" TargetMode="External" /><Relationship Id="rId2" Type="http://schemas.openxmlformats.org/officeDocument/2006/relationships/hyperlink" Target="file:///\\eucprdnas01\U_RegFin\LESN\2022%20Rate%20Case\Lead%20Lag_CWC\Raw%20Data\Payroll%20semi-monthly%20bi-weekly%209.30.21.xlsx" TargetMode="External" /><Relationship Id="rId3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Payroll%20manual%20check%20sample.xlsx" TargetMode="External" /><Relationship Id="rId2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Payroll%20pay%20cycles%2012ME%209.30.21.xlsx" TargetMode="Externa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Payroll%20semi-monthly%20bi-weekly%209.30.21.xlsx" TargetMode="Externa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Affiliate%20Payment%20Dates%2012ME%209.30.21.xlsx" TargetMode="Externa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Samples\Lead%20Lag%20Example%20Sent%20to%20Lori%2011-18-2021%203rd%20Party%20info.xlsx" TargetMode="Externa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Samples\Lead%20Lag%20Example%20Sent%20to%20Lori%2011-18-2021%203rd%20Party%20info.xlsx" TargetMode="External" /><Relationship Id="rId2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3rd%20party%20O&amp;M%20-%20TRN%20sample%2012ME%2093021.xlsx" TargetMode="External" /><Relationship Id="rId2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3rd%20party%20O&amp;M%20-%20TRN%20sample%2012ME%2093021.xlsx" TargetMode="External" /><Relationship Id="rId2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3rd%20party%20O&amp;M%20-%20TRN%20sample%2012ME%2093021.xlsx" TargetMode="External" /><Relationship Id="rId2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Samples\Lead%20Lag%20Example%20Sent%20to%20Lori%2011-18-2021%203rd%20Party%20info.xlsx" TargetMode="External" /><Relationship Id="rId2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3rd%20Party%20O&amp;M%20-%20ESD%20sample%2012ME%2093021.xlsx" TargetMode="External" /><Relationship Id="rId2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3rd%20Party%20O&amp;M%20-%20ESD%20sample%2012ME%2093021.xlsx" TargetMode="External" /><Relationship Id="rId2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3rd%20Party%20O&amp;M%20-%20ESD%20sample%2012ME%2093021.xlsx" TargetMode="External" /><Relationship Id="rId2" Type="http://schemas.openxmlformats.org/officeDocument/2006/relationships/printerSettings" Target="../printerSettings/printerSettings31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3rd%20Party%20O&amp;M%20-%20TRNDS%20sample%2012ME93021.xlsx" TargetMode="External" /><Relationship Id="rId2" Type="http://schemas.openxmlformats.org/officeDocument/2006/relationships/printerSettings" Target="../printerSettings/printerSettings32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Pension%20and%20OPEBs%20Funding%20with%20Paydates%2012ME093021.xlsx" TargetMode="External" /><Relationship Id="rId2" Type="http://schemas.openxmlformats.org/officeDocument/2006/relationships/printerSettings" Target="../printerSettings/printerSettings33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Pension%20and%20OPEBs%20Funding%20with%20Paydates%2012ME093021.xlsx" TargetMode="External" /><Relationship Id="rId2" Type="http://schemas.openxmlformats.org/officeDocument/2006/relationships/printerSettings" Target="../printerSettings/printerSettings34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FIT%20payment%20dates.msg" TargetMode="External" /><Relationship Id="rId2" Type="http://schemas.openxmlformats.org/officeDocument/2006/relationships/printerSettings" Target="../printerSettings/printerSettings35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axes%20Other%20than%20Income%20-%20Payroll%20TME%20093021.xlsx" TargetMode="External" /><Relationship Id="rId2" Type="http://schemas.openxmlformats.org/officeDocument/2006/relationships/printerSettings" Target="../printerSettings/printerSettings37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axes%20Other%20than%20Income%20-%20Payroll%20TME%20093021.xlsx" TargetMode="External" /><Relationship Id="rId2" Type="http://schemas.openxmlformats.org/officeDocument/2006/relationships/printerSettings" Target="../printerSettings/printerSettings38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axes%20Other%20than%20Income%20-%20Payroll%20TME%20093021.xlsx" TargetMode="External" /><Relationship Id="rId2" Type="http://schemas.openxmlformats.org/officeDocument/2006/relationships/printerSettings" Target="../printerSettings/printerSettings39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axes%20Other%20than%20Income%20-%20Payroll%20TME%20093021.xlsx" TargetMode="External" /><Relationship Id="rId2" Type="http://schemas.openxmlformats.org/officeDocument/2006/relationships/printerSettings" Target="../printerSettings/printerSettings40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axes%20other%20than%20income%20-%20Local%20Gross%20Receipts%2012MOE%20Sept%202021(Revised)..._.xlsx" TargetMode="External" /><Relationship Id="rId2" Type="http://schemas.openxmlformats.org/officeDocument/2006/relationships/printerSettings" Target="../printerSettings/printerSettings42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ME%2009-30-21%20Ad%20Valorem%20Tax%20Payments.xls" TargetMode="External" /><Relationship Id="rId2" Type="http://schemas.openxmlformats.org/officeDocument/2006/relationships/printerSettings" Target="../printerSettings/printerSettings43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Bank%20Balances%2012.31.21%20Month%20End_TIME%20Average%20(002).xlsx" TargetMode="External" /><Relationship Id="rId2" Type="http://schemas.openxmlformats.org/officeDocument/2006/relationships/printerSettings" Target="../printerSettings/printerSettings44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5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axes%20Other%20than%20Income%20-%20Payroll%20TME%20093021.xlsx" TargetMode="External" /><Relationship Id="rId2" Type="http://schemas.openxmlformats.org/officeDocument/2006/relationships/printerSettings" Target="../printerSettings/printerSettings47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axes%20Other%20than%20Income%20-%20Payroll%20TME%20093021.xlsx" TargetMode="External" /><Relationship Id="rId2" Type="http://schemas.openxmlformats.org/officeDocument/2006/relationships/printerSettings" Target="../printerSettings/printerSettings48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axes%20Other%20than%20Income%20-%20Payroll%20TME%20093021.xlsx" TargetMode="External" /><Relationship Id="rId2" Type="http://schemas.openxmlformats.org/officeDocument/2006/relationships/printerSettings" Target="../printerSettings/printerSettings49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axes%20Other%20than%20Income%20-%20Payroll%20TME%20093021.xlsx" TargetMode="External" /><Relationship Id="rId2" Type="http://schemas.openxmlformats.org/officeDocument/2006/relationships/printerSettings" Target="../printerSettings/printerSettings50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hrift-UVLR_TME%20093021.xlsx" TargetMode="External" /><Relationship Id="rId2" Type="http://schemas.openxmlformats.org/officeDocument/2006/relationships/printerSettings" Target="../printerSettings/printerSettings51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Thrift-UVLR_TME%20093021.xlsx" TargetMode="External" /><Relationship Id="rId2" Type="http://schemas.openxmlformats.org/officeDocument/2006/relationships/printerSettings" Target="../printerSettings/printerSettings52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56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7.bin" 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8.bin" 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Misc%20Items%20-%20TRN-TME%20123121.xlsx" TargetMode="External" /><Relationship Id="rId2" Type="http://schemas.openxmlformats.org/officeDocument/2006/relationships/printerSettings" Target="../printerSettings/printerSettings59.bin" 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Misc%20Items%20-%20TRN-TME%20123121.xlsx" TargetMode="External" /><Relationship Id="rId2" Type="http://schemas.openxmlformats.org/officeDocument/2006/relationships/drawing" Target="../drawings/drawing2.xml" /><Relationship Id="rId3" Type="http://schemas.openxmlformats.org/officeDocument/2006/relationships/printerSettings" Target="../printerSettings/printerSettings60.bin" 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1.bin" 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Misc%20Items%20-%20ESD%20TME%20123121.xlsx" TargetMode="External" /><Relationship Id="rId2" Type="http://schemas.openxmlformats.org/officeDocument/2006/relationships/drawing" Target="../drawings/drawing3.xml" /><Relationship Id="rId3" Type="http://schemas.openxmlformats.org/officeDocument/2006/relationships/printerSettings" Target="../printerSettings/printerSettings62.bin" 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Misc%20Items%20-%20ESD%20TME%20123121.xlsx" TargetMode="External" /><Relationship Id="rId2" Type="http://schemas.openxmlformats.org/officeDocument/2006/relationships/drawing" Target="../drawings/drawing4.xml" /><Relationship Id="rId3" Type="http://schemas.openxmlformats.org/officeDocument/2006/relationships/printerSettings" Target="../printerSettings/printerSettings63.bin" 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Misc%20Items%20-%20ESD%20TME%20123121.xlsx" TargetMode="External" /><Relationship Id="rId2" Type="http://schemas.openxmlformats.org/officeDocument/2006/relationships/hyperlink" Target="file:///\\eucprdnas01\U_RegFin\LESN\2022%20Rate%20Case\Lead%20Lag_CWC\Raw%20Data\Misc%20Items%20-%20TRN-TME%20123121.xlsx" TargetMode="External" /><Relationship Id="rId4" Type="http://schemas.openxmlformats.org/officeDocument/2006/relationships/printerSettings" Target="../printerSettings/printerSettings64.bin" /><Relationship Id="rId3" Type="http://schemas.openxmlformats.org/officeDocument/2006/relationships/drawing" Target="../drawings/drawing5.xml" 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5.bin" 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Misc%20Items%20-%20TRN-TME%20123121.xlsx" TargetMode="External" /><Relationship Id="rId2" Type="http://schemas.openxmlformats.org/officeDocument/2006/relationships/drawing" Target="../drawings/drawing6.xml" /><Relationship Id="rId3" Type="http://schemas.openxmlformats.org/officeDocument/2006/relationships/printerSettings" Target="../printerSettings/printerSettings66.bin" 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Misc%20Items%20-%20ESD%20TME%20123121.xlsx" TargetMode="External" /><Relationship Id="rId2" Type="http://schemas.openxmlformats.org/officeDocument/2006/relationships/drawing" Target="../drawings/drawing7.xml" /><Relationship Id="rId3" Type="http://schemas.openxmlformats.org/officeDocument/2006/relationships/printerSettings" Target="../printerSettings/printerSettings67.bin" 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Amortization%20of%20Prepaids%20123121_V2JL.xlsx" TargetMode="External" /><Relationship Id="rId2" Type="http://schemas.openxmlformats.org/officeDocument/2006/relationships/printerSettings" Target="../printerSettings/printerSettings68.bin" 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hyperlink" Target="file:///\\eucprdnas01\U_RegFin\LESN\2022%20Rate%20Case\Lead%20Lag_CWC\Raw%20Data\Amortization%20of%20Prepaids%20_%20Local%20Gross%20ReceiptsTax_%2012%20MOE%20Dec%2031%202021(R.._.xlsx" TargetMode="External" /><Relationship Id="rId2" Type="http://schemas.openxmlformats.org/officeDocument/2006/relationships/printerSettings" Target="../printerSettings/printerSettings69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tabColor rgb="FF92D050"/>
    <pageSetUpPr fitToPage="1"/>
  </sheetPr>
  <dimension ref="A1:H49"/>
  <sheetViews>
    <sheetView showGridLines="0" workbookViewId="0" topLeftCell="A1">
      <selection pane="topLeft" activeCell="G39" sqref="G39"/>
    </sheetView>
  </sheetViews>
  <sheetFormatPr defaultColWidth="9.09428571428571" defaultRowHeight="12.75"/>
  <cols>
    <col min="1" max="1" width="5.57142857142857" style="1" customWidth="1"/>
    <col min="2" max="2" width="41.5714285714286" style="1" customWidth="1"/>
    <col min="3" max="3" width="16" style="1" bestFit="1" customWidth="1"/>
    <col min="4" max="4" width="15" style="1" bestFit="1" customWidth="1"/>
    <col min="5" max="5" width="13.4285714285714" style="3" customWidth="1"/>
    <col min="6" max="6" width="9.14285714285714" style="1"/>
    <col min="7" max="7" width="9.42857142857143" style="1" bestFit="1" customWidth="1"/>
    <col min="8" max="8" width="15" style="1" bestFit="1" customWidth="1"/>
    <col min="9" max="16384" width="9.14285714285714" style="1"/>
  </cols>
  <sheetData>
    <row r="1" spans="1:5" s="42" customFormat="1" ht="13">
      <c r="A1" s="483" t="s">
        <v>530</v>
      </c>
      <c r="B1" s="483"/>
      <c r="C1" s="483"/>
      <c r="D1" s="483"/>
      <c r="E1" s="483"/>
    </row>
    <row r="2" spans="1:5" s="42" customFormat="1" ht="13">
      <c r="A2" s="483" t="s">
        <v>419</v>
      </c>
      <c r="B2" s="483"/>
      <c r="C2" s="483"/>
      <c r="D2" s="483"/>
      <c r="E2" s="483"/>
    </row>
    <row r="3" spans="1:5" s="42" customFormat="1" ht="13">
      <c r="A3" s="184" t="s">
        <v>396</v>
      </c>
      <c r="B3" s="184"/>
      <c r="C3" s="184"/>
      <c r="D3" s="184"/>
      <c r="E3" s="184"/>
    </row>
    <row r="4" spans="1:5" s="42" customFormat="1" ht="13">
      <c r="A4" s="817" t="s">
        <v>928</v>
      </c>
      <c r="B4" s="483"/>
      <c r="C4" s="483"/>
      <c r="D4" s="483"/>
      <c r="E4" s="483"/>
    </row>
    <row r="5" spans="1:5" s="42" customFormat="1" ht="13">
      <c r="A5" s="184" t="s">
        <v>524</v>
      </c>
      <c r="B5" s="184"/>
      <c r="C5" s="184"/>
      <c r="D5" s="184"/>
      <c r="E5" s="184"/>
    </row>
    <row r="6" spans="1:5" ht="12.5">
      <c r="A6" s="188"/>
      <c r="B6" s="188"/>
      <c r="C6" s="26"/>
      <c r="D6" s="26"/>
      <c r="E6" s="20"/>
    </row>
    <row r="7" spans="1:5" ht="13">
      <c r="A7" s="22" t="s">
        <v>40</v>
      </c>
      <c r="B7" s="25"/>
      <c r="C7" s="22" t="s">
        <v>51</v>
      </c>
      <c r="D7" s="22" t="s">
        <v>15</v>
      </c>
      <c r="E7" s="22"/>
    </row>
    <row r="8" spans="1:5" ht="13">
      <c r="A8" s="57" t="s">
        <v>41</v>
      </c>
      <c r="B8" s="57" t="s">
        <v>23</v>
      </c>
      <c r="C8" s="57" t="s">
        <v>125</v>
      </c>
      <c r="D8" s="57" t="s">
        <v>50</v>
      </c>
      <c r="E8" s="57" t="s">
        <v>25</v>
      </c>
    </row>
    <row r="9" spans="1:5" ht="12.5">
      <c r="A9" s="20"/>
      <c r="B9" s="20" t="s">
        <v>55</v>
      </c>
      <c r="C9" s="90" t="s">
        <v>56</v>
      </c>
      <c r="D9" s="90" t="s">
        <v>127</v>
      </c>
      <c r="E9" s="90" t="s">
        <v>57</v>
      </c>
    </row>
    <row r="10" spans="1:5" ht="12.5">
      <c r="A10" s="20"/>
      <c r="B10" s="20"/>
      <c r="C10" s="90"/>
      <c r="D10" s="90"/>
      <c r="E10" s="90"/>
    </row>
    <row r="11" spans="1:7" ht="12.5">
      <c r="A11" s="3">
        <v>1</v>
      </c>
      <c r="B11" s="1" t="s">
        <v>123</v>
      </c>
      <c r="D11" s="13"/>
      <c r="G11" s="13"/>
    </row>
    <row r="12" spans="1:7" ht="12.5">
      <c r="A12" s="3">
        <f>A11+1</f>
        <v>2</v>
      </c>
      <c r="B12" s="288" t="s">
        <v>236</v>
      </c>
      <c r="C12" s="277"/>
      <c r="D12" s="13"/>
      <c r="G12" s="13"/>
    </row>
    <row r="13" spans="1:8" ht="12.5">
      <c r="A13" s="3">
        <f t="shared" si="0" ref="A13:A48">A12+1</f>
        <v>3</v>
      </c>
      <c r="B13" s="287" t="s">
        <v>39</v>
      </c>
      <c r="C13" s="458">
        <f>+'1'!H14</f>
        <v>52.899999999999999</v>
      </c>
      <c r="D13" s="630">
        <f>+'2'!J35</f>
        <v>-12.109999999999999</v>
      </c>
      <c r="E13" s="3" t="s">
        <v>197</v>
      </c>
      <c r="G13" s="42"/>
      <c r="H13" s="42"/>
    </row>
    <row r="14" spans="1:8" ht="12.5">
      <c r="A14" s="3">
        <f t="shared" si="0"/>
        <v>4</v>
      </c>
      <c r="B14" s="287" t="s">
        <v>293</v>
      </c>
      <c r="C14" s="458">
        <f>+$C$13</f>
        <v>52.899999999999999</v>
      </c>
      <c r="D14" s="630">
        <f>'3'!J17</f>
        <v>-249.34672100000006</v>
      </c>
      <c r="E14" s="3" t="s">
        <v>198</v>
      </c>
      <c r="G14" s="42"/>
      <c r="H14" s="42"/>
    </row>
    <row r="15" spans="1:8" ht="12.5">
      <c r="A15" s="3">
        <f>A14+1</f>
        <v>5</v>
      </c>
      <c r="B15" s="188"/>
      <c r="C15" s="458"/>
      <c r="D15" s="630"/>
      <c r="G15" s="42"/>
      <c r="H15" s="42"/>
    </row>
    <row r="16" spans="1:8" ht="12.5">
      <c r="A16" s="3">
        <f t="shared" si="0"/>
        <v>6</v>
      </c>
      <c r="B16" s="288" t="s">
        <v>237</v>
      </c>
      <c r="C16" s="458"/>
      <c r="D16" s="630"/>
      <c r="G16" s="42"/>
      <c r="H16" s="42"/>
    </row>
    <row r="17" spans="1:8" ht="12.5">
      <c r="A17" s="3">
        <f t="shared" si="0"/>
        <v>7</v>
      </c>
      <c r="B17" s="816" t="s">
        <v>926</v>
      </c>
      <c r="C17" s="458">
        <f>+$C$13</f>
        <v>52.899999999999999</v>
      </c>
      <c r="D17" s="630">
        <f>+'4'!K24</f>
        <v>-44.960000000000001</v>
      </c>
      <c r="E17" s="3" t="s">
        <v>199</v>
      </c>
      <c r="G17" s="42"/>
      <c r="H17" s="42"/>
    </row>
    <row r="18" spans="1:8" ht="12.5">
      <c r="A18" s="3">
        <f t="shared" si="0"/>
        <v>8</v>
      </c>
      <c r="B18" s="816" t="s">
        <v>927</v>
      </c>
      <c r="C18" s="458">
        <f>+$C$13</f>
        <v>52.899999999999999</v>
      </c>
      <c r="D18" s="630">
        <f>+'6'!D17</f>
        <v>-46.93</v>
      </c>
      <c r="E18" s="3" t="s">
        <v>201</v>
      </c>
      <c r="G18" s="42"/>
      <c r="H18" s="42"/>
    </row>
    <row r="19" spans="1:8" ht="12.5">
      <c r="A19" s="3">
        <f t="shared" si="0"/>
        <v>9</v>
      </c>
      <c r="B19" s="287" t="s">
        <v>392</v>
      </c>
      <c r="C19" s="458"/>
      <c r="D19" s="630"/>
      <c r="G19" s="42"/>
      <c r="H19" s="42"/>
    </row>
    <row r="20" spans="1:8" ht="12.5">
      <c r="A20" s="3">
        <f t="shared" si="0"/>
        <v>10</v>
      </c>
      <c r="B20" s="460" t="s">
        <v>393</v>
      </c>
      <c r="C20" s="458">
        <v>0</v>
      </c>
      <c r="D20" s="630">
        <v>0</v>
      </c>
      <c r="E20" s="3" t="s">
        <v>126</v>
      </c>
      <c r="G20" s="42"/>
      <c r="H20" s="42"/>
    </row>
    <row r="21" spans="1:8" ht="12.5">
      <c r="A21" s="3">
        <f t="shared" si="0"/>
        <v>11</v>
      </c>
      <c r="B21" s="460" t="s">
        <v>394</v>
      </c>
      <c r="C21" s="458">
        <f>+$C$13</f>
        <v>52.899999999999999</v>
      </c>
      <c r="D21" s="630">
        <f>'5'!E16</f>
        <v>-50.219999999999999</v>
      </c>
      <c r="E21" s="3" t="s">
        <v>200</v>
      </c>
      <c r="G21" s="42"/>
      <c r="H21" s="42"/>
    </row>
    <row r="22" spans="1:8" ht="12.5">
      <c r="A22" s="3">
        <f t="shared" si="0"/>
        <v>12</v>
      </c>
      <c r="B22" s="287" t="s">
        <v>354</v>
      </c>
      <c r="C22" s="458">
        <v>0</v>
      </c>
      <c r="D22" s="630">
        <v>0</v>
      </c>
      <c r="E22" s="3" t="s">
        <v>126</v>
      </c>
      <c r="G22" s="42"/>
      <c r="H22" s="42"/>
    </row>
    <row r="23" spans="1:8" ht="12.5">
      <c r="A23" s="3">
        <f t="shared" si="0"/>
        <v>13</v>
      </c>
      <c r="B23" s="1" t="s">
        <v>398</v>
      </c>
      <c r="C23" s="458">
        <f>+$C$13</f>
        <v>52.899999999999999</v>
      </c>
      <c r="D23" s="630">
        <f>'6'!D17</f>
        <v>-46.93</v>
      </c>
      <c r="E23" s="3" t="s">
        <v>201</v>
      </c>
      <c r="G23" s="42"/>
      <c r="H23" s="42"/>
    </row>
    <row r="24" spans="1:8" ht="12.5">
      <c r="A24" s="3">
        <f t="shared" si="0"/>
        <v>14</v>
      </c>
      <c r="B24" s="1" t="s">
        <v>423</v>
      </c>
      <c r="C24" s="458">
        <f>+$C$13</f>
        <v>52.899999999999999</v>
      </c>
      <c r="D24" s="630">
        <f>+'6-4'!I36</f>
        <v>-53.50666118871677</v>
      </c>
      <c r="E24" s="3" t="s">
        <v>397</v>
      </c>
      <c r="G24" s="42"/>
      <c r="H24" s="42"/>
    </row>
    <row r="25" spans="1:8" ht="12.5">
      <c r="A25" s="3">
        <f t="shared" si="0"/>
        <v>15</v>
      </c>
      <c r="B25" s="1" t="s">
        <v>424</v>
      </c>
      <c r="C25" s="458">
        <f>+$C$13</f>
        <v>52.899999999999999</v>
      </c>
      <c r="D25" s="630">
        <f>'6-5'!I23</f>
        <v>10.708698545890309</v>
      </c>
      <c r="E25" s="3" t="s">
        <v>425</v>
      </c>
      <c r="G25" s="42"/>
      <c r="H25" s="42"/>
    </row>
    <row r="26" spans="1:8" ht="12.5">
      <c r="A26" s="3">
        <f t="shared" si="0"/>
        <v>16</v>
      </c>
      <c r="B26" s="460"/>
      <c r="C26" s="458"/>
      <c r="D26" s="630"/>
      <c r="G26" s="42"/>
      <c r="H26" s="42"/>
    </row>
    <row r="27" spans="1:8" ht="12.5">
      <c r="A27" s="3">
        <f t="shared" si="0"/>
        <v>17</v>
      </c>
      <c r="B27" s="1" t="s">
        <v>20</v>
      </c>
      <c r="C27" s="458"/>
      <c r="D27" s="630"/>
      <c r="G27" s="42"/>
      <c r="H27" s="42"/>
    </row>
    <row r="28" spans="1:8" ht="12.5">
      <c r="A28" s="3">
        <f t="shared" si="0"/>
        <v>18</v>
      </c>
      <c r="B28" s="287" t="s">
        <v>242</v>
      </c>
      <c r="C28" s="458">
        <f>+$C$13</f>
        <v>52.899999999999999</v>
      </c>
      <c r="D28" s="630">
        <f>+'7'!F20</f>
        <v>-36.25</v>
      </c>
      <c r="E28" s="3" t="s">
        <v>202</v>
      </c>
      <c r="G28" s="42"/>
      <c r="H28" s="42"/>
    </row>
    <row r="29" spans="1:8" ht="12.5">
      <c r="A29" s="3">
        <f t="shared" si="0"/>
        <v>19</v>
      </c>
      <c r="B29" s="287" t="s">
        <v>147</v>
      </c>
      <c r="C29" s="453">
        <v>0</v>
      </c>
      <c r="D29" s="630">
        <v>0</v>
      </c>
      <c r="E29" s="3" t="s">
        <v>126</v>
      </c>
      <c r="G29" s="42"/>
      <c r="H29" s="42"/>
    </row>
    <row r="30" spans="1:8" ht="12.5">
      <c r="A30" s="3">
        <f t="shared" si="0"/>
        <v>20</v>
      </c>
      <c r="C30" s="458"/>
      <c r="D30" s="630"/>
      <c r="G30" s="42"/>
      <c r="H30" s="42"/>
    </row>
    <row r="31" spans="1:8" ht="12.5">
      <c r="A31" s="3">
        <f t="shared" si="0"/>
        <v>21</v>
      </c>
      <c r="B31" s="1" t="s">
        <v>21</v>
      </c>
      <c r="C31" s="458"/>
      <c r="D31" s="630"/>
      <c r="G31" s="42"/>
      <c r="H31" s="42"/>
    </row>
    <row r="32" spans="1:8" ht="12.5">
      <c r="A32" s="3">
        <f t="shared" si="0"/>
        <v>22</v>
      </c>
      <c r="B32" s="287" t="s">
        <v>238</v>
      </c>
      <c r="C32" s="458">
        <f>+$C$13</f>
        <v>52.899999999999999</v>
      </c>
      <c r="D32" s="630">
        <f>+'8'!D16</f>
        <v>-11.66</v>
      </c>
      <c r="E32" s="3" t="s">
        <v>203</v>
      </c>
      <c r="G32" s="42"/>
      <c r="H32" s="42"/>
    </row>
    <row r="33" spans="1:8" ht="12.5">
      <c r="A33" s="3">
        <f t="shared" si="0"/>
        <v>23</v>
      </c>
      <c r="B33" s="287" t="s">
        <v>239</v>
      </c>
      <c r="C33" s="458">
        <f>+$C$13</f>
        <v>52.899999999999999</v>
      </c>
      <c r="D33" s="630">
        <f>+'9'!F23</f>
        <v>47.170000000000002</v>
      </c>
      <c r="E33" s="3" t="s">
        <v>243</v>
      </c>
      <c r="G33" s="42"/>
      <c r="H33" s="42"/>
    </row>
    <row r="34" spans="1:8" ht="12.5">
      <c r="A34" s="3">
        <f t="shared" si="0"/>
        <v>24</v>
      </c>
      <c r="B34" s="287" t="s">
        <v>240</v>
      </c>
      <c r="C34" s="458">
        <f>+$C$13</f>
        <v>52.899999999999999</v>
      </c>
      <c r="D34" s="630">
        <f>'10'!F37</f>
        <v>-54.990000000000002</v>
      </c>
      <c r="E34" s="3" t="s">
        <v>244</v>
      </c>
      <c r="G34" s="42"/>
      <c r="H34" s="42"/>
    </row>
    <row r="35" spans="1:8" ht="12.5">
      <c r="A35" s="3">
        <f t="shared" si="0"/>
        <v>25</v>
      </c>
      <c r="B35" s="287" t="s">
        <v>241</v>
      </c>
      <c r="C35" s="458">
        <f>+$C$13</f>
        <v>52.899999999999999</v>
      </c>
      <c r="D35" s="630">
        <f>+'11'!G37</f>
        <v>-209.90000000000001</v>
      </c>
      <c r="E35" s="3" t="s">
        <v>245</v>
      </c>
      <c r="G35" s="42"/>
      <c r="H35" s="42"/>
    </row>
    <row r="36" spans="1:8" ht="12.5">
      <c r="A36" s="3">
        <f t="shared" si="0"/>
        <v>26</v>
      </c>
      <c r="C36" s="458"/>
      <c r="D36" s="453"/>
      <c r="G36" s="42"/>
      <c r="H36" s="42"/>
    </row>
    <row r="37" spans="1:8" ht="12.5">
      <c r="A37" s="3">
        <f t="shared" si="0"/>
        <v>27</v>
      </c>
      <c r="B37" s="1" t="s">
        <v>54</v>
      </c>
      <c r="C37" s="453">
        <v>0</v>
      </c>
      <c r="D37" s="630">
        <v>0</v>
      </c>
      <c r="E37" s="3" t="s">
        <v>126</v>
      </c>
      <c r="G37" s="42"/>
      <c r="H37" s="42"/>
    </row>
    <row r="38" spans="1:8" ht="12.5">
      <c r="A38" s="3">
        <f t="shared" si="0"/>
        <v>28</v>
      </c>
      <c r="C38" s="458"/>
      <c r="D38" s="630"/>
      <c r="E38" s="18"/>
      <c r="G38" s="42"/>
      <c r="H38" s="42"/>
    </row>
    <row r="39" spans="1:8" ht="12.5">
      <c r="A39" s="3">
        <f t="shared" si="0"/>
        <v>29</v>
      </c>
      <c r="B39" s="1" t="s">
        <v>53</v>
      </c>
      <c r="C39" s="453">
        <v>0</v>
      </c>
      <c r="D39" s="630">
        <v>0</v>
      </c>
      <c r="E39" s="3" t="s">
        <v>126</v>
      </c>
      <c r="G39" s="42"/>
      <c r="H39" s="42"/>
    </row>
    <row r="40" spans="1:8" ht="12.5">
      <c r="A40" s="3">
        <f t="shared" si="0"/>
        <v>30</v>
      </c>
      <c r="C40" s="19"/>
      <c r="D40" s="454"/>
      <c r="E40" s="18"/>
      <c r="G40" s="42"/>
      <c r="H40" s="42"/>
    </row>
    <row r="41" spans="1:8" ht="12.5">
      <c r="A41" s="3">
        <f t="shared" si="0"/>
        <v>31</v>
      </c>
      <c r="B41" s="1" t="s">
        <v>22</v>
      </c>
      <c r="C41" s="19"/>
      <c r="D41" s="455">
        <f>+'12'!H26</f>
        <v>8420858</v>
      </c>
      <c r="E41" s="3" t="s">
        <v>246</v>
      </c>
      <c r="G41" s="42"/>
      <c r="H41" s="42"/>
    </row>
    <row r="42" spans="1:8" ht="12.5">
      <c r="A42" s="3">
        <f t="shared" si="0"/>
        <v>32</v>
      </c>
      <c r="B42" s="31" t="s">
        <v>19</v>
      </c>
      <c r="C42" s="47"/>
      <c r="D42" s="527">
        <f>'13'!C16</f>
        <v>-8308312</v>
      </c>
      <c r="E42" s="3" t="s">
        <v>247</v>
      </c>
      <c r="G42" s="42"/>
      <c r="H42" s="42"/>
    </row>
    <row r="43" spans="1:8" ht="12.5">
      <c r="A43" s="3">
        <f t="shared" si="0"/>
        <v>33</v>
      </c>
      <c r="B43" s="31"/>
      <c r="C43" s="47"/>
      <c r="D43" s="47"/>
      <c r="E43" s="1"/>
      <c r="G43" s="42"/>
      <c r="H43" s="42"/>
    </row>
    <row r="44" spans="1:8" ht="12.5">
      <c r="A44" s="3">
        <f t="shared" si="0"/>
        <v>34</v>
      </c>
      <c r="B44" s="675" t="s">
        <v>930</v>
      </c>
      <c r="C44" s="47"/>
      <c r="D44" s="457">
        <f>+'14'!F29</f>
        <v>1108749.01</v>
      </c>
      <c r="E44" s="3" t="s">
        <v>248</v>
      </c>
      <c r="G44" s="42"/>
      <c r="H44" s="42"/>
    </row>
    <row r="45" spans="1:8" ht="12.5">
      <c r="A45" s="3">
        <f t="shared" si="0"/>
        <v>35</v>
      </c>
      <c r="B45" s="1" t="s">
        <v>263</v>
      </c>
      <c r="C45" s="19"/>
      <c r="D45" s="527">
        <f>+'14'!F30</f>
        <v>45890377.75999999</v>
      </c>
      <c r="E45" s="3" t="s">
        <v>248</v>
      </c>
      <c r="G45" s="42"/>
      <c r="H45" s="42"/>
    </row>
    <row r="46" spans="1:8" ht="12.5">
      <c r="A46" s="3">
        <f t="shared" si="0"/>
        <v>36</v>
      </c>
      <c r="B46" s="1" t="s">
        <v>262</v>
      </c>
      <c r="C46" s="19"/>
      <c r="D46" s="456">
        <f>+'15'!E14</f>
        <v>204512084</v>
      </c>
      <c r="E46" s="3" t="s">
        <v>374</v>
      </c>
      <c r="G46" s="42"/>
      <c r="H46" s="42"/>
    </row>
    <row r="47" spans="1:1" ht="12.5">
      <c r="A47" s="3">
        <f t="shared" si="0"/>
        <v>37</v>
      </c>
    </row>
    <row r="48" spans="1:2" ht="12.5">
      <c r="A48" s="3">
        <f t="shared" si="0"/>
        <v>38</v>
      </c>
      <c r="B48" s="7" t="s">
        <v>196</v>
      </c>
    </row>
    <row r="49" spans="3:5" ht="13">
      <c r="C49" s="194"/>
      <c r="D49" s="194"/>
      <c r="E49" s="193"/>
    </row>
  </sheetData>
  <hyperlinks>
    <hyperlink ref="D47" r:id="rId1" display="TNC Prepaids TYE 06-30-2006.xls"/>
    <hyperlink ref="D48" r:id="rId2" display="TCC-TNC-PSO Prepaid Taxes TYE 06-30-2006.xls"/>
  </hyperlinks>
  <printOptions horizontalCentered="1"/>
  <pageMargins left="0.5" right="0.5" top="1.5" bottom="0.5" header="1" footer="0.5"/>
  <pageSetup orientation="landscape" scale="78" r:id="rId3"/>
  <headerFooter alignWithMargins="0">
    <oddHeader>&amp;RWP/II-B-9/&amp;A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">
    <tabColor rgb="FF92D050"/>
    <pageSetUpPr fitToPage="1"/>
  </sheetPr>
  <dimension ref="A1:O23"/>
  <sheetViews>
    <sheetView workbookViewId="0" topLeftCell="A7">
      <selection pane="topLeft" activeCell="A4" sqref="A4"/>
    </sheetView>
  </sheetViews>
  <sheetFormatPr defaultColWidth="8.00428571428571" defaultRowHeight="12.75"/>
  <cols>
    <col min="1" max="1" width="9.14285714285714" style="165" customWidth="1"/>
    <col min="2" max="2" width="2.57142857142857" style="165" customWidth="1"/>
    <col min="3" max="3" width="30.8571428571429" style="165" bestFit="1" customWidth="1"/>
    <col min="4" max="4" width="5.85714285714286" style="165" customWidth="1"/>
    <col min="5" max="5" width="18" style="165" customWidth="1"/>
    <col min="6" max="6" width="14.5714285714286" style="165" customWidth="1"/>
    <col min="7" max="7" width="2.57142857142857" style="165" customWidth="1"/>
    <col min="8" max="8" width="19.5714285714286" style="198" bestFit="1" customWidth="1"/>
    <col min="9" max="9" width="12.4285714285714" style="165" customWidth="1"/>
    <col min="10" max="10" width="20.5714285714286" style="165" customWidth="1"/>
    <col min="11" max="11" width="3.57142857142857" style="165" customWidth="1"/>
    <col min="12" max="12" width="11.1428571428571" style="166" bestFit="1" customWidth="1"/>
    <col min="13" max="13" width="1.57142857142857" style="165" customWidth="1"/>
    <col min="14" max="14" width="10.4285714285714" style="165" customWidth="1"/>
    <col min="15" max="22" width="8" style="165" customWidth="1"/>
    <col min="23" max="23" width="14.4285714285714" style="165" customWidth="1"/>
    <col min="24" max="16384" width="8" style="165"/>
  </cols>
  <sheetData>
    <row r="1" spans="1:8" s="74" customFormat="1" ht="13">
      <c r="A1" s="181" t="s">
        <v>530</v>
      </c>
      <c r="C1" s="181"/>
      <c r="D1" s="181"/>
      <c r="E1" s="184"/>
      <c r="F1" s="184"/>
      <c r="G1" s="478"/>
      <c r="H1" s="478"/>
    </row>
    <row r="2" spans="1:8" s="74" customFormat="1" ht="13">
      <c r="A2" s="181" t="str">
        <f>' '!A2</f>
        <v>ONCOR ELECTRIC DELIVERY COMPANY LLC</v>
      </c>
      <c r="C2" s="181"/>
      <c r="D2" s="181"/>
      <c r="E2" s="184"/>
      <c r="F2" s="184"/>
      <c r="G2" s="478"/>
      <c r="H2" s="478"/>
    </row>
    <row r="3" spans="1:8" s="74" customFormat="1" ht="13">
      <c r="A3" s="181" t="s">
        <v>316</v>
      </c>
      <c r="C3" s="181"/>
      <c r="D3" s="181"/>
      <c r="E3" s="184"/>
      <c r="F3" s="184"/>
      <c r="G3" s="478"/>
      <c r="H3" s="478"/>
    </row>
    <row r="4" spans="1:6" s="74" customFormat="1" ht="13">
      <c r="A4" s="181" t="s">
        <v>929</v>
      </c>
      <c r="C4" s="181"/>
      <c r="D4" s="181"/>
      <c r="E4" s="181"/>
      <c r="F4" s="181"/>
    </row>
    <row r="5" spans="1:6" s="74" customFormat="1" ht="13">
      <c r="A5" s="181" t="s">
        <v>524</v>
      </c>
      <c r="C5" s="181"/>
      <c r="D5" s="181"/>
      <c r="E5" s="181"/>
      <c r="F5" s="181"/>
    </row>
    <row r="6" spans="2:15" ht="13">
      <c r="B6" s="167"/>
      <c r="C6" s="167"/>
      <c r="D6" s="167"/>
      <c r="E6" s="167"/>
      <c r="F6" s="167"/>
      <c r="G6" s="167"/>
      <c r="H6" s="199"/>
      <c r="I6" s="167"/>
      <c r="J6"/>
      <c r="K6"/>
      <c r="L6"/>
      <c r="M6"/>
      <c r="N6"/>
      <c r="O6" s="167"/>
    </row>
    <row r="7" spans="1:14" ht="13">
      <c r="A7" s="207" t="s">
        <v>45</v>
      </c>
      <c r="B7" s="305"/>
      <c r="C7" s="306" t="s">
        <v>10</v>
      </c>
      <c r="D7" s="306"/>
      <c r="E7" s="306" t="s">
        <v>11</v>
      </c>
      <c r="F7" s="306" t="s">
        <v>149</v>
      </c>
      <c r="G7" s="306"/>
      <c r="H7" s="482" t="s">
        <v>12</v>
      </c>
      <c r="I7" s="306" t="s">
        <v>149</v>
      </c>
      <c r="J7" s="306" t="s">
        <v>13</v>
      </c>
      <c r="N7" s="170"/>
    </row>
    <row r="8" spans="1:14" ht="13">
      <c r="A8" s="208"/>
      <c r="C8" s="20" t="s">
        <v>55</v>
      </c>
      <c r="D8" s="168"/>
      <c r="E8" s="20" t="s">
        <v>56</v>
      </c>
      <c r="F8" s="20" t="s">
        <v>62</v>
      </c>
      <c r="G8" s="168"/>
      <c r="H8" s="228" t="s">
        <v>57</v>
      </c>
      <c r="I8" s="20" t="s">
        <v>58</v>
      </c>
      <c r="J8" s="20" t="s">
        <v>59</v>
      </c>
      <c r="N8" s="170"/>
    </row>
    <row r="9" spans="1:14" ht="12.5">
      <c r="A9" s="208"/>
      <c r="H9" s="464"/>
      <c r="N9" s="170"/>
    </row>
    <row r="10" spans="1:14" ht="12.5">
      <c r="A10" s="461">
        <v>1</v>
      </c>
      <c r="B10" s="170"/>
      <c r="C10" s="462" t="s">
        <v>527</v>
      </c>
      <c r="D10" s="170"/>
      <c r="E10" s="463">
        <v>3755449473.4099998</v>
      </c>
      <c r="F10" s="468" t="s">
        <v>104</v>
      </c>
      <c r="G10" s="170"/>
      <c r="H10" s="759">
        <f>+'1-1'!E20</f>
        <v>52.738160919540235</v>
      </c>
      <c r="I10" s="186" t="s">
        <v>204</v>
      </c>
      <c r="J10" s="463">
        <f>H10*E10</f>
        <v>198055498653.8992</v>
      </c>
      <c r="N10" s="170"/>
    </row>
    <row r="11" spans="1:14" ht="12.5">
      <c r="A11" s="461">
        <v>2</v>
      </c>
      <c r="B11" s="170"/>
      <c r="C11" s="465"/>
      <c r="D11" s="170"/>
      <c r="E11" s="170"/>
      <c r="F11" s="170"/>
      <c r="G11" s="170"/>
      <c r="H11" s="759"/>
      <c r="I11" s="170"/>
      <c r="J11" s="170"/>
      <c r="N11" s="170"/>
    </row>
    <row r="12" spans="1:14" ht="12.5">
      <c r="A12" s="461">
        <v>3</v>
      </c>
      <c r="B12" s="170"/>
      <c r="C12" s="462" t="s">
        <v>14</v>
      </c>
      <c r="D12" s="170"/>
      <c r="E12" s="750">
        <v>550229352.22000003</v>
      </c>
      <c r="F12" s="468" t="s">
        <v>103</v>
      </c>
      <c r="G12" s="170"/>
      <c r="H12" s="760">
        <f>+'1-1'!H20</f>
        <v>54.04066700359212</v>
      </c>
      <c r="I12" s="186" t="s">
        <v>204</v>
      </c>
      <c r="J12" s="467">
        <f>+H12*E12</f>
        <v>29734761198.923222</v>
      </c>
      <c r="N12" s="170"/>
    </row>
    <row r="13" spans="1:14" ht="12.5">
      <c r="A13" s="461">
        <v>4</v>
      </c>
      <c r="B13" s="170"/>
      <c r="C13" s="170"/>
      <c r="D13" s="170"/>
      <c r="E13" s="170"/>
      <c r="F13" s="170"/>
      <c r="G13" s="170"/>
      <c r="H13" s="759"/>
      <c r="I13" s="170"/>
      <c r="J13" s="170"/>
      <c r="N13" s="170"/>
    </row>
    <row r="14" spans="1:10" ht="13" thickBot="1">
      <c r="A14" s="461">
        <v>5</v>
      </c>
      <c r="B14" s="170"/>
      <c r="C14" s="462" t="s">
        <v>26</v>
      </c>
      <c r="D14" s="170"/>
      <c r="E14" s="469">
        <f>SUM(E10:E12)</f>
        <v>4305678825.6300001</v>
      </c>
      <c r="F14" s="170"/>
      <c r="G14" s="170"/>
      <c r="H14" s="761">
        <f>ROUND(J14/E14,2)</f>
        <v>52.899999999999999</v>
      </c>
      <c r="I14" s="170"/>
      <c r="J14" s="469">
        <f>SUM(J10:J12)</f>
        <v>227790259852.82242</v>
      </c>
    </row>
    <row r="15" spans="1:10" ht="13" thickTop="1">
      <c r="A15" s="461">
        <v>6</v>
      </c>
      <c r="B15" s="170"/>
      <c r="C15" s="170"/>
      <c r="D15" s="170"/>
      <c r="E15" s="170"/>
      <c r="F15" s="170"/>
      <c r="G15" s="170"/>
      <c r="H15" s="464"/>
      <c r="I15" s="170"/>
      <c r="J15" s="170"/>
    </row>
    <row r="16" spans="1:10" ht="12.5">
      <c r="A16" s="461">
        <v>7</v>
      </c>
      <c r="B16" s="170"/>
      <c r="C16" s="462" t="s">
        <v>297</v>
      </c>
      <c r="D16" s="470" t="s">
        <v>104</v>
      </c>
      <c r="E16" s="293" t="s">
        <v>528</v>
      </c>
      <c r="F16" s="170"/>
      <c r="G16" s="170"/>
      <c r="H16" s="464"/>
      <c r="I16" s="170"/>
      <c r="J16" s="170"/>
    </row>
    <row r="17" spans="1:10" ht="12.5">
      <c r="A17" s="461">
        <v>8</v>
      </c>
      <c r="B17" s="170"/>
      <c r="C17" s="170"/>
      <c r="D17" s="470" t="s">
        <v>103</v>
      </c>
      <c r="E17" s="293" t="s">
        <v>469</v>
      </c>
      <c r="F17" s="170"/>
      <c r="G17" s="170"/>
      <c r="H17" s="464"/>
      <c r="I17" s="170"/>
      <c r="J17" s="170"/>
    </row>
    <row r="18" spans="3:6" ht="12.5">
      <c r="C18" s="170"/>
      <c r="D18" s="230"/>
      <c r="E18" s="230"/>
      <c r="F18" s="230"/>
    </row>
    <row r="19" spans="3:6" ht="12.5">
      <c r="C19" s="170"/>
      <c r="D19" s="230"/>
      <c r="E19" s="230"/>
      <c r="F19" s="230"/>
    </row>
    <row r="20" spans="3:6" ht="12.5">
      <c r="C20" s="170"/>
      <c r="D20" s="170"/>
      <c r="E20" s="170"/>
      <c r="F20" s="170"/>
    </row>
    <row r="21" spans="3:6" ht="12.5">
      <c r="C21" s="170"/>
      <c r="D21" s="170"/>
      <c r="E21" s="170"/>
      <c r="F21" s="170"/>
    </row>
    <row r="22" spans="3:6" ht="12.5">
      <c r="C22" s="170"/>
      <c r="D22" s="170"/>
      <c r="E22" s="170"/>
      <c r="F22" s="170"/>
    </row>
    <row r="23" spans="3:6" ht="12.5">
      <c r="C23" s="170"/>
      <c r="D23" s="170"/>
      <c r="E23" s="170"/>
      <c r="F23" s="170"/>
    </row>
  </sheetData>
  <hyperlinks>
    <hyperlink ref="E16" r:id="rId1" display="CC&amp;B Revenue.xlsx"/>
    <hyperlink ref="E17" r:id="rId2" display="FIM Revenue.xlsx"/>
  </hyperlinks>
  <printOptions horizontalCentered="1"/>
  <pageMargins left="0.5" right="0.5" top="1.5" bottom="0.5" header="1" footer="0.5"/>
  <pageSetup orientation="landscape" scale="93" r:id="rId3"/>
  <headerFooter alignWithMargins="0">
    <oddHeader>&amp;RWP/II-B-9/&amp;A
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">
    <tabColor rgb="FF92D050"/>
    <pageSetUpPr fitToPage="1"/>
  </sheetPr>
  <dimension ref="A1:N24"/>
  <sheetViews>
    <sheetView workbookViewId="0" topLeftCell="A1">
      <selection pane="topLeft" activeCell="E13" sqref="E13"/>
    </sheetView>
  </sheetViews>
  <sheetFormatPr defaultColWidth="8.00428571428571" defaultRowHeight="12.75"/>
  <cols>
    <col min="1" max="1" width="5.14285714285714" style="165" customWidth="1"/>
    <col min="2" max="2" width="3.85714285714286" style="165" customWidth="1"/>
    <col min="3" max="3" width="30.8571428571429" style="165" bestFit="1" customWidth="1"/>
    <col min="4" max="4" width="5.85714285714286" style="165" customWidth="1"/>
    <col min="5" max="5" width="18" style="165" customWidth="1"/>
    <col min="6" max="6" width="14.5714285714286" style="165" customWidth="1"/>
    <col min="7" max="7" width="3.57142857142857" style="165" customWidth="1"/>
    <col min="8" max="8" width="15.8571428571429" style="198" customWidth="1"/>
    <col min="9" max="9" width="19.1428571428571" style="165" customWidth="1"/>
    <col min="10" max="10" width="3.57142857142857" style="165" customWidth="1"/>
    <col min="11" max="11" width="11.1428571428571" style="166" bestFit="1" customWidth="1"/>
    <col min="12" max="12" width="1.57142857142857" style="165" customWidth="1"/>
    <col min="13" max="13" width="10.4285714285714" style="165" customWidth="1"/>
    <col min="14" max="21" width="8" style="165" customWidth="1"/>
    <col min="22" max="22" width="14.4285714285714" style="165" customWidth="1"/>
    <col min="23" max="16384" width="8" style="165"/>
  </cols>
  <sheetData>
    <row r="1" spans="1:8" s="74" customFormat="1" ht="13">
      <c r="A1" s="181" t="s">
        <v>530</v>
      </c>
      <c r="C1" s="181"/>
      <c r="D1" s="181"/>
      <c r="E1" s="184"/>
      <c r="F1" s="184"/>
      <c r="G1" s="478"/>
      <c r="H1" s="478"/>
    </row>
    <row r="2" spans="1:8" s="74" customFormat="1" ht="13">
      <c r="A2" s="181" t="str">
        <f>' '!A2</f>
        <v>ONCOR ELECTRIC DELIVERY COMPANY LLC</v>
      </c>
      <c r="C2" s="181"/>
      <c r="D2" s="181"/>
      <c r="E2" s="184"/>
      <c r="F2" s="184"/>
      <c r="G2" s="478"/>
      <c r="H2" s="478"/>
    </row>
    <row r="3" spans="1:8" s="74" customFormat="1" ht="13">
      <c r="A3" s="181" t="s">
        <v>315</v>
      </c>
      <c r="C3" s="181"/>
      <c r="D3" s="181"/>
      <c r="E3" s="184"/>
      <c r="F3" s="184"/>
      <c r="G3" s="478"/>
      <c r="H3" s="478"/>
    </row>
    <row r="4" spans="1:6" s="74" customFormat="1" ht="13">
      <c r="A4" s="817" t="s">
        <v>929</v>
      </c>
      <c r="C4" s="181"/>
      <c r="D4" s="181"/>
      <c r="E4" s="181"/>
      <c r="F4" s="181"/>
    </row>
    <row r="5" spans="1:6" s="74" customFormat="1" ht="13">
      <c r="A5" s="181" t="s">
        <v>524</v>
      </c>
      <c r="C5" s="181"/>
      <c r="D5" s="181"/>
      <c r="E5" s="181"/>
      <c r="F5" s="181"/>
    </row>
    <row r="6" spans="2:14" ht="13">
      <c r="B6" s="167"/>
      <c r="C6" s="167"/>
      <c r="D6" s="167"/>
      <c r="E6" s="199"/>
      <c r="F6" s="167"/>
      <c r="G6" s="167"/>
      <c r="I6"/>
      <c r="J6"/>
      <c r="K6"/>
      <c r="L6"/>
      <c r="M6"/>
      <c r="N6" s="167"/>
    </row>
    <row r="7" spans="1:14" ht="13">
      <c r="A7" s="207" t="s">
        <v>45</v>
      </c>
      <c r="B7" s="209"/>
      <c r="C7" s="526" t="s">
        <v>23</v>
      </c>
      <c r="D7" s="209"/>
      <c r="E7" s="307" t="s">
        <v>527</v>
      </c>
      <c r="F7" s="306" t="s">
        <v>25</v>
      </c>
      <c r="G7" s="209"/>
      <c r="H7" s="307" t="s">
        <v>14</v>
      </c>
      <c r="I7" s="306" t="s">
        <v>25</v>
      </c>
      <c r="J7"/>
      <c r="K7"/>
      <c r="L7"/>
      <c r="M7"/>
      <c r="N7" s="167"/>
    </row>
    <row r="8" spans="1:14" ht="13">
      <c r="A8" s="211"/>
      <c r="B8" s="212"/>
      <c r="C8" s="20" t="s">
        <v>55</v>
      </c>
      <c r="D8" s="212"/>
      <c r="E8" s="20" t="s">
        <v>56</v>
      </c>
      <c r="F8" s="20" t="s">
        <v>62</v>
      </c>
      <c r="G8" s="212"/>
      <c r="H8" s="20" t="s">
        <v>57</v>
      </c>
      <c r="I8" s="20" t="s">
        <v>58</v>
      </c>
      <c r="J8"/>
      <c r="K8"/>
      <c r="L8"/>
      <c r="M8"/>
      <c r="N8" s="167"/>
    </row>
    <row r="9" spans="1:14" ht="13">
      <c r="A9" s="211"/>
      <c r="B9" s="212"/>
      <c r="C9" s="20"/>
      <c r="D9" s="212"/>
      <c r="E9" s="20"/>
      <c r="F9" s="20"/>
      <c r="G9" s="212"/>
      <c r="H9" s="20"/>
      <c r="I9" s="20"/>
      <c r="J9"/>
      <c r="K9"/>
      <c r="L9"/>
      <c r="M9"/>
      <c r="N9" s="167"/>
    </row>
    <row r="10" spans="1:13" ht="12.5">
      <c r="A10" s="208">
        <v>1</v>
      </c>
      <c r="C10" s="165" t="s">
        <v>9</v>
      </c>
      <c r="E10" s="198"/>
      <c r="F10"/>
      <c r="I10"/>
      <c r="J10"/>
      <c r="K10"/>
      <c r="L10"/>
      <c r="M10"/>
    </row>
    <row r="11" spans="1:13" ht="12.5">
      <c r="A11" s="208">
        <f t="shared" si="0" ref="A11:A22">A10+1</f>
        <v>2</v>
      </c>
      <c r="C11" s="169" t="s">
        <v>484</v>
      </c>
      <c r="E11" s="198">
        <f>ROUND(365.25/12/2,3)</f>
        <v>15.218999999999999</v>
      </c>
      <c r="F11" s="528"/>
      <c r="G11" s="198"/>
      <c r="H11" s="198">
        <f>ROUND(365.25/12/2,3)</f>
        <v>15.218999999999999</v>
      </c>
      <c r="I11"/>
      <c r="J11"/>
      <c r="K11"/>
      <c r="L11"/>
      <c r="M11"/>
    </row>
    <row r="12" spans="1:13" ht="12.5">
      <c r="A12" s="208">
        <f t="shared" si="0"/>
        <v>3</v>
      </c>
      <c r="E12" s="464"/>
      <c r="F12" s="528"/>
      <c r="G12" s="198"/>
      <c r="H12" s="464"/>
      <c r="I12"/>
      <c r="J12"/>
      <c r="K12"/>
      <c r="L12"/>
      <c r="M12"/>
    </row>
    <row r="13" spans="1:13" ht="12.5">
      <c r="A13" s="208">
        <f t="shared" si="0"/>
        <v>4</v>
      </c>
      <c r="C13" s="169" t="s">
        <v>223</v>
      </c>
      <c r="E13" s="758">
        <f>+'1-1-2'!D20</f>
        <v>2.8031609195402298</v>
      </c>
      <c r="F13" s="529" t="s">
        <v>317</v>
      </c>
      <c r="G13" s="198"/>
      <c r="H13" s="758">
        <f>+'1-1-2'!D20</f>
        <v>2.8031609195402298</v>
      </c>
      <c r="I13" s="186" t="s">
        <v>317</v>
      </c>
      <c r="J13"/>
      <c r="K13"/>
      <c r="L13"/>
      <c r="M13"/>
    </row>
    <row r="14" spans="1:13" ht="12.5">
      <c r="A14" s="208">
        <f t="shared" si="0"/>
        <v>5</v>
      </c>
      <c r="E14" s="464"/>
      <c r="F14" s="528"/>
      <c r="G14" s="198"/>
      <c r="H14" s="464"/>
      <c r="I14"/>
      <c r="J14"/>
      <c r="K14"/>
      <c r="L14"/>
      <c r="M14"/>
    </row>
    <row r="15" spans="1:13" ht="12.5">
      <c r="A15" s="208">
        <f t="shared" si="0"/>
        <v>6</v>
      </c>
      <c r="C15" s="165" t="s">
        <v>120</v>
      </c>
      <c r="E15" s="464">
        <f>+'1-1-3'!E14</f>
        <v>34.716000000000001</v>
      </c>
      <c r="F15" s="529" t="s">
        <v>318</v>
      </c>
      <c r="G15" s="198"/>
      <c r="H15" s="486">
        <v>36.018506084051893</v>
      </c>
      <c r="I15" s="484" t="s">
        <v>104</v>
      </c>
      <c r="J15"/>
      <c r="K15"/>
      <c r="L15"/>
      <c r="M15"/>
    </row>
    <row r="16" spans="1:13" ht="12.5">
      <c r="A16" s="208">
        <f t="shared" si="0"/>
        <v>7</v>
      </c>
      <c r="E16" s="464"/>
      <c r="F16" s="528"/>
      <c r="G16" s="198"/>
      <c r="H16" s="464"/>
      <c r="I16"/>
      <c r="J16"/>
      <c r="K16"/>
      <c r="L16"/>
      <c r="M16"/>
    </row>
    <row r="17" spans="1:13" ht="12.5">
      <c r="A17" s="208">
        <f t="shared" si="0"/>
        <v>8</v>
      </c>
      <c r="C17" s="169" t="s">
        <v>218</v>
      </c>
      <c r="E17" s="464">
        <v>0</v>
      </c>
      <c r="F17" s="528"/>
      <c r="G17" s="198"/>
      <c r="H17" s="464">
        <v>0</v>
      </c>
      <c r="I17"/>
      <c r="J17"/>
      <c r="K17"/>
      <c r="L17"/>
      <c r="M17"/>
    </row>
    <row r="18" spans="1:13" ht="12.5">
      <c r="A18" s="208">
        <f t="shared" si="0"/>
        <v>9</v>
      </c>
      <c r="E18" s="479"/>
      <c r="F18"/>
      <c r="H18" s="479"/>
      <c r="I18"/>
      <c r="J18"/>
      <c r="K18"/>
      <c r="L18"/>
      <c r="M18"/>
    </row>
    <row r="19" spans="1:13" ht="12.5">
      <c r="A19" s="208">
        <f t="shared" si="0"/>
        <v>10</v>
      </c>
      <c r="E19" s="466"/>
      <c r="F19"/>
      <c r="H19" s="466"/>
      <c r="I19"/>
      <c r="J19"/>
      <c r="K19"/>
      <c r="L19"/>
      <c r="M19"/>
    </row>
    <row r="20" spans="1:13" ht="13" thickBot="1">
      <c r="A20" s="208">
        <f t="shared" si="0"/>
        <v>11</v>
      </c>
      <c r="C20" s="165" t="s">
        <v>121</v>
      </c>
      <c r="E20" s="480">
        <f>SUM(E11:E18)</f>
        <v>52.738160919540235</v>
      </c>
      <c r="F20"/>
      <c r="H20" s="480">
        <f>SUM(H11:H18)</f>
        <v>54.04066700359212</v>
      </c>
      <c r="I20"/>
      <c r="J20"/>
      <c r="K20"/>
      <c r="L20"/>
      <c r="M20"/>
    </row>
    <row r="21" spans="1:13" ht="13.5" thickTop="1">
      <c r="A21" s="208">
        <f t="shared" si="0"/>
        <v>12</v>
      </c>
      <c r="H21" s="481"/>
      <c r="I21"/>
      <c r="J21"/>
      <c r="K21"/>
      <c r="L21"/>
      <c r="M21"/>
    </row>
    <row r="22" spans="1:13" ht="12.5">
      <c r="A22" s="208">
        <f t="shared" si="0"/>
        <v>13</v>
      </c>
      <c r="C22" s="169" t="s">
        <v>256</v>
      </c>
      <c r="D22" s="485" t="s">
        <v>104</v>
      </c>
      <c r="E22" s="293" t="s">
        <v>469</v>
      </c>
      <c r="H22" s="464"/>
      <c r="M22" s="170"/>
    </row>
    <row r="23" spans="4:6" ht="12.5">
      <c r="D23"/>
      <c r="E23"/>
      <c r="F23"/>
    </row>
    <row r="24" spans="4:6" ht="12.5">
      <c r="D24"/>
      <c r="E24"/>
      <c r="F24"/>
    </row>
  </sheetData>
  <hyperlinks>
    <hyperlink ref="E22" r:id="rId1" display="FIM Revenue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6">
    <tabColor rgb="FF92D050"/>
    <pageSetUpPr fitToPage="1"/>
  </sheetPr>
  <dimension ref="A1:J21"/>
  <sheetViews>
    <sheetView showGridLines="0" workbookViewId="0" topLeftCell="A1">
      <selection pane="topLeft" activeCell="D12" sqref="D12"/>
    </sheetView>
  </sheetViews>
  <sheetFormatPr defaultColWidth="9.09428571428571" defaultRowHeight="12.75"/>
  <cols>
    <col min="1" max="1" width="6" style="1" customWidth="1"/>
    <col min="2" max="2" width="53.4285714285714" style="1" customWidth="1"/>
    <col min="3" max="3" width="13.1428571428571" style="3" customWidth="1"/>
    <col min="4" max="4" width="14.1428571428571" style="1" customWidth="1"/>
    <col min="5" max="5" width="28.4285714285714" style="1" customWidth="1"/>
    <col min="6" max="6" width="23.8571428571429" style="1" customWidth="1"/>
    <col min="7" max="16384" width="9.14285714285714" style="1"/>
  </cols>
  <sheetData>
    <row r="1" spans="1:6" s="42" customFormat="1" ht="13">
      <c r="A1" s="131" t="s">
        <v>530</v>
      </c>
      <c r="B1" s="131"/>
      <c r="C1" s="296"/>
      <c r="D1" s="131"/>
      <c r="E1" s="181"/>
      <c r="F1" s="181"/>
    </row>
    <row r="2" spans="1:6" s="42" customFormat="1" ht="13">
      <c r="A2" s="131" t="str">
        <f>' '!A2</f>
        <v>ONCOR ELECTRIC DELIVERY COMPANY LLC</v>
      </c>
      <c r="B2" s="131"/>
      <c r="C2" s="296"/>
      <c r="D2" s="131"/>
      <c r="E2" s="181"/>
      <c r="F2" s="181"/>
    </row>
    <row r="3" spans="1:6" s="42" customFormat="1" ht="13">
      <c r="A3" s="235" t="s">
        <v>298</v>
      </c>
      <c r="B3" s="235"/>
      <c r="C3" s="296"/>
      <c r="D3" s="235"/>
      <c r="E3" s="183"/>
      <c r="F3" s="183"/>
    </row>
    <row r="4" spans="1:6" s="42" customFormat="1" ht="13">
      <c r="A4" s="817" t="s">
        <v>929</v>
      </c>
      <c r="B4" s="131"/>
      <c r="C4" s="296"/>
      <c r="D4" s="131"/>
      <c r="E4" s="181"/>
      <c r="F4" s="181"/>
    </row>
    <row r="5" spans="1:6" s="42" customFormat="1" ht="13">
      <c r="A5" s="131" t="s">
        <v>524</v>
      </c>
      <c r="B5" s="131"/>
      <c r="C5" s="296"/>
      <c r="D5" s="131"/>
      <c r="E5" s="181"/>
      <c r="F5" s="181"/>
    </row>
    <row r="6" spans="1:4" ht="12.5">
      <c r="A6" s="26"/>
      <c r="B6" s="26"/>
      <c r="C6" s="20"/>
      <c r="D6" s="26"/>
    </row>
    <row r="7" spans="1:6" s="26" customFormat="1" ht="26">
      <c r="A7" s="33" t="s">
        <v>45</v>
      </c>
      <c r="B7" s="57" t="s">
        <v>23</v>
      </c>
      <c r="C7" s="678" t="s">
        <v>299</v>
      </c>
      <c r="D7" s="33" t="s">
        <v>116</v>
      </c>
      <c r="E7" s="33" t="s">
        <v>25</v>
      </c>
      <c r="F7" s="214"/>
    </row>
    <row r="8" spans="1:6" ht="12.5">
      <c r="A8" s="20"/>
      <c r="B8" s="40" t="s">
        <v>55</v>
      </c>
      <c r="C8" s="40" t="s">
        <v>56</v>
      </c>
      <c r="D8" s="228" t="s">
        <v>62</v>
      </c>
      <c r="E8" s="228" t="s">
        <v>57</v>
      </c>
      <c r="F8" s="3"/>
    </row>
    <row r="9" spans="1:10" ht="13">
      <c r="A9" s="20"/>
      <c r="B9" s="26"/>
      <c r="C9" s="20"/>
      <c r="D9" s="26"/>
      <c r="F9" s="159"/>
      <c r="G9" s="159"/>
      <c r="H9" s="159"/>
      <c r="I9" s="159"/>
      <c r="J9" s="159"/>
    </row>
    <row r="10" spans="1:10" ht="13">
      <c r="A10" s="20">
        <v>1</v>
      </c>
      <c r="B10" s="5" t="s">
        <v>300</v>
      </c>
      <c r="C10" s="22"/>
      <c r="D10" s="530"/>
      <c r="E10" s="159"/>
      <c r="G10" s="159"/>
      <c r="H10" s="159"/>
      <c r="I10" s="159"/>
      <c r="J10" s="159"/>
    </row>
    <row r="11" spans="1:10" ht="13">
      <c r="A11" s="20">
        <f>+A10+1</f>
        <v>2</v>
      </c>
      <c r="B11" s="26"/>
      <c r="C11" s="20"/>
      <c r="D11" s="530"/>
      <c r="E11" s="186"/>
      <c r="G11" s="159"/>
      <c r="H11" s="159"/>
      <c r="I11" s="159"/>
      <c r="J11" s="159"/>
    </row>
    <row r="12" spans="1:10" ht="13">
      <c r="A12" s="20">
        <f t="shared" si="0" ref="A12:A20">+A11+1</f>
        <v>3</v>
      </c>
      <c r="B12" s="26" t="s">
        <v>301</v>
      </c>
      <c r="C12" s="20"/>
      <c r="D12" s="530">
        <f>+'1-1-2-1'!I128</f>
        <v>2.0948275862068964</v>
      </c>
      <c r="E12" s="186" t="s">
        <v>325</v>
      </c>
      <c r="G12" s="159"/>
      <c r="H12" s="159"/>
      <c r="I12" s="159"/>
      <c r="J12" s="159"/>
    </row>
    <row r="13" spans="1:10" ht="13">
      <c r="A13" s="20">
        <f t="shared" si="0"/>
        <v>4</v>
      </c>
      <c r="B13" s="26"/>
      <c r="C13" s="20"/>
      <c r="D13" s="530"/>
      <c r="E13" s="186"/>
      <c r="G13" s="159"/>
      <c r="H13" s="159"/>
      <c r="I13" s="159"/>
      <c r="J13" s="159"/>
    </row>
    <row r="14" spans="1:10" ht="13">
      <c r="A14" s="20">
        <f t="shared" si="0"/>
        <v>5</v>
      </c>
      <c r="B14" s="26"/>
      <c r="C14" s="20"/>
      <c r="D14" s="530"/>
      <c r="E14" s="186"/>
      <c r="G14" s="159"/>
      <c r="H14" s="159"/>
      <c r="I14" s="159"/>
      <c r="J14" s="159"/>
    </row>
    <row r="15" spans="1:10" ht="13">
      <c r="A15" s="20">
        <f t="shared" si="0"/>
        <v>6</v>
      </c>
      <c r="B15" s="25" t="s">
        <v>489</v>
      </c>
      <c r="C15" s="20"/>
      <c r="D15" s="530"/>
      <c r="E15" s="186"/>
      <c r="G15" s="159"/>
      <c r="H15" s="159"/>
      <c r="I15" s="159"/>
      <c r="J15" s="159"/>
    </row>
    <row r="16" spans="1:10" ht="13">
      <c r="A16" s="20">
        <f t="shared" si="0"/>
        <v>7</v>
      </c>
      <c r="B16" s="26"/>
      <c r="C16" s="20"/>
      <c r="D16" s="530"/>
      <c r="E16" s="186"/>
      <c r="G16" s="159"/>
      <c r="H16" s="159"/>
      <c r="I16" s="159"/>
      <c r="J16" s="159"/>
    </row>
    <row r="17" spans="1:10" ht="13">
      <c r="A17" s="20">
        <f t="shared" si="0"/>
        <v>8</v>
      </c>
      <c r="B17" s="663" t="s">
        <v>490</v>
      </c>
      <c r="C17" s="685">
        <v>17</v>
      </c>
      <c r="D17" s="531">
        <f>+C17/24</f>
        <v>0.70833333333333337</v>
      </c>
      <c r="E17" s="186"/>
      <c r="G17" s="159"/>
      <c r="H17" s="159"/>
      <c r="I17" s="159"/>
      <c r="J17" s="159"/>
    </row>
    <row r="18" spans="1:10" ht="13">
      <c r="A18" s="20">
        <f t="shared" si="0"/>
        <v>9</v>
      </c>
      <c r="B18" s="26"/>
      <c r="C18" s="20"/>
      <c r="D18" s="530"/>
      <c r="E18" s="186"/>
      <c r="G18" s="159"/>
      <c r="H18" s="159"/>
      <c r="I18" s="159"/>
      <c r="J18" s="159"/>
    </row>
    <row r="19" spans="1:10" ht="13">
      <c r="A19" s="20">
        <f t="shared" si="0"/>
        <v>10</v>
      </c>
      <c r="B19" s="26"/>
      <c r="C19" s="20"/>
      <c r="D19" s="530"/>
      <c r="E19" s="159"/>
      <c r="G19" s="159"/>
      <c r="H19" s="159"/>
      <c r="I19" s="159"/>
      <c r="J19" s="159"/>
    </row>
    <row r="20" spans="1:10" ht="13.5" thickBot="1">
      <c r="A20" s="20">
        <f t="shared" si="0"/>
        <v>11</v>
      </c>
      <c r="B20" s="451" t="s">
        <v>302</v>
      </c>
      <c r="C20" s="20"/>
      <c r="D20" s="532">
        <f>SUM(D10:D17)</f>
        <v>2.8031609195402298</v>
      </c>
      <c r="E20" s="159"/>
      <c r="G20" s="159"/>
      <c r="H20" s="159"/>
      <c r="I20" s="159"/>
      <c r="J20" s="159"/>
    </row>
    <row r="21" spans="1:4" ht="13" thickTop="1">
      <c r="A21" s="26"/>
      <c r="B21" s="26"/>
      <c r="C21" s="20"/>
      <c r="D21" s="26"/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7">
    <tabColor rgb="FF92D050"/>
  </sheetPr>
  <dimension ref="A1:K132"/>
  <sheetViews>
    <sheetView zoomScaleSheetLayoutView="100" workbookViewId="0" topLeftCell="A1">
      <selection pane="topLeft" activeCell="A4" sqref="A4"/>
    </sheetView>
  </sheetViews>
  <sheetFormatPr defaultColWidth="8.00428571428571" defaultRowHeight="12.75"/>
  <cols>
    <col min="1" max="1" width="5.14285714285714" style="165" customWidth="1"/>
    <col min="2" max="2" width="3.85714285714286" style="165" customWidth="1"/>
    <col min="3" max="3" width="30.8571428571429" style="165" bestFit="1" customWidth="1"/>
    <col min="4" max="4" width="3" style="165" customWidth="1"/>
    <col min="5" max="5" width="23" style="165" bestFit="1" customWidth="1"/>
    <col min="6" max="6" width="12.8571428571429" style="165" bestFit="1" customWidth="1"/>
    <col min="7" max="7" width="18.1428571428571" style="165" bestFit="1" customWidth="1"/>
    <col min="8" max="8" width="3.57142857142857" style="165" customWidth="1"/>
    <col min="9" max="9" width="14" style="198" customWidth="1"/>
    <col min="10" max="10" width="1.57142857142857" style="165" customWidth="1"/>
    <col min="11" max="18" width="8" style="165" customWidth="1"/>
    <col min="19" max="19" width="14.4285714285714" style="165" customWidth="1"/>
    <col min="20" max="16384" width="8" style="165"/>
  </cols>
  <sheetData>
    <row r="1" spans="1:9" s="74" customFormat="1" ht="13">
      <c r="A1" s="181" t="s">
        <v>530</v>
      </c>
      <c r="C1" s="181"/>
      <c r="D1" s="181"/>
      <c r="E1" s="184"/>
      <c r="F1" s="184"/>
      <c r="G1" s="184"/>
      <c r="H1" s="478"/>
      <c r="I1" s="478"/>
    </row>
    <row r="2" spans="1:9" s="74" customFormat="1" ht="13">
      <c r="A2" s="181" t="str">
        <f>' '!A2</f>
        <v>ONCOR ELECTRIC DELIVERY COMPANY LLC</v>
      </c>
      <c r="C2" s="181"/>
      <c r="D2" s="181"/>
      <c r="E2" s="184"/>
      <c r="F2" s="184"/>
      <c r="G2" s="184"/>
      <c r="H2" s="478"/>
      <c r="I2" s="478"/>
    </row>
    <row r="3" spans="1:9" s="74" customFormat="1" ht="13">
      <c r="A3" s="181" t="s">
        <v>324</v>
      </c>
      <c r="C3" s="181"/>
      <c r="D3" s="181"/>
      <c r="E3" s="184"/>
      <c r="F3" s="184"/>
      <c r="G3" s="184"/>
      <c r="H3" s="478"/>
      <c r="I3" s="478"/>
    </row>
    <row r="4" spans="1:7" s="74" customFormat="1" ht="13">
      <c r="A4" s="817" t="s">
        <v>929</v>
      </c>
      <c r="C4" s="181"/>
      <c r="D4" s="181"/>
      <c r="E4" s="181"/>
      <c r="F4" s="181"/>
      <c r="G4" s="181"/>
    </row>
    <row r="5" spans="1:7" s="74" customFormat="1" ht="13">
      <c r="A5" s="181" t="s">
        <v>524</v>
      </c>
      <c r="C5" s="181"/>
      <c r="D5" s="181"/>
      <c r="E5" s="181"/>
      <c r="F5" s="181"/>
      <c r="G5" s="181"/>
    </row>
    <row r="6" spans="2:11" ht="13">
      <c r="B6" s="167"/>
      <c r="C6" s="167"/>
      <c r="D6" s="167"/>
      <c r="E6" s="199"/>
      <c r="F6" s="199"/>
      <c r="G6" s="167"/>
      <c r="H6" s="167"/>
      <c r="J6"/>
      <c r="K6" s="167"/>
    </row>
    <row r="7" spans="1:11" s="494" customFormat="1" ht="39">
      <c r="A7" s="487" t="s">
        <v>45</v>
      </c>
      <c r="B7" s="488"/>
      <c r="C7" s="489" t="s">
        <v>319</v>
      </c>
      <c r="D7" s="488"/>
      <c r="E7" s="490" t="s">
        <v>320</v>
      </c>
      <c r="F7" s="490" t="s">
        <v>323</v>
      </c>
      <c r="G7" s="491" t="s">
        <v>321</v>
      </c>
      <c r="H7" s="488"/>
      <c r="I7" s="490" t="s">
        <v>322</v>
      </c>
      <c r="J7" s="492"/>
      <c r="K7" s="493"/>
    </row>
    <row r="8" spans="1:11" ht="13">
      <c r="A8" s="211"/>
      <c r="B8" s="212"/>
      <c r="C8" s="20" t="s">
        <v>55</v>
      </c>
      <c r="D8" s="212"/>
      <c r="E8" s="20" t="s">
        <v>56</v>
      </c>
      <c r="F8" s="20" t="s">
        <v>62</v>
      </c>
      <c r="G8" s="20" t="s">
        <v>57</v>
      </c>
      <c r="H8" s="212"/>
      <c r="I8" s="20" t="s">
        <v>58</v>
      </c>
      <c r="J8"/>
      <c r="K8" s="167"/>
    </row>
    <row r="9" spans="1:11" ht="13">
      <c r="A9" s="211"/>
      <c r="B9" s="212"/>
      <c r="C9" s="20"/>
      <c r="D9" s="212"/>
      <c r="E9" s="20"/>
      <c r="F9" s="20"/>
      <c r="G9" s="20"/>
      <c r="H9" s="212"/>
      <c r="I9" s="20"/>
      <c r="J9"/>
      <c r="K9" s="167"/>
    </row>
    <row r="10" spans="1:10" ht="12.5">
      <c r="A10" s="208">
        <v>1</v>
      </c>
      <c r="C10" s="756" t="s">
        <v>554</v>
      </c>
      <c r="D10"/>
      <c r="E10" s="757">
        <v>44107</v>
      </c>
      <c r="F10" s="756" t="s">
        <v>670</v>
      </c>
      <c r="G10" s="757">
        <v>44109</v>
      </c>
      <c r="H10"/>
      <c r="I10" s="496">
        <f t="shared" si="0" ref="I10:I70">+G10-E10</f>
        <v>2</v>
      </c>
      <c r="J10"/>
    </row>
    <row r="11" spans="1:10" ht="12.5">
      <c r="A11" s="208">
        <f t="shared" si="1" ref="A11:A92">A10+1</f>
        <v>2</v>
      </c>
      <c r="C11" s="756" t="s">
        <v>555</v>
      </c>
      <c r="D11"/>
      <c r="E11" s="757">
        <v>44243</v>
      </c>
      <c r="F11" s="756" t="s">
        <v>671</v>
      </c>
      <c r="G11" s="757">
        <v>44244</v>
      </c>
      <c r="H11"/>
      <c r="I11" s="496">
        <f t="shared" si="0"/>
        <v>1</v>
      </c>
      <c r="J11"/>
    </row>
    <row r="12" spans="1:10" ht="12.5">
      <c r="A12" s="208">
        <f t="shared" si="1"/>
        <v>3</v>
      </c>
      <c r="C12" s="756" t="s">
        <v>556</v>
      </c>
      <c r="D12"/>
      <c r="E12" s="757">
        <v>44185</v>
      </c>
      <c r="F12" s="756" t="s">
        <v>672</v>
      </c>
      <c r="G12" s="757">
        <v>44186</v>
      </c>
      <c r="H12"/>
      <c r="I12" s="496">
        <f t="shared" si="0"/>
        <v>1</v>
      </c>
      <c r="J12"/>
    </row>
    <row r="13" spans="1:10" ht="12.5">
      <c r="A13" s="208">
        <f t="shared" si="1"/>
        <v>4</v>
      </c>
      <c r="C13" s="756" t="s">
        <v>557</v>
      </c>
      <c r="D13"/>
      <c r="E13" s="757">
        <v>44422</v>
      </c>
      <c r="F13" s="756" t="s">
        <v>670</v>
      </c>
      <c r="G13" s="757">
        <v>44424</v>
      </c>
      <c r="H13"/>
      <c r="I13" s="496">
        <f t="shared" si="0"/>
        <v>2</v>
      </c>
      <c r="J13"/>
    </row>
    <row r="14" spans="1:10" ht="12.5">
      <c r="A14" s="208">
        <f t="shared" si="1"/>
        <v>5</v>
      </c>
      <c r="C14" s="756" t="s">
        <v>558</v>
      </c>
      <c r="D14"/>
      <c r="E14" s="757">
        <v>44244</v>
      </c>
      <c r="F14" s="756" t="s">
        <v>673</v>
      </c>
      <c r="G14" s="757">
        <v>44245</v>
      </c>
      <c r="H14"/>
      <c r="I14" s="496">
        <f t="shared" si="0"/>
        <v>1</v>
      </c>
      <c r="J14"/>
    </row>
    <row r="15" spans="1:10" ht="12.5">
      <c r="A15" s="208">
        <f t="shared" si="1"/>
        <v>6</v>
      </c>
      <c r="C15" s="756" t="s">
        <v>559</v>
      </c>
      <c r="D15"/>
      <c r="E15" s="757">
        <v>44431</v>
      </c>
      <c r="F15" s="756" t="s">
        <v>674</v>
      </c>
      <c r="G15" s="757">
        <v>44432</v>
      </c>
      <c r="H15"/>
      <c r="I15" s="496">
        <f t="shared" si="0"/>
        <v>1</v>
      </c>
      <c r="J15"/>
    </row>
    <row r="16" spans="1:10" ht="12.5">
      <c r="A16" s="208">
        <f t="shared" si="1"/>
        <v>7</v>
      </c>
      <c r="C16" s="756" t="s">
        <v>560</v>
      </c>
      <c r="D16"/>
      <c r="E16" s="757">
        <v>44195</v>
      </c>
      <c r="F16" s="756" t="s">
        <v>673</v>
      </c>
      <c r="G16" s="757">
        <v>44196</v>
      </c>
      <c r="H16"/>
      <c r="I16" s="496">
        <f t="shared" si="0"/>
        <v>1</v>
      </c>
      <c r="J16"/>
    </row>
    <row r="17" spans="1:10" ht="12.5">
      <c r="A17" s="208">
        <f t="shared" si="1"/>
        <v>8</v>
      </c>
      <c r="C17" s="756" t="s">
        <v>561</v>
      </c>
      <c r="D17"/>
      <c r="E17" s="757">
        <v>44396</v>
      </c>
      <c r="F17" s="756" t="s">
        <v>674</v>
      </c>
      <c r="G17" s="757">
        <v>44411</v>
      </c>
      <c r="H17"/>
      <c r="I17" s="496">
        <f t="shared" si="0"/>
        <v>15</v>
      </c>
      <c r="J17"/>
    </row>
    <row r="18" spans="1:10" ht="12.5">
      <c r="A18" s="208">
        <f t="shared" si="1"/>
        <v>9</v>
      </c>
      <c r="C18" s="756" t="s">
        <v>562</v>
      </c>
      <c r="D18"/>
      <c r="E18" s="757">
        <v>44421</v>
      </c>
      <c r="F18" s="756" t="s">
        <v>675</v>
      </c>
      <c r="G18" s="757">
        <v>44424</v>
      </c>
      <c r="H18"/>
      <c r="I18" s="496">
        <f t="shared" si="0"/>
        <v>3</v>
      </c>
      <c r="J18"/>
    </row>
    <row r="19" spans="1:10" ht="12.5">
      <c r="A19" s="208">
        <f t="shared" si="1"/>
        <v>10</v>
      </c>
      <c r="C19" s="756" t="s">
        <v>563</v>
      </c>
      <c r="D19"/>
      <c r="E19" s="757">
        <v>44362</v>
      </c>
      <c r="F19" s="756" t="s">
        <v>671</v>
      </c>
      <c r="G19" s="757">
        <v>44363</v>
      </c>
      <c r="H19"/>
      <c r="I19" s="496">
        <f t="shared" si="0"/>
        <v>1</v>
      </c>
      <c r="J19"/>
    </row>
    <row r="20" spans="1:10" ht="12.5">
      <c r="A20" s="208">
        <f t="shared" si="1"/>
        <v>11</v>
      </c>
      <c r="C20" s="756" t="s">
        <v>564</v>
      </c>
      <c r="D20"/>
      <c r="E20" s="757">
        <v>44243</v>
      </c>
      <c r="F20" s="756" t="s">
        <v>671</v>
      </c>
      <c r="G20" s="757">
        <v>44252</v>
      </c>
      <c r="H20"/>
      <c r="I20" s="496">
        <f t="shared" si="0"/>
        <v>9</v>
      </c>
      <c r="J20"/>
    </row>
    <row r="21" spans="1:10" ht="12.5">
      <c r="A21" s="208">
        <f t="shared" si="1"/>
        <v>12</v>
      </c>
      <c r="C21" s="756" t="s">
        <v>565</v>
      </c>
      <c r="D21"/>
      <c r="E21" s="757">
        <v>44216</v>
      </c>
      <c r="F21" s="756" t="s">
        <v>673</v>
      </c>
      <c r="G21" s="757">
        <v>44217</v>
      </c>
      <c r="H21"/>
      <c r="I21" s="496">
        <f t="shared" si="0"/>
        <v>1</v>
      </c>
      <c r="J21"/>
    </row>
    <row r="22" spans="1:10" ht="12.5">
      <c r="A22" s="208">
        <f t="shared" si="1"/>
        <v>13</v>
      </c>
      <c r="C22" s="756" t="s">
        <v>566</v>
      </c>
      <c r="D22"/>
      <c r="E22" s="757">
        <v>44443</v>
      </c>
      <c r="F22" s="756" t="s">
        <v>670</v>
      </c>
      <c r="G22" s="757">
        <v>44446</v>
      </c>
      <c r="H22"/>
      <c r="I22" s="496">
        <f t="shared" si="0"/>
        <v>3</v>
      </c>
      <c r="J22"/>
    </row>
    <row r="23" spans="1:10" ht="12.5">
      <c r="A23" s="208">
        <f t="shared" si="1"/>
        <v>14</v>
      </c>
      <c r="C23" s="756" t="s">
        <v>567</v>
      </c>
      <c r="D23"/>
      <c r="E23" s="757">
        <v>44408</v>
      </c>
      <c r="F23" s="756" t="s">
        <v>670</v>
      </c>
      <c r="G23" s="757">
        <v>44410</v>
      </c>
      <c r="H23"/>
      <c r="I23" s="496">
        <f t="shared" si="0"/>
        <v>2</v>
      </c>
      <c r="J23"/>
    </row>
    <row r="24" spans="1:10" ht="12.5">
      <c r="A24" s="208">
        <f t="shared" si="1"/>
        <v>15</v>
      </c>
      <c r="C24" s="756" t="s">
        <v>568</v>
      </c>
      <c r="D24"/>
      <c r="E24" s="757">
        <v>44290</v>
      </c>
      <c r="F24" s="756" t="s">
        <v>672</v>
      </c>
      <c r="G24" s="757">
        <v>44291</v>
      </c>
      <c r="H24"/>
      <c r="I24" s="496">
        <f t="shared" si="0"/>
        <v>1</v>
      </c>
      <c r="J24"/>
    </row>
    <row r="25" spans="1:10" ht="12.5">
      <c r="A25" s="208">
        <f t="shared" si="1"/>
        <v>16</v>
      </c>
      <c r="C25" s="756" t="s">
        <v>569</v>
      </c>
      <c r="D25"/>
      <c r="E25" s="757">
        <v>44316</v>
      </c>
      <c r="F25" s="756" t="s">
        <v>675</v>
      </c>
      <c r="G25" s="757">
        <v>44319</v>
      </c>
      <c r="H25"/>
      <c r="I25" s="496">
        <f t="shared" si="0"/>
        <v>3</v>
      </c>
      <c r="J25"/>
    </row>
    <row r="26" spans="1:10" ht="12.5">
      <c r="A26" s="208">
        <f t="shared" si="1"/>
        <v>17</v>
      </c>
      <c r="C26" s="756" t="s">
        <v>570</v>
      </c>
      <c r="D26"/>
      <c r="E26" s="757">
        <v>44366</v>
      </c>
      <c r="F26" s="756" t="s">
        <v>670</v>
      </c>
      <c r="G26" s="757">
        <v>44368</v>
      </c>
      <c r="H26"/>
      <c r="I26" s="496">
        <f t="shared" si="0"/>
        <v>2</v>
      </c>
      <c r="J26"/>
    </row>
    <row r="27" spans="1:10" ht="12.5">
      <c r="A27" s="208">
        <f t="shared" si="1"/>
        <v>18</v>
      </c>
      <c r="C27" s="756" t="s">
        <v>571</v>
      </c>
      <c r="D27"/>
      <c r="E27" s="757">
        <v>44317</v>
      </c>
      <c r="F27" s="756" t="s">
        <v>670</v>
      </c>
      <c r="G27" s="757">
        <v>44319</v>
      </c>
      <c r="H27"/>
      <c r="I27" s="496">
        <f t="shared" si="0"/>
        <v>2</v>
      </c>
      <c r="J27"/>
    </row>
    <row r="28" spans="1:10" ht="12.5">
      <c r="A28" s="208">
        <f t="shared" si="1"/>
        <v>19</v>
      </c>
      <c r="C28" s="756" t="s">
        <v>572</v>
      </c>
      <c r="D28"/>
      <c r="E28" s="757">
        <v>44226</v>
      </c>
      <c r="F28" s="756" t="s">
        <v>670</v>
      </c>
      <c r="G28" s="757">
        <v>44228</v>
      </c>
      <c r="H28"/>
      <c r="I28" s="496">
        <f t="shared" si="0"/>
        <v>2</v>
      </c>
      <c r="J28"/>
    </row>
    <row r="29" spans="1:10" ht="12.5">
      <c r="A29" s="208">
        <f t="shared" si="1"/>
        <v>20</v>
      </c>
      <c r="C29" s="756" t="s">
        <v>573</v>
      </c>
      <c r="D29"/>
      <c r="E29" s="757">
        <v>44187</v>
      </c>
      <c r="F29" s="756" t="s">
        <v>671</v>
      </c>
      <c r="G29" s="757">
        <v>44188</v>
      </c>
      <c r="H29"/>
      <c r="I29" s="496">
        <f t="shared" si="0"/>
        <v>1</v>
      </c>
      <c r="J29"/>
    </row>
    <row r="30" spans="1:10" ht="12.5">
      <c r="A30" s="208">
        <f t="shared" si="1"/>
        <v>21</v>
      </c>
      <c r="C30" s="756" t="s">
        <v>574</v>
      </c>
      <c r="D30"/>
      <c r="E30" s="757">
        <v>44238</v>
      </c>
      <c r="F30" s="756" t="s">
        <v>676</v>
      </c>
      <c r="G30" s="757">
        <v>44239</v>
      </c>
      <c r="H30"/>
      <c r="I30" s="496">
        <f t="shared" si="0"/>
        <v>1</v>
      </c>
      <c r="J30"/>
    </row>
    <row r="31" spans="1:10" ht="12.5">
      <c r="A31" s="208">
        <f t="shared" si="1"/>
        <v>22</v>
      </c>
      <c r="C31" s="756" t="s">
        <v>575</v>
      </c>
      <c r="D31"/>
      <c r="E31" s="757">
        <v>44136</v>
      </c>
      <c r="F31" s="756" t="s">
        <v>672</v>
      </c>
      <c r="G31" s="757">
        <v>44137</v>
      </c>
      <c r="H31"/>
      <c r="I31" s="496">
        <f t="shared" si="0"/>
        <v>1</v>
      </c>
      <c r="J31"/>
    </row>
    <row r="32" spans="1:10" ht="12.5">
      <c r="A32" s="208">
        <f t="shared" si="1"/>
        <v>23</v>
      </c>
      <c r="C32" s="756" t="s">
        <v>576</v>
      </c>
      <c r="D32"/>
      <c r="E32" s="757">
        <v>44180</v>
      </c>
      <c r="F32" s="756" t="s">
        <v>671</v>
      </c>
      <c r="G32" s="757">
        <v>44181</v>
      </c>
      <c r="H32"/>
      <c r="I32" s="496">
        <f t="shared" si="0"/>
        <v>1</v>
      </c>
      <c r="J32"/>
    </row>
    <row r="33" spans="1:10" ht="12.5">
      <c r="A33" s="208">
        <f t="shared" si="1"/>
        <v>24</v>
      </c>
      <c r="C33" s="756" t="s">
        <v>577</v>
      </c>
      <c r="D33"/>
      <c r="E33" s="757">
        <v>44135</v>
      </c>
      <c r="F33" s="756" t="s">
        <v>670</v>
      </c>
      <c r="G33" s="757">
        <v>44137</v>
      </c>
      <c r="H33"/>
      <c r="I33" s="496">
        <f t="shared" si="0"/>
        <v>2</v>
      </c>
      <c r="J33"/>
    </row>
    <row r="34" spans="1:10" ht="12.5">
      <c r="A34" s="208">
        <f t="shared" si="1"/>
        <v>25</v>
      </c>
      <c r="C34" s="756" t="s">
        <v>578</v>
      </c>
      <c r="D34"/>
      <c r="E34" s="757">
        <v>44142</v>
      </c>
      <c r="F34" s="756" t="s">
        <v>670</v>
      </c>
      <c r="G34" s="757">
        <v>44144</v>
      </c>
      <c r="H34"/>
      <c r="I34" s="496">
        <f t="shared" si="0"/>
        <v>2</v>
      </c>
      <c r="J34"/>
    </row>
    <row r="35" spans="1:10" ht="12.5">
      <c r="A35" s="208">
        <f t="shared" si="1"/>
        <v>26</v>
      </c>
      <c r="C35" s="756" t="s">
        <v>579</v>
      </c>
      <c r="D35"/>
      <c r="E35" s="757">
        <v>44174</v>
      </c>
      <c r="F35" s="756" t="s">
        <v>673</v>
      </c>
      <c r="G35" s="757">
        <v>44187</v>
      </c>
      <c r="H35"/>
      <c r="I35" s="496">
        <f t="shared" si="0"/>
        <v>13</v>
      </c>
      <c r="J35"/>
    </row>
    <row r="36" spans="1:10" ht="12.5">
      <c r="A36" s="208">
        <f t="shared" si="1"/>
        <v>27</v>
      </c>
      <c r="C36" s="756" t="s">
        <v>580</v>
      </c>
      <c r="D36"/>
      <c r="E36" s="757">
        <v>44429</v>
      </c>
      <c r="F36" s="756" t="s">
        <v>670</v>
      </c>
      <c r="G36" s="757">
        <v>44431</v>
      </c>
      <c r="H36"/>
      <c r="I36" s="496">
        <f t="shared" si="0"/>
        <v>2</v>
      </c>
      <c r="J36"/>
    </row>
    <row r="37" spans="1:10" ht="12.5">
      <c r="A37" s="208">
        <f t="shared" si="1"/>
        <v>28</v>
      </c>
      <c r="C37" s="756" t="s">
        <v>581</v>
      </c>
      <c r="D37"/>
      <c r="E37" s="757">
        <v>44275</v>
      </c>
      <c r="F37" s="756" t="s">
        <v>670</v>
      </c>
      <c r="G37" s="757">
        <v>44277</v>
      </c>
      <c r="H37"/>
      <c r="I37" s="496">
        <f t="shared" si="0"/>
        <v>2</v>
      </c>
      <c r="J37"/>
    </row>
    <row r="38" spans="1:10" ht="12.5">
      <c r="A38" s="208">
        <f t="shared" si="1"/>
        <v>29</v>
      </c>
      <c r="C38" s="756" t="s">
        <v>582</v>
      </c>
      <c r="D38"/>
      <c r="E38" s="757">
        <v>44242</v>
      </c>
      <c r="F38" s="756" t="s">
        <v>674</v>
      </c>
      <c r="G38" s="757">
        <v>44243</v>
      </c>
      <c r="H38"/>
      <c r="I38" s="496">
        <f t="shared" si="0"/>
        <v>1</v>
      </c>
      <c r="J38"/>
    </row>
    <row r="39" spans="1:10" ht="12.5">
      <c r="A39" s="208">
        <f t="shared" si="1"/>
        <v>30</v>
      </c>
      <c r="C39" s="756" t="s">
        <v>583</v>
      </c>
      <c r="D39"/>
      <c r="E39" s="757">
        <v>44175</v>
      </c>
      <c r="F39" s="756" t="s">
        <v>676</v>
      </c>
      <c r="G39" s="757">
        <v>44176</v>
      </c>
      <c r="H39"/>
      <c r="I39" s="496">
        <f t="shared" si="0"/>
        <v>1</v>
      </c>
      <c r="J39"/>
    </row>
    <row r="40" spans="1:10" ht="12.5">
      <c r="A40" s="208">
        <f t="shared" si="1"/>
        <v>31</v>
      </c>
      <c r="C40" s="756" t="s">
        <v>584</v>
      </c>
      <c r="D40"/>
      <c r="E40" s="757">
        <v>44403</v>
      </c>
      <c r="F40" s="756" t="s">
        <v>674</v>
      </c>
      <c r="G40" s="757">
        <v>44404</v>
      </c>
      <c r="H40"/>
      <c r="I40" s="496">
        <f t="shared" si="0"/>
        <v>1</v>
      </c>
      <c r="J40"/>
    </row>
    <row r="41" spans="1:10" ht="12.5">
      <c r="A41" s="208">
        <f t="shared" si="1"/>
        <v>32</v>
      </c>
      <c r="C41" s="756" t="s">
        <v>585</v>
      </c>
      <c r="D41"/>
      <c r="E41" s="757">
        <v>44334</v>
      </c>
      <c r="F41" s="756" t="s">
        <v>671</v>
      </c>
      <c r="G41" s="757">
        <v>44336</v>
      </c>
      <c r="H41"/>
      <c r="I41" s="496">
        <f t="shared" si="0"/>
        <v>2</v>
      </c>
      <c r="J41"/>
    </row>
    <row r="42" spans="1:10" ht="12.5">
      <c r="A42" s="208">
        <f t="shared" si="1"/>
        <v>33</v>
      </c>
      <c r="C42" s="756" t="s">
        <v>586</v>
      </c>
      <c r="D42"/>
      <c r="E42" s="757">
        <v>44327</v>
      </c>
      <c r="F42" s="756" t="s">
        <v>671</v>
      </c>
      <c r="G42" s="757">
        <v>44330</v>
      </c>
      <c r="H42"/>
      <c r="I42" s="496">
        <f t="shared" si="0"/>
        <v>3</v>
      </c>
      <c r="J42"/>
    </row>
    <row r="43" spans="1:10" ht="12.5">
      <c r="A43" s="208">
        <f t="shared" si="1"/>
        <v>34</v>
      </c>
      <c r="C43" s="756" t="s">
        <v>587</v>
      </c>
      <c r="D43"/>
      <c r="E43" s="757">
        <v>44242</v>
      </c>
      <c r="F43" s="756" t="s">
        <v>674</v>
      </c>
      <c r="G43" s="757">
        <v>44243</v>
      </c>
      <c r="H43"/>
      <c r="I43" s="496">
        <f t="shared" si="0"/>
        <v>1</v>
      </c>
      <c r="J43"/>
    </row>
    <row r="44" spans="1:10" ht="12.5">
      <c r="A44" s="208">
        <f t="shared" si="1"/>
        <v>35</v>
      </c>
      <c r="C44" s="756" t="s">
        <v>588</v>
      </c>
      <c r="D44"/>
      <c r="E44" s="757">
        <v>44242</v>
      </c>
      <c r="F44" s="756" t="s">
        <v>674</v>
      </c>
      <c r="G44" s="757">
        <v>44243</v>
      </c>
      <c r="H44"/>
      <c r="I44" s="496">
        <f t="shared" si="0"/>
        <v>1</v>
      </c>
      <c r="J44"/>
    </row>
    <row r="45" spans="1:10" ht="12.5">
      <c r="A45" s="208">
        <f t="shared" si="1"/>
        <v>36</v>
      </c>
      <c r="C45" s="756" t="s">
        <v>589</v>
      </c>
      <c r="D45"/>
      <c r="E45" s="757">
        <v>44348</v>
      </c>
      <c r="F45" s="756" t="s">
        <v>671</v>
      </c>
      <c r="G45" s="757">
        <v>44349</v>
      </c>
      <c r="H45"/>
      <c r="I45" s="496">
        <f t="shared" si="0"/>
        <v>1</v>
      </c>
      <c r="J45"/>
    </row>
    <row r="46" spans="1:10" ht="12.5">
      <c r="A46" s="208">
        <f t="shared" si="1"/>
        <v>37</v>
      </c>
      <c r="C46" s="756" t="s">
        <v>590</v>
      </c>
      <c r="D46"/>
      <c r="E46" s="757">
        <v>44178</v>
      </c>
      <c r="F46" s="756" t="s">
        <v>672</v>
      </c>
      <c r="G46" s="757">
        <v>44179</v>
      </c>
      <c r="H46"/>
      <c r="I46" s="496">
        <f t="shared" si="0"/>
        <v>1</v>
      </c>
      <c r="J46"/>
    </row>
    <row r="47" spans="1:10" ht="12.5">
      <c r="A47" s="208">
        <f t="shared" si="1"/>
        <v>38</v>
      </c>
      <c r="C47" s="756" t="s">
        <v>591</v>
      </c>
      <c r="D47"/>
      <c r="E47" s="757">
        <v>44317</v>
      </c>
      <c r="F47" s="756" t="s">
        <v>670</v>
      </c>
      <c r="G47" s="757">
        <v>44319</v>
      </c>
      <c r="H47"/>
      <c r="I47" s="496">
        <f t="shared" si="0"/>
        <v>2</v>
      </c>
      <c r="J47"/>
    </row>
    <row r="48" spans="1:10" ht="12.5">
      <c r="A48" s="208">
        <f t="shared" si="1"/>
        <v>39</v>
      </c>
      <c r="C48" s="756" t="s">
        <v>592</v>
      </c>
      <c r="D48"/>
      <c r="E48" s="757">
        <v>44177</v>
      </c>
      <c r="F48" s="756" t="s">
        <v>670</v>
      </c>
      <c r="G48" s="757">
        <v>44179</v>
      </c>
      <c r="H48"/>
      <c r="I48" s="496">
        <f t="shared" si="0"/>
        <v>2</v>
      </c>
      <c r="J48"/>
    </row>
    <row r="49" spans="1:10" ht="12.5">
      <c r="A49" s="208">
        <f t="shared" si="1"/>
        <v>40</v>
      </c>
      <c r="C49" s="756" t="s">
        <v>593</v>
      </c>
      <c r="D49"/>
      <c r="E49" s="757">
        <v>44371</v>
      </c>
      <c r="F49" s="756" t="s">
        <v>676</v>
      </c>
      <c r="G49" s="757">
        <v>44372</v>
      </c>
      <c r="H49"/>
      <c r="I49" s="496">
        <f t="shared" si="0"/>
        <v>1</v>
      </c>
      <c r="J49"/>
    </row>
    <row r="50" spans="1:10" ht="12.5">
      <c r="A50" s="208">
        <f t="shared" si="1"/>
        <v>41</v>
      </c>
      <c r="C50" s="756" t="s">
        <v>594</v>
      </c>
      <c r="D50"/>
      <c r="E50" s="757">
        <v>44263</v>
      </c>
      <c r="F50" s="756" t="s">
        <v>674</v>
      </c>
      <c r="G50" s="757">
        <v>44264</v>
      </c>
      <c r="H50"/>
      <c r="I50" s="496">
        <f t="shared" si="0"/>
        <v>1</v>
      </c>
      <c r="J50"/>
    </row>
    <row r="51" spans="1:10" ht="12.5">
      <c r="A51" s="208">
        <f t="shared" si="1"/>
        <v>42</v>
      </c>
      <c r="C51" s="756" t="s">
        <v>595</v>
      </c>
      <c r="D51"/>
      <c r="E51" s="757">
        <v>44240</v>
      </c>
      <c r="F51" s="756" t="s">
        <v>670</v>
      </c>
      <c r="G51" s="757">
        <v>44243</v>
      </c>
      <c r="H51"/>
      <c r="I51" s="496">
        <f t="shared" si="0"/>
        <v>3</v>
      </c>
      <c r="J51"/>
    </row>
    <row r="52" spans="1:10" ht="12.5">
      <c r="A52" s="208">
        <f t="shared" si="1"/>
        <v>43</v>
      </c>
      <c r="C52" s="756" t="s">
        <v>596</v>
      </c>
      <c r="D52"/>
      <c r="E52" s="757">
        <v>44248</v>
      </c>
      <c r="F52" s="756" t="s">
        <v>672</v>
      </c>
      <c r="G52" s="757">
        <v>44249</v>
      </c>
      <c r="H52"/>
      <c r="I52" s="496">
        <f t="shared" si="0"/>
        <v>1</v>
      </c>
      <c r="J52"/>
    </row>
    <row r="53" spans="1:10" ht="12.5">
      <c r="A53" s="208">
        <f t="shared" si="1"/>
        <v>44</v>
      </c>
      <c r="C53" s="756" t="s">
        <v>597</v>
      </c>
      <c r="D53"/>
      <c r="E53" s="757">
        <v>44175</v>
      </c>
      <c r="F53" s="756" t="s">
        <v>676</v>
      </c>
      <c r="G53" s="757">
        <v>44179</v>
      </c>
      <c r="H53"/>
      <c r="I53" s="496">
        <f t="shared" si="0"/>
        <v>4</v>
      </c>
      <c r="J53"/>
    </row>
    <row r="54" spans="1:10" ht="12.5">
      <c r="A54" s="208">
        <f t="shared" si="1"/>
        <v>45</v>
      </c>
      <c r="C54" s="756" t="s">
        <v>598</v>
      </c>
      <c r="D54"/>
      <c r="E54" s="757">
        <v>44242</v>
      </c>
      <c r="F54" s="756" t="s">
        <v>674</v>
      </c>
      <c r="G54" s="757">
        <v>44243</v>
      </c>
      <c r="H54"/>
      <c r="I54" s="496">
        <f t="shared" si="0"/>
        <v>1</v>
      </c>
      <c r="J54"/>
    </row>
    <row r="55" spans="1:10" ht="12.5">
      <c r="A55" s="208">
        <f t="shared" si="1"/>
        <v>46</v>
      </c>
      <c r="C55" s="756" t="s">
        <v>599</v>
      </c>
      <c r="D55"/>
      <c r="E55" s="757">
        <v>44392</v>
      </c>
      <c r="F55" s="756" t="s">
        <v>676</v>
      </c>
      <c r="G55" s="757">
        <v>44393</v>
      </c>
      <c r="H55"/>
      <c r="I55" s="496">
        <f t="shared" si="0"/>
        <v>1</v>
      </c>
      <c r="J55"/>
    </row>
    <row r="56" spans="1:10" ht="12.5">
      <c r="A56" s="208">
        <f t="shared" si="1"/>
        <v>47</v>
      </c>
      <c r="C56" s="756" t="s">
        <v>600</v>
      </c>
      <c r="D56"/>
      <c r="E56" s="757">
        <v>44290</v>
      </c>
      <c r="F56" s="756" t="s">
        <v>672</v>
      </c>
      <c r="G56" s="757">
        <v>44291</v>
      </c>
      <c r="H56"/>
      <c r="I56" s="496">
        <f t="shared" si="0"/>
        <v>1</v>
      </c>
      <c r="J56"/>
    </row>
    <row r="57" spans="1:10" ht="12.5">
      <c r="A57" s="208">
        <f t="shared" si="1"/>
        <v>48</v>
      </c>
      <c r="C57" s="756" t="s">
        <v>601</v>
      </c>
      <c r="D57"/>
      <c r="E57" s="757">
        <v>44215</v>
      </c>
      <c r="F57" s="756" t="s">
        <v>671</v>
      </c>
      <c r="G57" s="757">
        <v>44217</v>
      </c>
      <c r="H57"/>
      <c r="I57" s="496">
        <f t="shared" si="0"/>
        <v>2</v>
      </c>
      <c r="J57"/>
    </row>
    <row r="58" spans="1:10" ht="12.5">
      <c r="A58" s="208">
        <f t="shared" si="1"/>
        <v>49</v>
      </c>
      <c r="C58" s="756" t="s">
        <v>602</v>
      </c>
      <c r="D58"/>
      <c r="E58" s="757">
        <v>44177</v>
      </c>
      <c r="F58" s="756" t="s">
        <v>670</v>
      </c>
      <c r="G58" s="757">
        <v>44179</v>
      </c>
      <c r="H58"/>
      <c r="I58" s="496">
        <f t="shared" si="0"/>
        <v>2</v>
      </c>
      <c r="J58"/>
    </row>
    <row r="59" spans="1:10" ht="12.5">
      <c r="A59" s="208">
        <f t="shared" si="1"/>
        <v>50</v>
      </c>
      <c r="C59" s="756" t="s">
        <v>603</v>
      </c>
      <c r="D59"/>
      <c r="E59" s="757">
        <v>44254</v>
      </c>
      <c r="F59" s="756" t="s">
        <v>670</v>
      </c>
      <c r="G59" s="757">
        <v>44256</v>
      </c>
      <c r="H59"/>
      <c r="I59" s="496">
        <f t="shared" si="0"/>
        <v>2</v>
      </c>
      <c r="J59"/>
    </row>
    <row r="60" spans="1:10" ht="12.5">
      <c r="A60" s="208">
        <f t="shared" si="1"/>
        <v>51</v>
      </c>
      <c r="C60" s="756" t="s">
        <v>604</v>
      </c>
      <c r="D60"/>
      <c r="E60" s="757">
        <v>44240</v>
      </c>
      <c r="F60" s="756" t="s">
        <v>670</v>
      </c>
      <c r="G60" s="757">
        <v>44243</v>
      </c>
      <c r="H60"/>
      <c r="I60" s="496">
        <f t="shared" si="0"/>
        <v>3</v>
      </c>
      <c r="J60"/>
    </row>
    <row r="61" spans="1:10" ht="12.5">
      <c r="A61" s="208">
        <f t="shared" si="1"/>
        <v>52</v>
      </c>
      <c r="C61" s="756" t="s">
        <v>605</v>
      </c>
      <c r="D61"/>
      <c r="E61" s="757">
        <v>44242</v>
      </c>
      <c r="F61" s="756" t="s">
        <v>674</v>
      </c>
      <c r="G61" s="757">
        <v>44243</v>
      </c>
      <c r="H61"/>
      <c r="I61" s="496">
        <f t="shared" si="0"/>
        <v>1</v>
      </c>
      <c r="J61"/>
    </row>
    <row r="62" spans="1:10" ht="12.5">
      <c r="A62" s="208">
        <f t="shared" si="1"/>
        <v>53</v>
      </c>
      <c r="C62" s="756" t="s">
        <v>606</v>
      </c>
      <c r="D62"/>
      <c r="E62" s="757">
        <v>44426</v>
      </c>
      <c r="F62" s="756" t="s">
        <v>673</v>
      </c>
      <c r="G62" s="757">
        <v>44427</v>
      </c>
      <c r="H62"/>
      <c r="I62" s="726">
        <f t="shared" si="0"/>
        <v>1</v>
      </c>
      <c r="J62"/>
    </row>
    <row r="63" spans="1:10" ht="12.5">
      <c r="A63" s="208">
        <v>54</v>
      </c>
      <c r="C63" s="756" t="s">
        <v>607</v>
      </c>
      <c r="D63"/>
      <c r="E63" s="757">
        <v>44134</v>
      </c>
      <c r="F63" s="756" t="s">
        <v>675</v>
      </c>
      <c r="G63" s="757">
        <v>44137</v>
      </c>
      <c r="H63"/>
      <c r="I63" s="496">
        <f t="shared" si="0"/>
        <v>3</v>
      </c>
      <c r="J63"/>
    </row>
    <row r="64" spans="1:10" ht="12.5">
      <c r="A64" s="208">
        <f t="shared" si="1"/>
        <v>55</v>
      </c>
      <c r="C64" s="756" t="s">
        <v>608</v>
      </c>
      <c r="D64"/>
      <c r="E64" s="757">
        <v>44405</v>
      </c>
      <c r="F64" s="756" t="s">
        <v>673</v>
      </c>
      <c r="G64" s="757">
        <v>44407</v>
      </c>
      <c r="H64"/>
      <c r="I64" s="496">
        <f t="shared" si="0"/>
        <v>2</v>
      </c>
      <c r="J64"/>
    </row>
    <row r="65" spans="1:10" ht="12.5">
      <c r="A65" s="208">
        <f t="shared" si="1"/>
        <v>56</v>
      </c>
      <c r="C65" s="756" t="s">
        <v>609</v>
      </c>
      <c r="D65"/>
      <c r="E65" s="757">
        <v>44285</v>
      </c>
      <c r="F65" s="756" t="s">
        <v>671</v>
      </c>
      <c r="G65" s="757">
        <v>44286</v>
      </c>
      <c r="H65"/>
      <c r="I65" s="496">
        <f t="shared" si="0"/>
        <v>1</v>
      </c>
      <c r="J65"/>
    </row>
    <row r="66" spans="1:10" ht="12.5">
      <c r="A66" s="208">
        <f t="shared" si="1"/>
        <v>57</v>
      </c>
      <c r="C66" s="756" t="s">
        <v>610</v>
      </c>
      <c r="D66"/>
      <c r="E66" s="757">
        <v>44250</v>
      </c>
      <c r="F66" s="756" t="s">
        <v>671</v>
      </c>
      <c r="G66" s="757">
        <v>44251</v>
      </c>
      <c r="H66"/>
      <c r="I66" s="496">
        <f t="shared" si="0"/>
        <v>1</v>
      </c>
      <c r="J66"/>
    </row>
    <row r="67" spans="1:10" ht="12.5">
      <c r="A67" s="208">
        <f t="shared" si="1"/>
        <v>58</v>
      </c>
      <c r="C67" s="756" t="s">
        <v>611</v>
      </c>
      <c r="D67"/>
      <c r="E67" s="757">
        <v>44191</v>
      </c>
      <c r="F67" s="756" t="s">
        <v>670</v>
      </c>
      <c r="G67" s="757">
        <v>44193</v>
      </c>
      <c r="H67"/>
      <c r="I67" s="496">
        <f t="shared" si="0"/>
        <v>2</v>
      </c>
      <c r="J67"/>
    </row>
    <row r="68" spans="1:10" ht="12.5">
      <c r="A68" s="208">
        <f t="shared" si="1"/>
        <v>59</v>
      </c>
      <c r="C68" s="756" t="s">
        <v>612</v>
      </c>
      <c r="D68"/>
      <c r="E68" s="757">
        <v>44420</v>
      </c>
      <c r="F68" s="756" t="s">
        <v>676</v>
      </c>
      <c r="G68" s="757">
        <v>44421</v>
      </c>
      <c r="H68"/>
      <c r="I68" s="496">
        <f t="shared" si="0"/>
        <v>1</v>
      </c>
      <c r="J68"/>
    </row>
    <row r="69" spans="1:10" ht="12.5">
      <c r="A69" s="208">
        <f t="shared" si="1"/>
        <v>60</v>
      </c>
      <c r="C69" s="756" t="s">
        <v>613</v>
      </c>
      <c r="D69"/>
      <c r="E69" s="757">
        <v>44242</v>
      </c>
      <c r="F69" s="756" t="s">
        <v>674</v>
      </c>
      <c r="G69" s="757">
        <v>44243</v>
      </c>
      <c r="H69"/>
      <c r="I69" s="496">
        <f t="shared" si="0"/>
        <v>1</v>
      </c>
      <c r="J69"/>
    </row>
    <row r="70" spans="1:10" ht="12.5">
      <c r="A70" s="208">
        <f t="shared" si="1"/>
        <v>61</v>
      </c>
      <c r="C70" s="756" t="s">
        <v>614</v>
      </c>
      <c r="D70"/>
      <c r="E70" s="757">
        <v>44293</v>
      </c>
      <c r="F70" s="756" t="s">
        <v>673</v>
      </c>
      <c r="G70" s="757">
        <v>44294</v>
      </c>
      <c r="H70"/>
      <c r="I70" s="496">
        <f t="shared" si="0"/>
        <v>1</v>
      </c>
      <c r="J70"/>
    </row>
    <row r="71" spans="1:10" ht="12.5">
      <c r="A71" s="208">
        <f t="shared" si="1"/>
        <v>62</v>
      </c>
      <c r="C71" s="756" t="s">
        <v>615</v>
      </c>
      <c r="D71"/>
      <c r="E71" s="757">
        <v>44242</v>
      </c>
      <c r="F71" s="756" t="s">
        <v>674</v>
      </c>
      <c r="G71" s="757">
        <v>44243</v>
      </c>
      <c r="H71"/>
      <c r="I71" s="496">
        <f t="shared" si="2" ref="I71:I98">+G71-E71</f>
        <v>1</v>
      </c>
      <c r="J71"/>
    </row>
    <row r="72" spans="1:10" ht="12.5">
      <c r="A72" s="208">
        <f t="shared" si="1"/>
        <v>63</v>
      </c>
      <c r="C72" s="756" t="s">
        <v>616</v>
      </c>
      <c r="D72"/>
      <c r="E72" s="757">
        <v>44317</v>
      </c>
      <c r="F72" s="756" t="s">
        <v>670</v>
      </c>
      <c r="G72" s="757">
        <v>44319</v>
      </c>
      <c r="H72"/>
      <c r="I72" s="496">
        <f t="shared" si="2"/>
        <v>2</v>
      </c>
      <c r="J72"/>
    </row>
    <row r="73" spans="1:10" ht="12.5">
      <c r="A73" s="208">
        <f t="shared" si="1"/>
        <v>64</v>
      </c>
      <c r="C73" s="756" t="s">
        <v>617</v>
      </c>
      <c r="D73"/>
      <c r="E73" s="757">
        <v>44124</v>
      </c>
      <c r="F73" s="756" t="s">
        <v>671</v>
      </c>
      <c r="G73" s="757">
        <v>44125</v>
      </c>
      <c r="H73"/>
      <c r="I73" s="496">
        <f t="shared" si="2"/>
        <v>1</v>
      </c>
      <c r="J73"/>
    </row>
    <row r="74" spans="1:10" ht="12.5">
      <c r="A74" s="208">
        <f t="shared" si="1"/>
        <v>65</v>
      </c>
      <c r="C74" s="756" t="s">
        <v>618</v>
      </c>
      <c r="D74"/>
      <c r="E74" s="757">
        <v>44226</v>
      </c>
      <c r="F74" s="756" t="s">
        <v>670</v>
      </c>
      <c r="G74" s="757">
        <v>44228</v>
      </c>
      <c r="H74"/>
      <c r="I74" s="496">
        <f t="shared" si="2"/>
        <v>2</v>
      </c>
      <c r="J74"/>
    </row>
    <row r="75" spans="1:10" ht="12.5">
      <c r="A75" s="208">
        <f t="shared" si="1"/>
        <v>66</v>
      </c>
      <c r="C75" s="756" t="s">
        <v>619</v>
      </c>
      <c r="D75"/>
      <c r="E75" s="757">
        <v>44185</v>
      </c>
      <c r="F75" s="756" t="s">
        <v>672</v>
      </c>
      <c r="G75" s="757">
        <v>44186</v>
      </c>
      <c r="H75"/>
      <c r="I75" s="496">
        <f t="shared" si="2"/>
        <v>1</v>
      </c>
      <c r="J75"/>
    </row>
    <row r="76" spans="1:10" ht="12.5">
      <c r="A76" s="208">
        <f t="shared" si="1"/>
        <v>67</v>
      </c>
      <c r="C76" s="756" t="s">
        <v>620</v>
      </c>
      <c r="D76"/>
      <c r="E76" s="757">
        <v>44418</v>
      </c>
      <c r="F76" s="756" t="s">
        <v>671</v>
      </c>
      <c r="G76" s="757">
        <v>44420</v>
      </c>
      <c r="H76"/>
      <c r="I76" s="496">
        <f t="shared" si="2"/>
        <v>2</v>
      </c>
      <c r="J76"/>
    </row>
    <row r="77" spans="1:10" ht="12.5">
      <c r="A77" s="208">
        <f t="shared" si="1"/>
        <v>68</v>
      </c>
      <c r="C77" s="756" t="s">
        <v>621</v>
      </c>
      <c r="D77"/>
      <c r="E77" s="757">
        <v>44443</v>
      </c>
      <c r="F77" s="756" t="s">
        <v>670</v>
      </c>
      <c r="G77" s="757">
        <v>44446</v>
      </c>
      <c r="H77"/>
      <c r="I77" s="496">
        <f t="shared" si="2"/>
        <v>3</v>
      </c>
      <c r="J77"/>
    </row>
    <row r="78" spans="1:10" ht="12.5">
      <c r="A78" s="208">
        <f t="shared" si="1"/>
        <v>69</v>
      </c>
      <c r="C78" s="756" t="s">
        <v>622</v>
      </c>
      <c r="D78"/>
      <c r="E78" s="757">
        <v>44128</v>
      </c>
      <c r="F78" s="756" t="s">
        <v>670</v>
      </c>
      <c r="G78" s="757">
        <v>44130</v>
      </c>
      <c r="H78"/>
      <c r="I78" s="496">
        <f t="shared" si="2"/>
        <v>2</v>
      </c>
      <c r="J78"/>
    </row>
    <row r="79" spans="1:10" ht="12.5">
      <c r="A79" s="208">
        <f t="shared" si="1"/>
        <v>70</v>
      </c>
      <c r="C79" s="756" t="s">
        <v>623</v>
      </c>
      <c r="D79"/>
      <c r="E79" s="757">
        <v>44271</v>
      </c>
      <c r="F79" s="756" t="s">
        <v>671</v>
      </c>
      <c r="G79" s="757">
        <v>44280</v>
      </c>
      <c r="H79"/>
      <c r="I79" s="496">
        <f t="shared" si="2"/>
        <v>9</v>
      </c>
      <c r="J79"/>
    </row>
    <row r="80" spans="1:10" ht="12.5">
      <c r="A80" s="208">
        <f t="shared" si="1"/>
        <v>71</v>
      </c>
      <c r="C80" s="756" t="s">
        <v>624</v>
      </c>
      <c r="D80"/>
      <c r="E80" s="757">
        <v>44279</v>
      </c>
      <c r="F80" s="756" t="s">
        <v>673</v>
      </c>
      <c r="G80" s="757">
        <v>44280</v>
      </c>
      <c r="H80"/>
      <c r="I80" s="496">
        <f t="shared" si="2"/>
        <v>1</v>
      </c>
      <c r="J80"/>
    </row>
    <row r="81" spans="1:10" ht="12.5">
      <c r="A81" s="208">
        <f t="shared" si="1"/>
        <v>72</v>
      </c>
      <c r="C81" s="756" t="s">
        <v>625</v>
      </c>
      <c r="D81"/>
      <c r="E81" s="757">
        <v>44379</v>
      </c>
      <c r="F81" s="756" t="s">
        <v>675</v>
      </c>
      <c r="G81" s="757">
        <v>44383</v>
      </c>
      <c r="H81"/>
      <c r="I81" s="496">
        <f t="shared" si="2"/>
        <v>4</v>
      </c>
      <c r="J81"/>
    </row>
    <row r="82" spans="1:10" ht="12.5">
      <c r="A82" s="208">
        <f t="shared" si="1"/>
        <v>73</v>
      </c>
      <c r="C82" s="756" t="s">
        <v>626</v>
      </c>
      <c r="D82"/>
      <c r="E82" s="757">
        <v>44396</v>
      </c>
      <c r="F82" s="756" t="s">
        <v>674</v>
      </c>
      <c r="G82" s="757">
        <v>44397</v>
      </c>
      <c r="H82"/>
      <c r="I82" s="496">
        <f t="shared" si="2"/>
        <v>1</v>
      </c>
      <c r="J82"/>
    </row>
    <row r="83" spans="1:10" ht="12.5">
      <c r="A83" s="208">
        <f t="shared" si="1"/>
        <v>74</v>
      </c>
      <c r="C83" s="756" t="s">
        <v>627</v>
      </c>
      <c r="D83"/>
      <c r="E83" s="757">
        <v>44119</v>
      </c>
      <c r="F83" s="756" t="s">
        <v>676</v>
      </c>
      <c r="G83" s="757">
        <v>44120</v>
      </c>
      <c r="H83"/>
      <c r="I83" s="496">
        <f t="shared" si="2"/>
        <v>1</v>
      </c>
      <c r="J83"/>
    </row>
    <row r="84" spans="1:10" ht="12.5">
      <c r="A84" s="208">
        <f t="shared" si="1"/>
        <v>75</v>
      </c>
      <c r="C84" s="756" t="s">
        <v>628</v>
      </c>
      <c r="D84"/>
      <c r="E84" s="757">
        <v>44284</v>
      </c>
      <c r="F84" s="756" t="s">
        <v>674</v>
      </c>
      <c r="G84" s="757">
        <v>44285</v>
      </c>
      <c r="H84"/>
      <c r="I84" s="496">
        <f t="shared" si="2"/>
        <v>1</v>
      </c>
      <c r="J84"/>
    </row>
    <row r="85" spans="1:10" ht="12.5">
      <c r="A85" s="208">
        <f t="shared" si="1"/>
        <v>76</v>
      </c>
      <c r="C85" s="756" t="s">
        <v>629</v>
      </c>
      <c r="D85"/>
      <c r="E85" s="757">
        <v>44370</v>
      </c>
      <c r="F85" s="756" t="s">
        <v>673</v>
      </c>
      <c r="G85" s="757">
        <v>44371</v>
      </c>
      <c r="H85"/>
      <c r="I85" s="496">
        <f t="shared" si="2"/>
        <v>1</v>
      </c>
      <c r="J85"/>
    </row>
    <row r="86" spans="1:10" ht="12.5">
      <c r="A86" s="208">
        <f t="shared" si="1"/>
        <v>77</v>
      </c>
      <c r="C86" s="756" t="s">
        <v>630</v>
      </c>
      <c r="D86"/>
      <c r="E86" s="757">
        <v>44261</v>
      </c>
      <c r="F86" s="756" t="s">
        <v>670</v>
      </c>
      <c r="G86" s="757">
        <v>44263</v>
      </c>
      <c r="H86"/>
      <c r="I86" s="496">
        <f t="shared" si="2"/>
        <v>2</v>
      </c>
      <c r="J86"/>
    </row>
    <row r="87" spans="1:10" ht="12.5">
      <c r="A87" s="208">
        <f t="shared" si="1"/>
        <v>78</v>
      </c>
      <c r="C87" s="756" t="s">
        <v>631</v>
      </c>
      <c r="D87"/>
      <c r="E87" s="757">
        <v>44142</v>
      </c>
      <c r="F87" s="756" t="s">
        <v>670</v>
      </c>
      <c r="G87" s="757">
        <v>44144</v>
      </c>
      <c r="H87"/>
      <c r="I87" s="496">
        <f t="shared" si="2"/>
        <v>2</v>
      </c>
      <c r="J87"/>
    </row>
    <row r="88" spans="1:10" ht="12.5">
      <c r="A88" s="208">
        <f t="shared" si="1"/>
        <v>79</v>
      </c>
      <c r="C88" s="756" t="s">
        <v>632</v>
      </c>
      <c r="D88"/>
      <c r="E88" s="757">
        <v>44221</v>
      </c>
      <c r="F88" s="756" t="s">
        <v>674</v>
      </c>
      <c r="G88" s="757">
        <v>44222</v>
      </c>
      <c r="H88"/>
      <c r="I88" s="496">
        <f t="shared" si="2"/>
        <v>1</v>
      </c>
      <c r="J88"/>
    </row>
    <row r="89" spans="1:10" ht="12.5">
      <c r="A89" s="208">
        <f t="shared" si="1"/>
        <v>80</v>
      </c>
      <c r="C89" s="756" t="s">
        <v>633</v>
      </c>
      <c r="D89"/>
      <c r="E89" s="757">
        <v>44383</v>
      </c>
      <c r="F89" s="756" t="s">
        <v>671</v>
      </c>
      <c r="G89" s="757">
        <v>44384</v>
      </c>
      <c r="H89"/>
      <c r="I89" s="496">
        <f t="shared" si="2"/>
        <v>1</v>
      </c>
      <c r="J89"/>
    </row>
    <row r="90" spans="1:10" ht="12.5">
      <c r="A90" s="208">
        <f t="shared" si="1"/>
        <v>81</v>
      </c>
      <c r="C90" s="756" t="s">
        <v>634</v>
      </c>
      <c r="D90"/>
      <c r="E90" s="757">
        <v>44242</v>
      </c>
      <c r="F90" s="756" t="s">
        <v>674</v>
      </c>
      <c r="G90" s="757">
        <v>44243</v>
      </c>
      <c r="H90"/>
      <c r="I90" s="726">
        <f t="shared" si="2"/>
        <v>1</v>
      </c>
      <c r="J90"/>
    </row>
    <row r="91" spans="1:10" ht="12.5">
      <c r="A91" s="208">
        <v>82</v>
      </c>
      <c r="C91" s="756" t="s">
        <v>635</v>
      </c>
      <c r="D91"/>
      <c r="E91" s="757">
        <v>44172</v>
      </c>
      <c r="F91" s="756" t="s">
        <v>674</v>
      </c>
      <c r="G91" s="757">
        <v>44173</v>
      </c>
      <c r="H91"/>
      <c r="I91" s="496">
        <f t="shared" si="2"/>
        <v>1</v>
      </c>
      <c r="J91"/>
    </row>
    <row r="92" spans="1:9" ht="12.5">
      <c r="A92" s="208">
        <f t="shared" si="1"/>
        <v>83</v>
      </c>
      <c r="C92" s="756" t="s">
        <v>636</v>
      </c>
      <c r="D92"/>
      <c r="E92" s="757">
        <v>44214</v>
      </c>
      <c r="F92" s="756" t="s">
        <v>674</v>
      </c>
      <c r="G92" s="757">
        <v>44215</v>
      </c>
      <c r="H92"/>
      <c r="I92" s="496">
        <f t="shared" si="2"/>
        <v>1</v>
      </c>
    </row>
    <row r="93" spans="1:9" ht="12.5">
      <c r="A93" s="208">
        <f t="shared" si="3" ref="A93:A127">A92+1</f>
        <v>84</v>
      </c>
      <c r="C93" s="756" t="s">
        <v>637</v>
      </c>
      <c r="D93"/>
      <c r="E93" s="757">
        <v>44163</v>
      </c>
      <c r="F93" s="756" t="s">
        <v>670</v>
      </c>
      <c r="G93" s="757">
        <v>44165</v>
      </c>
      <c r="H93"/>
      <c r="I93" s="496">
        <f t="shared" si="2"/>
        <v>2</v>
      </c>
    </row>
    <row r="94" spans="1:9" ht="12.5">
      <c r="A94" s="208">
        <f t="shared" si="3"/>
        <v>85</v>
      </c>
      <c r="C94" s="756" t="s">
        <v>638</v>
      </c>
      <c r="D94"/>
      <c r="E94" s="757">
        <v>44355</v>
      </c>
      <c r="F94" s="756" t="s">
        <v>671</v>
      </c>
      <c r="G94" s="757">
        <v>44356</v>
      </c>
      <c r="H94"/>
      <c r="I94" s="496">
        <f t="shared" si="2"/>
        <v>1</v>
      </c>
    </row>
    <row r="95" spans="1:9" ht="12.5">
      <c r="A95" s="208">
        <f t="shared" si="3"/>
        <v>86</v>
      </c>
      <c r="C95" s="756" t="s">
        <v>639</v>
      </c>
      <c r="D95"/>
      <c r="E95" s="757">
        <v>44114</v>
      </c>
      <c r="F95" s="756" t="s">
        <v>670</v>
      </c>
      <c r="G95" s="757">
        <v>44116</v>
      </c>
      <c r="H95"/>
      <c r="I95" s="496">
        <f t="shared" si="2"/>
        <v>2</v>
      </c>
    </row>
    <row r="96" spans="1:9" ht="12.5">
      <c r="A96" s="208">
        <f t="shared" si="3"/>
        <v>87</v>
      </c>
      <c r="C96" s="756" t="s">
        <v>640</v>
      </c>
      <c r="D96"/>
      <c r="E96" s="757">
        <v>44379</v>
      </c>
      <c r="F96" s="756" t="s">
        <v>675</v>
      </c>
      <c r="G96" s="757">
        <v>44383</v>
      </c>
      <c r="H96"/>
      <c r="I96" s="496">
        <f t="shared" si="2"/>
        <v>4</v>
      </c>
    </row>
    <row r="97" spans="1:9" ht="12.5">
      <c r="A97" s="208">
        <f t="shared" si="3"/>
        <v>88</v>
      </c>
      <c r="C97" s="756" t="s">
        <v>641</v>
      </c>
      <c r="D97"/>
      <c r="E97" s="757">
        <v>44440</v>
      </c>
      <c r="F97" s="756" t="s">
        <v>673</v>
      </c>
      <c r="G97" s="757">
        <v>44441</v>
      </c>
      <c r="H97"/>
      <c r="I97" s="496">
        <f t="shared" si="2"/>
        <v>1</v>
      </c>
    </row>
    <row r="98" spans="1:9" ht="12.5">
      <c r="A98" s="208">
        <f t="shared" si="3"/>
        <v>89</v>
      </c>
      <c r="C98" s="756" t="s">
        <v>642</v>
      </c>
      <c r="D98"/>
      <c r="E98" s="757">
        <v>44415</v>
      </c>
      <c r="F98" s="756" t="s">
        <v>670</v>
      </c>
      <c r="G98" s="757">
        <v>44417</v>
      </c>
      <c r="H98"/>
      <c r="I98" s="496">
        <f t="shared" si="2"/>
        <v>2</v>
      </c>
    </row>
    <row r="99" spans="1:9" ht="12.5">
      <c r="A99" s="208">
        <f t="shared" si="3"/>
        <v>90</v>
      </c>
      <c r="C99" s="756" t="s">
        <v>643</v>
      </c>
      <c r="D99"/>
      <c r="E99" s="757">
        <v>44134</v>
      </c>
      <c r="F99" s="756" t="s">
        <v>675</v>
      </c>
      <c r="G99" s="757">
        <v>44137</v>
      </c>
      <c r="H99"/>
      <c r="I99" s="496">
        <f t="shared" si="4" ref="I99:I125">+G99-E99</f>
        <v>3</v>
      </c>
    </row>
    <row r="100" spans="1:9" ht="12.5">
      <c r="A100" s="208">
        <f t="shared" si="3"/>
        <v>91</v>
      </c>
      <c r="C100" s="756" t="s">
        <v>644</v>
      </c>
      <c r="D100"/>
      <c r="E100" s="757">
        <v>44316</v>
      </c>
      <c r="F100" s="756" t="s">
        <v>675</v>
      </c>
      <c r="G100" s="757">
        <v>44319</v>
      </c>
      <c r="H100"/>
      <c r="I100" s="496">
        <f t="shared" si="4"/>
        <v>3</v>
      </c>
    </row>
    <row r="101" spans="1:9" ht="12.5">
      <c r="A101" s="208">
        <f t="shared" si="3"/>
        <v>92</v>
      </c>
      <c r="C101" s="756" t="s">
        <v>645</v>
      </c>
      <c r="D101"/>
      <c r="E101" s="757">
        <v>44271</v>
      </c>
      <c r="F101" s="756" t="s">
        <v>671</v>
      </c>
      <c r="G101" s="757">
        <v>44272</v>
      </c>
      <c r="H101"/>
      <c r="I101" s="496">
        <f t="shared" si="4"/>
        <v>1</v>
      </c>
    </row>
    <row r="102" spans="1:9" ht="12.5">
      <c r="A102" s="208">
        <f t="shared" si="3"/>
        <v>93</v>
      </c>
      <c r="C102" s="756" t="s">
        <v>646</v>
      </c>
      <c r="D102"/>
      <c r="E102" s="757">
        <v>44242</v>
      </c>
      <c r="F102" s="756" t="s">
        <v>674</v>
      </c>
      <c r="G102" s="757">
        <v>44243</v>
      </c>
      <c r="H102"/>
      <c r="I102" s="496">
        <f t="shared" si="4"/>
        <v>1</v>
      </c>
    </row>
    <row r="103" spans="1:9" ht="12.5">
      <c r="A103" s="208">
        <f t="shared" si="3"/>
        <v>94</v>
      </c>
      <c r="C103" s="756" t="s">
        <v>647</v>
      </c>
      <c r="D103"/>
      <c r="E103" s="757">
        <v>44240</v>
      </c>
      <c r="F103" s="756" t="s">
        <v>670</v>
      </c>
      <c r="G103" s="757">
        <v>44243</v>
      </c>
      <c r="H103"/>
      <c r="I103" s="496">
        <f t="shared" si="4"/>
        <v>3</v>
      </c>
    </row>
    <row r="104" spans="1:9" ht="12.5">
      <c r="A104" s="208">
        <f t="shared" si="3"/>
        <v>95</v>
      </c>
      <c r="C104" s="756" t="s">
        <v>648</v>
      </c>
      <c r="D104"/>
      <c r="E104" s="757">
        <v>44135</v>
      </c>
      <c r="F104" s="756" t="s">
        <v>670</v>
      </c>
      <c r="G104" s="757">
        <v>44137</v>
      </c>
      <c r="H104"/>
      <c r="I104" s="496">
        <f t="shared" si="4"/>
        <v>2</v>
      </c>
    </row>
    <row r="105" spans="1:9" ht="12.5">
      <c r="A105" s="208">
        <f t="shared" si="3"/>
        <v>96</v>
      </c>
      <c r="C105" s="756" t="s">
        <v>649</v>
      </c>
      <c r="D105"/>
      <c r="E105" s="757">
        <v>44457</v>
      </c>
      <c r="F105" s="756" t="s">
        <v>670</v>
      </c>
      <c r="G105" s="757">
        <v>44459</v>
      </c>
      <c r="H105"/>
      <c r="I105" s="496">
        <f t="shared" si="4"/>
        <v>2</v>
      </c>
    </row>
    <row r="106" spans="1:9" ht="12.5">
      <c r="A106" s="208">
        <f t="shared" si="3"/>
        <v>97</v>
      </c>
      <c r="C106" s="756" t="s">
        <v>650</v>
      </c>
      <c r="D106"/>
      <c r="E106" s="757">
        <v>44387</v>
      </c>
      <c r="F106" s="756" t="s">
        <v>670</v>
      </c>
      <c r="G106" s="757">
        <v>44389</v>
      </c>
      <c r="H106"/>
      <c r="I106" s="496">
        <f t="shared" si="4"/>
        <v>2</v>
      </c>
    </row>
    <row r="107" spans="1:9" ht="12.5">
      <c r="A107" s="208">
        <f t="shared" si="3"/>
        <v>98</v>
      </c>
      <c r="C107" s="756" t="s">
        <v>651</v>
      </c>
      <c r="D107"/>
      <c r="E107" s="757">
        <v>44373</v>
      </c>
      <c r="F107" s="756" t="s">
        <v>670</v>
      </c>
      <c r="G107" s="757">
        <v>44375</v>
      </c>
      <c r="H107"/>
      <c r="I107" s="496">
        <f t="shared" si="4"/>
        <v>2</v>
      </c>
    </row>
    <row r="108" spans="1:9" ht="12.5">
      <c r="A108" s="208">
        <f t="shared" si="3"/>
        <v>99</v>
      </c>
      <c r="C108" s="756" t="s">
        <v>652</v>
      </c>
      <c r="D108"/>
      <c r="E108" s="757">
        <v>44449</v>
      </c>
      <c r="F108" s="756" t="s">
        <v>675</v>
      </c>
      <c r="G108" s="757">
        <v>44454</v>
      </c>
      <c r="H108"/>
      <c r="I108" s="496">
        <f t="shared" si="4"/>
        <v>5</v>
      </c>
    </row>
    <row r="109" spans="1:9" ht="12.5">
      <c r="A109" s="208">
        <f t="shared" si="3"/>
        <v>100</v>
      </c>
      <c r="C109" s="756" t="s">
        <v>653</v>
      </c>
      <c r="D109"/>
      <c r="E109" s="757">
        <v>44350</v>
      </c>
      <c r="F109" s="756" t="s">
        <v>676</v>
      </c>
      <c r="G109" s="757">
        <v>44351</v>
      </c>
      <c r="H109"/>
      <c r="I109" s="496">
        <f t="shared" si="4"/>
        <v>1</v>
      </c>
    </row>
    <row r="110" spans="1:9" ht="12.5">
      <c r="A110" s="208">
        <f t="shared" si="3"/>
        <v>101</v>
      </c>
      <c r="C110" s="756" t="s">
        <v>654</v>
      </c>
      <c r="D110"/>
      <c r="E110" s="757">
        <v>44339</v>
      </c>
      <c r="F110" s="756" t="s">
        <v>672</v>
      </c>
      <c r="G110" s="757">
        <v>44340</v>
      </c>
      <c r="H110"/>
      <c r="I110" s="496">
        <f t="shared" si="4"/>
        <v>1</v>
      </c>
    </row>
    <row r="111" spans="1:9" ht="12.5">
      <c r="A111" s="208">
        <f t="shared" si="3"/>
        <v>102</v>
      </c>
      <c r="C111" s="756" t="s">
        <v>655</v>
      </c>
      <c r="D111"/>
      <c r="E111" s="757">
        <v>44144</v>
      </c>
      <c r="F111" s="756" t="s">
        <v>674</v>
      </c>
      <c r="G111" s="757">
        <v>44145</v>
      </c>
      <c r="H111"/>
      <c r="I111" s="496">
        <f t="shared" si="4"/>
        <v>1</v>
      </c>
    </row>
    <row r="112" spans="1:9" ht="12.5">
      <c r="A112" s="208">
        <f t="shared" si="3"/>
        <v>103</v>
      </c>
      <c r="C112" s="756" t="s">
        <v>656</v>
      </c>
      <c r="D112"/>
      <c r="E112" s="757">
        <v>44331</v>
      </c>
      <c r="F112" s="756" t="s">
        <v>670</v>
      </c>
      <c r="G112" s="757">
        <v>44333</v>
      </c>
      <c r="H112"/>
      <c r="I112" s="496">
        <f t="shared" si="4"/>
        <v>2</v>
      </c>
    </row>
    <row r="113" spans="1:9" ht="12.5">
      <c r="A113" s="208">
        <f t="shared" si="3"/>
        <v>104</v>
      </c>
      <c r="C113" s="756" t="s">
        <v>657</v>
      </c>
      <c r="D113"/>
      <c r="E113" s="757">
        <v>44335</v>
      </c>
      <c r="F113" s="756" t="s">
        <v>673</v>
      </c>
      <c r="G113" s="757">
        <v>44336</v>
      </c>
      <c r="H113"/>
      <c r="I113" s="496">
        <f t="shared" si="4"/>
        <v>1</v>
      </c>
    </row>
    <row r="114" spans="1:9" ht="12.5">
      <c r="A114" s="208">
        <f t="shared" si="3"/>
        <v>105</v>
      </c>
      <c r="C114" s="756" t="s">
        <v>658</v>
      </c>
      <c r="D114"/>
      <c r="E114" s="757">
        <v>44324</v>
      </c>
      <c r="F114" s="756" t="s">
        <v>670</v>
      </c>
      <c r="G114" s="757">
        <v>44326</v>
      </c>
      <c r="H114"/>
      <c r="I114" s="496">
        <f t="shared" si="4"/>
        <v>2</v>
      </c>
    </row>
    <row r="115" spans="1:9" ht="12.5">
      <c r="A115" s="208">
        <f t="shared" si="3"/>
        <v>106</v>
      </c>
      <c r="C115" s="756" t="s">
        <v>659</v>
      </c>
      <c r="D115"/>
      <c r="E115" s="757">
        <v>44125</v>
      </c>
      <c r="F115" s="756" t="s">
        <v>673</v>
      </c>
      <c r="G115" s="757">
        <v>44126</v>
      </c>
      <c r="H115"/>
      <c r="I115" s="496">
        <f t="shared" si="4"/>
        <v>1</v>
      </c>
    </row>
    <row r="116" spans="1:9" ht="12.5">
      <c r="A116" s="208">
        <f t="shared" si="3"/>
        <v>107</v>
      </c>
      <c r="C116" s="756" t="s">
        <v>660</v>
      </c>
      <c r="D116"/>
      <c r="E116" s="757">
        <v>44155</v>
      </c>
      <c r="F116" s="756" t="s">
        <v>675</v>
      </c>
      <c r="G116" s="757">
        <v>44156</v>
      </c>
      <c r="H116"/>
      <c r="I116" s="496">
        <f t="shared" si="4"/>
        <v>1</v>
      </c>
    </row>
    <row r="117" spans="1:9" ht="12.5">
      <c r="A117" s="208">
        <f t="shared" si="3"/>
        <v>108</v>
      </c>
      <c r="C117" s="756" t="s">
        <v>661</v>
      </c>
      <c r="D117"/>
      <c r="E117" s="757">
        <v>44342</v>
      </c>
      <c r="F117" s="756" t="s">
        <v>673</v>
      </c>
      <c r="G117" s="757">
        <v>44344</v>
      </c>
      <c r="H117"/>
      <c r="I117" s="496">
        <f t="shared" si="4"/>
        <v>2</v>
      </c>
    </row>
    <row r="118" spans="1:9" ht="12.5">
      <c r="A118" s="208">
        <f t="shared" si="3"/>
        <v>109</v>
      </c>
      <c r="C118" s="756" t="s">
        <v>662</v>
      </c>
      <c r="D118"/>
      <c r="E118" s="757">
        <v>44233</v>
      </c>
      <c r="F118" s="756" t="s">
        <v>670</v>
      </c>
      <c r="G118" s="757">
        <v>44235</v>
      </c>
      <c r="H118"/>
      <c r="I118" s="496">
        <f t="shared" si="4"/>
        <v>2</v>
      </c>
    </row>
    <row r="119" spans="1:9" ht="12.5">
      <c r="A119" s="208">
        <f t="shared" si="3"/>
        <v>110</v>
      </c>
      <c r="C119" s="756" t="s">
        <v>663</v>
      </c>
      <c r="D119"/>
      <c r="E119" s="757">
        <v>44432</v>
      </c>
      <c r="F119" s="756" t="s">
        <v>671</v>
      </c>
      <c r="G119" s="757">
        <v>44434</v>
      </c>
      <c r="H119"/>
      <c r="I119" s="496">
        <f t="shared" si="4"/>
        <v>2</v>
      </c>
    </row>
    <row r="120" spans="1:9" ht="12.5">
      <c r="A120" s="208">
        <f t="shared" si="3"/>
        <v>111</v>
      </c>
      <c r="C120" s="756" t="s">
        <v>664</v>
      </c>
      <c r="D120"/>
      <c r="E120" s="757">
        <v>44379</v>
      </c>
      <c r="F120" s="756" t="s">
        <v>675</v>
      </c>
      <c r="G120" s="757">
        <v>44383</v>
      </c>
      <c r="H120"/>
      <c r="I120" s="496">
        <f t="shared" si="4"/>
        <v>4</v>
      </c>
    </row>
    <row r="121" spans="1:9" ht="12.5">
      <c r="A121" s="208">
        <f t="shared" si="3"/>
        <v>112</v>
      </c>
      <c r="C121" s="756" t="s">
        <v>665</v>
      </c>
      <c r="D121"/>
      <c r="E121" s="757">
        <v>44335</v>
      </c>
      <c r="F121" s="756" t="s">
        <v>673</v>
      </c>
      <c r="G121" s="757">
        <v>44340</v>
      </c>
      <c r="H121"/>
      <c r="I121" s="496">
        <f t="shared" si="4"/>
        <v>5</v>
      </c>
    </row>
    <row r="122" spans="1:9" ht="12.5">
      <c r="A122" s="208">
        <f t="shared" si="3"/>
        <v>113</v>
      </c>
      <c r="C122" s="756" t="s">
        <v>666</v>
      </c>
      <c r="D122"/>
      <c r="E122" s="757">
        <v>44316</v>
      </c>
      <c r="F122" s="756" t="s">
        <v>675</v>
      </c>
      <c r="G122" s="757">
        <v>44319</v>
      </c>
      <c r="H122"/>
      <c r="I122" s="496">
        <f t="shared" si="4"/>
        <v>3</v>
      </c>
    </row>
    <row r="123" spans="1:9" ht="12.5">
      <c r="A123" s="208">
        <f t="shared" si="3"/>
        <v>114</v>
      </c>
      <c r="C123" s="756" t="s">
        <v>667</v>
      </c>
      <c r="D123"/>
      <c r="E123" s="757">
        <v>44242</v>
      </c>
      <c r="F123" s="756" t="s">
        <v>674</v>
      </c>
      <c r="G123" s="757">
        <v>44243</v>
      </c>
      <c r="H123"/>
      <c r="I123" s="496">
        <f t="shared" si="4"/>
        <v>1</v>
      </c>
    </row>
    <row r="124" spans="1:9" ht="12.5">
      <c r="A124" s="208">
        <f t="shared" si="3"/>
        <v>115</v>
      </c>
      <c r="C124" s="756" t="s">
        <v>668</v>
      </c>
      <c r="D124"/>
      <c r="E124" s="757">
        <v>44447</v>
      </c>
      <c r="F124" s="756" t="s">
        <v>673</v>
      </c>
      <c r="G124" s="757">
        <v>44453</v>
      </c>
      <c r="H124"/>
      <c r="I124" s="496">
        <f t="shared" si="4"/>
        <v>6</v>
      </c>
    </row>
    <row r="125" spans="1:9" ht="12.5">
      <c r="A125" s="208">
        <f t="shared" si="3"/>
        <v>116</v>
      </c>
      <c r="C125" s="756" t="s">
        <v>669</v>
      </c>
      <c r="D125"/>
      <c r="E125" s="757">
        <v>44453</v>
      </c>
      <c r="F125" s="756" t="s">
        <v>671</v>
      </c>
      <c r="G125" s="757">
        <v>44454</v>
      </c>
      <c r="H125"/>
      <c r="I125" s="497">
        <f t="shared" si="4"/>
        <v>1</v>
      </c>
    </row>
    <row r="126" spans="1:9" ht="12.5">
      <c r="A126" s="208">
        <v>117</v>
      </c>
      <c r="C126" s="686" t="s">
        <v>26</v>
      </c>
      <c r="D126"/>
      <c r="E126" s="495"/>
      <c r="F126" s="495"/>
      <c r="G126" s="495"/>
      <c r="H126"/>
      <c r="I126" s="496">
        <f>SUM(I10:I125)</f>
        <v>243</v>
      </c>
    </row>
    <row r="127" spans="1:9" ht="12.5">
      <c r="A127" s="208">
        <f t="shared" si="3"/>
        <v>118</v>
      </c>
      <c r="C127" s="2"/>
      <c r="D127"/>
      <c r="E127" s="495"/>
      <c r="F127" s="495"/>
      <c r="G127" s="495"/>
      <c r="H127"/>
      <c r="I127" s="496"/>
    </row>
    <row r="128" spans="1:9" ht="13" thickBot="1">
      <c r="A128" s="208">
        <v>119</v>
      </c>
      <c r="C128" s="498" t="s">
        <v>249</v>
      </c>
      <c r="I128" s="696">
        <f>+I126/A125</f>
        <v>2.0948275862068964</v>
      </c>
    </row>
    <row r="129" spans="1:3" ht="13" thickTop="1">
      <c r="A129" s="208">
        <v>120</v>
      </c>
      <c r="C129" s="2"/>
    </row>
    <row r="130" spans="1:1" ht="12.5">
      <c r="A130" s="208">
        <v>121</v>
      </c>
    </row>
    <row r="131" spans="1:7" ht="12.5">
      <c r="A131" s="208">
        <v>122</v>
      </c>
      <c r="C131" s="462" t="s">
        <v>256</v>
      </c>
      <c r="E131" s="293" t="s">
        <v>468</v>
      </c>
      <c r="F131" s="170"/>
      <c r="G131" s="170"/>
    </row>
    <row r="132" spans="1:7" ht="12.5">
      <c r="A132" s="208"/>
      <c r="C132" s="170"/>
      <c r="D132" s="170"/>
      <c r="E132" s="170"/>
      <c r="F132" s="170"/>
      <c r="G132" s="170"/>
    </row>
  </sheetData>
  <hyperlinks>
    <hyperlink ref="E131" r:id="rId1" display="Revenue billing sample.xlsx"/>
  </hyperlinks>
  <printOptions horizontalCentered="1"/>
  <pageMargins left="0.5" right="0.5" top="1.5" bottom="0.5" header="1" footer="0.5"/>
  <pageSetup fitToHeight="10" orientation="landscape" r:id="rId2"/>
  <headerFooter alignWithMargins="0">
    <oddHeader>&amp;RWP/II-B-9/&amp;A
Page &amp;P of &amp;N</oddHeader>
  </headerFooter>
  <rowBreaks count="5" manualBreakCount="5">
    <brk id="32" max="8" man="1"/>
    <brk id="57" max="8" man="1"/>
    <brk id="78" max="8" man="1"/>
    <brk id="99" max="8" man="1"/>
    <brk id="123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">
    <tabColor rgb="FF92D050"/>
    <pageSetUpPr fitToPage="1"/>
  </sheetPr>
  <dimension ref="A1:W17"/>
  <sheetViews>
    <sheetView workbookViewId="0" topLeftCell="A1">
      <selection pane="topLeft" activeCell="A4" sqref="A4"/>
    </sheetView>
  </sheetViews>
  <sheetFormatPr defaultRowHeight="12.75"/>
  <cols>
    <col min="1" max="1" width="5.14285714285714" customWidth="1"/>
    <col min="2" max="2" width="43.5714285714286" customWidth="1"/>
    <col min="3" max="3" width="20.4285714285714" customWidth="1"/>
    <col min="4" max="4" width="17.8571428571429" customWidth="1"/>
    <col min="5" max="5" width="16.8571428571429" customWidth="1"/>
    <col min="6" max="7" width="17" bestFit="1" customWidth="1"/>
    <col min="8" max="8" width="17.4285714285714" bestFit="1" customWidth="1"/>
    <col min="9" max="9" width="17" bestFit="1" customWidth="1"/>
    <col min="10" max="10" width="16.8571428571429" bestFit="1" customWidth="1"/>
    <col min="11" max="11" width="17" bestFit="1" customWidth="1"/>
    <col min="12" max="12" width="16.4285714285714" bestFit="1" customWidth="1"/>
    <col min="13" max="15" width="15" bestFit="1" customWidth="1"/>
    <col min="16" max="16" width="16" bestFit="1" customWidth="1"/>
  </cols>
  <sheetData>
    <row r="1" spans="1:5" s="295" customFormat="1" ht="13">
      <c r="A1" s="181" t="s">
        <v>530</v>
      </c>
      <c r="B1" s="181"/>
      <c r="C1" s="181"/>
      <c r="D1" s="181"/>
      <c r="E1" s="181"/>
    </row>
    <row r="2" spans="1:5" s="295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23" s="295" customFormat="1" ht="13">
      <c r="A3" s="181" t="s">
        <v>326</v>
      </c>
      <c r="B3" s="181"/>
      <c r="C3" s="181"/>
      <c r="D3" s="181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23" s="295" customFormat="1" ht="13">
      <c r="A4" s="817" t="s">
        <v>929</v>
      </c>
      <c r="B4" s="181"/>
      <c r="C4" s="181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23" s="295" customFormat="1" ht="13">
      <c r="A5" s="181" t="s">
        <v>524</v>
      </c>
      <c r="B5" s="181"/>
      <c r="C5" s="181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1:23" s="295" customFormat="1" ht="13">
      <c r="A6" s="181"/>
      <c r="B6" s="181"/>
      <c r="C6" s="181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1" ht="13">
      <c r="A7" s="6" t="s">
        <v>40</v>
      </c>
    </row>
    <row r="8" spans="1:5" ht="26">
      <c r="A8" s="57" t="s">
        <v>41</v>
      </c>
      <c r="B8" s="57" t="s">
        <v>23</v>
      </c>
      <c r="C8" s="57" t="s">
        <v>25</v>
      </c>
      <c r="D8" s="57" t="s">
        <v>24</v>
      </c>
      <c r="E8" s="32" t="s">
        <v>327</v>
      </c>
    </row>
    <row r="9" spans="1:5" ht="12.5">
      <c r="A9" s="229"/>
      <c r="B9" s="126" t="s">
        <v>55</v>
      </c>
      <c r="C9" s="228" t="s">
        <v>56</v>
      </c>
      <c r="D9" s="228" t="s">
        <v>62</v>
      </c>
      <c r="E9" s="228" t="s">
        <v>57</v>
      </c>
    </row>
    <row r="10" spans="1:18" ht="12.5">
      <c r="A10" s="231"/>
      <c r="B10" s="338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</row>
    <row r="11" spans="1:18" ht="12.5">
      <c r="A11" s="231">
        <v>1</v>
      </c>
      <c r="B11" s="338" t="s">
        <v>310</v>
      </c>
      <c r="C11" s="186" t="s">
        <v>328</v>
      </c>
      <c r="D11" s="751">
        <f>+'1-1-3-1'!D25</f>
        <v>130373150028.71001</v>
      </c>
      <c r="E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</row>
    <row r="12" spans="1:18" ht="12.5">
      <c r="A12" s="231">
        <v>2</v>
      </c>
      <c r="B12" s="338" t="s">
        <v>11</v>
      </c>
      <c r="C12" s="293" t="s">
        <v>528</v>
      </c>
      <c r="D12" s="337">
        <v>3755449473.4099998</v>
      </c>
      <c r="E12" s="232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</row>
    <row r="13" spans="1:18" ht="12.5">
      <c r="A13" s="231">
        <v>3</v>
      </c>
      <c r="C13" s="230"/>
      <c r="D13" s="230"/>
      <c r="E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</row>
    <row r="14" spans="1:18" ht="13" thickBot="1">
      <c r="A14" s="231">
        <v>4</v>
      </c>
      <c r="B14" s="295" t="s">
        <v>349</v>
      </c>
      <c r="C14" s="230"/>
      <c r="D14" s="230"/>
      <c r="E14" s="459">
        <f>ROUND(D11/D12,3)</f>
        <v>34.716000000000001</v>
      </c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</row>
    <row r="15" ht="13" thickTop="1"/>
    <row r="16" spans="4:4" ht="12.5">
      <c r="D16" s="171"/>
    </row>
    <row r="17" spans="4:4" ht="12.5">
      <c r="D17" s="171"/>
    </row>
  </sheetData>
  <hyperlinks>
    <hyperlink ref="C12" r:id="rId1" display="CC&amp;B Revenue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">
    <tabColor rgb="FF92D050"/>
    <pageSetUpPr fitToPage="1"/>
  </sheetPr>
  <dimension ref="A1:W27"/>
  <sheetViews>
    <sheetView workbookViewId="0" topLeftCell="A1">
      <selection pane="topLeft" activeCell="A4" sqref="A4"/>
    </sheetView>
  </sheetViews>
  <sheetFormatPr defaultRowHeight="12.75"/>
  <cols>
    <col min="1" max="1" width="5.14285714285714" customWidth="1"/>
    <col min="2" max="2" width="43.5714285714286" customWidth="1"/>
    <col min="3" max="3" width="2" customWidth="1"/>
    <col min="4" max="4" width="17.8571428571429" customWidth="1"/>
    <col min="5" max="5" width="16.8571428571429" customWidth="1"/>
    <col min="6" max="7" width="17" bestFit="1" customWidth="1"/>
    <col min="8" max="8" width="17.4285714285714" bestFit="1" customWidth="1"/>
    <col min="9" max="9" width="17" bestFit="1" customWidth="1"/>
    <col min="10" max="10" width="16.8571428571429" bestFit="1" customWidth="1"/>
    <col min="11" max="11" width="17" bestFit="1" customWidth="1"/>
    <col min="12" max="12" width="16.4285714285714" bestFit="1" customWidth="1"/>
    <col min="13" max="15" width="15" bestFit="1" customWidth="1"/>
    <col min="16" max="16" width="16" bestFit="1" customWidth="1"/>
  </cols>
  <sheetData>
    <row r="1" spans="1:5" s="74" customFormat="1" ht="13">
      <c r="A1" s="181" t="s">
        <v>530</v>
      </c>
      <c r="B1" s="181"/>
      <c r="C1" s="181"/>
      <c r="D1" s="181"/>
      <c r="E1" s="181"/>
    </row>
    <row r="2" spans="1:5" s="74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23" s="74" customFormat="1" ht="13">
      <c r="A3" s="181" t="s">
        <v>179</v>
      </c>
      <c r="B3" s="181"/>
      <c r="C3" s="181"/>
      <c r="D3" s="181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23" s="74" customFormat="1" ht="13">
      <c r="A4" s="817" t="s">
        <v>929</v>
      </c>
      <c r="B4" s="181"/>
      <c r="C4" s="181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23" s="74" customFormat="1" ht="13">
      <c r="A5" s="181" t="s">
        <v>524</v>
      </c>
      <c r="B5" s="181"/>
      <c r="C5" s="181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1:23" s="74" customFormat="1" ht="13">
      <c r="A6" s="181"/>
      <c r="B6" s="181"/>
      <c r="C6" s="181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1" ht="13">
      <c r="A7" s="6" t="s">
        <v>40</v>
      </c>
    </row>
    <row r="8" spans="1:4" ht="13">
      <c r="A8" s="57" t="s">
        <v>41</v>
      </c>
      <c r="B8" s="57" t="s">
        <v>23</v>
      </c>
      <c r="C8" s="57"/>
      <c r="D8" s="57" t="s">
        <v>309</v>
      </c>
    </row>
    <row r="9" spans="1:4" ht="12.5">
      <c r="A9" s="229"/>
      <c r="B9" s="126" t="s">
        <v>55</v>
      </c>
      <c r="C9" s="229"/>
      <c r="D9" s="228" t="s">
        <v>56</v>
      </c>
    </row>
    <row r="10" spans="1:4" ht="12.5">
      <c r="A10" s="229"/>
      <c r="B10" s="126"/>
      <c r="C10" s="229"/>
      <c r="D10" s="228"/>
    </row>
    <row r="11" spans="1:23" s="500" customFormat="1" ht="12.5">
      <c r="A11" s="231">
        <v>1</v>
      </c>
      <c r="B11" s="499" t="s">
        <v>529</v>
      </c>
      <c r="C11" s="463"/>
      <c r="D11" s="463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500" customFormat="1" ht="12.5">
      <c r="A12" s="231">
        <v>2</v>
      </c>
      <c r="B12" s="662">
        <v>44105</v>
      </c>
      <c r="C12" s="463"/>
      <c r="D12" s="463">
        <f>+'1-1-3-1-1'!C41</f>
        <v>11762378161.940002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500" customFormat="1" ht="12.5">
      <c r="A13" s="231">
        <v>3</v>
      </c>
      <c r="B13" s="662">
        <v>44136</v>
      </c>
      <c r="C13" s="463"/>
      <c r="D13" s="501">
        <f>+'1-1-3-1-1'!E41</f>
        <v>9803893348.4100018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s="500" customFormat="1" ht="12.5">
      <c r="A14" s="231">
        <v>4</v>
      </c>
      <c r="B14" s="662">
        <v>44166</v>
      </c>
      <c r="C14" s="463"/>
      <c r="D14" s="501">
        <f>+'1-1-3-1-1'!G41</f>
        <v>10104340214.499998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3" s="500" customFormat="1" ht="12.5">
      <c r="A15" s="231">
        <v>5</v>
      </c>
      <c r="B15" s="662">
        <v>44197</v>
      </c>
      <c r="C15" s="463"/>
      <c r="D15" s="501">
        <f>+'1-1-3-1-1'!C76</f>
        <v>10516027967.689997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 spans="1:23" s="500" customFormat="1" ht="12.5">
      <c r="A16" s="231">
        <v>6</v>
      </c>
      <c r="B16" s="662">
        <v>44228</v>
      </c>
      <c r="C16" s="463"/>
      <c r="D16" s="501">
        <f>+'1-1-3-1-1'!E76</f>
        <v>10707084491.819998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1:18" s="500" customFormat="1" ht="12.5">
      <c r="A17" s="231">
        <v>7</v>
      </c>
      <c r="B17" s="662">
        <v>44256</v>
      </c>
      <c r="C17" s="463"/>
      <c r="D17" s="501">
        <f>+'1-1-3-1-1'!G76</f>
        <v>11923042769.469997</v>
      </c>
      <c r="E17"/>
      <c r="F17"/>
      <c r="G17"/>
      <c r="H17"/>
      <c r="I17"/>
      <c r="J17"/>
      <c r="K17" s="463"/>
      <c r="L17" s="463"/>
      <c r="M17" s="463"/>
      <c r="N17" s="463"/>
      <c r="O17" s="463"/>
      <c r="P17" s="463"/>
      <c r="Q17" s="463"/>
      <c r="R17" s="463"/>
    </row>
    <row r="18" spans="1:18" s="500" customFormat="1" ht="12.5">
      <c r="A18" s="231">
        <v>8</v>
      </c>
      <c r="B18" s="662">
        <v>44287</v>
      </c>
      <c r="C18" s="463"/>
      <c r="D18" s="501">
        <f>+'1-1-3-1-1'!C111</f>
        <v>9909114810.2200012</v>
      </c>
      <c r="E18"/>
      <c r="F18"/>
      <c r="G18"/>
      <c r="H18"/>
      <c r="I18"/>
      <c r="J18"/>
      <c r="K18" s="463"/>
      <c r="L18" s="463"/>
      <c r="M18" s="463"/>
      <c r="N18" s="463"/>
      <c r="O18" s="463"/>
      <c r="P18" s="463"/>
      <c r="Q18" s="463"/>
      <c r="R18" s="463"/>
    </row>
    <row r="19" spans="1:18" s="500" customFormat="1" ht="12.5">
      <c r="A19" s="231">
        <v>9</v>
      </c>
      <c r="B19" s="662">
        <v>44317</v>
      </c>
      <c r="C19" s="463"/>
      <c r="D19" s="501">
        <f>+'1-1-3-1-1'!E111</f>
        <v>9135710719.1100025</v>
      </c>
      <c r="E19"/>
      <c r="F19"/>
      <c r="G19"/>
      <c r="H19"/>
      <c r="I19"/>
      <c r="J19"/>
      <c r="K19" s="463"/>
      <c r="L19" s="463"/>
      <c r="M19" s="463"/>
      <c r="N19" s="463"/>
      <c r="O19" s="463"/>
      <c r="P19" s="463"/>
      <c r="Q19" s="463"/>
      <c r="R19" s="463"/>
    </row>
    <row r="20" spans="1:18" s="500" customFormat="1" ht="12.5">
      <c r="A20" s="231">
        <v>10</v>
      </c>
      <c r="B20" s="662">
        <v>44348</v>
      </c>
      <c r="C20" s="463"/>
      <c r="D20" s="501">
        <f>+'1-1-3-1-1'!G111</f>
        <v>9518925932.2299995</v>
      </c>
      <c r="E20"/>
      <c r="F20"/>
      <c r="G20"/>
      <c r="H20"/>
      <c r="I20"/>
      <c r="J20"/>
      <c r="K20" s="463"/>
      <c r="L20" s="463"/>
      <c r="M20" s="463"/>
      <c r="N20" s="463"/>
      <c r="O20" s="463"/>
      <c r="P20" s="463"/>
      <c r="Q20" s="463"/>
      <c r="R20" s="463"/>
    </row>
    <row r="21" spans="1:18" s="500" customFormat="1" ht="12.5">
      <c r="A21" s="231">
        <v>11</v>
      </c>
      <c r="B21" s="662">
        <v>44378</v>
      </c>
      <c r="C21" s="463"/>
      <c r="D21" s="501">
        <f>+'1-1-3-1-1'!C146</f>
        <v>11350903945.189999</v>
      </c>
      <c r="E21"/>
      <c r="F21"/>
      <c r="G21"/>
      <c r="H21"/>
      <c r="I21"/>
      <c r="J21"/>
      <c r="K21" s="463"/>
      <c r="L21" s="463"/>
      <c r="M21" s="463"/>
      <c r="N21" s="463"/>
      <c r="O21" s="463"/>
      <c r="P21" s="463"/>
      <c r="Q21" s="463"/>
      <c r="R21" s="463"/>
    </row>
    <row r="22" spans="1:18" s="500" customFormat="1" ht="12.5">
      <c r="A22" s="231">
        <v>12</v>
      </c>
      <c r="B22" s="662">
        <v>44409</v>
      </c>
      <c r="C22" s="463"/>
      <c r="D22" s="501">
        <f>+'1-1-3-1-1'!E146</f>
        <v>13010918342.719999</v>
      </c>
      <c r="E22"/>
      <c r="F22"/>
      <c r="G22"/>
      <c r="H22"/>
      <c r="I22"/>
      <c r="J22"/>
      <c r="K22" s="463"/>
      <c r="L22" s="463"/>
      <c r="M22" s="463"/>
      <c r="N22" s="463"/>
      <c r="O22" s="463"/>
      <c r="P22" s="463"/>
      <c r="Q22" s="463"/>
      <c r="R22" s="463"/>
    </row>
    <row r="23" spans="1:18" s="500" customFormat="1" ht="12.5">
      <c r="A23" s="231">
        <v>13</v>
      </c>
      <c r="B23" s="662">
        <v>44440</v>
      </c>
      <c r="C23" s="463"/>
      <c r="D23" s="467">
        <f>+'1-1-3-1-1'!G146</f>
        <v>12630809325.409998</v>
      </c>
      <c r="E23"/>
      <c r="F23"/>
      <c r="G23"/>
      <c r="H23"/>
      <c r="I23"/>
      <c r="J23"/>
      <c r="K23" s="463"/>
      <c r="L23" s="463"/>
      <c r="M23" s="463"/>
      <c r="N23" s="463"/>
      <c r="O23" s="463"/>
      <c r="P23" s="463"/>
      <c r="Q23" s="463"/>
      <c r="R23" s="463"/>
    </row>
    <row r="24" spans="1:18" s="500" customFormat="1" ht="12.5">
      <c r="A24" s="231">
        <v>14</v>
      </c>
      <c r="B24" s="499"/>
      <c r="C24" s="463"/>
      <c r="D24" s="463"/>
      <c r="E24"/>
      <c r="F24"/>
      <c r="G24"/>
      <c r="H24"/>
      <c r="I24"/>
      <c r="J24"/>
      <c r="K24" s="463"/>
      <c r="L24" s="463"/>
      <c r="M24" s="463"/>
      <c r="N24" s="463"/>
      <c r="O24" s="463"/>
      <c r="P24" s="463"/>
      <c r="Q24" s="463"/>
      <c r="R24" s="463"/>
    </row>
    <row r="25" spans="1:18" s="500" customFormat="1" ht="12.5">
      <c r="A25" s="231">
        <v>15</v>
      </c>
      <c r="B25" s="499" t="s">
        <v>310</v>
      </c>
      <c r="C25" s="463"/>
      <c r="D25" s="463">
        <f>SUM(D12:D24)</f>
        <v>130373150028.71001</v>
      </c>
      <c r="E25"/>
      <c r="F25"/>
      <c r="G25"/>
      <c r="H25"/>
      <c r="I25"/>
      <c r="J25"/>
      <c r="K25" s="463"/>
      <c r="L25" s="463"/>
      <c r="M25" s="463"/>
      <c r="N25" s="463"/>
      <c r="O25" s="463"/>
      <c r="P25" s="463"/>
      <c r="Q25" s="463"/>
      <c r="R25" s="463"/>
    </row>
    <row r="26" spans="1:18" s="500" customFormat="1" ht="12.5">
      <c r="A26" s="231">
        <v>16</v>
      </c>
      <c r="B26" s="499"/>
      <c r="C26" s="463"/>
      <c r="D26" s="463"/>
      <c r="E26"/>
      <c r="F26"/>
      <c r="G26"/>
      <c r="H26"/>
      <c r="I26"/>
      <c r="J26"/>
      <c r="K26" s="463"/>
      <c r="L26" s="463"/>
      <c r="M26" s="463"/>
      <c r="N26" s="463"/>
      <c r="O26" s="463"/>
      <c r="P26" s="463"/>
      <c r="Q26" s="463"/>
      <c r="R26" s="463"/>
    </row>
    <row r="27" spans="1:2" ht="12.5">
      <c r="A27" s="231">
        <v>17</v>
      </c>
      <c r="B27" s="213" t="s">
        <v>329</v>
      </c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">
    <tabColor rgb="FF92D050"/>
  </sheetPr>
  <dimension ref="A1:J149"/>
  <sheetViews>
    <sheetView zoomScale="85" zoomScaleNormal="85" zoomScaleSheetLayoutView="100" workbookViewId="0" topLeftCell="A1">
      <selection pane="topLeft" activeCell="A4" sqref="A4"/>
    </sheetView>
  </sheetViews>
  <sheetFormatPr defaultRowHeight="12.75"/>
  <cols>
    <col min="2" max="2" width="10.4285714285714" customWidth="1"/>
    <col min="3" max="3" width="17.5714285714286" style="343" bestFit="1" customWidth="1"/>
    <col min="4" max="4" width="11.1428571428571" bestFit="1" customWidth="1"/>
    <col min="5" max="5" width="16.5714285714286" style="343" bestFit="1" customWidth="1"/>
    <col min="6" max="6" width="11.4285714285714" bestFit="1" customWidth="1"/>
    <col min="7" max="7" width="17.5714285714286" style="343" bestFit="1" customWidth="1"/>
  </cols>
  <sheetData>
    <row r="1" spans="1:7" s="295" customFormat="1" ht="13">
      <c r="A1" s="299" t="s">
        <v>530</v>
      </c>
      <c r="C1" s="340"/>
      <c r="E1" s="340"/>
      <c r="G1" s="340"/>
    </row>
    <row r="2" spans="1:7" s="295" customFormat="1" ht="13">
      <c r="A2" s="299" t="str">
        <f>'1'!A2</f>
        <v>ONCOR ELECTRIC DELIVERY COMPANY LLC</v>
      </c>
      <c r="C2" s="340"/>
      <c r="E2" s="340"/>
      <c r="G2" s="340"/>
    </row>
    <row r="3" spans="1:7" s="295" customFormat="1" ht="13">
      <c r="A3" s="299" t="s">
        <v>226</v>
      </c>
      <c r="C3" s="340"/>
      <c r="E3" s="340"/>
      <c r="G3" s="340"/>
    </row>
    <row r="4" spans="1:7" s="295" customFormat="1" ht="13">
      <c r="A4" s="817" t="s">
        <v>929</v>
      </c>
      <c r="C4" s="340"/>
      <c r="E4" s="340"/>
      <c r="G4" s="340"/>
    </row>
    <row r="5" spans="1:7" s="295" customFormat="1" ht="13">
      <c r="A5" s="299" t="s">
        <v>524</v>
      </c>
      <c r="C5" s="340"/>
      <c r="E5" s="340"/>
      <c r="G5" s="340"/>
    </row>
    <row r="7" spans="1:7" ht="13">
      <c r="A7" s="57" t="s">
        <v>45</v>
      </c>
      <c r="B7" s="57" t="s">
        <v>113</v>
      </c>
      <c r="C7" s="341" t="s">
        <v>267</v>
      </c>
      <c r="D7" s="57" t="s">
        <v>113</v>
      </c>
      <c r="E7" s="341" t="s">
        <v>267</v>
      </c>
      <c r="F7" s="57" t="s">
        <v>113</v>
      </c>
      <c r="G7" s="341" t="s">
        <v>267</v>
      </c>
    </row>
    <row r="8" spans="2:10" ht="12.5">
      <c r="B8" s="228" t="s">
        <v>55</v>
      </c>
      <c r="C8" s="342" t="s">
        <v>56</v>
      </c>
      <c r="D8" s="228" t="s">
        <v>62</v>
      </c>
      <c r="E8" s="342" t="s">
        <v>57</v>
      </c>
      <c r="F8" s="228" t="s">
        <v>58</v>
      </c>
      <c r="G8" s="342" t="s">
        <v>59</v>
      </c>
      <c r="H8" s="228"/>
      <c r="J8" s="228"/>
    </row>
    <row r="10" spans="1:7" ht="12.5">
      <c r="A10" s="2">
        <v>1</v>
      </c>
      <c r="B10" s="262">
        <v>44105</v>
      </c>
      <c r="C10" s="227">
        <v>416490868.19</v>
      </c>
      <c r="D10" s="262">
        <f>+B40+1</f>
        <v>44136</v>
      </c>
      <c r="E10" s="227">
        <v>348406993.27999997</v>
      </c>
      <c r="F10" s="262">
        <f>+D39+1</f>
        <v>44166</v>
      </c>
      <c r="G10" s="227">
        <v>312935260.27999997</v>
      </c>
    </row>
    <row r="11" spans="1:7" ht="12.5">
      <c r="A11" s="2">
        <f>A10+1</f>
        <v>2</v>
      </c>
      <c r="B11" s="262">
        <f>+B10+1</f>
        <v>44106</v>
      </c>
      <c r="C11" s="227">
        <v>412463768.59999996</v>
      </c>
      <c r="D11" s="262">
        <f>+D10+1</f>
        <v>44137</v>
      </c>
      <c r="E11" s="227">
        <v>329067132.11000001</v>
      </c>
      <c r="F11" s="262">
        <f>+F10+1</f>
        <v>44167</v>
      </c>
      <c r="G11" s="340">
        <v>316993042.26999998</v>
      </c>
    </row>
    <row r="12" spans="1:7" ht="12.5">
      <c r="A12" s="2">
        <f t="shared" si="0" ref="A12:A40">A11+1</f>
        <v>3</v>
      </c>
      <c r="B12" s="262">
        <f t="shared" si="1" ref="B12:B40">+B11+1</f>
        <v>44107</v>
      </c>
      <c r="C12" s="227">
        <v>412463768.59999996</v>
      </c>
      <c r="D12" s="262">
        <f t="shared" si="2" ref="D12:F40">+D11+1</f>
        <v>44138</v>
      </c>
      <c r="E12" s="227">
        <v>332005585.50999999</v>
      </c>
      <c r="F12" s="262">
        <f t="shared" si="2"/>
        <v>44168</v>
      </c>
      <c r="G12" s="340">
        <v>321138282.30000001</v>
      </c>
    </row>
    <row r="13" spans="1:7" ht="12.5">
      <c r="A13" s="2">
        <f t="shared" si="0"/>
        <v>4</v>
      </c>
      <c r="B13" s="262">
        <f t="shared" si="1"/>
        <v>44108</v>
      </c>
      <c r="C13" s="227">
        <v>412463768.59999996</v>
      </c>
      <c r="D13" s="262">
        <f t="shared" si="2"/>
        <v>44139</v>
      </c>
      <c r="E13" s="227">
        <v>332849941.18000001</v>
      </c>
      <c r="F13" s="262">
        <f t="shared" si="2"/>
        <v>44169</v>
      </c>
      <c r="G13" s="340">
        <v>311777952.25</v>
      </c>
    </row>
    <row r="14" spans="1:7" ht="12.5">
      <c r="A14" s="2">
        <f t="shared" si="0"/>
        <v>5</v>
      </c>
      <c r="B14" s="262">
        <f t="shared" si="1"/>
        <v>44109</v>
      </c>
      <c r="C14" s="227">
        <v>401472158.32999998</v>
      </c>
      <c r="D14" s="262">
        <f t="shared" si="2"/>
        <v>44140</v>
      </c>
      <c r="E14" s="227">
        <v>334803661.17000002</v>
      </c>
      <c r="F14" s="262">
        <f t="shared" si="2"/>
        <v>44170</v>
      </c>
      <c r="G14" s="340">
        <v>325065493.77999997</v>
      </c>
    </row>
    <row r="15" spans="1:7" ht="12.5">
      <c r="A15" s="2">
        <f t="shared" si="0"/>
        <v>6</v>
      </c>
      <c r="B15" s="262">
        <f t="shared" si="1"/>
        <v>44110</v>
      </c>
      <c r="C15" s="227">
        <v>401087291.97999996</v>
      </c>
      <c r="D15" s="262">
        <f t="shared" si="2"/>
        <v>44141</v>
      </c>
      <c r="E15" s="227">
        <v>328626427.56999999</v>
      </c>
      <c r="F15" s="262">
        <f t="shared" si="2"/>
        <v>44171</v>
      </c>
      <c r="G15" s="340">
        <v>325065493.77999997</v>
      </c>
    </row>
    <row r="16" spans="1:7" ht="12.5">
      <c r="A16" s="2">
        <f t="shared" si="0"/>
        <v>7</v>
      </c>
      <c r="B16" s="262">
        <f t="shared" si="1"/>
        <v>44111</v>
      </c>
      <c r="C16" s="227">
        <v>399590114.52999997</v>
      </c>
      <c r="D16" s="262">
        <f t="shared" si="2"/>
        <v>44142</v>
      </c>
      <c r="E16" s="227">
        <v>328626427.56999999</v>
      </c>
      <c r="F16" s="262">
        <f t="shared" si="2"/>
        <v>44172</v>
      </c>
      <c r="G16" s="340">
        <v>328652970.67000002</v>
      </c>
    </row>
    <row r="17" spans="1:7" ht="12.5">
      <c r="A17" s="2">
        <f t="shared" si="0"/>
        <v>8</v>
      </c>
      <c r="B17" s="262">
        <f t="shared" si="1"/>
        <v>44112</v>
      </c>
      <c r="C17" s="227">
        <v>398626668.31999999</v>
      </c>
      <c r="D17" s="262">
        <f t="shared" si="2"/>
        <v>44143</v>
      </c>
      <c r="E17" s="227">
        <v>328626427.56999999</v>
      </c>
      <c r="F17" s="262">
        <f t="shared" si="2"/>
        <v>44173</v>
      </c>
      <c r="G17" s="340">
        <v>327711740.5</v>
      </c>
    </row>
    <row r="18" spans="1:7" ht="12.5">
      <c r="A18" s="2">
        <f t="shared" si="0"/>
        <v>9</v>
      </c>
      <c r="B18" s="262">
        <f t="shared" si="1"/>
        <v>44113</v>
      </c>
      <c r="C18" s="227">
        <v>391063162.86000001</v>
      </c>
      <c r="D18" s="262">
        <f t="shared" si="2"/>
        <v>44144</v>
      </c>
      <c r="E18" s="227">
        <v>323850779.43000001</v>
      </c>
      <c r="F18" s="262">
        <f t="shared" si="2"/>
        <v>44174</v>
      </c>
      <c r="G18" s="340">
        <v>328424223.88</v>
      </c>
    </row>
    <row r="19" spans="1:7" ht="12.5">
      <c r="A19" s="2">
        <f t="shared" si="0"/>
        <v>10</v>
      </c>
      <c r="B19" s="262">
        <f t="shared" si="1"/>
        <v>44114</v>
      </c>
      <c r="C19" s="227">
        <v>391063162.86000001</v>
      </c>
      <c r="D19" s="262">
        <f t="shared" si="2"/>
        <v>44145</v>
      </c>
      <c r="E19" s="227">
        <v>323806163.64999998</v>
      </c>
      <c r="F19" s="262">
        <f t="shared" si="2"/>
        <v>44175</v>
      </c>
      <c r="G19" s="340">
        <v>328968954.64999998</v>
      </c>
    </row>
    <row r="20" spans="1:7" ht="12.5">
      <c r="A20" s="2">
        <f t="shared" si="0"/>
        <v>11</v>
      </c>
      <c r="B20" s="262">
        <f t="shared" si="1"/>
        <v>44115</v>
      </c>
      <c r="C20" s="227">
        <v>391063162.86000001</v>
      </c>
      <c r="D20" s="262">
        <f t="shared" si="2"/>
        <v>44146</v>
      </c>
      <c r="E20" s="227">
        <v>334989211.19999999</v>
      </c>
      <c r="F20" s="262">
        <f t="shared" si="2"/>
        <v>44176</v>
      </c>
      <c r="G20" s="340">
        <v>325036761.42000002</v>
      </c>
    </row>
    <row r="21" spans="1:7" ht="12.5">
      <c r="A21" s="2">
        <f t="shared" si="0"/>
        <v>12</v>
      </c>
      <c r="B21" s="262">
        <f t="shared" si="1"/>
        <v>44116</v>
      </c>
      <c r="C21" s="227">
        <v>401659980.64999998</v>
      </c>
      <c r="D21" s="262">
        <f t="shared" si="2"/>
        <v>44147</v>
      </c>
      <c r="E21" s="227">
        <v>322354448.34999996</v>
      </c>
      <c r="F21" s="262">
        <f t="shared" si="2"/>
        <v>44177</v>
      </c>
      <c r="G21" s="340">
        <v>325036761.42000002</v>
      </c>
    </row>
    <row r="22" spans="1:7" ht="12.5">
      <c r="A22" s="2">
        <f t="shared" si="0"/>
        <v>13</v>
      </c>
      <c r="B22" s="262">
        <f t="shared" si="1"/>
        <v>44117</v>
      </c>
      <c r="C22" s="227">
        <v>390886853.28999996</v>
      </c>
      <c r="D22" s="262">
        <f t="shared" si="2"/>
        <v>44148</v>
      </c>
      <c r="E22" s="227">
        <v>320963803.61000001</v>
      </c>
      <c r="F22" s="262">
        <f t="shared" si="2"/>
        <v>44178</v>
      </c>
      <c r="G22" s="340">
        <v>325036761.42000002</v>
      </c>
    </row>
    <row r="23" spans="1:7" ht="12.5">
      <c r="A23" s="2">
        <f t="shared" si="0"/>
        <v>14</v>
      </c>
      <c r="B23" s="262">
        <f t="shared" si="1"/>
        <v>44118</v>
      </c>
      <c r="C23" s="227">
        <v>386170857.87</v>
      </c>
      <c r="D23" s="262">
        <f t="shared" si="2"/>
        <v>44149</v>
      </c>
      <c r="E23" s="227">
        <v>320963803.61000001</v>
      </c>
      <c r="F23" s="262">
        <f t="shared" si="2"/>
        <v>44179</v>
      </c>
      <c r="G23" s="340">
        <v>320116051.97999996</v>
      </c>
    </row>
    <row r="24" spans="1:7" ht="12.5">
      <c r="A24" s="2">
        <f t="shared" si="0"/>
        <v>15</v>
      </c>
      <c r="B24" s="262">
        <f t="shared" si="1"/>
        <v>44119</v>
      </c>
      <c r="C24" s="227">
        <v>380390764.31999999</v>
      </c>
      <c r="D24" s="262">
        <f t="shared" si="2"/>
        <v>44150</v>
      </c>
      <c r="E24" s="227">
        <v>320963803.61000001</v>
      </c>
      <c r="F24" s="262">
        <f t="shared" si="2"/>
        <v>44180</v>
      </c>
      <c r="G24" s="340">
        <v>318585762.74000001</v>
      </c>
    </row>
    <row r="25" spans="1:7" ht="12.5">
      <c r="A25" s="2">
        <f t="shared" si="0"/>
        <v>16</v>
      </c>
      <c r="B25" s="262">
        <f t="shared" si="1"/>
        <v>44120</v>
      </c>
      <c r="C25" s="227">
        <v>375545668.19</v>
      </c>
      <c r="D25" s="262">
        <f t="shared" si="2"/>
        <v>44151</v>
      </c>
      <c r="E25" s="227">
        <v>314076771.38</v>
      </c>
      <c r="F25" s="262">
        <f t="shared" si="2"/>
        <v>44181</v>
      </c>
      <c r="G25" s="340">
        <v>321744839.43000001</v>
      </c>
    </row>
    <row r="26" spans="1:7" ht="12.5">
      <c r="A26" s="2">
        <f t="shared" si="0"/>
        <v>17</v>
      </c>
      <c r="B26" s="262">
        <f t="shared" si="1"/>
        <v>44121</v>
      </c>
      <c r="C26" s="227">
        <v>375545668.19</v>
      </c>
      <c r="D26" s="262">
        <f t="shared" si="2"/>
        <v>44152</v>
      </c>
      <c r="E26" s="227">
        <v>316986101.38999999</v>
      </c>
      <c r="F26" s="262">
        <f t="shared" si="2"/>
        <v>44182</v>
      </c>
      <c r="G26" s="340">
        <v>324912051.19</v>
      </c>
    </row>
    <row r="27" spans="1:7" ht="12.5">
      <c r="A27" s="2">
        <f t="shared" si="0"/>
        <v>18</v>
      </c>
      <c r="B27" s="262">
        <f t="shared" si="1"/>
        <v>44122</v>
      </c>
      <c r="C27" s="227">
        <v>375545668.19</v>
      </c>
      <c r="D27" s="262">
        <f t="shared" si="2"/>
        <v>44153</v>
      </c>
      <c r="E27" s="227">
        <v>322749784.55000001</v>
      </c>
      <c r="F27" s="262">
        <f t="shared" si="2"/>
        <v>44183</v>
      </c>
      <c r="G27" s="340">
        <v>328976540.25999999</v>
      </c>
    </row>
    <row r="28" spans="1:7" ht="12.5">
      <c r="A28" s="2">
        <f t="shared" si="0"/>
        <v>19</v>
      </c>
      <c r="B28" s="262">
        <f t="shared" si="1"/>
        <v>44123</v>
      </c>
      <c r="C28" s="227">
        <v>370861317.44999999</v>
      </c>
      <c r="D28" s="262">
        <f t="shared" si="2"/>
        <v>44154</v>
      </c>
      <c r="E28" s="227">
        <v>326662324.00999999</v>
      </c>
      <c r="F28" s="262">
        <f t="shared" si="2"/>
        <v>44184</v>
      </c>
      <c r="G28" s="340">
        <v>341915542.67000002</v>
      </c>
    </row>
    <row r="29" spans="1:7" ht="12.5">
      <c r="A29" s="2">
        <f t="shared" si="0"/>
        <v>20</v>
      </c>
      <c r="B29" s="262">
        <f t="shared" si="1"/>
        <v>44124</v>
      </c>
      <c r="C29" s="227">
        <v>373450025.78999996</v>
      </c>
      <c r="D29" s="262">
        <f t="shared" si="2"/>
        <v>44155</v>
      </c>
      <c r="E29" s="227">
        <v>325348425.27999997</v>
      </c>
      <c r="F29" s="262">
        <f t="shared" si="2"/>
        <v>44185</v>
      </c>
      <c r="G29" s="340">
        <v>341915542.67000002</v>
      </c>
    </row>
    <row r="30" spans="1:7" ht="12.5">
      <c r="A30" s="2">
        <f t="shared" si="0"/>
        <v>21</v>
      </c>
      <c r="B30" s="262">
        <f t="shared" si="1"/>
        <v>44125</v>
      </c>
      <c r="C30" s="227">
        <v>368074936.36000001</v>
      </c>
      <c r="D30" s="262">
        <f t="shared" si="2"/>
        <v>44156</v>
      </c>
      <c r="E30" s="227">
        <v>325348425.27999997</v>
      </c>
      <c r="F30" s="262">
        <f t="shared" si="2"/>
        <v>44186</v>
      </c>
      <c r="G30" s="340">
        <v>334880633.81999999</v>
      </c>
    </row>
    <row r="31" spans="1:7" ht="12.5">
      <c r="A31" s="2">
        <f t="shared" si="0"/>
        <v>22</v>
      </c>
      <c r="B31" s="262">
        <f t="shared" si="1"/>
        <v>44126</v>
      </c>
      <c r="C31" s="227">
        <v>366161546.5</v>
      </c>
      <c r="D31" s="262">
        <f t="shared" si="2"/>
        <v>44157</v>
      </c>
      <c r="E31" s="227">
        <v>325348425.27999997</v>
      </c>
      <c r="F31" s="262">
        <f t="shared" si="2"/>
        <v>44187</v>
      </c>
      <c r="G31" s="340">
        <v>339770534.28999996</v>
      </c>
    </row>
    <row r="32" spans="1:7" ht="12.5">
      <c r="A32" s="2">
        <f t="shared" si="0"/>
        <v>23</v>
      </c>
      <c r="B32" s="262">
        <f t="shared" si="1"/>
        <v>44127</v>
      </c>
      <c r="C32" s="227">
        <v>360144894.44</v>
      </c>
      <c r="D32" s="262">
        <f t="shared" si="2"/>
        <v>44158</v>
      </c>
      <c r="E32" s="227">
        <v>336427667.13</v>
      </c>
      <c r="F32" s="262">
        <f t="shared" si="2"/>
        <v>44188</v>
      </c>
      <c r="G32" s="340">
        <v>335605137.22999996</v>
      </c>
    </row>
    <row r="33" spans="1:7" ht="12.5">
      <c r="A33" s="2">
        <f t="shared" si="0"/>
        <v>24</v>
      </c>
      <c r="B33" s="262">
        <f t="shared" si="1"/>
        <v>44128</v>
      </c>
      <c r="C33" s="227">
        <v>360144894.44</v>
      </c>
      <c r="D33" s="262">
        <f t="shared" si="2"/>
        <v>44159</v>
      </c>
      <c r="E33" s="227">
        <v>331487582.72999996</v>
      </c>
      <c r="F33" s="262">
        <f t="shared" si="2"/>
        <v>44189</v>
      </c>
      <c r="G33" s="340">
        <v>335605137.22999996</v>
      </c>
    </row>
    <row r="34" spans="1:7" ht="12.5">
      <c r="A34" s="2">
        <f t="shared" si="0"/>
        <v>25</v>
      </c>
      <c r="B34" s="262">
        <f t="shared" si="1"/>
        <v>44129</v>
      </c>
      <c r="C34" s="227">
        <v>360144894.44</v>
      </c>
      <c r="D34" s="262">
        <f t="shared" si="2"/>
        <v>44160</v>
      </c>
      <c r="E34" s="227">
        <v>332935675.34999996</v>
      </c>
      <c r="F34" s="262">
        <f t="shared" si="2"/>
        <v>44190</v>
      </c>
      <c r="G34" s="340">
        <v>335605137.22999996</v>
      </c>
    </row>
    <row r="35" spans="1:7" ht="12.5">
      <c r="A35" s="2">
        <f t="shared" si="0"/>
        <v>26</v>
      </c>
      <c r="B35" s="262">
        <f t="shared" si="1"/>
        <v>44130</v>
      </c>
      <c r="C35" s="227">
        <v>351203583.06</v>
      </c>
      <c r="D35" s="262">
        <f t="shared" si="2"/>
        <v>44161</v>
      </c>
      <c r="E35" s="227">
        <v>332935675.34999996</v>
      </c>
      <c r="F35" s="262">
        <f t="shared" si="2"/>
        <v>44191</v>
      </c>
      <c r="G35" s="340">
        <v>335605137.22999996</v>
      </c>
    </row>
    <row r="36" spans="1:7" ht="12.5">
      <c r="A36" s="2">
        <f t="shared" si="0"/>
        <v>27</v>
      </c>
      <c r="B36" s="262">
        <f t="shared" si="1"/>
        <v>44131</v>
      </c>
      <c r="C36" s="227">
        <v>346722536.94999999</v>
      </c>
      <c r="D36" s="262">
        <f t="shared" si="2"/>
        <v>44162</v>
      </c>
      <c r="E36" s="227">
        <v>325777775.94999999</v>
      </c>
      <c r="F36" s="262">
        <f t="shared" si="2"/>
        <v>44192</v>
      </c>
      <c r="G36" s="340">
        <v>335605137.22999996</v>
      </c>
    </row>
    <row r="37" spans="1:7" ht="12.5">
      <c r="A37" s="2">
        <f t="shared" si="0"/>
        <v>28</v>
      </c>
      <c r="B37" s="262">
        <f t="shared" si="1"/>
        <v>44132</v>
      </c>
      <c r="C37" s="227">
        <v>346655196.24000001</v>
      </c>
      <c r="D37" s="262">
        <f t="shared" si="2"/>
        <v>44163</v>
      </c>
      <c r="E37" s="227">
        <v>325777775.94999999</v>
      </c>
      <c r="F37" s="262">
        <f t="shared" si="2"/>
        <v>44193</v>
      </c>
      <c r="G37" s="340">
        <v>305902437.68000001</v>
      </c>
    </row>
    <row r="38" spans="1:7" ht="12.5">
      <c r="A38" s="2">
        <f t="shared" si="0"/>
        <v>29</v>
      </c>
      <c r="B38" s="262">
        <f t="shared" si="1"/>
        <v>44133</v>
      </c>
      <c r="C38" s="227">
        <v>348406993.27999997</v>
      </c>
      <c r="D38" s="262">
        <f t="shared" si="2"/>
        <v>44164</v>
      </c>
      <c r="E38" s="227">
        <v>325777775.94999999</v>
      </c>
      <c r="F38" s="262">
        <f t="shared" si="2"/>
        <v>44194</v>
      </c>
      <c r="G38" s="340">
        <v>309529501.26999998</v>
      </c>
    </row>
    <row r="39" spans="1:7" ht="12.5">
      <c r="A39" s="2">
        <f t="shared" si="0"/>
        <v>30</v>
      </c>
      <c r="B39" s="262">
        <f t="shared" si="1"/>
        <v>44134</v>
      </c>
      <c r="C39" s="227">
        <v>348406993.27999997</v>
      </c>
      <c r="D39" s="262">
        <f t="shared" si="2"/>
        <v>44165</v>
      </c>
      <c r="E39" s="227">
        <v>305348553.40999997</v>
      </c>
      <c r="F39" s="262">
        <f t="shared" si="2"/>
        <v>44195</v>
      </c>
      <c r="G39" s="340">
        <v>316171649.95999998</v>
      </c>
    </row>
    <row r="40" spans="1:7" ht="12.5">
      <c r="A40" s="2">
        <f t="shared" si="0"/>
        <v>31</v>
      </c>
      <c r="B40" s="262">
        <f t="shared" si="1"/>
        <v>44135</v>
      </c>
      <c r="C40" s="227">
        <v>348406993.27999997</v>
      </c>
      <c r="D40" s="262"/>
      <c r="E40" s="340"/>
      <c r="F40" s="262">
        <f t="shared" si="2"/>
        <v>44196</v>
      </c>
      <c r="G40" s="340">
        <v>320049741.76999998</v>
      </c>
    </row>
    <row r="41" spans="1:7" ht="13" thickBot="1">
      <c r="A41" s="2">
        <f>A40+1</f>
        <v>32</v>
      </c>
      <c r="C41" s="344">
        <f>SUM(C10:C40)</f>
        <v>11762378161.940002</v>
      </c>
      <c r="E41" s="344">
        <f>SUM(E10:E40)</f>
        <v>9803893348.4100018</v>
      </c>
      <c r="G41" s="344">
        <f>SUM(G10:G40)</f>
        <v>10104340214.499998</v>
      </c>
    </row>
    <row r="42" spans="1:7" ht="13.5" thickTop="1">
      <c r="A42" s="57" t="s">
        <v>45</v>
      </c>
      <c r="B42" s="57" t="s">
        <v>113</v>
      </c>
      <c r="C42" s="341" t="s">
        <v>267</v>
      </c>
      <c r="D42" s="57" t="s">
        <v>113</v>
      </c>
      <c r="E42" s="341" t="s">
        <v>267</v>
      </c>
      <c r="F42" s="57" t="s">
        <v>113</v>
      </c>
      <c r="G42" s="341" t="s">
        <v>267</v>
      </c>
    </row>
    <row r="43" spans="2:7" ht="12.5">
      <c r="B43" s="228" t="s">
        <v>55</v>
      </c>
      <c r="C43" s="342" t="s">
        <v>56</v>
      </c>
      <c r="D43" s="228" t="s">
        <v>62</v>
      </c>
      <c r="E43" s="342" t="s">
        <v>57</v>
      </c>
      <c r="F43" s="228" t="s">
        <v>58</v>
      </c>
      <c r="G43" s="342" t="s">
        <v>59</v>
      </c>
    </row>
    <row r="44" spans="1:1" ht="12.5">
      <c r="A44" s="2"/>
    </row>
    <row r="45" spans="1:7" ht="12.5">
      <c r="A45" s="2">
        <f>A41+1</f>
        <v>33</v>
      </c>
      <c r="B45" s="262">
        <f>+F40+1</f>
        <v>44197</v>
      </c>
      <c r="C45" s="227">
        <v>320049742</v>
      </c>
      <c r="D45" s="262">
        <f>+B75+1</f>
        <v>44228</v>
      </c>
      <c r="E45" s="227">
        <v>370038123.84999996</v>
      </c>
      <c r="F45" s="262">
        <f>+D73+1</f>
        <v>44257</v>
      </c>
      <c r="G45" s="227">
        <v>373107499.52999997</v>
      </c>
    </row>
    <row r="46" spans="1:7" ht="12.5">
      <c r="A46" s="2">
        <f>A45+1</f>
        <v>34</v>
      </c>
      <c r="B46" s="262">
        <f>+B45+1</f>
        <v>44198</v>
      </c>
      <c r="C46" s="340">
        <v>320049742</v>
      </c>
      <c r="D46" s="262">
        <f>+D45+1</f>
        <v>44229</v>
      </c>
      <c r="E46" s="340">
        <v>373964659.07999998</v>
      </c>
      <c r="F46" s="262">
        <f>+F45+1</f>
        <v>44258</v>
      </c>
      <c r="G46" s="340">
        <v>376960525.81999999</v>
      </c>
    </row>
    <row r="47" spans="1:7" ht="12.5">
      <c r="A47" s="2">
        <f t="shared" si="3" ref="A47:A75">A46+1</f>
        <v>35</v>
      </c>
      <c r="B47" s="262">
        <f t="shared" si="4" ref="B47:B74">+B46+1</f>
        <v>44199</v>
      </c>
      <c r="C47" s="340">
        <v>320049742</v>
      </c>
      <c r="D47" s="262">
        <f t="shared" si="5" ref="D47:D73">+D46+1</f>
        <v>44230</v>
      </c>
      <c r="E47" s="340">
        <v>375959825.13</v>
      </c>
      <c r="F47" s="262">
        <f t="shared" si="6" ref="F47:F74">+F46+1</f>
        <v>44259</v>
      </c>
      <c r="G47" s="340">
        <v>379908201.70999998</v>
      </c>
    </row>
    <row r="48" spans="1:7" ht="12.5">
      <c r="A48" s="2">
        <f t="shared" si="3"/>
        <v>36</v>
      </c>
      <c r="B48" s="262">
        <f t="shared" si="4"/>
        <v>44200</v>
      </c>
      <c r="C48" s="340">
        <v>325693941.81</v>
      </c>
      <c r="D48" s="262">
        <f t="shared" si="5"/>
        <v>44231</v>
      </c>
      <c r="E48" s="340">
        <v>380825586.30000001</v>
      </c>
      <c r="F48" s="262">
        <f t="shared" si="6"/>
        <v>44260</v>
      </c>
      <c r="G48" s="340">
        <v>380756849.74000001</v>
      </c>
    </row>
    <row r="49" spans="1:7" ht="12.5">
      <c r="A49" s="2">
        <f t="shared" si="3"/>
        <v>37</v>
      </c>
      <c r="B49" s="262">
        <f t="shared" si="4"/>
        <v>44201</v>
      </c>
      <c r="C49" s="340">
        <v>326606853.99000001</v>
      </c>
      <c r="D49" s="262">
        <f t="shared" si="5"/>
        <v>44232</v>
      </c>
      <c r="E49" s="340">
        <v>379903421.94999999</v>
      </c>
      <c r="F49" s="262">
        <f t="shared" si="6"/>
        <v>44261</v>
      </c>
      <c r="G49" s="340">
        <v>380756849.74000001</v>
      </c>
    </row>
    <row r="50" spans="1:7" ht="12.5">
      <c r="A50" s="2">
        <f t="shared" si="3"/>
        <v>38</v>
      </c>
      <c r="B50" s="262">
        <f t="shared" si="4"/>
        <v>44202</v>
      </c>
      <c r="C50" s="340">
        <v>327001893.69999999</v>
      </c>
      <c r="D50" s="262">
        <f t="shared" si="5"/>
        <v>44233</v>
      </c>
      <c r="E50" s="340">
        <v>379903421.94999999</v>
      </c>
      <c r="F50" s="262">
        <f t="shared" si="6"/>
        <v>44262</v>
      </c>
      <c r="G50" s="340">
        <v>380756849.74000001</v>
      </c>
    </row>
    <row r="51" spans="1:7" ht="12.5">
      <c r="A51" s="2">
        <f t="shared" si="3"/>
        <v>39</v>
      </c>
      <c r="B51" s="262">
        <f t="shared" si="4"/>
        <v>44203</v>
      </c>
      <c r="C51" s="340">
        <v>331930785.32999998</v>
      </c>
      <c r="D51" s="262">
        <f t="shared" si="5"/>
        <v>44234</v>
      </c>
      <c r="E51" s="340">
        <v>379903421.94999999</v>
      </c>
      <c r="F51" s="262">
        <f t="shared" si="6"/>
        <v>44263</v>
      </c>
      <c r="G51" s="340">
        <v>379449553.37</v>
      </c>
    </row>
    <row r="52" spans="1:7" ht="12.5">
      <c r="A52" s="2">
        <f t="shared" si="3"/>
        <v>40</v>
      </c>
      <c r="B52" s="262">
        <f t="shared" si="4"/>
        <v>44204</v>
      </c>
      <c r="C52" s="340">
        <v>331116529.69999999</v>
      </c>
      <c r="D52" s="262">
        <f t="shared" si="5"/>
        <v>44235</v>
      </c>
      <c r="E52" s="340">
        <v>381817704.28999996</v>
      </c>
      <c r="F52" s="262">
        <f t="shared" si="6"/>
        <v>44264</v>
      </c>
      <c r="G52" s="340">
        <v>381323505.19</v>
      </c>
    </row>
    <row r="53" spans="1:7" ht="12.5">
      <c r="A53" s="2">
        <f t="shared" si="3"/>
        <v>41</v>
      </c>
      <c r="B53" s="262">
        <f t="shared" si="4"/>
        <v>44205</v>
      </c>
      <c r="C53" s="340">
        <v>345824894.43000001</v>
      </c>
      <c r="D53" s="262">
        <f t="shared" si="5"/>
        <v>44236</v>
      </c>
      <c r="E53" s="340">
        <v>377558172.94999999</v>
      </c>
      <c r="F53" s="262">
        <f t="shared" si="6"/>
        <v>44265</v>
      </c>
      <c r="G53" s="340">
        <v>382698761.59999996</v>
      </c>
    </row>
    <row r="54" spans="1:7" ht="12.5">
      <c r="A54" s="2">
        <f t="shared" si="3"/>
        <v>42</v>
      </c>
      <c r="B54" s="262">
        <f t="shared" si="4"/>
        <v>44206</v>
      </c>
      <c r="C54" s="340">
        <v>345824894.43000001</v>
      </c>
      <c r="D54" s="262">
        <f t="shared" si="5"/>
        <v>44237</v>
      </c>
      <c r="E54" s="340">
        <v>372127249.94999999</v>
      </c>
      <c r="F54" s="262">
        <f t="shared" si="6"/>
        <v>44266</v>
      </c>
      <c r="G54" s="340">
        <v>385271238.5</v>
      </c>
    </row>
    <row r="55" spans="1:7" ht="12.5">
      <c r="A55" s="2">
        <f t="shared" si="3"/>
        <v>43</v>
      </c>
      <c r="B55" s="262">
        <f t="shared" si="4"/>
        <v>44207</v>
      </c>
      <c r="C55" s="340">
        <v>332798043.01999998</v>
      </c>
      <c r="D55" s="262">
        <f t="shared" si="5"/>
        <v>44238</v>
      </c>
      <c r="E55" s="340">
        <v>372723508.92000002</v>
      </c>
      <c r="F55" s="262">
        <f t="shared" si="6"/>
        <v>44267</v>
      </c>
      <c r="G55" s="340">
        <v>383404637.99000001</v>
      </c>
    </row>
    <row r="56" spans="1:7" ht="12.5">
      <c r="A56" s="2">
        <f t="shared" si="3"/>
        <v>44</v>
      </c>
      <c r="B56" s="262">
        <f t="shared" si="4"/>
        <v>44208</v>
      </c>
      <c r="C56" s="340">
        <v>335308033.37</v>
      </c>
      <c r="D56" s="262">
        <f t="shared" si="5"/>
        <v>44239</v>
      </c>
      <c r="E56" s="340">
        <v>366964737.90999997</v>
      </c>
      <c r="F56" s="262">
        <f t="shared" si="6"/>
        <v>44268</v>
      </c>
      <c r="G56" s="340">
        <v>383404637.99000001</v>
      </c>
    </row>
    <row r="57" spans="1:7" ht="12.5">
      <c r="A57" s="2">
        <f t="shared" si="3"/>
        <v>45</v>
      </c>
      <c r="B57" s="262">
        <f t="shared" si="4"/>
        <v>44209</v>
      </c>
      <c r="C57" s="340">
        <v>339765753.20999998</v>
      </c>
      <c r="D57" s="262">
        <f t="shared" si="5"/>
        <v>44240</v>
      </c>
      <c r="E57" s="340">
        <v>366964737.90999997</v>
      </c>
      <c r="F57" s="262">
        <f t="shared" si="6"/>
        <v>44269</v>
      </c>
      <c r="G57" s="340">
        <v>383404637.99000001</v>
      </c>
    </row>
    <row r="58" spans="1:7" ht="12.5">
      <c r="A58" s="2">
        <f t="shared" si="3"/>
        <v>46</v>
      </c>
      <c r="B58" s="262">
        <f t="shared" si="4"/>
        <v>44210</v>
      </c>
      <c r="C58" s="340">
        <v>339178002.17000002</v>
      </c>
      <c r="D58" s="262">
        <f t="shared" si="5"/>
        <v>44241</v>
      </c>
      <c r="E58" s="340">
        <v>366964737.90999997</v>
      </c>
      <c r="F58" s="262">
        <f t="shared" si="6"/>
        <v>44270</v>
      </c>
      <c r="G58" s="340">
        <v>379146305.65999997</v>
      </c>
    </row>
    <row r="59" spans="1:7" ht="12.5">
      <c r="A59" s="2">
        <f t="shared" si="3"/>
        <v>47</v>
      </c>
      <c r="B59" s="262">
        <f t="shared" si="4"/>
        <v>44211</v>
      </c>
      <c r="C59" s="340">
        <v>341937560.61000001</v>
      </c>
      <c r="D59" s="262">
        <f t="shared" si="5"/>
        <v>44242</v>
      </c>
      <c r="E59" s="340">
        <v>366964737.90999997</v>
      </c>
      <c r="F59" s="262">
        <f t="shared" si="6"/>
        <v>44271</v>
      </c>
      <c r="G59" s="340">
        <v>379002331.56</v>
      </c>
    </row>
    <row r="60" spans="1:7" ht="12.5">
      <c r="A60" s="2">
        <f t="shared" si="3"/>
        <v>48</v>
      </c>
      <c r="B60" s="262">
        <f t="shared" si="4"/>
        <v>44212</v>
      </c>
      <c r="C60" s="340">
        <v>341937560.61000001</v>
      </c>
      <c r="D60" s="262">
        <f t="shared" si="5"/>
        <v>44243</v>
      </c>
      <c r="E60" s="340">
        <v>346790550.65999997</v>
      </c>
      <c r="F60" s="262">
        <f t="shared" si="6"/>
        <v>44272</v>
      </c>
      <c r="G60" s="340">
        <v>385547162.88999999</v>
      </c>
    </row>
    <row r="61" spans="1:7" ht="12.5">
      <c r="A61" s="2">
        <f t="shared" si="3"/>
        <v>49</v>
      </c>
      <c r="B61" s="262">
        <f t="shared" si="4"/>
        <v>44213</v>
      </c>
      <c r="C61" s="340">
        <v>341937560.61000001</v>
      </c>
      <c r="D61" s="262">
        <f t="shared" si="5"/>
        <v>44244</v>
      </c>
      <c r="E61" s="340">
        <v>351858455.99000001</v>
      </c>
      <c r="F61" s="262">
        <f t="shared" si="6"/>
        <v>44273</v>
      </c>
      <c r="G61" s="340">
        <v>387962434.12</v>
      </c>
    </row>
    <row r="62" spans="1:7" ht="12.5">
      <c r="A62" s="2">
        <f t="shared" si="3"/>
        <v>50</v>
      </c>
      <c r="B62" s="262">
        <f t="shared" si="4"/>
        <v>44214</v>
      </c>
      <c r="C62" s="340">
        <v>341937560.61000001</v>
      </c>
      <c r="D62" s="262">
        <f t="shared" si="5"/>
        <v>44245</v>
      </c>
      <c r="E62" s="340">
        <v>356294569.06999999</v>
      </c>
      <c r="F62" s="262">
        <f t="shared" si="6"/>
        <v>44274</v>
      </c>
      <c r="G62" s="340">
        <v>391733357.93000001</v>
      </c>
    </row>
    <row r="63" spans="1:7" ht="12.5">
      <c r="A63" s="2">
        <f t="shared" si="3"/>
        <v>51</v>
      </c>
      <c r="B63" s="262">
        <f t="shared" si="4"/>
        <v>44215</v>
      </c>
      <c r="C63" s="340">
        <v>330183596.37</v>
      </c>
      <c r="D63" s="262">
        <f t="shared" si="5"/>
        <v>44246</v>
      </c>
      <c r="E63" s="340">
        <v>361059614.87</v>
      </c>
      <c r="F63" s="262">
        <f t="shared" si="6"/>
        <v>44275</v>
      </c>
      <c r="G63" s="340">
        <v>391733357.93000001</v>
      </c>
    </row>
    <row r="64" spans="1:7" ht="12.5">
      <c r="A64" s="2">
        <f t="shared" si="3"/>
        <v>52</v>
      </c>
      <c r="B64" s="262">
        <f t="shared" si="4"/>
        <v>44216</v>
      </c>
      <c r="C64" s="340">
        <v>337316398.21999997</v>
      </c>
      <c r="D64" s="262">
        <f t="shared" si="5"/>
        <v>44247</v>
      </c>
      <c r="E64" s="340">
        <v>361059614.87</v>
      </c>
      <c r="F64" s="262">
        <f t="shared" si="6"/>
        <v>44276</v>
      </c>
      <c r="G64" s="340">
        <v>391733357.93000001</v>
      </c>
    </row>
    <row r="65" spans="1:7" ht="12.5">
      <c r="A65" s="2">
        <f t="shared" si="3"/>
        <v>53</v>
      </c>
      <c r="B65" s="262">
        <f t="shared" si="4"/>
        <v>44217</v>
      </c>
      <c r="C65" s="340">
        <v>335517327.46999997</v>
      </c>
      <c r="D65" s="262">
        <f t="shared" si="5"/>
        <v>44248</v>
      </c>
      <c r="E65" s="340">
        <v>361059614.87</v>
      </c>
      <c r="F65" s="262">
        <f t="shared" si="6"/>
        <v>44277</v>
      </c>
      <c r="G65" s="340">
        <v>389706864.13999999</v>
      </c>
    </row>
    <row r="66" spans="1:7" ht="12.5">
      <c r="A66" s="2">
        <f t="shared" si="3"/>
        <v>54</v>
      </c>
      <c r="B66" s="262">
        <f t="shared" si="4"/>
        <v>44218</v>
      </c>
      <c r="C66" s="340">
        <v>334614869.45999998</v>
      </c>
      <c r="D66" s="262">
        <f t="shared" si="5"/>
        <v>44249</v>
      </c>
      <c r="E66" s="340">
        <v>356399804.63999999</v>
      </c>
      <c r="F66" s="262">
        <f t="shared" si="6"/>
        <v>44278</v>
      </c>
      <c r="G66" s="340">
        <v>397252014.08999997</v>
      </c>
    </row>
    <row r="67" spans="1:7" ht="12.5">
      <c r="A67" s="2">
        <f t="shared" si="3"/>
        <v>55</v>
      </c>
      <c r="B67" s="262">
        <f t="shared" si="4"/>
        <v>44219</v>
      </c>
      <c r="C67" s="340">
        <v>349731932.97999996</v>
      </c>
      <c r="D67" s="262">
        <f t="shared" si="5"/>
        <v>44250</v>
      </c>
      <c r="E67" s="340">
        <v>368658657.61000001</v>
      </c>
      <c r="F67" s="262">
        <f t="shared" si="6"/>
        <v>44279</v>
      </c>
      <c r="G67" s="340">
        <v>389557656.00999999</v>
      </c>
    </row>
    <row r="68" spans="1:7" ht="12.5">
      <c r="A68" s="2">
        <f t="shared" si="3"/>
        <v>56</v>
      </c>
      <c r="B68" s="262">
        <f t="shared" si="4"/>
        <v>44220</v>
      </c>
      <c r="C68" s="340">
        <v>349731932.97999996</v>
      </c>
      <c r="D68" s="262">
        <f t="shared" si="5"/>
        <v>44251</v>
      </c>
      <c r="E68" s="340">
        <v>369877072.26999998</v>
      </c>
      <c r="F68" s="262">
        <f t="shared" si="6"/>
        <v>44280</v>
      </c>
      <c r="G68" s="340">
        <v>388929455.70999998</v>
      </c>
    </row>
    <row r="69" spans="1:7" ht="12.5">
      <c r="A69" s="2">
        <f t="shared" si="3"/>
        <v>57</v>
      </c>
      <c r="B69" s="262">
        <f t="shared" si="4"/>
        <v>44221</v>
      </c>
      <c r="C69" s="340">
        <v>339966072.81999999</v>
      </c>
      <c r="D69" s="262">
        <f t="shared" si="5"/>
        <v>44252</v>
      </c>
      <c r="E69" s="340">
        <v>370641456.70999998</v>
      </c>
      <c r="F69" s="262">
        <f t="shared" si="6"/>
        <v>44281</v>
      </c>
      <c r="G69" s="340">
        <v>386423382.63999999</v>
      </c>
    </row>
    <row r="70" spans="1:7" ht="12.5">
      <c r="A70" s="2">
        <f t="shared" si="3"/>
        <v>58</v>
      </c>
      <c r="B70" s="262">
        <f t="shared" si="4"/>
        <v>44222</v>
      </c>
      <c r="C70" s="340">
        <v>343405952.13</v>
      </c>
      <c r="D70" s="262">
        <f t="shared" si="5"/>
        <v>44253</v>
      </c>
      <c r="E70" s="340">
        <v>373055688.00999999</v>
      </c>
      <c r="F70" s="262">
        <f t="shared" si="6"/>
        <v>44282</v>
      </c>
      <c r="G70" s="340">
        <v>386423382.63999999</v>
      </c>
    </row>
    <row r="71" spans="1:7" ht="12.5">
      <c r="A71" s="2">
        <f t="shared" si="3"/>
        <v>59</v>
      </c>
      <c r="B71" s="262">
        <f t="shared" si="4"/>
        <v>44223</v>
      </c>
      <c r="C71" s="340">
        <v>346573010.51999998</v>
      </c>
      <c r="D71" s="262">
        <f t="shared" si="5"/>
        <v>44254</v>
      </c>
      <c r="E71" s="340">
        <v>373055688.00999999</v>
      </c>
      <c r="F71" s="262">
        <f t="shared" si="6"/>
        <v>44283</v>
      </c>
      <c r="G71" s="340">
        <v>386423382.63999999</v>
      </c>
    </row>
    <row r="72" spans="1:7" ht="12.5">
      <c r="A72" s="2">
        <f t="shared" si="3"/>
        <v>60</v>
      </c>
      <c r="B72" s="262">
        <f t="shared" si="4"/>
        <v>44224</v>
      </c>
      <c r="C72" s="340">
        <v>351857306.69999999</v>
      </c>
      <c r="D72" s="262">
        <f t="shared" si="5"/>
        <v>44255</v>
      </c>
      <c r="E72" s="340">
        <v>373055688.00999999</v>
      </c>
      <c r="F72" s="262">
        <f t="shared" si="6"/>
        <v>44284</v>
      </c>
      <c r="G72" s="340">
        <v>382797322.83999997</v>
      </c>
    </row>
    <row r="73" spans="1:7" ht="12.5">
      <c r="A73" s="2">
        <f t="shared" si="3"/>
        <v>61</v>
      </c>
      <c r="B73" s="262">
        <f t="shared" si="4"/>
        <v>44225</v>
      </c>
      <c r="C73" s="340">
        <v>362726824.71999997</v>
      </c>
      <c r="D73" s="262">
        <f t="shared" si="5"/>
        <v>44256</v>
      </c>
      <c r="E73" s="340">
        <v>371633968.26999998</v>
      </c>
      <c r="F73" s="262">
        <f t="shared" si="6"/>
        <v>44285</v>
      </c>
      <c r="G73" s="340">
        <v>385639415.18000001</v>
      </c>
    </row>
    <row r="74" spans="1:7" ht="12.5">
      <c r="A74" s="2">
        <f t="shared" si="3"/>
        <v>62</v>
      </c>
      <c r="B74" s="262">
        <f t="shared" si="4"/>
        <v>44226</v>
      </c>
      <c r="C74" s="340">
        <v>362726824.71999997</v>
      </c>
      <c r="D74" s="262"/>
      <c r="E74" s="340">
        <v>0</v>
      </c>
      <c r="F74" s="262">
        <f t="shared" si="6"/>
        <v>44286</v>
      </c>
      <c r="G74" s="340">
        <v>381939176.71999997</v>
      </c>
    </row>
    <row r="75" spans="1:7" ht="12.5">
      <c r="A75" s="2">
        <f t="shared" si="3"/>
        <v>63</v>
      </c>
      <c r="B75" s="262">
        <f>+B74+1</f>
        <v>44227</v>
      </c>
      <c r="C75" s="340">
        <v>362726825</v>
      </c>
      <c r="D75" s="262"/>
      <c r="E75" s="340">
        <v>0</v>
      </c>
      <c r="F75" s="262">
        <f>+F74+1</f>
        <v>44287</v>
      </c>
      <c r="G75" s="340">
        <v>389888659.93000001</v>
      </c>
    </row>
    <row r="76" spans="1:7" ht="13" thickBot="1">
      <c r="A76" s="2">
        <f>A75+1</f>
        <v>64</v>
      </c>
      <c r="C76" s="344">
        <f>SUM(C45:C75)</f>
        <v>10516027967.689997</v>
      </c>
      <c r="E76" s="344">
        <f>SUM(E45:E75)</f>
        <v>10707084491.819998</v>
      </c>
      <c r="G76" s="344">
        <f>SUM(G45:G75)</f>
        <v>11923042769.469997</v>
      </c>
    </row>
    <row r="77" spans="1:7" ht="13.5" thickTop="1">
      <c r="A77" s="57" t="s">
        <v>45</v>
      </c>
      <c r="B77" s="57" t="s">
        <v>113</v>
      </c>
      <c r="C77" s="341" t="s">
        <v>267</v>
      </c>
      <c r="D77" s="57" t="s">
        <v>113</v>
      </c>
      <c r="E77" s="341" t="s">
        <v>267</v>
      </c>
      <c r="F77" s="57" t="s">
        <v>113</v>
      </c>
      <c r="G77" s="341" t="s">
        <v>267</v>
      </c>
    </row>
    <row r="78" spans="2:7" ht="12.5">
      <c r="B78" s="228" t="s">
        <v>55</v>
      </c>
      <c r="C78" s="342" t="s">
        <v>56</v>
      </c>
      <c r="D78" s="228" t="s">
        <v>62</v>
      </c>
      <c r="E78" s="342" t="s">
        <v>57</v>
      </c>
      <c r="F78" s="228" t="s">
        <v>58</v>
      </c>
      <c r="G78" s="342" t="s">
        <v>59</v>
      </c>
    </row>
    <row r="79" spans="1:1" ht="12.5">
      <c r="A79" s="2"/>
    </row>
    <row r="80" spans="1:7" ht="12.5">
      <c r="A80" s="2">
        <f>A76+1</f>
        <v>65</v>
      </c>
      <c r="B80" s="262">
        <f>+F75+1</f>
        <v>44288</v>
      </c>
      <c r="C80" s="227">
        <v>389888660</v>
      </c>
      <c r="D80" s="262">
        <f>+B109+1</f>
        <v>44318</v>
      </c>
      <c r="E80" s="227">
        <v>291329465</v>
      </c>
      <c r="F80" s="262">
        <f>+D110+1</f>
        <v>44349</v>
      </c>
      <c r="G80" s="227">
        <v>299842692.27999997</v>
      </c>
    </row>
    <row r="81" spans="1:7" ht="12.5">
      <c r="A81" s="2">
        <f>A80+1</f>
        <v>66</v>
      </c>
      <c r="B81" s="262">
        <f>+B80+1</f>
        <v>44289</v>
      </c>
      <c r="C81" s="340">
        <v>389888660</v>
      </c>
      <c r="D81" s="262">
        <f>+D80+1</f>
        <v>44319</v>
      </c>
      <c r="E81" s="340">
        <v>281571220.47999996</v>
      </c>
      <c r="F81" s="262">
        <f>+F80+1</f>
        <v>44350</v>
      </c>
      <c r="G81" s="340">
        <v>305028111.49000001</v>
      </c>
    </row>
    <row r="82" spans="1:7" ht="12.5">
      <c r="A82" s="2">
        <f t="shared" si="7" ref="A82:A110">A81+1</f>
        <v>67</v>
      </c>
      <c r="B82" s="262">
        <f t="shared" si="8" ref="B82:B109">+B81+1</f>
        <v>44290</v>
      </c>
      <c r="C82" s="340">
        <v>389888660</v>
      </c>
      <c r="D82" s="262">
        <f t="shared" si="9" ref="D82:D110">+D81+1</f>
        <v>44320</v>
      </c>
      <c r="E82" s="340">
        <v>287672937.19999999</v>
      </c>
      <c r="F82" s="262">
        <f t="shared" si="10" ref="F82:F109">+F81+1</f>
        <v>44351</v>
      </c>
      <c r="G82" s="340">
        <v>302937102.89999998</v>
      </c>
    </row>
    <row r="83" spans="1:7" ht="12.5">
      <c r="A83" s="2">
        <f t="shared" si="7"/>
        <v>68</v>
      </c>
      <c r="B83" s="262">
        <f t="shared" si="8"/>
        <v>44291</v>
      </c>
      <c r="C83" s="340">
        <v>362056111.75999999</v>
      </c>
      <c r="D83" s="262">
        <f t="shared" si="9"/>
        <v>44321</v>
      </c>
      <c r="E83" s="340">
        <v>284997326.06</v>
      </c>
      <c r="F83" s="262">
        <f t="shared" si="10"/>
        <v>44352</v>
      </c>
      <c r="G83" s="340">
        <v>302937102.89999998</v>
      </c>
    </row>
    <row r="84" spans="1:7" ht="12.5">
      <c r="A84" s="2">
        <f t="shared" si="7"/>
        <v>69</v>
      </c>
      <c r="B84" s="262">
        <f t="shared" si="8"/>
        <v>44292</v>
      </c>
      <c r="C84" s="340">
        <v>359157802.13999999</v>
      </c>
      <c r="D84" s="262">
        <f t="shared" si="9"/>
        <v>44322</v>
      </c>
      <c r="E84" s="340">
        <v>290066545.81999999</v>
      </c>
      <c r="F84" s="262">
        <f t="shared" si="10"/>
        <v>44353</v>
      </c>
      <c r="G84" s="340">
        <v>302937102.89999998</v>
      </c>
    </row>
    <row r="85" spans="1:7" ht="12.5">
      <c r="A85" s="2">
        <f t="shared" si="7"/>
        <v>70</v>
      </c>
      <c r="B85" s="262">
        <f t="shared" si="8"/>
        <v>44293</v>
      </c>
      <c r="C85" s="340">
        <v>354132536.25</v>
      </c>
      <c r="D85" s="262">
        <f t="shared" si="9"/>
        <v>44323</v>
      </c>
      <c r="E85" s="340">
        <v>291095347.44</v>
      </c>
      <c r="F85" s="262">
        <f t="shared" si="10"/>
        <v>44354</v>
      </c>
      <c r="G85" s="340">
        <v>305024177.06</v>
      </c>
    </row>
    <row r="86" spans="1:7" ht="12.5">
      <c r="A86" s="2">
        <f t="shared" si="7"/>
        <v>71</v>
      </c>
      <c r="B86" s="262">
        <f t="shared" si="8"/>
        <v>44294</v>
      </c>
      <c r="C86" s="340">
        <v>352439466.44</v>
      </c>
      <c r="D86" s="262">
        <f t="shared" si="9"/>
        <v>44324</v>
      </c>
      <c r="E86" s="340">
        <v>291095347.44</v>
      </c>
      <c r="F86" s="262">
        <f t="shared" si="10"/>
        <v>44355</v>
      </c>
      <c r="G86" s="340">
        <v>308429635.81999999</v>
      </c>
    </row>
    <row r="87" spans="1:7" ht="12.5">
      <c r="A87" s="2">
        <f t="shared" si="7"/>
        <v>72</v>
      </c>
      <c r="B87" s="262">
        <f t="shared" si="8"/>
        <v>44295</v>
      </c>
      <c r="C87" s="340">
        <v>351510687.68000001</v>
      </c>
      <c r="D87" s="262">
        <f t="shared" si="9"/>
        <v>44325</v>
      </c>
      <c r="E87" s="340">
        <v>291095347.44</v>
      </c>
      <c r="F87" s="262">
        <f t="shared" si="10"/>
        <v>44356</v>
      </c>
      <c r="G87" s="340">
        <v>306913180.17000002</v>
      </c>
    </row>
    <row r="88" spans="1:7" ht="12.5">
      <c r="A88" s="2">
        <f t="shared" si="7"/>
        <v>73</v>
      </c>
      <c r="B88" s="262">
        <f t="shared" si="8"/>
        <v>44296</v>
      </c>
      <c r="C88" s="340">
        <v>351510687.68000001</v>
      </c>
      <c r="D88" s="262">
        <f t="shared" si="9"/>
        <v>44326</v>
      </c>
      <c r="E88" s="340">
        <v>293550207.94</v>
      </c>
      <c r="F88" s="262">
        <f t="shared" si="10"/>
        <v>44357</v>
      </c>
      <c r="G88" s="340">
        <v>310353907.70999998</v>
      </c>
    </row>
    <row r="89" spans="1:7" ht="12.5">
      <c r="A89" s="2">
        <f t="shared" si="7"/>
        <v>74</v>
      </c>
      <c r="B89" s="262">
        <f t="shared" si="8"/>
        <v>44297</v>
      </c>
      <c r="C89" s="340">
        <v>351510687.68000001</v>
      </c>
      <c r="D89" s="262">
        <f t="shared" si="9"/>
        <v>44327</v>
      </c>
      <c r="E89" s="340">
        <v>297171167.51999998</v>
      </c>
      <c r="F89" s="262">
        <f t="shared" si="10"/>
        <v>44358</v>
      </c>
      <c r="G89" s="340">
        <v>310877600.34999996</v>
      </c>
    </row>
    <row r="90" spans="1:7" ht="12.5">
      <c r="A90" s="2">
        <f t="shared" si="7"/>
        <v>75</v>
      </c>
      <c r="B90" s="262">
        <f t="shared" si="8"/>
        <v>44298</v>
      </c>
      <c r="C90" s="340">
        <v>337920684</v>
      </c>
      <c r="D90" s="262">
        <f t="shared" si="9"/>
        <v>44328</v>
      </c>
      <c r="E90" s="340">
        <v>296145849.34999996</v>
      </c>
      <c r="F90" s="262">
        <f t="shared" si="10"/>
        <v>44359</v>
      </c>
      <c r="G90" s="340">
        <v>310877600.34999996</v>
      </c>
    </row>
    <row r="91" spans="1:7" ht="12.5">
      <c r="A91" s="2">
        <f t="shared" si="7"/>
        <v>76</v>
      </c>
      <c r="B91" s="262">
        <f t="shared" si="8"/>
        <v>44299</v>
      </c>
      <c r="C91" s="340">
        <v>334376474.87</v>
      </c>
      <c r="D91" s="262">
        <f t="shared" si="9"/>
        <v>44329</v>
      </c>
      <c r="E91" s="340">
        <v>292897226.34999996</v>
      </c>
      <c r="F91" s="262">
        <f t="shared" si="10"/>
        <v>44360</v>
      </c>
      <c r="G91" s="340">
        <v>310877600.34999996</v>
      </c>
    </row>
    <row r="92" spans="1:7" ht="12.5">
      <c r="A92" s="2">
        <f t="shared" si="7"/>
        <v>77</v>
      </c>
      <c r="B92" s="262">
        <f t="shared" si="8"/>
        <v>44300</v>
      </c>
      <c r="C92" s="340">
        <v>329277040.94999999</v>
      </c>
      <c r="D92" s="262">
        <f t="shared" si="9"/>
        <v>44330</v>
      </c>
      <c r="E92" s="340">
        <v>292892105.72999996</v>
      </c>
      <c r="F92" s="262">
        <f t="shared" si="10"/>
        <v>44361</v>
      </c>
      <c r="G92" s="340">
        <v>302932069.43000001</v>
      </c>
    </row>
    <row r="93" spans="1:7" ht="12.5">
      <c r="A93" s="2">
        <f t="shared" si="7"/>
        <v>78</v>
      </c>
      <c r="B93" s="262">
        <f t="shared" si="8"/>
        <v>44301</v>
      </c>
      <c r="C93" s="340">
        <v>325087752.19999999</v>
      </c>
      <c r="D93" s="262">
        <f t="shared" si="9"/>
        <v>44331</v>
      </c>
      <c r="E93" s="340">
        <v>292892105.72999996</v>
      </c>
      <c r="F93" s="262">
        <f t="shared" si="10"/>
        <v>44362</v>
      </c>
      <c r="G93" s="340">
        <v>308381456.38</v>
      </c>
    </row>
    <row r="94" spans="1:7" ht="12.5">
      <c r="A94" s="2">
        <f t="shared" si="7"/>
        <v>79</v>
      </c>
      <c r="B94" s="262">
        <f t="shared" si="8"/>
        <v>44302</v>
      </c>
      <c r="C94" s="340">
        <v>326062835.76999998</v>
      </c>
      <c r="D94" s="262">
        <f t="shared" si="9"/>
        <v>44332</v>
      </c>
      <c r="E94" s="340">
        <v>292892105.72999996</v>
      </c>
      <c r="F94" s="262">
        <f t="shared" si="10"/>
        <v>44363</v>
      </c>
      <c r="G94" s="340">
        <v>307744443.69999999</v>
      </c>
    </row>
    <row r="95" spans="1:7" ht="12.5">
      <c r="A95" s="2">
        <f t="shared" si="7"/>
        <v>80</v>
      </c>
      <c r="B95" s="262">
        <f t="shared" si="8"/>
        <v>44303</v>
      </c>
      <c r="C95" s="340">
        <v>326062835.76999998</v>
      </c>
      <c r="D95" s="262">
        <f t="shared" si="9"/>
        <v>44333</v>
      </c>
      <c r="E95" s="340">
        <v>287210536.78999996</v>
      </c>
      <c r="F95" s="262">
        <f t="shared" si="10"/>
        <v>44364</v>
      </c>
      <c r="G95" s="340">
        <v>314066673.33999997</v>
      </c>
    </row>
    <row r="96" spans="1:7" ht="12.5">
      <c r="A96" s="2">
        <f t="shared" si="7"/>
        <v>81</v>
      </c>
      <c r="B96" s="262">
        <f t="shared" si="8"/>
        <v>44304</v>
      </c>
      <c r="C96" s="340">
        <v>326062835.76999998</v>
      </c>
      <c r="D96" s="262">
        <f t="shared" si="9"/>
        <v>44334</v>
      </c>
      <c r="E96" s="340">
        <v>291733972.46999997</v>
      </c>
      <c r="F96" s="262">
        <f t="shared" si="10"/>
        <v>44365</v>
      </c>
      <c r="G96" s="340">
        <v>318875653.46999997</v>
      </c>
    </row>
    <row r="97" spans="1:7" ht="12.5">
      <c r="A97" s="2">
        <f t="shared" si="7"/>
        <v>82</v>
      </c>
      <c r="B97" s="262">
        <f t="shared" si="8"/>
        <v>44305</v>
      </c>
      <c r="C97" s="340">
        <v>316201791.88999999</v>
      </c>
      <c r="D97" s="262">
        <f t="shared" si="9"/>
        <v>44335</v>
      </c>
      <c r="E97" s="340">
        <v>296184023.32999998</v>
      </c>
      <c r="F97" s="262">
        <f t="shared" si="10"/>
        <v>44366</v>
      </c>
      <c r="G97" s="340">
        <v>318875653.46999997</v>
      </c>
    </row>
    <row r="98" spans="1:7" ht="12.5">
      <c r="A98" s="2">
        <f t="shared" si="7"/>
        <v>83</v>
      </c>
      <c r="B98" s="262">
        <f t="shared" si="8"/>
        <v>44306</v>
      </c>
      <c r="C98" s="340">
        <v>320865345.36000001</v>
      </c>
      <c r="D98" s="262">
        <f t="shared" si="9"/>
        <v>44336</v>
      </c>
      <c r="E98" s="340">
        <v>299376628.69999999</v>
      </c>
      <c r="F98" s="262">
        <f t="shared" si="10"/>
        <v>44367</v>
      </c>
      <c r="G98" s="340">
        <v>318875653.46999997</v>
      </c>
    </row>
    <row r="99" spans="1:7" ht="12.5">
      <c r="A99" s="2">
        <f t="shared" si="7"/>
        <v>84</v>
      </c>
      <c r="B99" s="262">
        <f t="shared" si="8"/>
        <v>44307</v>
      </c>
      <c r="C99" s="340">
        <v>315000532.22999996</v>
      </c>
      <c r="D99" s="262">
        <f t="shared" si="9"/>
        <v>44337</v>
      </c>
      <c r="E99" s="340">
        <v>302628569.31</v>
      </c>
      <c r="F99" s="262">
        <f t="shared" si="10"/>
        <v>44368</v>
      </c>
      <c r="G99" s="340">
        <v>318432242.01999998</v>
      </c>
    </row>
    <row r="100" spans="1:7" ht="12.5">
      <c r="A100" s="2">
        <f t="shared" si="7"/>
        <v>85</v>
      </c>
      <c r="B100" s="262">
        <f t="shared" si="8"/>
        <v>44308</v>
      </c>
      <c r="C100" s="340">
        <v>313900110.09999996</v>
      </c>
      <c r="D100" s="262">
        <f t="shared" si="9"/>
        <v>44338</v>
      </c>
      <c r="E100" s="340">
        <v>302628569.31</v>
      </c>
      <c r="F100" s="262">
        <f t="shared" si="10"/>
        <v>44369</v>
      </c>
      <c r="G100" s="340">
        <v>324651633.78999996</v>
      </c>
    </row>
    <row r="101" spans="1:7" ht="12.5">
      <c r="A101" s="2">
        <f t="shared" si="7"/>
        <v>86</v>
      </c>
      <c r="B101" s="262">
        <f t="shared" si="8"/>
        <v>44309</v>
      </c>
      <c r="C101" s="340">
        <v>308937369.06999999</v>
      </c>
      <c r="D101" s="262">
        <f t="shared" si="9"/>
        <v>44339</v>
      </c>
      <c r="E101" s="340">
        <v>302628569.31</v>
      </c>
      <c r="F101" s="262">
        <f t="shared" si="10"/>
        <v>44370</v>
      </c>
      <c r="G101" s="340">
        <v>325024048.93000001</v>
      </c>
    </row>
    <row r="102" spans="1:7" ht="12.5">
      <c r="A102" s="2">
        <f t="shared" si="7"/>
        <v>87</v>
      </c>
      <c r="B102" s="262">
        <f t="shared" si="8"/>
        <v>44310</v>
      </c>
      <c r="C102" s="340">
        <v>308937369.06999999</v>
      </c>
      <c r="D102" s="262">
        <f t="shared" si="9"/>
        <v>44340</v>
      </c>
      <c r="E102" s="340">
        <v>295829396.37</v>
      </c>
      <c r="F102" s="262">
        <f t="shared" si="10"/>
        <v>44371</v>
      </c>
      <c r="G102" s="340">
        <v>329622763.96999997</v>
      </c>
    </row>
    <row r="103" spans="1:7" ht="12.5">
      <c r="A103" s="2">
        <f t="shared" si="7"/>
        <v>88</v>
      </c>
      <c r="B103" s="262">
        <f t="shared" si="8"/>
        <v>44311</v>
      </c>
      <c r="C103" s="340">
        <v>308937369.06999999</v>
      </c>
      <c r="D103" s="262">
        <f t="shared" si="9"/>
        <v>44341</v>
      </c>
      <c r="E103" s="340">
        <v>299744464.50999999</v>
      </c>
      <c r="F103" s="262">
        <f t="shared" si="10"/>
        <v>44372</v>
      </c>
      <c r="G103" s="340">
        <v>330556274.02999997</v>
      </c>
    </row>
    <row r="104" spans="1:7" ht="12.5">
      <c r="A104" s="2">
        <f t="shared" si="7"/>
        <v>89</v>
      </c>
      <c r="B104" s="262">
        <f t="shared" si="8"/>
        <v>44312</v>
      </c>
      <c r="C104" s="340">
        <v>297835870.75999999</v>
      </c>
      <c r="D104" s="262">
        <f t="shared" si="9"/>
        <v>44342</v>
      </c>
      <c r="E104" s="340">
        <v>297701536.09999996</v>
      </c>
      <c r="F104" s="262">
        <f t="shared" si="10"/>
        <v>44373</v>
      </c>
      <c r="G104" s="340">
        <v>330556274.02999997</v>
      </c>
    </row>
    <row r="105" spans="1:7" ht="12.5">
      <c r="A105" s="2">
        <f t="shared" si="7"/>
        <v>90</v>
      </c>
      <c r="B105" s="262">
        <f t="shared" si="8"/>
        <v>44313</v>
      </c>
      <c r="C105" s="340">
        <v>295929290.67000002</v>
      </c>
      <c r="D105" s="262">
        <f t="shared" si="9"/>
        <v>44343</v>
      </c>
      <c r="E105" s="340">
        <v>300710829.61000001</v>
      </c>
      <c r="F105" s="262">
        <f t="shared" si="10"/>
        <v>44374</v>
      </c>
      <c r="G105" s="340">
        <v>330556274.02999997</v>
      </c>
    </row>
    <row r="106" spans="1:7" ht="12.5">
      <c r="A106" s="2">
        <f t="shared" si="7"/>
        <v>91</v>
      </c>
      <c r="B106" s="262">
        <f t="shared" si="8"/>
        <v>44314</v>
      </c>
      <c r="C106" s="340">
        <v>291746948.03999996</v>
      </c>
      <c r="D106" s="262">
        <f t="shared" si="9"/>
        <v>44344</v>
      </c>
      <c r="E106" s="340">
        <v>298528631.59999996</v>
      </c>
      <c r="F106" s="262">
        <f t="shared" si="10"/>
        <v>44375</v>
      </c>
      <c r="G106" s="340">
        <v>329143192.13</v>
      </c>
    </row>
    <row r="107" spans="1:7" ht="12.5">
      <c r="A107" s="2">
        <f t="shared" si="7"/>
        <v>92</v>
      </c>
      <c r="B107" s="262">
        <f t="shared" si="8"/>
        <v>44315</v>
      </c>
      <c r="C107" s="340">
        <v>291329465</v>
      </c>
      <c r="D107" s="262">
        <f t="shared" si="9"/>
        <v>44345</v>
      </c>
      <c r="E107" s="340">
        <v>298528631.59999996</v>
      </c>
      <c r="F107" s="262">
        <f t="shared" si="10"/>
        <v>44376</v>
      </c>
      <c r="G107" s="340">
        <v>336570250.59999996</v>
      </c>
    </row>
    <row r="108" spans="1:7" ht="12.5">
      <c r="A108" s="2">
        <f t="shared" si="7"/>
        <v>93</v>
      </c>
      <c r="B108" s="262">
        <f t="shared" si="8"/>
        <v>44316</v>
      </c>
      <c r="C108" s="340">
        <v>291329465</v>
      </c>
      <c r="D108" s="262">
        <f t="shared" si="9"/>
        <v>44346</v>
      </c>
      <c r="E108" s="340">
        <v>298528631.59999996</v>
      </c>
      <c r="F108" s="262">
        <f t="shared" si="10"/>
        <v>44377</v>
      </c>
      <c r="G108" s="340">
        <v>344064118.80000001</v>
      </c>
    </row>
    <row r="109" spans="1:7" ht="12.5">
      <c r="A109" s="2">
        <f t="shared" si="7"/>
        <v>94</v>
      </c>
      <c r="B109" s="262">
        <f t="shared" si="8"/>
        <v>44317</v>
      </c>
      <c r="C109" s="340">
        <v>291329465</v>
      </c>
      <c r="D109" s="262">
        <f t="shared" si="9"/>
        <v>44347</v>
      </c>
      <c r="E109" s="340">
        <v>298528631.59999996</v>
      </c>
      <c r="F109" s="262">
        <f t="shared" si="10"/>
        <v>44378</v>
      </c>
      <c r="G109" s="340">
        <v>352961442.36000001</v>
      </c>
    </row>
    <row r="110" spans="1:7" ht="12.5">
      <c r="A110" s="2">
        <f t="shared" si="7"/>
        <v>95</v>
      </c>
      <c r="B110" s="262"/>
      <c r="C110" s="340">
        <v>0</v>
      </c>
      <c r="D110" s="262">
        <f t="shared" si="9"/>
        <v>44348</v>
      </c>
      <c r="E110" s="340">
        <v>297854791.67000002</v>
      </c>
      <c r="F110" s="262"/>
      <c r="G110" s="340">
        <v>0</v>
      </c>
    </row>
    <row r="111" spans="1:7" ht="13" thickBot="1">
      <c r="A111" s="2">
        <f>A110+1</f>
        <v>96</v>
      </c>
      <c r="C111" s="344">
        <f>SUM(C80:C110)</f>
        <v>9909114810.2200012</v>
      </c>
      <c r="E111" s="344">
        <f>SUM(E80:E110)</f>
        <v>9135710719.1100025</v>
      </c>
      <c r="G111" s="344">
        <f>SUM(G80:G110)</f>
        <v>9518925932.2299995</v>
      </c>
    </row>
    <row r="112" spans="1:7" ht="13.5" thickTop="1">
      <c r="A112" s="57" t="s">
        <v>45</v>
      </c>
      <c r="B112" s="57" t="s">
        <v>113</v>
      </c>
      <c r="C112" s="341" t="s">
        <v>267</v>
      </c>
      <c r="D112" s="57" t="s">
        <v>113</v>
      </c>
      <c r="E112" s="341" t="s">
        <v>267</v>
      </c>
      <c r="F112" s="57" t="s">
        <v>113</v>
      </c>
      <c r="G112" s="341" t="s">
        <v>267</v>
      </c>
    </row>
    <row r="113" spans="2:7" ht="12.5">
      <c r="B113" s="228" t="s">
        <v>55</v>
      </c>
      <c r="C113" s="342" t="s">
        <v>56</v>
      </c>
      <c r="D113" s="228" t="s">
        <v>62</v>
      </c>
      <c r="E113" s="342" t="s">
        <v>57</v>
      </c>
      <c r="F113" s="228" t="s">
        <v>58</v>
      </c>
      <c r="G113" s="342" t="s">
        <v>59</v>
      </c>
    </row>
    <row r="114" spans="1:1" ht="12.5">
      <c r="A114" s="2"/>
    </row>
    <row r="115" spans="1:7" ht="12.5">
      <c r="A115" s="2">
        <f>A111+1</f>
        <v>97</v>
      </c>
      <c r="B115" s="262">
        <f>+F109+1</f>
        <v>44379</v>
      </c>
      <c r="C115" s="227">
        <v>352961442</v>
      </c>
      <c r="D115" s="262">
        <f>+B145+1</f>
        <v>44410</v>
      </c>
      <c r="E115" s="227">
        <v>391656138.40999997</v>
      </c>
      <c r="F115" s="262">
        <f>+D145+1</f>
        <v>44441</v>
      </c>
      <c r="G115" s="227">
        <v>432800413.71999997</v>
      </c>
    </row>
    <row r="116" spans="1:7" ht="12.5">
      <c r="A116" s="2">
        <f>A115+1</f>
        <v>98</v>
      </c>
      <c r="B116" s="262">
        <f>+B115+1</f>
        <v>44380</v>
      </c>
      <c r="C116" s="340">
        <v>352961442</v>
      </c>
      <c r="D116" s="262">
        <f>+D115+1</f>
        <v>44411</v>
      </c>
      <c r="E116" s="340">
        <v>399561919.49000001</v>
      </c>
      <c r="F116" s="262">
        <f>+F115+1</f>
        <v>44442</v>
      </c>
      <c r="G116" s="340">
        <v>434362060.19999999</v>
      </c>
    </row>
    <row r="117" spans="1:7" ht="12.5">
      <c r="A117" s="2">
        <f>A116+1</f>
        <v>99</v>
      </c>
      <c r="B117" s="262">
        <f t="shared" si="11" ref="B117:B145">+B116+1</f>
        <v>44381</v>
      </c>
      <c r="C117" s="340">
        <v>352961442</v>
      </c>
      <c r="D117" s="262">
        <f t="shared" si="12" ref="D117:D144">+D116+1</f>
        <v>44412</v>
      </c>
      <c r="E117" s="340">
        <v>401774181.11000001</v>
      </c>
      <c r="F117" s="262">
        <f t="shared" si="13" ref="F117:F143">+F116+1</f>
        <v>44443</v>
      </c>
      <c r="G117" s="340">
        <v>434362060.19999999</v>
      </c>
    </row>
    <row r="118" spans="1:7" ht="12.5">
      <c r="A118" s="2">
        <f t="shared" si="14" ref="A118:A145">A117+1</f>
        <v>100</v>
      </c>
      <c r="B118" s="262">
        <f t="shared" si="11"/>
        <v>44382</v>
      </c>
      <c r="C118" s="340">
        <v>352961442</v>
      </c>
      <c r="D118" s="262">
        <f t="shared" si="12"/>
        <v>44413</v>
      </c>
      <c r="E118" s="340">
        <v>407472274.61000001</v>
      </c>
      <c r="F118" s="262">
        <f t="shared" si="13"/>
        <v>44444</v>
      </c>
      <c r="G118" s="340">
        <v>434362060.19999999</v>
      </c>
    </row>
    <row r="119" spans="1:7" ht="12.5">
      <c r="A119" s="2">
        <f t="shared" si="14"/>
        <v>101</v>
      </c>
      <c r="B119" s="262">
        <f t="shared" si="11"/>
        <v>44383</v>
      </c>
      <c r="C119" s="340">
        <v>339204097.08999997</v>
      </c>
      <c r="D119" s="262">
        <f t="shared" si="12"/>
        <v>44414</v>
      </c>
      <c r="E119" s="340">
        <v>409994929.71999997</v>
      </c>
      <c r="F119" s="262">
        <f t="shared" si="13"/>
        <v>44445</v>
      </c>
      <c r="G119" s="340">
        <v>434362060.19999999</v>
      </c>
    </row>
    <row r="120" spans="1:7" ht="12.5">
      <c r="A120" s="2">
        <f t="shared" si="14"/>
        <v>102</v>
      </c>
      <c r="B120" s="262">
        <f t="shared" si="11"/>
        <v>44384</v>
      </c>
      <c r="C120" s="340">
        <v>341226253.75</v>
      </c>
      <c r="D120" s="262">
        <f t="shared" si="12"/>
        <v>44415</v>
      </c>
      <c r="E120" s="340">
        <v>409994929.71999997</v>
      </c>
      <c r="F120" s="262">
        <f t="shared" si="13"/>
        <v>44446</v>
      </c>
      <c r="G120" s="340">
        <v>430940496.68000001</v>
      </c>
    </row>
    <row r="121" spans="1:7" ht="12.5">
      <c r="A121" s="2">
        <f t="shared" si="14"/>
        <v>103</v>
      </c>
      <c r="B121" s="262">
        <f t="shared" si="11"/>
        <v>44385</v>
      </c>
      <c r="C121" s="340">
        <v>345848207.75</v>
      </c>
      <c r="D121" s="262">
        <f t="shared" si="12"/>
        <v>44416</v>
      </c>
      <c r="E121" s="340">
        <v>409994929.71999997</v>
      </c>
      <c r="F121" s="262">
        <f t="shared" si="13"/>
        <v>44447</v>
      </c>
      <c r="G121" s="340">
        <v>427379091.22999996</v>
      </c>
    </row>
    <row r="122" spans="1:7" ht="12.5">
      <c r="A122" s="2">
        <f t="shared" si="14"/>
        <v>104</v>
      </c>
      <c r="B122" s="262">
        <f t="shared" si="11"/>
        <v>44386</v>
      </c>
      <c r="C122" s="340">
        <v>353684710.00999999</v>
      </c>
      <c r="D122" s="262">
        <f t="shared" si="12"/>
        <v>44417</v>
      </c>
      <c r="E122" s="340">
        <v>415385886.01999998</v>
      </c>
      <c r="F122" s="262">
        <f t="shared" si="13"/>
        <v>44448</v>
      </c>
      <c r="G122" s="340">
        <v>427188139.06</v>
      </c>
    </row>
    <row r="123" spans="1:7" ht="12.5">
      <c r="A123" s="2">
        <f t="shared" si="14"/>
        <v>105</v>
      </c>
      <c r="B123" s="262">
        <f t="shared" si="11"/>
        <v>44387</v>
      </c>
      <c r="C123" s="340">
        <v>353684710.00999999</v>
      </c>
      <c r="D123" s="262">
        <f t="shared" si="12"/>
        <v>44418</v>
      </c>
      <c r="E123" s="340">
        <v>430043024.64999998</v>
      </c>
      <c r="F123" s="262">
        <f t="shared" si="13"/>
        <v>44449</v>
      </c>
      <c r="G123" s="340">
        <v>433344198.88999999</v>
      </c>
    </row>
    <row r="124" spans="1:7" ht="12.5">
      <c r="A124" s="2">
        <f t="shared" si="14"/>
        <v>106</v>
      </c>
      <c r="B124" s="262">
        <f t="shared" si="11"/>
        <v>44388</v>
      </c>
      <c r="C124" s="340">
        <v>353684710.00999999</v>
      </c>
      <c r="D124" s="262">
        <f t="shared" si="12"/>
        <v>44419</v>
      </c>
      <c r="E124" s="340">
        <v>428953449.80000001</v>
      </c>
      <c r="F124" s="262">
        <f t="shared" si="13"/>
        <v>44450</v>
      </c>
      <c r="G124" s="340">
        <v>433344198.88999999</v>
      </c>
    </row>
    <row r="125" spans="1:7" ht="12.5">
      <c r="A125" s="2">
        <f t="shared" si="14"/>
        <v>107</v>
      </c>
      <c r="B125" s="262">
        <f t="shared" si="11"/>
        <v>44389</v>
      </c>
      <c r="C125" s="340">
        <v>356588852.36000001</v>
      </c>
      <c r="D125" s="262">
        <f t="shared" si="12"/>
        <v>44420</v>
      </c>
      <c r="E125" s="340">
        <v>426002727.5</v>
      </c>
      <c r="F125" s="262">
        <f t="shared" si="13"/>
        <v>44451</v>
      </c>
      <c r="G125" s="340">
        <v>433344198.88999999</v>
      </c>
    </row>
    <row r="126" spans="1:7" ht="12.5">
      <c r="A126" s="2">
        <f t="shared" si="14"/>
        <v>108</v>
      </c>
      <c r="B126" s="262">
        <f t="shared" si="11"/>
        <v>44390</v>
      </c>
      <c r="C126" s="340">
        <v>364402010.75999999</v>
      </c>
      <c r="D126" s="262">
        <f t="shared" si="12"/>
        <v>44421</v>
      </c>
      <c r="E126" s="340">
        <v>427101210.82999998</v>
      </c>
      <c r="F126" s="262">
        <f t="shared" si="13"/>
        <v>44452</v>
      </c>
      <c r="G126" s="340">
        <v>426386111.18000001</v>
      </c>
    </row>
    <row r="127" spans="1:7" ht="12.5">
      <c r="A127" s="2">
        <f t="shared" si="14"/>
        <v>109</v>
      </c>
      <c r="B127" s="262">
        <f t="shared" si="11"/>
        <v>44391</v>
      </c>
      <c r="C127" s="340">
        <v>364959664.56999999</v>
      </c>
      <c r="D127" s="262">
        <f t="shared" si="12"/>
        <v>44422</v>
      </c>
      <c r="E127" s="340">
        <v>427101210.82999998</v>
      </c>
      <c r="F127" s="262">
        <f t="shared" si="13"/>
        <v>44453</v>
      </c>
      <c r="G127" s="340">
        <v>430910208.40999997</v>
      </c>
    </row>
    <row r="128" spans="1:7" ht="12.5">
      <c r="A128" s="2">
        <f t="shared" si="14"/>
        <v>110</v>
      </c>
      <c r="B128" s="262">
        <f t="shared" si="11"/>
        <v>44392</v>
      </c>
      <c r="C128" s="340">
        <v>365506490.52999997</v>
      </c>
      <c r="D128" s="262">
        <f t="shared" si="12"/>
        <v>44423</v>
      </c>
      <c r="E128" s="340">
        <v>427101210.82999998</v>
      </c>
      <c r="F128" s="262">
        <f t="shared" si="13"/>
        <v>44454</v>
      </c>
      <c r="G128" s="340">
        <v>429821703.06</v>
      </c>
    </row>
    <row r="129" spans="1:7" ht="12.5">
      <c r="A129" s="2">
        <f t="shared" si="14"/>
        <v>111</v>
      </c>
      <c r="B129" s="262">
        <f t="shared" si="11"/>
        <v>44393</v>
      </c>
      <c r="C129" s="340">
        <v>370053452.55000001</v>
      </c>
      <c r="D129" s="262">
        <f t="shared" si="12"/>
        <v>44424</v>
      </c>
      <c r="E129" s="340">
        <v>415793846.13999999</v>
      </c>
      <c r="F129" s="262">
        <f t="shared" si="13"/>
        <v>44455</v>
      </c>
      <c r="G129" s="340">
        <v>431495263.19999999</v>
      </c>
    </row>
    <row r="130" spans="1:7" ht="12.5">
      <c r="A130" s="2">
        <f t="shared" si="14"/>
        <v>112</v>
      </c>
      <c r="B130" s="262">
        <f t="shared" si="11"/>
        <v>44394</v>
      </c>
      <c r="C130" s="340">
        <v>370053452.55000001</v>
      </c>
      <c r="D130" s="262">
        <f t="shared" si="12"/>
        <v>44425</v>
      </c>
      <c r="E130" s="340">
        <v>417066415.42000002</v>
      </c>
      <c r="F130" s="262">
        <f t="shared" si="13"/>
        <v>44456</v>
      </c>
      <c r="G130" s="340">
        <v>436854755.86000001</v>
      </c>
    </row>
    <row r="131" spans="1:7" ht="12.5">
      <c r="A131" s="2">
        <f t="shared" si="14"/>
        <v>113</v>
      </c>
      <c r="B131" s="262">
        <f t="shared" si="11"/>
        <v>44395</v>
      </c>
      <c r="C131" s="340">
        <v>370053452.55000001</v>
      </c>
      <c r="D131" s="262">
        <f t="shared" si="12"/>
        <v>44426</v>
      </c>
      <c r="E131" s="340">
        <v>420368334.44999999</v>
      </c>
      <c r="F131" s="262">
        <f t="shared" si="13"/>
        <v>44457</v>
      </c>
      <c r="G131" s="340">
        <v>436854755.86000001</v>
      </c>
    </row>
    <row r="132" spans="1:7" ht="12.5">
      <c r="A132" s="2">
        <f t="shared" si="14"/>
        <v>114</v>
      </c>
      <c r="B132" s="262">
        <f t="shared" si="11"/>
        <v>44396</v>
      </c>
      <c r="C132" s="340">
        <v>364784892.44999999</v>
      </c>
      <c r="D132" s="262">
        <f t="shared" si="12"/>
        <v>44427</v>
      </c>
      <c r="E132" s="340">
        <v>421403381.5</v>
      </c>
      <c r="F132" s="262">
        <f t="shared" si="13"/>
        <v>44458</v>
      </c>
      <c r="G132" s="340">
        <v>436854755.86000001</v>
      </c>
    </row>
    <row r="133" spans="1:7" ht="12.5">
      <c r="A133" s="2">
        <f t="shared" si="14"/>
        <v>115</v>
      </c>
      <c r="B133" s="262">
        <f t="shared" si="11"/>
        <v>44397</v>
      </c>
      <c r="C133" s="340">
        <v>371309897.11000001</v>
      </c>
      <c r="D133" s="262">
        <f t="shared" si="12"/>
        <v>44428</v>
      </c>
      <c r="E133" s="340">
        <v>429193857.22999996</v>
      </c>
      <c r="F133" s="262">
        <f t="shared" si="13"/>
        <v>44459</v>
      </c>
      <c r="G133" s="340">
        <v>432333266.94999999</v>
      </c>
    </row>
    <row r="134" spans="1:7" ht="12.5">
      <c r="A134" s="2">
        <f t="shared" si="14"/>
        <v>116</v>
      </c>
      <c r="B134" s="262">
        <f t="shared" si="11"/>
        <v>44398</v>
      </c>
      <c r="C134" s="340">
        <v>373455353.26999998</v>
      </c>
      <c r="D134" s="262">
        <f t="shared" si="12"/>
        <v>44429</v>
      </c>
      <c r="E134" s="340">
        <v>429193857.22999996</v>
      </c>
      <c r="F134" s="262">
        <f t="shared" si="13"/>
        <v>44460</v>
      </c>
      <c r="G134" s="340">
        <v>442176135.03999996</v>
      </c>
    </row>
    <row r="135" spans="1:7" ht="12.5">
      <c r="A135" s="2">
        <f t="shared" si="14"/>
        <v>117</v>
      </c>
      <c r="B135" s="262">
        <f t="shared" si="11"/>
        <v>44399</v>
      </c>
      <c r="C135" s="340">
        <v>380033679.81999999</v>
      </c>
      <c r="D135" s="262">
        <f t="shared" si="12"/>
        <v>44430</v>
      </c>
      <c r="E135" s="340">
        <v>429193857.22999996</v>
      </c>
      <c r="F135" s="262">
        <f t="shared" si="13"/>
        <v>44461</v>
      </c>
      <c r="G135" s="340">
        <v>441764884</v>
      </c>
    </row>
    <row r="136" spans="1:7" ht="12.5">
      <c r="A136" s="2">
        <f t="shared" si="14"/>
        <v>118</v>
      </c>
      <c r="B136" s="262">
        <f t="shared" si="11"/>
        <v>44400</v>
      </c>
      <c r="C136" s="340">
        <v>383823461.82999998</v>
      </c>
      <c r="D136" s="262">
        <f t="shared" si="12"/>
        <v>44431</v>
      </c>
      <c r="E136" s="340">
        <v>421296315.37</v>
      </c>
      <c r="F136" s="262">
        <f t="shared" si="13"/>
        <v>44462</v>
      </c>
      <c r="G136" s="340">
        <v>441981338.61000001</v>
      </c>
    </row>
    <row r="137" spans="1:7" ht="12.5">
      <c r="A137" s="2">
        <f t="shared" si="14"/>
        <v>119</v>
      </c>
      <c r="B137" s="262">
        <f t="shared" si="11"/>
        <v>44401</v>
      </c>
      <c r="C137" s="340">
        <v>383823461.82999998</v>
      </c>
      <c r="D137" s="262">
        <f t="shared" si="12"/>
        <v>44432</v>
      </c>
      <c r="E137" s="340">
        <v>423474868.05000001</v>
      </c>
      <c r="F137" s="262">
        <f t="shared" si="13"/>
        <v>44463</v>
      </c>
      <c r="G137" s="340">
        <v>442327119.15999997</v>
      </c>
    </row>
    <row r="138" spans="1:7" ht="12.5">
      <c r="A138" s="2">
        <f t="shared" si="14"/>
        <v>120</v>
      </c>
      <c r="B138" s="262">
        <f t="shared" si="11"/>
        <v>44402</v>
      </c>
      <c r="C138" s="340">
        <v>383823461.82999998</v>
      </c>
      <c r="D138" s="262">
        <f t="shared" si="12"/>
        <v>44433</v>
      </c>
      <c r="E138" s="340">
        <v>422975499.45999998</v>
      </c>
      <c r="F138" s="262">
        <f t="shared" si="13"/>
        <v>44464</v>
      </c>
      <c r="G138" s="340">
        <v>442327119.15999997</v>
      </c>
    </row>
    <row r="139" spans="1:7" ht="12.5">
      <c r="A139" s="2">
        <f t="shared" si="14"/>
        <v>121</v>
      </c>
      <c r="B139" s="262">
        <f t="shared" si="11"/>
        <v>44403</v>
      </c>
      <c r="C139" s="340">
        <v>374985348.26999998</v>
      </c>
      <c r="D139" s="262">
        <f t="shared" si="12"/>
        <v>44434</v>
      </c>
      <c r="E139" s="340">
        <v>423419306.90999997</v>
      </c>
      <c r="F139" s="262">
        <f t="shared" si="13"/>
        <v>44465</v>
      </c>
      <c r="G139" s="340">
        <v>442327119.15999997</v>
      </c>
    </row>
    <row r="140" spans="1:7" ht="12.5">
      <c r="A140" s="2">
        <f t="shared" si="14"/>
        <v>122</v>
      </c>
      <c r="B140" s="262">
        <f t="shared" si="11"/>
        <v>44404</v>
      </c>
      <c r="C140" s="340">
        <v>379931067.63</v>
      </c>
      <c r="D140" s="262">
        <f t="shared" si="12"/>
        <v>44435</v>
      </c>
      <c r="E140" s="340">
        <v>423629247.82999998</v>
      </c>
      <c r="F140" s="262">
        <f t="shared" si="13"/>
        <v>44466</v>
      </c>
      <c r="G140" s="340">
        <v>437068910.81999999</v>
      </c>
    </row>
    <row r="141" spans="1:7" ht="12.5">
      <c r="A141" s="2">
        <f t="shared" si="14"/>
        <v>123</v>
      </c>
      <c r="B141" s="262">
        <f t="shared" si="11"/>
        <v>44405</v>
      </c>
      <c r="C141" s="340">
        <v>380198346.80000001</v>
      </c>
      <c r="D141" s="262">
        <f t="shared" si="12"/>
        <v>44436</v>
      </c>
      <c r="E141" s="340">
        <v>423629247.82999998</v>
      </c>
      <c r="F141" s="262">
        <f t="shared" si="13"/>
        <v>44467</v>
      </c>
      <c r="G141" s="340">
        <v>440862843.24000001</v>
      </c>
    </row>
    <row r="142" spans="1:7" ht="12.5">
      <c r="A142" s="2">
        <f t="shared" si="14"/>
        <v>124</v>
      </c>
      <c r="B142" s="262">
        <f t="shared" si="11"/>
        <v>44406</v>
      </c>
      <c r="C142" s="340">
        <v>374841547.42000002</v>
      </c>
      <c r="D142" s="262">
        <f t="shared" si="12"/>
        <v>44437</v>
      </c>
      <c r="E142" s="340">
        <v>423629247.82999998</v>
      </c>
      <c r="F142" s="262">
        <f t="shared" si="13"/>
        <v>44468</v>
      </c>
      <c r="G142" s="340">
        <v>440036328.97999996</v>
      </c>
    </row>
    <row r="143" spans="1:7" ht="12.5">
      <c r="A143" s="2">
        <f t="shared" si="14"/>
        <v>125</v>
      </c>
      <c r="B143" s="262">
        <f t="shared" si="11"/>
        <v>44407</v>
      </c>
      <c r="C143" s="340">
        <v>379699198.44</v>
      </c>
      <c r="D143" s="262">
        <f t="shared" si="12"/>
        <v>44438</v>
      </c>
      <c r="E143" s="340">
        <v>416325636.52999997</v>
      </c>
      <c r="F143" s="262">
        <f t="shared" si="13"/>
        <v>44469</v>
      </c>
      <c r="G143" s="340">
        <v>442637728.69999999</v>
      </c>
    </row>
    <row r="144" spans="1:7" ht="12.5">
      <c r="A144" s="2">
        <f t="shared" si="14"/>
        <v>126</v>
      </c>
      <c r="B144" s="262">
        <f t="shared" si="11"/>
        <v>44408</v>
      </c>
      <c r="C144" s="340">
        <v>379699198</v>
      </c>
      <c r="D144" s="262">
        <f t="shared" si="12"/>
        <v>44439</v>
      </c>
      <c r="E144" s="340">
        <v>427480265.69</v>
      </c>
      <c r="F144" s="262" t="s">
        <v>499</v>
      </c>
      <c r="G144" s="340">
        <v>0</v>
      </c>
    </row>
    <row r="145" spans="1:7" ht="12.5">
      <c r="A145" s="2">
        <f t="shared" si="14"/>
        <v>127</v>
      </c>
      <c r="B145" s="262">
        <f t="shared" si="11"/>
        <v>44409</v>
      </c>
      <c r="C145" s="340">
        <v>379699198</v>
      </c>
      <c r="D145" s="262">
        <f>+D144+1</f>
        <v>44440</v>
      </c>
      <c r="E145" s="340">
        <v>430707134.77999997</v>
      </c>
      <c r="F145" s="262"/>
      <c r="G145" s="340">
        <v>0</v>
      </c>
    </row>
    <row r="146" spans="1:7" ht="13" thickBot="1">
      <c r="A146" s="2">
        <f>A145+1</f>
        <v>128</v>
      </c>
      <c r="C146" s="344">
        <f>SUM(C115:C145)</f>
        <v>11350903945.189999</v>
      </c>
      <c r="E146" s="344">
        <f>SUM(E115:E145)</f>
        <v>13010918342.719999</v>
      </c>
      <c r="G146" s="344">
        <f>SUM(G115:G145)</f>
        <v>12630809325.409998</v>
      </c>
    </row>
    <row r="147" spans="1:1" ht="13" thickTop="1">
      <c r="A147" s="2">
        <v>129</v>
      </c>
    </row>
    <row r="148" spans="1:7" ht="13">
      <c r="A148" s="2">
        <v>130</v>
      </c>
      <c r="B148" t="s">
        <v>256</v>
      </c>
      <c r="C148" s="293" t="s">
        <v>467</v>
      </c>
      <c r="G148" s="343">
        <f>SUM(C146:G146,C111:G111,C76:G76,C41:G41)</f>
        <v>130373150028.70999</v>
      </c>
    </row>
    <row r="149" spans="1:1" ht="12.5">
      <c r="A149" s="2"/>
    </row>
  </sheetData>
  <hyperlinks>
    <hyperlink ref="C148" r:id="rId1" display="Daily Receivable Backup.xlsx"/>
  </hyperlinks>
  <printOptions horizontalCentered="1"/>
  <pageMargins left="0.5" right="0.5" top="1.5" bottom="0.5" header="1" footer="0.5"/>
  <pageSetup fitToHeight="4" orientation="landscape" scale="83" r:id="rId2"/>
  <headerFooter alignWithMargins="0">
    <oddHeader>&amp;RWP/II-B-9/&amp;A
Page &amp;P of &amp;N</oddHeader>
  </headerFooter>
  <rowBreaks count="3" manualBreakCount="3">
    <brk id="41" max="16383" man="1"/>
    <brk id="76" max="16383" man="1"/>
    <brk id="11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2">
    <tabColor rgb="FF92D050"/>
    <pageSetUpPr fitToPage="1"/>
  </sheetPr>
  <dimension ref="A1:K40"/>
  <sheetViews>
    <sheetView zoomScale="95" zoomScaleNormal="95" workbookViewId="0" topLeftCell="A1">
      <pane xSplit="2" ySplit="8" topLeftCell="D27" activePane="bottomRight" state="frozen"/>
      <selection pane="topLeft" activeCell="A2" sqref="A2"/>
      <selection pane="bottomLeft" activeCell="A2" sqref="A2"/>
      <selection pane="topRight" activeCell="A2" sqref="A2"/>
      <selection pane="bottomRight" activeCell="K36" sqref="K36"/>
    </sheetView>
  </sheetViews>
  <sheetFormatPr defaultColWidth="9.09428571428571" defaultRowHeight="12.75"/>
  <cols>
    <col min="1" max="1" width="5.57142857142857" style="1" customWidth="1"/>
    <col min="2" max="2" width="21" style="1" customWidth="1"/>
    <col min="3" max="3" width="19.8571428571429" style="1" customWidth="1"/>
    <col min="4" max="4" width="10.8571428571429" style="286" bestFit="1" customWidth="1"/>
    <col min="5" max="5" width="24.1428571428571" style="1" customWidth="1"/>
    <col min="6" max="6" width="15.8571428571429" style="1" bestFit="1" customWidth="1"/>
    <col min="7" max="7" width="14.8571428571429" style="1" bestFit="1" customWidth="1"/>
    <col min="8" max="8" width="12.1428571428571" style="1" customWidth="1"/>
    <col min="9" max="9" width="18" style="1" customWidth="1"/>
    <col min="10" max="10" width="21.5714285714286" style="1" customWidth="1"/>
    <col min="11" max="11" width="20" style="1" customWidth="1"/>
    <col min="12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11" s="42" customFormat="1" ht="13">
      <c r="A3" s="183" t="s">
        <v>276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1"/>
      <c r="C5" s="181"/>
      <c r="D5" s="181"/>
      <c r="E5" s="181"/>
    </row>
    <row r="6" spans="1:11" s="16" customFormat="1" ht="15.5">
      <c r="A6" s="189"/>
      <c r="B6" s="189"/>
      <c r="C6" s="189"/>
      <c r="D6" s="281"/>
      <c r="K6" s="180"/>
    </row>
    <row r="7" spans="1:11" ht="26">
      <c r="A7" s="190" t="s">
        <v>80</v>
      </c>
      <c r="B7" s="190" t="s">
        <v>269</v>
      </c>
      <c r="C7" s="190" t="s">
        <v>217</v>
      </c>
      <c r="D7" s="282" t="s">
        <v>81</v>
      </c>
      <c r="E7" s="32" t="s">
        <v>25</v>
      </c>
      <c r="F7" s="32" t="s">
        <v>46</v>
      </c>
      <c r="G7" s="32" t="s">
        <v>25</v>
      </c>
      <c r="H7" s="32" t="s">
        <v>36</v>
      </c>
      <c r="I7" s="32" t="s">
        <v>25</v>
      </c>
      <c r="J7" s="32" t="s">
        <v>47</v>
      </c>
      <c r="K7" s="32" t="s">
        <v>43</v>
      </c>
    </row>
    <row r="8" spans="1:11" ht="13">
      <c r="A8" s="95"/>
      <c r="B8" s="52" t="s">
        <v>55</v>
      </c>
      <c r="C8" s="52" t="s">
        <v>56</v>
      </c>
      <c r="D8" s="283" t="s">
        <v>62</v>
      </c>
      <c r="E8" s="40" t="s">
        <v>57</v>
      </c>
      <c r="F8" s="40" t="s">
        <v>58</v>
      </c>
      <c r="G8" s="40" t="s">
        <v>59</v>
      </c>
      <c r="H8" s="40" t="s">
        <v>60</v>
      </c>
      <c r="I8" s="40" t="s">
        <v>63</v>
      </c>
      <c r="J8" s="40" t="s">
        <v>64</v>
      </c>
      <c r="K8" s="40" t="s">
        <v>82</v>
      </c>
    </row>
    <row r="9" spans="1:4" ht="12.5">
      <c r="A9" s="31"/>
      <c r="B9" s="31"/>
      <c r="C9" s="31"/>
      <c r="D9" s="284"/>
    </row>
    <row r="10" spans="1:4" ht="13">
      <c r="A10" s="91">
        <v>1</v>
      </c>
      <c r="B10" s="450" t="s">
        <v>213</v>
      </c>
      <c r="C10" s="31"/>
      <c r="D10" s="284"/>
    </row>
    <row r="11" spans="1:4" ht="12.5">
      <c r="A11" s="91">
        <v>2</v>
      </c>
      <c r="B11" s="31"/>
      <c r="C11" s="31"/>
      <c r="D11" s="284"/>
    </row>
    <row r="12" spans="1:11" ht="12.5">
      <c r="A12" s="91">
        <v>3</v>
      </c>
      <c r="B12" s="31" t="s">
        <v>37</v>
      </c>
      <c r="C12" s="75">
        <f>+C15*D12</f>
        <v>46520803.019645393</v>
      </c>
      <c r="D12" s="285">
        <f>D21</f>
        <v>0.99770000000000003</v>
      </c>
      <c r="E12" s="55" t="s">
        <v>207</v>
      </c>
      <c r="F12" s="346">
        <f>-'2-2'!C25</f>
        <v>-11.960000000000001</v>
      </c>
      <c r="G12" s="55" t="s">
        <v>205</v>
      </c>
      <c r="H12" s="346">
        <f>H21</f>
        <v>0</v>
      </c>
      <c r="I12" s="55"/>
      <c r="J12" s="346">
        <f>F12+H12</f>
        <v>-11.960000000000001</v>
      </c>
      <c r="K12" s="75">
        <f>C12*J12</f>
        <v>-556388804.11495888</v>
      </c>
    </row>
    <row r="13" spans="1:11" ht="12.5">
      <c r="A13" s="91">
        <v>4</v>
      </c>
      <c r="B13" s="31" t="s">
        <v>38</v>
      </c>
      <c r="C13" s="349">
        <f>C15-C12</f>
        <v>107244.50931660831</v>
      </c>
      <c r="D13" s="285">
        <f>D22</f>
        <v>0.0023</v>
      </c>
      <c r="E13" s="55" t="s">
        <v>207</v>
      </c>
      <c r="F13" s="346">
        <f>F12</f>
        <v>-11.960000000000001</v>
      </c>
      <c r="G13" s="55" t="s">
        <v>205</v>
      </c>
      <c r="H13" s="346">
        <f>H22</f>
        <v>-7.2699999999999996</v>
      </c>
      <c r="I13" s="55" t="s">
        <v>253</v>
      </c>
      <c r="J13" s="347">
        <f>F13+H13</f>
        <v>-19.23</v>
      </c>
      <c r="K13" s="349">
        <f>C13*J13</f>
        <v>-2062311.9141583778</v>
      </c>
    </row>
    <row r="14" spans="1:11" ht="12.5">
      <c r="A14" s="91">
        <v>5</v>
      </c>
      <c r="B14" s="31"/>
      <c r="C14" s="289"/>
      <c r="D14" s="285"/>
      <c r="E14" s="55"/>
      <c r="F14" s="346"/>
      <c r="G14" s="55"/>
      <c r="H14" s="346"/>
      <c r="I14" s="55"/>
      <c r="J14" s="348"/>
      <c r="K14" s="289"/>
    </row>
    <row r="15" spans="1:11" ht="13">
      <c r="A15" s="91">
        <v>6</v>
      </c>
      <c r="B15" s="31" t="s">
        <v>221</v>
      </c>
      <c r="C15" s="603">
        <f>+D15*C35</f>
        <v>46628047.528962001</v>
      </c>
      <c r="D15" s="605">
        <f>+'2-6'!E11</f>
        <v>0.17130000000000001</v>
      </c>
      <c r="E15" s="55" t="s">
        <v>252</v>
      </c>
      <c r="F15" s="346"/>
      <c r="G15" s="55"/>
      <c r="H15" s="66"/>
      <c r="I15" s="21"/>
      <c r="J15" s="347">
        <f>K15/C15</f>
        <v>-11.976720999999998</v>
      </c>
      <c r="K15" s="580">
        <f>SUM(K12:K13)</f>
        <v>-558451116.02911723</v>
      </c>
    </row>
    <row r="16" spans="1:10" ht="12.5">
      <c r="A16" s="91">
        <v>7</v>
      </c>
      <c r="B16" s="31"/>
      <c r="D16" s="284"/>
      <c r="E16" s="55"/>
      <c r="F16" s="46"/>
      <c r="H16" s="46"/>
      <c r="J16" s="46"/>
    </row>
    <row r="17" spans="1:10" ht="13">
      <c r="A17" s="91">
        <v>8</v>
      </c>
      <c r="B17" s="450" t="s">
        <v>52</v>
      </c>
      <c r="D17" s="284"/>
      <c r="F17" s="46"/>
      <c r="H17" s="46"/>
      <c r="J17" s="46"/>
    </row>
    <row r="18" spans="1:10" ht="12.5">
      <c r="A18" s="91">
        <v>9</v>
      </c>
      <c r="B18" s="31"/>
      <c r="D18" s="284"/>
      <c r="F18" s="46"/>
      <c r="H18" s="46"/>
      <c r="J18" s="46"/>
    </row>
    <row r="19" spans="1:10" ht="12.5">
      <c r="A19" s="91">
        <v>10</v>
      </c>
      <c r="B19" s="31" t="s">
        <v>83</v>
      </c>
      <c r="D19" s="284"/>
      <c r="F19" s="46"/>
      <c r="H19" s="46"/>
      <c r="J19" s="46"/>
    </row>
    <row r="20" spans="1:10" ht="12.5">
      <c r="A20" s="91">
        <v>11</v>
      </c>
      <c r="B20" s="31"/>
      <c r="D20" s="284"/>
      <c r="F20" s="46"/>
      <c r="H20" s="46"/>
      <c r="J20" s="66"/>
    </row>
    <row r="21" spans="1:11" ht="12.5">
      <c r="A21" s="91">
        <v>12</v>
      </c>
      <c r="B21" s="31" t="s">
        <v>37</v>
      </c>
      <c r="C21" s="75">
        <f>+C24*D21</f>
        <v>111761930.22193797</v>
      </c>
      <c r="D21" s="285">
        <f>+'2-1'!F18</f>
        <v>0.99770000000000003</v>
      </c>
      <c r="E21" s="55" t="s">
        <v>207</v>
      </c>
      <c r="F21" s="346">
        <f>+'2-3'!C57</f>
        <v>-12.08</v>
      </c>
      <c r="G21" s="55" t="s">
        <v>206</v>
      </c>
      <c r="H21" s="346">
        <v>0</v>
      </c>
      <c r="I21" s="55"/>
      <c r="J21" s="346">
        <f>F21+H21</f>
        <v>-12.08</v>
      </c>
      <c r="K21" s="75">
        <f>C21*J21</f>
        <v>-1350084117.0810106</v>
      </c>
    </row>
    <row r="22" spans="1:11" ht="12.5">
      <c r="A22" s="91">
        <v>13</v>
      </c>
      <c r="B22" s="31" t="s">
        <v>38</v>
      </c>
      <c r="C22" s="349">
        <f>C24-C21</f>
        <v>257645.02306349576</v>
      </c>
      <c r="D22" s="285">
        <f>+'2-1'!G18</f>
        <v>0.0023</v>
      </c>
      <c r="E22" s="55" t="s">
        <v>207</v>
      </c>
      <c r="F22" s="346">
        <f>+'2-3'!C57</f>
        <v>-12.08</v>
      </c>
      <c r="G22" s="55" t="s">
        <v>206</v>
      </c>
      <c r="H22" s="346">
        <f>'2-4'!D14</f>
        <v>-7.2699999999999996</v>
      </c>
      <c r="I22" s="55" t="s">
        <v>253</v>
      </c>
      <c r="J22" s="347">
        <f>F22+H22</f>
        <v>-19.350000000000001</v>
      </c>
      <c r="K22" s="349">
        <f>C22*J22</f>
        <v>-4985431.1962786429</v>
      </c>
    </row>
    <row r="23" spans="1:11" ht="13" thickBot="1">
      <c r="A23" s="91">
        <v>14</v>
      </c>
      <c r="B23" s="31"/>
      <c r="C23" s="289"/>
      <c r="D23" s="285"/>
      <c r="E23" s="55"/>
      <c r="F23" s="346"/>
      <c r="G23" s="55"/>
      <c r="H23" s="346"/>
      <c r="I23" s="55"/>
      <c r="J23" s="348"/>
      <c r="K23" s="289"/>
    </row>
    <row r="24" spans="1:11" ht="13" thickBot="1">
      <c r="A24" s="91">
        <v>15</v>
      </c>
      <c r="B24" s="31" t="s">
        <v>84</v>
      </c>
      <c r="C24" s="604">
        <f>+C33*D24</f>
        <v>112019575.24500147</v>
      </c>
      <c r="D24" s="607">
        <f>'2-5'!C31</f>
        <v>0.49659999999999999</v>
      </c>
      <c r="E24" s="55" t="s">
        <v>254</v>
      </c>
      <c r="F24" s="346"/>
      <c r="G24" s="55"/>
      <c r="H24" s="66"/>
      <c r="I24" s="21"/>
      <c r="J24" s="347">
        <f>K24/C24</f>
        <v>-12.096720999999999</v>
      </c>
      <c r="K24" s="580">
        <f>SUM(K21:K22)</f>
        <v>-1355069548.2772892</v>
      </c>
    </row>
    <row r="25" spans="1:10" ht="12.5">
      <c r="A25" s="91">
        <v>16</v>
      </c>
      <c r="B25" s="31"/>
      <c r="D25" s="285"/>
      <c r="E25" s="47"/>
      <c r="F25" s="37"/>
      <c r="G25" s="47"/>
      <c r="H25" s="66"/>
      <c r="I25" s="21"/>
      <c r="J25" s="346"/>
    </row>
    <row r="26" spans="1:10" ht="12.5">
      <c r="A26" s="91">
        <v>17</v>
      </c>
      <c r="B26" s="31" t="s">
        <v>85</v>
      </c>
      <c r="D26" s="285"/>
      <c r="E26" s="47"/>
      <c r="F26" s="37"/>
      <c r="G26" s="47"/>
      <c r="H26" s="66"/>
      <c r="I26" s="21"/>
      <c r="J26" s="346"/>
    </row>
    <row r="27" spans="1:10" ht="12.5">
      <c r="A27" s="91">
        <v>18</v>
      </c>
      <c r="B27" s="31"/>
      <c r="D27" s="285"/>
      <c r="E27" s="47"/>
      <c r="F27" s="37"/>
      <c r="G27" s="47"/>
      <c r="H27" s="66"/>
      <c r="I27" s="21"/>
      <c r="J27" s="346"/>
    </row>
    <row r="28" spans="1:11" ht="12.5">
      <c r="A28" s="91">
        <v>19</v>
      </c>
      <c r="B28" s="31" t="s">
        <v>37</v>
      </c>
      <c r="C28" s="75">
        <f>+C31*D28</f>
        <v>113292298.98051463</v>
      </c>
      <c r="D28" s="285">
        <f>+'2-1'!F18</f>
        <v>0.99770000000000003</v>
      </c>
      <c r="E28" s="55" t="s">
        <v>207</v>
      </c>
      <c r="F28" s="346">
        <f>+'2-3'!C58</f>
        <v>-12.17</v>
      </c>
      <c r="G28" s="55" t="s">
        <v>206</v>
      </c>
      <c r="H28" s="346">
        <v>0</v>
      </c>
      <c r="I28" s="55"/>
      <c r="J28" s="346">
        <f>F28+H28</f>
        <v>-12.17</v>
      </c>
      <c r="K28" s="75">
        <f>C28*J28</f>
        <v>-1378767278.5928631</v>
      </c>
    </row>
    <row r="29" spans="1:11" ht="12.5">
      <c r="A29" s="91">
        <v>20</v>
      </c>
      <c r="B29" s="31" t="s">
        <v>38</v>
      </c>
      <c r="C29" s="349">
        <f>C31-C28</f>
        <v>261172.98552188277</v>
      </c>
      <c r="D29" s="285">
        <f>+'2-1'!G18</f>
        <v>0.0023</v>
      </c>
      <c r="E29" s="55" t="s">
        <v>207</v>
      </c>
      <c r="F29" s="346">
        <f>+'2-3'!C58</f>
        <v>-12.17</v>
      </c>
      <c r="G29" s="55" t="s">
        <v>206</v>
      </c>
      <c r="H29" s="346">
        <f>+H22</f>
        <v>-7.2699999999999996</v>
      </c>
      <c r="I29" s="55" t="s">
        <v>253</v>
      </c>
      <c r="J29" s="347">
        <f>F29+H29</f>
        <v>-19.439999999999998</v>
      </c>
      <c r="K29" s="349">
        <f>C29*J29</f>
        <v>-5077202.8385454006</v>
      </c>
    </row>
    <row r="30" spans="1:11" ht="13" thickBot="1">
      <c r="A30" s="91">
        <v>21</v>
      </c>
      <c r="B30" s="31"/>
      <c r="C30" s="601"/>
      <c r="D30" s="285"/>
      <c r="E30" s="55"/>
      <c r="F30" s="346"/>
      <c r="G30" s="55"/>
      <c r="H30" s="346"/>
      <c r="I30" s="55"/>
      <c r="J30" s="608"/>
      <c r="K30" s="601"/>
    </row>
    <row r="31" spans="1:11" ht="13" thickBot="1">
      <c r="A31" s="91">
        <v>22</v>
      </c>
      <c r="B31" s="31" t="s">
        <v>97</v>
      </c>
      <c r="C31" s="580">
        <f>+D31*C33</f>
        <v>113553471.96603651</v>
      </c>
      <c r="D31" s="607">
        <f>'2-5'!D31</f>
        <v>0.50339999999999996</v>
      </c>
      <c r="E31" s="55" t="s">
        <v>254</v>
      </c>
      <c r="F31" s="28"/>
      <c r="G31" s="47"/>
      <c r="H31" s="66"/>
      <c r="I31" s="21"/>
      <c r="J31" s="347">
        <f>K31/C31</f>
        <v>-12.186721008806423</v>
      </c>
      <c r="K31" s="580">
        <f>SUM(K28:K29)-1</f>
        <v>-1383844482.4314084</v>
      </c>
    </row>
    <row r="32" spans="1:11" ht="12.5">
      <c r="A32" s="91">
        <v>23</v>
      </c>
      <c r="B32" s="31"/>
      <c r="C32" s="46"/>
      <c r="D32" s="285"/>
      <c r="E32" s="19"/>
      <c r="F32" s="46"/>
      <c r="H32" s="46"/>
      <c r="I32" s="21"/>
      <c r="J32" s="66"/>
      <c r="K32" s="46"/>
    </row>
    <row r="33" spans="1:11" ht="13">
      <c r="A33" s="91">
        <v>24</v>
      </c>
      <c r="B33" s="31" t="s">
        <v>251</v>
      </c>
      <c r="C33" s="602">
        <f>+C35*D33</f>
        <v>225573047.21103799</v>
      </c>
      <c r="D33" s="606">
        <f>+'2-6'!F11</f>
        <v>0.82869999999999999</v>
      </c>
      <c r="E33" s="55" t="s">
        <v>252</v>
      </c>
      <c r="F33" s="46"/>
      <c r="H33" s="46"/>
      <c r="I33" s="21"/>
      <c r="J33" s="347">
        <f>K33/C33</f>
        <v>-12.142026999999997</v>
      </c>
      <c r="K33" s="580">
        <f>K31+K24+1</f>
        <v>-2738914029.7086973</v>
      </c>
    </row>
    <row r="34" spans="1:11" ht="13.5" thickBot="1">
      <c r="A34" s="91">
        <v>25</v>
      </c>
      <c r="B34" s="31"/>
      <c r="C34" s="46"/>
      <c r="D34" s="285"/>
      <c r="E34" s="19"/>
      <c r="F34" s="58"/>
      <c r="H34" s="46"/>
      <c r="I34" s="21"/>
      <c r="J34" s="66"/>
      <c r="K34" s="46"/>
    </row>
    <row r="35" spans="1:11" ht="13.5" thickBot="1">
      <c r="A35" s="91">
        <v>26</v>
      </c>
      <c r="B35" s="58" t="s">
        <v>26</v>
      </c>
      <c r="C35" s="747">
        <v>272201094.74000001</v>
      </c>
      <c r="D35" s="724">
        <f>+D33+D15</f>
        <v>1</v>
      </c>
      <c r="E35" s="748" t="s">
        <v>306</v>
      </c>
      <c r="F35" s="725">
        <f>ROUND(((C15*F12)+(C24*F21)+(C31*F28))/C35,2)</f>
        <v>-12.1</v>
      </c>
      <c r="G35" s="31"/>
      <c r="H35" s="37"/>
      <c r="I35" s="31"/>
      <c r="J35" s="522">
        <f>ROUND(K35/C35,2)</f>
        <v>-12.109999999999999</v>
      </c>
      <c r="K35" s="435">
        <f>K33+K15</f>
        <v>-3297365145.7378144</v>
      </c>
    </row>
    <row r="36" spans="1:11" ht="13.5" thickTop="1">
      <c r="A36" s="91">
        <v>27</v>
      </c>
      <c r="B36" s="31"/>
      <c r="C36" s="290"/>
      <c r="D36" s="284"/>
      <c r="E36" s="91" t="s">
        <v>307</v>
      </c>
      <c r="F36" s="58"/>
      <c r="G36" s="31"/>
      <c r="H36" s="31"/>
      <c r="I36" s="31"/>
      <c r="J36" s="37"/>
      <c r="K36" s="37"/>
    </row>
    <row r="37" spans="3:11" ht="13">
      <c r="C37" s="31"/>
      <c r="D37" s="284"/>
      <c r="E37" s="31"/>
      <c r="F37" s="58"/>
      <c r="G37" s="31"/>
      <c r="H37" s="31"/>
      <c r="I37" s="31"/>
      <c r="J37" s="31"/>
      <c r="K37" s="31"/>
    </row>
    <row r="38" spans="3:11" ht="13">
      <c r="C38" s="58"/>
      <c r="D38" s="523"/>
      <c r="E38" s="58"/>
      <c r="F38" s="58"/>
      <c r="G38" s="58"/>
      <c r="H38" s="58"/>
      <c r="I38" s="58"/>
      <c r="J38" s="31"/>
      <c r="K38" s="31"/>
    </row>
    <row r="39" spans="3:11" ht="12.5">
      <c r="C39" s="31"/>
      <c r="D39" s="284"/>
      <c r="E39" s="31"/>
      <c r="F39" s="31"/>
      <c r="G39" s="31"/>
      <c r="H39" s="31"/>
      <c r="I39" s="31"/>
      <c r="J39" s="31"/>
      <c r="K39" s="31"/>
    </row>
    <row r="40" spans="3:11" ht="12.5">
      <c r="C40" s="31"/>
      <c r="D40" s="284"/>
      <c r="E40" s="31"/>
      <c r="F40" s="31"/>
      <c r="G40" s="31"/>
      <c r="H40" s="31"/>
      <c r="I40" s="31"/>
      <c r="J40" s="31"/>
      <c r="K40" s="31"/>
    </row>
  </sheetData>
  <printOptions horizontalCentered="1"/>
  <pageMargins left="0.5" right="0.5" top="1.5" bottom="0.5" header="1" footer="0.5"/>
  <pageSetup orientation="landscape" scale="70" r:id="rId1"/>
  <headerFooter alignWithMargins="0">
    <oddHeader>&amp;RWP/II-B-9/&amp;A
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6">
    <tabColor rgb="FF92D050"/>
    <pageSetUpPr fitToPage="1"/>
  </sheetPr>
  <dimension ref="A1:G33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32" style="1" bestFit="1" customWidth="1"/>
    <col min="3" max="3" width="16.1428571428571" style="1" bestFit="1" customWidth="1"/>
    <col min="4" max="4" width="19" style="1" customWidth="1"/>
    <col min="5" max="5" width="18.4285714285714" style="1" customWidth="1"/>
    <col min="6" max="7" width="15.4285714285714" style="1" customWidth="1"/>
    <col min="8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7" s="42" customFormat="1" ht="13">
      <c r="A3" s="181" t="s">
        <v>128</v>
      </c>
      <c r="B3" s="181"/>
      <c r="C3" s="181"/>
      <c r="D3" s="181"/>
      <c r="E3" s="181"/>
      <c r="F3" s="181"/>
      <c r="G3" s="181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1"/>
      <c r="C5" s="181"/>
      <c r="D5" s="181"/>
      <c r="E5" s="181"/>
    </row>
    <row r="7" spans="1:7" ht="39">
      <c r="A7" s="32" t="s">
        <v>45</v>
      </c>
      <c r="B7" s="32" t="s">
        <v>270</v>
      </c>
      <c r="C7" s="32" t="s">
        <v>42</v>
      </c>
      <c r="D7" s="32" t="s">
        <v>99</v>
      </c>
      <c r="E7" s="32" t="s">
        <v>100</v>
      </c>
      <c r="F7" s="32" t="s">
        <v>101</v>
      </c>
      <c r="G7" s="32" t="s">
        <v>102</v>
      </c>
    </row>
    <row r="8" spans="1:7" ht="13">
      <c r="A8" s="45"/>
      <c r="B8" s="40" t="s">
        <v>55</v>
      </c>
      <c r="C8" s="40" t="s">
        <v>56</v>
      </c>
      <c r="D8" s="40" t="s">
        <v>62</v>
      </c>
      <c r="E8" s="40" t="s">
        <v>57</v>
      </c>
      <c r="F8" s="40" t="s">
        <v>58</v>
      </c>
      <c r="G8" s="40" t="s">
        <v>59</v>
      </c>
    </row>
    <row r="10" spans="1:5" ht="12.5">
      <c r="A10" s="3">
        <v>1</v>
      </c>
      <c r="B10" s="654">
        <v>44105</v>
      </c>
      <c r="C10" s="53"/>
      <c r="D10" s="53"/>
      <c r="E10" s="48"/>
    </row>
    <row r="11" spans="1:6" ht="12.5">
      <c r="A11" s="3">
        <f>A10+1</f>
        <v>2</v>
      </c>
      <c r="B11" s="30" t="s">
        <v>129</v>
      </c>
      <c r="C11" s="352">
        <v>7333759.5199999977</v>
      </c>
      <c r="D11" s="352">
        <v>13002.549999999999</v>
      </c>
      <c r="E11" s="353">
        <f>+C11+D11</f>
        <v>7346762.0699999975</v>
      </c>
      <c r="F11"/>
    </row>
    <row r="12" spans="1:6" ht="12.5">
      <c r="A12" s="3">
        <f t="shared" si="0" ref="A12:A25">A11+1</f>
        <v>3</v>
      </c>
      <c r="B12" s="30" t="s">
        <v>130</v>
      </c>
      <c r="C12" s="354">
        <v>19176622.770000074</v>
      </c>
      <c r="D12" s="354">
        <v>58444.75</v>
      </c>
      <c r="E12" s="355">
        <f>+C12+D12</f>
        <v>19235067.520000074</v>
      </c>
      <c r="F12"/>
    </row>
    <row r="13" spans="1:6" ht="12.5">
      <c r="A13" s="3">
        <f t="shared" si="0"/>
        <v>4</v>
      </c>
      <c r="B13" s="30"/>
      <c r="C13" s="354"/>
      <c r="D13" s="354"/>
      <c r="E13" s="355"/>
      <c r="F13"/>
    </row>
    <row r="14" spans="1:6" ht="12.5">
      <c r="A14" s="3">
        <f t="shared" si="0"/>
        <v>5</v>
      </c>
      <c r="B14" s="654">
        <v>44440</v>
      </c>
      <c r="C14" s="356"/>
      <c r="D14" s="356"/>
      <c r="E14" s="357"/>
      <c r="F14"/>
    </row>
    <row r="15" spans="1:6" ht="12.5">
      <c r="A15" s="3">
        <f t="shared" si="0"/>
        <v>6</v>
      </c>
      <c r="B15" s="30" t="s">
        <v>129</v>
      </c>
      <c r="C15" s="356">
        <v>6931832.9599999934</v>
      </c>
      <c r="D15" s="356">
        <v>0</v>
      </c>
      <c r="E15" s="355">
        <f>+C15+D15</f>
        <v>6931832.9599999934</v>
      </c>
      <c r="F15"/>
    </row>
    <row r="16" spans="1:6" ht="12.5">
      <c r="A16" s="3">
        <f t="shared" si="0"/>
        <v>7</v>
      </c>
      <c r="B16" s="30" t="s">
        <v>130</v>
      </c>
      <c r="C16" s="358">
        <v>20093523.269999947</v>
      </c>
      <c r="D16" s="358">
        <v>52184.220000000008</v>
      </c>
      <c r="E16" s="359">
        <f>+C16+D16</f>
        <v>20145707.489999946</v>
      </c>
      <c r="F16"/>
    </row>
    <row r="17" spans="1:5" ht="12.5">
      <c r="A17" s="3">
        <f t="shared" si="0"/>
        <v>8</v>
      </c>
      <c r="C17" s="12"/>
      <c r="D17" s="12"/>
      <c r="E17" s="12"/>
    </row>
    <row r="18" spans="1:7" ht="13" thickBot="1">
      <c r="A18" s="3">
        <f t="shared" si="0"/>
        <v>9</v>
      </c>
      <c r="B18" s="1" t="s">
        <v>66</v>
      </c>
      <c r="C18" s="360">
        <f>SUM(C10:C16)</f>
        <v>53535738.520000011</v>
      </c>
      <c r="D18" s="360">
        <f>SUM(D10:D16)</f>
        <v>123631.52000000002</v>
      </c>
      <c r="E18" s="360">
        <f>SUM(E10:E16)</f>
        <v>53659370.040000007</v>
      </c>
      <c r="F18" s="438">
        <f>+ROUND(C18/$E$18,4)</f>
        <v>0.99770000000000003</v>
      </c>
      <c r="G18" s="438">
        <f>+ROUND(D18/$E$18,4)</f>
        <v>0.0023</v>
      </c>
    </row>
    <row r="19" spans="1:1" ht="13" thickTop="1">
      <c r="A19" s="3">
        <f t="shared" si="0"/>
        <v>10</v>
      </c>
    </row>
    <row r="20" spans="1:7" ht="12.5">
      <c r="A20" s="3">
        <f t="shared" si="0"/>
        <v>11</v>
      </c>
      <c r="F20" s="49" t="s">
        <v>104</v>
      </c>
      <c r="G20" s="49" t="s">
        <v>103</v>
      </c>
    </row>
    <row r="21" spans="1:2" ht="12.5">
      <c r="A21" s="3">
        <f t="shared" si="0"/>
        <v>12</v>
      </c>
      <c r="B21" s="1" t="s">
        <v>65</v>
      </c>
    </row>
    <row r="22" spans="1:4" ht="12.5">
      <c r="A22" s="3">
        <f t="shared" si="0"/>
        <v>13</v>
      </c>
      <c r="B22" s="16" t="s">
        <v>233</v>
      </c>
      <c r="D22" s="43"/>
    </row>
    <row r="23" spans="1:2" ht="12.5">
      <c r="A23" s="3">
        <f t="shared" si="0"/>
        <v>14</v>
      </c>
      <c r="B23" s="1" t="s">
        <v>234</v>
      </c>
    </row>
    <row r="24" spans="1:1" ht="12.5">
      <c r="A24" s="3">
        <f t="shared" si="0"/>
        <v>15</v>
      </c>
    </row>
    <row r="25" spans="1:3" ht="12.5">
      <c r="A25" s="3">
        <f t="shared" si="0"/>
        <v>16</v>
      </c>
      <c r="B25" s="1" t="s">
        <v>256</v>
      </c>
      <c r="C25" s="293" t="s">
        <v>464</v>
      </c>
    </row>
    <row r="30" spans="4:4" ht="12.5">
      <c r="D30" s="471"/>
    </row>
    <row r="31" spans="4:4" ht="12.5">
      <c r="D31" s="471"/>
    </row>
    <row r="33" spans="4:4" ht="12.5">
      <c r="D33" s="471"/>
    </row>
  </sheetData>
  <hyperlinks>
    <hyperlink ref="C25" r:id="rId1" display="Payroll direct deposit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7">
    <tabColor rgb="FF92D050"/>
    <pageSetUpPr fitToPage="1"/>
  </sheetPr>
  <dimension ref="A1:I29"/>
  <sheetViews>
    <sheetView showGridLines="0" workbookViewId="0" topLeftCell="A1">
      <selection pane="topLeft" activeCell="A4" sqref="A4"/>
    </sheetView>
  </sheetViews>
  <sheetFormatPr defaultColWidth="9.09428571428571" defaultRowHeight="12.75"/>
  <cols>
    <col min="1" max="1" width="8.57142857142857" style="1" customWidth="1"/>
    <col min="2" max="2" width="78.5714285714286" style="1" customWidth="1"/>
    <col min="3" max="3" width="14.1428571428571" style="1" customWidth="1"/>
    <col min="4" max="4" width="45.5714285714286" style="1" customWidth="1"/>
    <col min="5" max="5" width="23.8571428571429" style="1" customWidth="1"/>
    <col min="6" max="16384" width="9.14285714285714" style="1"/>
  </cols>
  <sheetData>
    <row r="1" spans="1:5" s="42" customFormat="1" ht="13">
      <c r="A1" s="131" t="s">
        <v>530</v>
      </c>
      <c r="B1" s="131"/>
      <c r="C1" s="131"/>
      <c r="D1" s="181"/>
      <c r="E1" s="181"/>
    </row>
    <row r="2" spans="1:5" s="42" customFormat="1" ht="13">
      <c r="A2" s="131" t="str">
        <f>' '!A2</f>
        <v>ONCOR ELECTRIC DELIVERY COMPANY LLC</v>
      </c>
      <c r="B2" s="131"/>
      <c r="C2" s="131"/>
      <c r="D2" s="181"/>
      <c r="E2" s="181"/>
    </row>
    <row r="3" spans="1:5" s="42" customFormat="1" ht="13">
      <c r="A3" s="235" t="s">
        <v>272</v>
      </c>
      <c r="B3" s="235"/>
      <c r="C3" s="235"/>
      <c r="D3" s="183"/>
      <c r="E3" s="183"/>
    </row>
    <row r="4" spans="1:5" s="42" customFormat="1" ht="13">
      <c r="A4" s="817" t="s">
        <v>929</v>
      </c>
      <c r="B4" s="131"/>
      <c r="C4" s="131"/>
      <c r="D4" s="181"/>
      <c r="E4" s="181"/>
    </row>
    <row r="5" spans="1:5" s="42" customFormat="1" ht="13">
      <c r="A5" s="131" t="s">
        <v>524</v>
      </c>
      <c r="B5" s="131"/>
      <c r="C5" s="131"/>
      <c r="D5" s="181"/>
      <c r="E5" s="181"/>
    </row>
    <row r="6" spans="1:3" ht="12.5">
      <c r="A6" s="26"/>
      <c r="B6" s="26"/>
      <c r="C6" s="26"/>
    </row>
    <row r="7" spans="1:5" s="26" customFormat="1" ht="13">
      <c r="A7" s="33" t="s">
        <v>45</v>
      </c>
      <c r="B7" s="57" t="s">
        <v>213</v>
      </c>
      <c r="C7" s="33" t="s">
        <v>116</v>
      </c>
      <c r="D7" s="214"/>
      <c r="E7" s="214"/>
    </row>
    <row r="8" spans="1:5" ht="12.5">
      <c r="A8" s="20"/>
      <c r="B8" s="40" t="s">
        <v>55</v>
      </c>
      <c r="C8" s="40" t="s">
        <v>56</v>
      </c>
      <c r="D8" s="3"/>
      <c r="E8" s="3"/>
    </row>
    <row r="9" spans="2:9" ht="13">
      <c r="B9" s="26"/>
      <c r="C9" s="26"/>
      <c r="E9" s="159"/>
      <c r="F9" s="159"/>
      <c r="G9" s="159"/>
      <c r="H9" s="159"/>
      <c r="I9" s="159"/>
    </row>
    <row r="10" spans="1:9" ht="13">
      <c r="A10" s="20">
        <v>1</v>
      </c>
      <c r="B10" s="234" t="s">
        <v>214</v>
      </c>
      <c r="C10" s="26"/>
      <c r="D10" s="159"/>
      <c r="F10" s="159"/>
      <c r="G10" s="159"/>
      <c r="H10" s="159"/>
      <c r="I10" s="159"/>
    </row>
    <row r="11" spans="1:9" ht="13">
      <c r="A11" s="20">
        <v>2</v>
      </c>
      <c r="B11" s="26"/>
      <c r="C11" s="26"/>
      <c r="D11" s="159"/>
      <c r="F11" s="159"/>
      <c r="G11" s="159"/>
      <c r="H11" s="159"/>
      <c r="I11" s="159"/>
    </row>
    <row r="12" spans="1:9" ht="13">
      <c r="A12" s="20">
        <v>3</v>
      </c>
      <c r="B12" s="26" t="s">
        <v>215</v>
      </c>
      <c r="C12" s="26"/>
      <c r="D12" s="159"/>
      <c r="F12" s="159"/>
      <c r="G12" s="159"/>
      <c r="H12" s="159"/>
      <c r="I12" s="159"/>
    </row>
    <row r="13" spans="1:9" ht="13">
      <c r="A13" s="20">
        <v>4</v>
      </c>
      <c r="B13" s="26" t="s">
        <v>216</v>
      </c>
      <c r="C13" s="26"/>
      <c r="D13" s="159"/>
      <c r="F13" s="159"/>
      <c r="G13" s="159"/>
      <c r="H13" s="159"/>
      <c r="I13" s="159"/>
    </row>
    <row r="14" spans="1:9" ht="13">
      <c r="A14" s="20">
        <v>5</v>
      </c>
      <c r="B14" s="26" t="s">
        <v>449</v>
      </c>
      <c r="C14" s="26"/>
      <c r="D14" s="159"/>
      <c r="F14" s="159"/>
      <c r="G14" s="159"/>
      <c r="H14" s="159"/>
      <c r="I14" s="159"/>
    </row>
    <row r="15" spans="1:9" ht="13">
      <c r="A15" s="20">
        <v>6</v>
      </c>
      <c r="B15" s="26" t="s">
        <v>448</v>
      </c>
      <c r="C15" s="26"/>
      <c r="D15" s="159"/>
      <c r="F15" s="159"/>
      <c r="G15" s="159"/>
      <c r="H15" s="159"/>
      <c r="I15" s="159"/>
    </row>
    <row r="16" spans="1:9" ht="13">
      <c r="A16" s="20">
        <v>7</v>
      </c>
      <c r="B16" s="663" t="s">
        <v>482</v>
      </c>
      <c r="C16" s="26"/>
      <c r="D16" s="159"/>
      <c r="F16" s="159"/>
      <c r="G16" s="159"/>
      <c r="H16" s="159"/>
      <c r="I16" s="159"/>
    </row>
    <row r="17" spans="1:9" ht="13">
      <c r="A17" s="20">
        <v>8</v>
      </c>
      <c r="B17" s="26"/>
      <c r="C17" s="26"/>
      <c r="D17" s="159"/>
      <c r="F17" s="159"/>
      <c r="G17" s="159"/>
      <c r="H17" s="159"/>
      <c r="I17" s="159"/>
    </row>
    <row r="18" spans="1:9" ht="13">
      <c r="A18" s="20">
        <v>9</v>
      </c>
      <c r="B18" s="26"/>
      <c r="C18" s="26"/>
      <c r="D18" s="159"/>
      <c r="F18" s="159"/>
      <c r="G18" s="159"/>
      <c r="H18" s="159"/>
      <c r="I18" s="159"/>
    </row>
    <row r="19" spans="1:9" ht="13">
      <c r="A19" s="20">
        <v>10</v>
      </c>
      <c r="B19" s="234" t="s">
        <v>68</v>
      </c>
      <c r="C19" s="26"/>
      <c r="D19" s="159"/>
      <c r="F19" s="159"/>
      <c r="G19" s="159"/>
      <c r="H19" s="159"/>
      <c r="I19" s="159"/>
    </row>
    <row r="20" spans="1:9" ht="13">
      <c r="A20" s="20">
        <v>11</v>
      </c>
      <c r="B20" s="26"/>
      <c r="C20" s="26"/>
      <c r="D20" s="159"/>
      <c r="F20" s="159"/>
      <c r="G20" s="159"/>
      <c r="H20" s="159"/>
      <c r="I20" s="159"/>
    </row>
    <row r="21" spans="1:9" ht="13">
      <c r="A21" s="20">
        <v>12</v>
      </c>
      <c r="B21" s="26" t="s">
        <v>312</v>
      </c>
      <c r="C21" s="26"/>
      <c r="D21" s="159"/>
      <c r="F21" s="159"/>
      <c r="G21" s="159"/>
      <c r="H21" s="159"/>
      <c r="I21" s="159"/>
    </row>
    <row r="22" spans="1:9" ht="13">
      <c r="A22" s="20">
        <v>13</v>
      </c>
      <c r="B22" s="26"/>
      <c r="C22" s="26"/>
      <c r="D22" s="159"/>
      <c r="F22" s="159"/>
      <c r="G22" s="159"/>
      <c r="H22" s="159"/>
      <c r="I22" s="159"/>
    </row>
    <row r="23" spans="1:9" ht="13">
      <c r="A23" s="20">
        <v>14</v>
      </c>
      <c r="B23" s="234" t="s">
        <v>78</v>
      </c>
      <c r="C23" s="26"/>
      <c r="D23" s="159"/>
      <c r="F23" s="159"/>
      <c r="G23" s="159"/>
      <c r="H23" s="159"/>
      <c r="I23" s="159"/>
    </row>
    <row r="24" spans="1:9" ht="13">
      <c r="A24" s="20">
        <v>15</v>
      </c>
      <c r="B24" s="26"/>
      <c r="C24" s="26"/>
      <c r="D24" s="159"/>
      <c r="F24" s="159"/>
      <c r="G24" s="159"/>
      <c r="H24" s="159"/>
      <c r="I24" s="159"/>
    </row>
    <row r="25" spans="1:9" ht="13">
      <c r="A25" s="20">
        <v>16</v>
      </c>
      <c r="B25" s="236" t="s">
        <v>440</v>
      </c>
      <c r="C25" s="237">
        <f>7+4.96</f>
        <v>11.960000000000001</v>
      </c>
      <c r="D25" s="182"/>
      <c r="F25" s="159"/>
      <c r="G25" s="159"/>
      <c r="H25" s="159"/>
      <c r="I25" s="159"/>
    </row>
    <row r="26" spans="1:1" ht="12.5">
      <c r="A26" s="20"/>
    </row>
    <row r="27" spans="1:2" ht="12.5">
      <c r="A27" s="674" t="s">
        <v>297</v>
      </c>
      <c r="B27" s="293" t="s">
        <v>463</v>
      </c>
    </row>
    <row r="28" spans="1:2" ht="12.5">
      <c r="A28" s="674"/>
      <c r="B28" s="293" t="s">
        <v>552</v>
      </c>
    </row>
    <row r="29" spans="1:2" ht="12.5">
      <c r="A29" s="674"/>
      <c r="B29" s="293" t="s">
        <v>510</v>
      </c>
    </row>
  </sheetData>
  <hyperlinks>
    <hyperlink ref="B27" r:id="rId1" display="Holidays.xlsx"/>
    <hyperlink ref="B28" r:id="rId2" display="Bi-Weekly Payroll Calendar 2021.xlsx"/>
    <hyperlink ref="B29" r:id="rId3" display="Bi-Weekly Payroll Calendar 2020.xlsx"/>
  </hyperlinks>
  <printOptions horizontalCentered="1"/>
  <pageMargins left="0.5" right="0.5" top="1.5" bottom="0.5" header="1" footer="0.5"/>
  <pageSetup orientation="landscape" r:id="rId4"/>
  <headerFooter alignWithMargins="0">
    <oddHeader>&amp;RWP/II-B-9/&amp;A
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4">
    <tabColor rgb="FF92D050"/>
    <pageSetUpPr fitToPage="1"/>
  </sheetPr>
  <dimension ref="A1:G46"/>
  <sheetViews>
    <sheetView workbookViewId="0" topLeftCell="A1">
      <selection pane="topLeft" activeCell="A2" sqref="A2"/>
    </sheetView>
  </sheetViews>
  <sheetFormatPr defaultColWidth="9.09428571428571" defaultRowHeight="12.75"/>
  <cols>
    <col min="1" max="1" width="10" style="1" customWidth="1"/>
    <col min="2" max="2" width="33.1428571428571" style="1" bestFit="1" customWidth="1"/>
    <col min="3" max="3" width="16.5714285714286" style="3" customWidth="1"/>
    <col min="4" max="4" width="2.57142857142857" style="3" customWidth="1"/>
    <col min="5" max="5" width="21.4285714285714" style="3" customWidth="1"/>
    <col min="6" max="6" width="2.57142857142857" style="3" customWidth="1"/>
    <col min="7" max="7" width="17.8571428571429" style="3" customWidth="1"/>
    <col min="8" max="16384" width="9.14285714285714" style="1"/>
  </cols>
  <sheetData>
    <row r="1" spans="1:7" s="42" customFormat="1" ht="13">
      <c r="A1" s="181" t="s">
        <v>530</v>
      </c>
      <c r="B1" s="181"/>
      <c r="C1" s="269"/>
      <c r="D1" s="269"/>
      <c r="E1" s="300"/>
      <c r="F1" s="300"/>
      <c r="G1" s="300"/>
    </row>
    <row r="2" spans="1:7" s="42" customFormat="1" ht="13">
      <c r="A2" s="181" t="str">
        <f>' '!A2</f>
        <v>ONCOR ELECTRIC DELIVERY COMPANY LLC</v>
      </c>
      <c r="B2" s="181"/>
      <c r="C2" s="269"/>
      <c r="D2" s="269"/>
      <c r="E2" s="300"/>
      <c r="F2" s="300"/>
      <c r="G2" s="300"/>
    </row>
    <row r="3" spans="1:7" s="42" customFormat="1" ht="13">
      <c r="A3" s="181" t="s">
        <v>444</v>
      </c>
      <c r="B3" s="181"/>
      <c r="C3" s="181"/>
      <c r="D3" s="181"/>
      <c r="E3" s="301"/>
      <c r="F3" s="300"/>
      <c r="G3" s="300"/>
    </row>
    <row r="4" spans="1:7" s="42" customFormat="1" ht="13">
      <c r="A4" s="817" t="s">
        <v>929</v>
      </c>
      <c r="B4" s="181"/>
      <c r="C4" s="269"/>
      <c r="D4" s="269"/>
      <c r="E4" s="300"/>
      <c r="F4" s="300"/>
      <c r="G4" s="300"/>
    </row>
    <row r="5" spans="1:7" s="42" customFormat="1" ht="13">
      <c r="A5" s="181" t="s">
        <v>524</v>
      </c>
      <c r="B5" s="181"/>
      <c r="C5" s="269"/>
      <c r="D5" s="269"/>
      <c r="E5" s="300"/>
      <c r="F5" s="300"/>
      <c r="G5" s="300"/>
    </row>
    <row r="7" spans="1:6" ht="13">
      <c r="A7" s="22"/>
      <c r="B7" s="25"/>
      <c r="C7" s="22"/>
      <c r="D7" s="22"/>
      <c r="F7" s="22"/>
    </row>
    <row r="8" spans="1:7" ht="26">
      <c r="A8" s="32" t="s">
        <v>45</v>
      </c>
      <c r="B8" s="32" t="s">
        <v>389</v>
      </c>
      <c r="C8" s="32" t="s">
        <v>445</v>
      </c>
      <c r="D8" s="32"/>
      <c r="E8" s="32" t="s">
        <v>446</v>
      </c>
      <c r="F8" s="38"/>
      <c r="G8" s="190" t="s">
        <v>441</v>
      </c>
    </row>
    <row r="9" spans="1:7" ht="13">
      <c r="A9" s="38"/>
      <c r="B9" s="40" t="s">
        <v>55</v>
      </c>
      <c r="C9" s="40" t="s">
        <v>56</v>
      </c>
      <c r="E9" s="40" t="s">
        <v>62</v>
      </c>
      <c r="G9" s="40" t="s">
        <v>57</v>
      </c>
    </row>
    <row r="11" spans="1:7" ht="12.5">
      <c r="A11" s="3">
        <v>1</v>
      </c>
      <c r="B11" s="215">
        <v>44113</v>
      </c>
      <c r="C11" s="3">
        <v>5</v>
      </c>
      <c r="G11" s="3">
        <f>C11+E11</f>
        <v>5</v>
      </c>
    </row>
    <row r="12" spans="1:7" ht="12.5">
      <c r="A12" s="3">
        <v>2</v>
      </c>
      <c r="B12" s="215">
        <v>44127</v>
      </c>
      <c r="C12" s="3">
        <v>5</v>
      </c>
      <c r="G12" s="3">
        <f t="shared" si="0" ref="G12:G36">C12+E12</f>
        <v>5</v>
      </c>
    </row>
    <row r="13" spans="1:7" ht="12.5">
      <c r="A13" s="3">
        <v>3</v>
      </c>
      <c r="B13" s="215">
        <v>44141</v>
      </c>
      <c r="C13" s="3">
        <v>5</v>
      </c>
      <c r="G13" s="3">
        <f t="shared" si="0"/>
        <v>5</v>
      </c>
    </row>
    <row r="14" spans="1:7" ht="12.5">
      <c r="A14" s="3">
        <v>4</v>
      </c>
      <c r="B14" s="215">
        <v>44155</v>
      </c>
      <c r="C14" s="3">
        <v>5</v>
      </c>
      <c r="G14" s="3">
        <f t="shared" si="0"/>
        <v>5</v>
      </c>
    </row>
    <row r="15" spans="1:7" ht="12.5">
      <c r="A15" s="3">
        <v>5</v>
      </c>
      <c r="B15" s="215">
        <v>44169</v>
      </c>
      <c r="C15" s="3">
        <v>5</v>
      </c>
      <c r="G15" s="3">
        <f t="shared" si="0"/>
        <v>5</v>
      </c>
    </row>
    <row r="16" spans="1:7" ht="12.5">
      <c r="A16" s="3">
        <v>6</v>
      </c>
      <c r="B16" s="215">
        <v>44183</v>
      </c>
      <c r="C16" s="3">
        <v>5</v>
      </c>
      <c r="E16" s="3">
        <v>0</v>
      </c>
      <c r="G16" s="3">
        <f t="shared" si="0"/>
        <v>5</v>
      </c>
    </row>
    <row r="17" spans="1:7" ht="12.5">
      <c r="A17" s="3">
        <v>7</v>
      </c>
      <c r="B17" s="215">
        <v>44196</v>
      </c>
      <c r="C17" s="3">
        <v>0</v>
      </c>
      <c r="E17" s="3">
        <v>4</v>
      </c>
      <c r="G17" s="3">
        <f t="shared" si="0"/>
        <v>4</v>
      </c>
    </row>
    <row r="18" spans="1:7" ht="12.5">
      <c r="A18" s="3">
        <v>8</v>
      </c>
      <c r="B18" s="215">
        <v>44211</v>
      </c>
      <c r="C18" s="3">
        <v>5</v>
      </c>
      <c r="G18" s="3">
        <f t="shared" si="0"/>
        <v>5</v>
      </c>
    </row>
    <row r="19" spans="1:7" ht="12.5">
      <c r="A19" s="3">
        <v>9</v>
      </c>
      <c r="B19" s="215">
        <v>44225</v>
      </c>
      <c r="C19" s="3">
        <v>5</v>
      </c>
      <c r="G19" s="3">
        <f t="shared" si="0"/>
        <v>5</v>
      </c>
    </row>
    <row r="20" spans="1:7" ht="12.5">
      <c r="A20" s="3">
        <v>10</v>
      </c>
      <c r="B20" s="215">
        <v>44239</v>
      </c>
      <c r="C20" s="3">
        <v>5</v>
      </c>
      <c r="G20" s="3">
        <f t="shared" si="0"/>
        <v>5</v>
      </c>
    </row>
    <row r="21" spans="1:7" ht="12.5">
      <c r="A21" s="3">
        <v>11</v>
      </c>
      <c r="B21" s="215">
        <v>44253</v>
      </c>
      <c r="C21" s="3">
        <v>5</v>
      </c>
      <c r="G21" s="3">
        <f t="shared" si="0"/>
        <v>5</v>
      </c>
    </row>
    <row r="22" spans="1:7" ht="12.5">
      <c r="A22" s="3">
        <v>12</v>
      </c>
      <c r="B22" s="215">
        <v>44267</v>
      </c>
      <c r="C22" s="3">
        <v>5</v>
      </c>
      <c r="G22" s="3">
        <f t="shared" si="0"/>
        <v>5</v>
      </c>
    </row>
    <row r="23" spans="1:7" ht="12.5">
      <c r="A23" s="3">
        <v>13</v>
      </c>
      <c r="B23" s="215">
        <v>44281</v>
      </c>
      <c r="C23" s="3">
        <v>5</v>
      </c>
      <c r="G23" s="3">
        <f t="shared" si="0"/>
        <v>5</v>
      </c>
    </row>
    <row r="24" spans="1:7" ht="12.5">
      <c r="A24" s="3">
        <v>14</v>
      </c>
      <c r="B24" s="215">
        <v>44295</v>
      </c>
      <c r="C24" s="3">
        <v>5</v>
      </c>
      <c r="G24" s="3">
        <f t="shared" si="0"/>
        <v>5</v>
      </c>
    </row>
    <row r="25" spans="1:7" ht="12.5">
      <c r="A25" s="3">
        <v>15</v>
      </c>
      <c r="B25" s="215">
        <v>44309</v>
      </c>
      <c r="C25" s="3">
        <v>5</v>
      </c>
      <c r="G25" s="3">
        <f t="shared" si="0"/>
        <v>5</v>
      </c>
    </row>
    <row r="26" spans="1:7" ht="12.5">
      <c r="A26" s="3">
        <f t="shared" si="1" ref="A26:A46">+A25+1</f>
        <v>16</v>
      </c>
      <c r="B26" s="215">
        <v>44323</v>
      </c>
      <c r="C26" s="3">
        <v>5</v>
      </c>
      <c r="G26" s="3">
        <f t="shared" si="0"/>
        <v>5</v>
      </c>
    </row>
    <row r="27" spans="1:7" ht="12.5">
      <c r="A27" s="3">
        <f t="shared" si="1"/>
        <v>17</v>
      </c>
      <c r="B27" s="215">
        <v>44337</v>
      </c>
      <c r="C27" s="3">
        <v>5</v>
      </c>
      <c r="G27" s="3">
        <f t="shared" si="0"/>
        <v>5</v>
      </c>
    </row>
    <row r="28" spans="1:7" ht="12.5">
      <c r="A28" s="3">
        <f t="shared" si="1"/>
        <v>18</v>
      </c>
      <c r="B28" s="215">
        <v>44351</v>
      </c>
      <c r="C28" s="3">
        <v>5</v>
      </c>
      <c r="G28" s="3">
        <f t="shared" si="0"/>
        <v>5</v>
      </c>
    </row>
    <row r="29" spans="1:7" ht="12.5">
      <c r="A29" s="3">
        <f t="shared" si="1"/>
        <v>19</v>
      </c>
      <c r="B29" s="215">
        <v>44365</v>
      </c>
      <c r="C29" s="3">
        <v>5</v>
      </c>
      <c r="G29" s="3">
        <f t="shared" si="0"/>
        <v>5</v>
      </c>
    </row>
    <row r="30" spans="1:7" ht="12.5">
      <c r="A30" s="3">
        <f t="shared" si="1"/>
        <v>20</v>
      </c>
      <c r="B30" s="215">
        <v>44379</v>
      </c>
      <c r="C30" s="3">
        <v>5</v>
      </c>
      <c r="E30" s="3">
        <v>0</v>
      </c>
      <c r="G30" s="3">
        <f t="shared" si="0"/>
        <v>5</v>
      </c>
    </row>
    <row r="31" spans="1:7" ht="12.5">
      <c r="A31" s="3">
        <f t="shared" si="1"/>
        <v>21</v>
      </c>
      <c r="B31" s="215">
        <v>44393</v>
      </c>
      <c r="C31" s="3">
        <v>5</v>
      </c>
      <c r="G31" s="3">
        <f>C31+E31</f>
        <v>5</v>
      </c>
    </row>
    <row r="32" spans="1:7" ht="12.5">
      <c r="A32" s="3">
        <f t="shared" si="1"/>
        <v>22</v>
      </c>
      <c r="B32" s="215">
        <v>44407</v>
      </c>
      <c r="C32" s="3">
        <v>5</v>
      </c>
      <c r="G32" s="3">
        <f t="shared" si="0"/>
        <v>5</v>
      </c>
    </row>
    <row r="33" spans="1:7" ht="12.5">
      <c r="A33" s="3">
        <f t="shared" si="1"/>
        <v>23</v>
      </c>
      <c r="B33" s="215">
        <v>44421</v>
      </c>
      <c r="C33" s="3">
        <v>5</v>
      </c>
      <c r="G33" s="3">
        <f t="shared" si="0"/>
        <v>5</v>
      </c>
    </row>
    <row r="34" spans="1:7" ht="12.5">
      <c r="A34" s="3">
        <f t="shared" si="1"/>
        <v>24</v>
      </c>
      <c r="B34" s="215">
        <v>44435</v>
      </c>
      <c r="C34" s="3">
        <v>5</v>
      </c>
      <c r="G34" s="3">
        <f t="shared" si="0"/>
        <v>5</v>
      </c>
    </row>
    <row r="35" spans="1:7" ht="12.5">
      <c r="A35" s="3">
        <f t="shared" si="1"/>
        <v>25</v>
      </c>
      <c r="B35" s="215">
        <v>44449</v>
      </c>
      <c r="C35" s="3">
        <v>5</v>
      </c>
      <c r="E35" s="3">
        <v>0</v>
      </c>
      <c r="G35" s="3">
        <f t="shared" si="0"/>
        <v>5</v>
      </c>
    </row>
    <row r="36" spans="1:7" ht="12.5">
      <c r="A36" s="3">
        <f t="shared" si="1"/>
        <v>26</v>
      </c>
      <c r="B36" s="749">
        <v>44463</v>
      </c>
      <c r="C36" s="252">
        <v>5</v>
      </c>
      <c r="D36" s="252"/>
      <c r="E36" s="252"/>
      <c r="F36" s="20"/>
      <c r="G36" s="252">
        <f t="shared" si="0"/>
        <v>5</v>
      </c>
    </row>
    <row r="37" spans="1:7" ht="13" thickBot="1">
      <c r="A37" s="3">
        <f t="shared" si="1"/>
        <v>27</v>
      </c>
      <c r="B37" s="3" t="s">
        <v>17</v>
      </c>
      <c r="C37" s="39">
        <f>SUM(C11:C36)</f>
        <v>125</v>
      </c>
      <c r="D37" s="20"/>
      <c r="E37" s="39">
        <f>SUM(E11:E36)</f>
        <v>4</v>
      </c>
      <c r="F37" s="20"/>
      <c r="G37" s="612">
        <f>SUM(G11:G36)</f>
        <v>129</v>
      </c>
    </row>
    <row r="38" spans="1:6" ht="13" thickTop="1">
      <c r="A38" s="3">
        <f t="shared" si="1"/>
        <v>28</v>
      </c>
      <c r="B38" s="3"/>
      <c r="C38" s="20"/>
      <c r="D38" s="20"/>
      <c r="E38" s="20"/>
      <c r="F38" s="20"/>
    </row>
    <row r="39" spans="1:6" ht="12.5">
      <c r="A39" s="3">
        <f t="shared" si="1"/>
        <v>29</v>
      </c>
      <c r="B39" s="3"/>
      <c r="C39" s="20"/>
      <c r="D39" s="20"/>
      <c r="E39" s="20"/>
      <c r="F39" s="20"/>
    </row>
    <row r="40" spans="1:7" ht="12.5">
      <c r="A40" s="3">
        <f t="shared" si="1"/>
        <v>30</v>
      </c>
      <c r="B40" s="3" t="s">
        <v>447</v>
      </c>
      <c r="G40" s="252">
        <f>SUM(A36)</f>
        <v>26</v>
      </c>
    </row>
    <row r="41" spans="1:7" ht="13">
      <c r="A41" s="3">
        <f t="shared" si="1"/>
        <v>31</v>
      </c>
      <c r="B41" s="3" t="s">
        <v>443</v>
      </c>
      <c r="C41" s="610"/>
      <c r="D41" s="610"/>
      <c r="G41" s="613">
        <f>ROUND(G37/G40,2)</f>
        <v>4.96</v>
      </c>
    </row>
    <row r="42" spans="1:1" ht="12.5">
      <c r="A42" s="3">
        <f t="shared" si="1"/>
        <v>32</v>
      </c>
    </row>
    <row r="43" spans="1:4" ht="12.5">
      <c r="A43" s="3">
        <f t="shared" si="1"/>
        <v>33</v>
      </c>
      <c r="B43" s="3"/>
      <c r="C43" s="1"/>
      <c r="D43" s="611"/>
    </row>
    <row r="44" spans="1:4" ht="12.5">
      <c r="A44" s="3">
        <f t="shared" si="1"/>
        <v>34</v>
      </c>
      <c r="B44" s="9" t="s">
        <v>297</v>
      </c>
      <c r="C44" s="293" t="s">
        <v>463</v>
      </c>
      <c r="D44" s="611"/>
    </row>
    <row r="45" spans="1:4" ht="12.5">
      <c r="A45" s="3">
        <f t="shared" si="1"/>
        <v>35</v>
      </c>
      <c r="C45" s="293" t="s">
        <v>552</v>
      </c>
      <c r="D45" s="611"/>
    </row>
    <row r="46" spans="1:3" ht="12.5">
      <c r="A46" s="3">
        <f t="shared" si="1"/>
        <v>36</v>
      </c>
      <c r="C46" s="293" t="s">
        <v>510</v>
      </c>
    </row>
  </sheetData>
  <hyperlinks>
    <hyperlink ref="C44" r:id="rId1" display="Holidays.xlsx"/>
    <hyperlink ref="C45" r:id="rId2" display="Bi-Weekly Payroll Calendar 2021.xlsx"/>
    <hyperlink ref="C46" r:id="rId3" display="Bi-Weekly Payroll Calendar 2020.xlsx"/>
  </hyperlinks>
  <printOptions horizontalCentered="1"/>
  <pageMargins left="0.5" right="0.5" top="1.5" bottom="0.5" header="1" footer="0.5"/>
  <pageSetup orientation="landscape" scale="79" r:id="rId4"/>
  <headerFooter alignWithMargins="0">
    <oddHeader>&amp;RWP/II-B-9/&amp;A
Page &amp;P of 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3">
    <tabColor rgb="FF92D050"/>
  </sheetPr>
  <dimension ref="A1:I60"/>
  <sheetViews>
    <sheetView zoomScale="85" zoomScaleNormal="85" zoomScaleSheetLayoutView="100" workbookViewId="0" topLeftCell="A7">
      <selection pane="topLeft" activeCell="A4" sqref="A4"/>
    </sheetView>
  </sheetViews>
  <sheetFormatPr defaultColWidth="9.09428571428571" defaultRowHeight="15.75"/>
  <cols>
    <col min="1" max="1" width="6" style="539" customWidth="1"/>
    <col min="2" max="2" width="39.4285714285714" style="539" customWidth="1"/>
    <col min="3" max="3" width="10.4285714285714" style="539" bestFit="1" customWidth="1"/>
    <col min="4" max="4" width="45.5714285714286" style="539" customWidth="1"/>
    <col min="5" max="5" width="23.8571428571429" style="539" customWidth="1"/>
    <col min="6" max="16384" width="9.14285714285714" style="539"/>
  </cols>
  <sheetData>
    <row r="1" spans="1:5" s="534" customFormat="1" ht="15.5">
      <c r="A1" s="817" t="s">
        <v>530</v>
      </c>
      <c r="B1" s="817"/>
      <c r="C1" s="533"/>
      <c r="D1" s="533"/>
      <c r="E1" s="533"/>
    </row>
    <row r="2" spans="1:5" s="534" customFormat="1" ht="15.5">
      <c r="A2" s="817" t="str">
        <f>' '!A2</f>
        <v>ONCOR ELECTRIC DELIVERY COMPANY LLC</v>
      </c>
      <c r="B2" s="819"/>
      <c r="C2" s="533"/>
      <c r="D2" s="533"/>
      <c r="E2" s="533"/>
    </row>
    <row r="3" spans="1:5" s="534" customFormat="1" ht="15.5">
      <c r="A3" s="183" t="s">
        <v>273</v>
      </c>
      <c r="B3" s="183"/>
      <c r="C3" s="535"/>
      <c r="D3" s="535"/>
      <c r="E3" s="535"/>
    </row>
    <row r="4" spans="1:5" s="534" customFormat="1" ht="15.5">
      <c r="A4" s="817" t="s">
        <v>929</v>
      </c>
      <c r="B4" s="817"/>
      <c r="C4" s="533"/>
      <c r="D4" s="533"/>
      <c r="E4" s="533"/>
    </row>
    <row r="5" spans="1:5" s="534" customFormat="1" ht="15.5">
      <c r="A5" s="817" t="s">
        <v>524</v>
      </c>
      <c r="B5" s="817"/>
      <c r="C5" s="533"/>
      <c r="D5" s="533"/>
      <c r="E5" s="533"/>
    </row>
    <row r="7" spans="1:9" ht="46.5">
      <c r="A7" s="536" t="s">
        <v>45</v>
      </c>
      <c r="B7" s="536" t="s">
        <v>52</v>
      </c>
      <c r="C7" s="536"/>
      <c r="D7" s="537"/>
      <c r="E7" s="537"/>
      <c r="F7" s="538"/>
      <c r="G7" s="538"/>
      <c r="H7" s="538"/>
      <c r="I7" s="538"/>
    </row>
    <row r="8" spans="1:9" ht="15.5">
      <c r="A8" s="540"/>
      <c r="B8" s="540" t="s">
        <v>55</v>
      </c>
      <c r="C8" s="540" t="s">
        <v>56</v>
      </c>
      <c r="D8" s="540" t="s">
        <v>62</v>
      </c>
      <c r="E8" s="540" t="s">
        <v>57</v>
      </c>
      <c r="F8" s="540"/>
      <c r="G8" s="540"/>
      <c r="H8" s="540"/>
      <c r="I8" s="540"/>
    </row>
    <row r="9" spans="1:1" ht="15.5">
      <c r="A9" s="540"/>
    </row>
    <row r="10" spans="1:2" ht="15.5">
      <c r="A10" s="540">
        <v>1</v>
      </c>
      <c r="B10" s="541" t="s">
        <v>67</v>
      </c>
    </row>
    <row r="11" spans="1:3" ht="15.5">
      <c r="A11" s="540">
        <v>2</v>
      </c>
      <c r="C11" s="540"/>
    </row>
    <row r="12" spans="1:3" ht="15.5">
      <c r="A12" s="540">
        <v>3</v>
      </c>
      <c r="B12" s="539" t="s">
        <v>31</v>
      </c>
      <c r="C12" s="540" t="s">
        <v>34</v>
      </c>
    </row>
    <row r="13" spans="1:3" ht="15.5">
      <c r="A13" s="540">
        <v>4</v>
      </c>
      <c r="B13" s="539" t="s">
        <v>32</v>
      </c>
      <c r="C13" s="540" t="s">
        <v>35</v>
      </c>
    </row>
    <row r="14" spans="1:3" ht="15.5">
      <c r="A14" s="540">
        <v>5</v>
      </c>
      <c r="C14" s="540"/>
    </row>
    <row r="15" spans="1:3" ht="15.5">
      <c r="A15" s="540">
        <v>6</v>
      </c>
      <c r="C15" s="540"/>
    </row>
    <row r="16" spans="1:3" ht="15.5">
      <c r="A16" s="540">
        <v>7</v>
      </c>
      <c r="B16" s="541" t="s">
        <v>68</v>
      </c>
      <c r="C16" s="540"/>
    </row>
    <row r="17" spans="1:3" ht="15.5">
      <c r="A17" s="540">
        <v>8</v>
      </c>
      <c r="C17" s="540"/>
    </row>
    <row r="18" spans="1:7" ht="15.5">
      <c r="A18" s="540">
        <v>9</v>
      </c>
      <c r="B18" s="539" t="s">
        <v>33</v>
      </c>
      <c r="C18" s="542">
        <f>ROUND(366/12,3)</f>
        <v>30.5</v>
      </c>
      <c r="D18" s="543" t="s">
        <v>235</v>
      </c>
      <c r="G18" s="544"/>
    </row>
    <row r="19" spans="1:7" ht="15.5">
      <c r="A19" s="540">
        <v>10</v>
      </c>
      <c r="C19" s="545"/>
      <c r="G19" s="544"/>
    </row>
    <row r="20" spans="1:7" ht="15.5">
      <c r="A20" s="540">
        <v>11</v>
      </c>
      <c r="B20" s="539" t="s">
        <v>31</v>
      </c>
      <c r="C20" s="545">
        <f>C18-C21</f>
        <v>15.5</v>
      </c>
      <c r="D20" s="539" t="s">
        <v>69</v>
      </c>
      <c r="F20" s="546"/>
      <c r="G20" s="547"/>
    </row>
    <row r="21" spans="1:7" ht="15.5">
      <c r="A21" s="540">
        <v>12</v>
      </c>
      <c r="B21" s="539" t="s">
        <v>32</v>
      </c>
      <c r="C21" s="545">
        <v>15</v>
      </c>
      <c r="F21" s="546"/>
      <c r="G21" s="547"/>
    </row>
    <row r="22" spans="1:7" ht="15.5">
      <c r="A22" s="540">
        <v>13</v>
      </c>
      <c r="B22" s="539" t="s">
        <v>70</v>
      </c>
      <c r="C22" s="545">
        <f>ROUND(+C20/2,3)</f>
        <v>7.75</v>
      </c>
      <c r="D22" s="539" t="s">
        <v>71</v>
      </c>
      <c r="F22" s="546"/>
      <c r="G22" s="547"/>
    </row>
    <row r="23" spans="1:7" ht="15.5">
      <c r="A23" s="540">
        <v>14</v>
      </c>
      <c r="B23" s="539" t="s">
        <v>72</v>
      </c>
      <c r="C23" s="545">
        <f>ROUND(+C21/2,3)</f>
        <v>7.5</v>
      </c>
      <c r="D23" s="539" t="s">
        <v>73</v>
      </c>
      <c r="F23" s="546"/>
      <c r="G23" s="547"/>
    </row>
    <row r="24" spans="1:3" ht="15.5">
      <c r="A24" s="540">
        <v>15</v>
      </c>
      <c r="C24" s="545"/>
    </row>
    <row r="25" spans="1:3" ht="15.5">
      <c r="A25" s="540">
        <v>16</v>
      </c>
      <c r="C25" s="545"/>
    </row>
    <row r="26" spans="1:3" ht="15.5">
      <c r="A26" s="540">
        <v>17</v>
      </c>
      <c r="B26" s="541" t="s">
        <v>74</v>
      </c>
      <c r="C26" s="545"/>
    </row>
    <row r="27" spans="1:3" ht="15.5">
      <c r="A27" s="540">
        <v>18</v>
      </c>
      <c r="C27" s="545"/>
    </row>
    <row r="28" spans="1:4" ht="15.5">
      <c r="A28" s="540">
        <v>19</v>
      </c>
      <c r="B28" s="539" t="s">
        <v>31</v>
      </c>
      <c r="C28" s="545">
        <v>5</v>
      </c>
      <c r="D28" s="539" t="s">
        <v>75</v>
      </c>
    </row>
    <row r="29" spans="1:4" ht="15.5">
      <c r="A29" s="540">
        <v>20</v>
      </c>
      <c r="B29" s="539" t="s">
        <v>32</v>
      </c>
      <c r="C29" s="545">
        <f>E47</f>
        <v>5.4199999999999999</v>
      </c>
      <c r="D29" s="539" t="s">
        <v>222</v>
      </c>
    </row>
    <row r="30" spans="1:5" ht="15.5">
      <c r="A30" s="540">
        <v>21</v>
      </c>
      <c r="C30" s="539" t="s">
        <v>131</v>
      </c>
      <c r="D30" s="548"/>
      <c r="E30" s="540" t="s">
        <v>132</v>
      </c>
    </row>
    <row r="31" spans="1:5" ht="15.5">
      <c r="A31" s="540">
        <v>22</v>
      </c>
      <c r="B31" s="549">
        <v>44105</v>
      </c>
      <c r="C31" s="539">
        <v>31</v>
      </c>
      <c r="D31" s="540">
        <v>25</v>
      </c>
      <c r="E31" s="540">
        <f>C31-D31</f>
        <v>6</v>
      </c>
    </row>
    <row r="32" spans="1:5" ht="15.5">
      <c r="A32" s="540">
        <v>23</v>
      </c>
      <c r="B32" s="549">
        <v>44136</v>
      </c>
      <c r="C32" s="539">
        <v>30</v>
      </c>
      <c r="D32" s="540">
        <v>25</v>
      </c>
      <c r="E32" s="540">
        <f t="shared" si="0" ref="E32:E42">C32-D32</f>
        <v>5</v>
      </c>
    </row>
    <row r="33" spans="1:5" ht="15.5">
      <c r="A33" s="540">
        <v>24</v>
      </c>
      <c r="B33" s="549">
        <v>44166</v>
      </c>
      <c r="C33" s="539">
        <v>31</v>
      </c>
      <c r="D33" s="540">
        <v>25</v>
      </c>
      <c r="E33" s="540">
        <f t="shared" si="0"/>
        <v>6</v>
      </c>
    </row>
    <row r="34" spans="1:5" ht="15.5">
      <c r="A34" s="540">
        <f>A33+1</f>
        <v>25</v>
      </c>
      <c r="B34" s="549">
        <v>44197</v>
      </c>
      <c r="C34" s="539">
        <v>31</v>
      </c>
      <c r="D34" s="540">
        <v>25</v>
      </c>
      <c r="E34" s="540">
        <f t="shared" si="0"/>
        <v>6</v>
      </c>
    </row>
    <row r="35" spans="1:5" ht="15.5">
      <c r="A35" s="540">
        <f t="shared" si="1" ref="A35:A59">A34+1</f>
        <v>26</v>
      </c>
      <c r="B35" s="549">
        <v>44228</v>
      </c>
      <c r="C35" s="539">
        <v>28</v>
      </c>
      <c r="D35" s="540">
        <v>25</v>
      </c>
      <c r="E35" s="540">
        <f t="shared" si="0"/>
        <v>3</v>
      </c>
    </row>
    <row r="36" spans="1:5" ht="15.5">
      <c r="A36" s="540">
        <f t="shared" si="1"/>
        <v>27</v>
      </c>
      <c r="B36" s="549">
        <v>44256</v>
      </c>
      <c r="C36" s="539">
        <v>31</v>
      </c>
      <c r="D36" s="540">
        <v>25</v>
      </c>
      <c r="E36" s="540">
        <f t="shared" si="0"/>
        <v>6</v>
      </c>
    </row>
    <row r="37" spans="1:5" ht="15.5">
      <c r="A37" s="540">
        <f t="shared" si="1"/>
        <v>28</v>
      </c>
      <c r="B37" s="549">
        <v>44287</v>
      </c>
      <c r="C37" s="539">
        <v>30</v>
      </c>
      <c r="D37" s="540">
        <v>25</v>
      </c>
      <c r="E37" s="540">
        <f t="shared" si="0"/>
        <v>5</v>
      </c>
    </row>
    <row r="38" spans="1:5" ht="15.5">
      <c r="A38" s="540">
        <f t="shared" si="1"/>
        <v>29</v>
      </c>
      <c r="B38" s="549">
        <v>44317</v>
      </c>
      <c r="C38" s="539">
        <v>31</v>
      </c>
      <c r="D38" s="540">
        <v>25</v>
      </c>
      <c r="E38" s="540">
        <f t="shared" si="0"/>
        <v>6</v>
      </c>
    </row>
    <row r="39" spans="1:5" ht="15.5">
      <c r="A39" s="540">
        <f t="shared" si="1"/>
        <v>30</v>
      </c>
      <c r="B39" s="549">
        <v>44348</v>
      </c>
      <c r="C39" s="539">
        <v>30</v>
      </c>
      <c r="D39" s="540">
        <v>25</v>
      </c>
      <c r="E39" s="540">
        <f t="shared" si="0"/>
        <v>5</v>
      </c>
    </row>
    <row r="40" spans="1:5" ht="15.5">
      <c r="A40" s="540">
        <f t="shared" si="1"/>
        <v>31</v>
      </c>
      <c r="B40" s="549">
        <v>44378</v>
      </c>
      <c r="C40" s="539">
        <v>31</v>
      </c>
      <c r="D40" s="540">
        <v>25</v>
      </c>
      <c r="E40" s="540">
        <f t="shared" si="0"/>
        <v>6</v>
      </c>
    </row>
    <row r="41" spans="1:5" ht="15.5">
      <c r="A41" s="540">
        <f t="shared" si="1"/>
        <v>32</v>
      </c>
      <c r="B41" s="549">
        <v>44409</v>
      </c>
      <c r="C41" s="539">
        <v>31</v>
      </c>
      <c r="D41" s="540">
        <v>25</v>
      </c>
      <c r="E41" s="540">
        <f t="shared" si="0"/>
        <v>6</v>
      </c>
    </row>
    <row r="42" spans="1:5" ht="15.5">
      <c r="A42" s="540">
        <f t="shared" si="1"/>
        <v>33</v>
      </c>
      <c r="B42" s="549">
        <v>44440</v>
      </c>
      <c r="C42" s="550">
        <v>30</v>
      </c>
      <c r="D42" s="540">
        <v>25</v>
      </c>
      <c r="E42" s="551">
        <f t="shared" si="0"/>
        <v>5</v>
      </c>
    </row>
    <row r="43" spans="1:5" ht="15.5">
      <c r="A43" s="540">
        <f t="shared" si="1"/>
        <v>34</v>
      </c>
      <c r="C43" s="539">
        <f>SUM(C31:C42)</f>
        <v>365</v>
      </c>
      <c r="E43" s="540">
        <f>SUM(E31:E42)</f>
        <v>65</v>
      </c>
    </row>
    <row r="44" spans="1:1" ht="15.5">
      <c r="A44" s="540">
        <f t="shared" si="1"/>
        <v>35</v>
      </c>
    </row>
    <row r="45" spans="1:5" ht="15.5">
      <c r="A45" s="540">
        <f t="shared" si="1"/>
        <v>36</v>
      </c>
      <c r="D45" s="539" t="s">
        <v>133</v>
      </c>
      <c r="E45" s="540">
        <f>COUNT(E31:E42)</f>
        <v>12</v>
      </c>
    </row>
    <row r="46" spans="1:5" ht="15.5">
      <c r="A46" s="540">
        <f t="shared" si="1"/>
        <v>37</v>
      </c>
      <c r="D46" s="541" t="s">
        <v>32</v>
      </c>
      <c r="E46" s="540"/>
    </row>
    <row r="47" spans="1:5" ht="15.5">
      <c r="A47" s="540">
        <f t="shared" si="1"/>
        <v>38</v>
      </c>
      <c r="D47" s="541" t="s">
        <v>74</v>
      </c>
      <c r="E47" s="552">
        <f>ROUND(E43/E45,2)</f>
        <v>5.4199999999999999</v>
      </c>
    </row>
    <row r="48" spans="1:1" ht="15.5">
      <c r="A48" s="540">
        <f t="shared" si="1"/>
        <v>39</v>
      </c>
    </row>
    <row r="49" spans="1:5" ht="15.5">
      <c r="A49" s="540">
        <f t="shared" si="1"/>
        <v>40</v>
      </c>
      <c r="B49" s="541" t="s">
        <v>77</v>
      </c>
      <c r="C49" s="553"/>
      <c r="E49" s="554"/>
    </row>
    <row r="50" spans="1:3" ht="15.5">
      <c r="A50" s="540">
        <f t="shared" si="1"/>
        <v>41</v>
      </c>
      <c r="C50" s="553"/>
    </row>
    <row r="51" spans="1:5" ht="15.5">
      <c r="A51" s="540">
        <f t="shared" si="1"/>
        <v>42</v>
      </c>
      <c r="B51" s="539" t="s">
        <v>31</v>
      </c>
      <c r="C51" s="555">
        <f>+'2-3-1'!C38*-1</f>
        <v>-0.67000000000000004</v>
      </c>
      <c r="D51" s="556"/>
      <c r="E51" s="557" t="s">
        <v>257</v>
      </c>
    </row>
    <row r="52" spans="1:5" ht="15.5">
      <c r="A52" s="540">
        <f t="shared" si="1"/>
        <v>43</v>
      </c>
      <c r="B52" s="539" t="s">
        <v>32</v>
      </c>
      <c r="C52" s="555">
        <f>+'2-3-1'!D38*-1</f>
        <v>-0.75</v>
      </c>
      <c r="D52" s="556"/>
      <c r="E52" s="557" t="s">
        <v>257</v>
      </c>
    </row>
    <row r="53" spans="1:3" ht="15.5">
      <c r="A53" s="540">
        <f t="shared" si="1"/>
        <v>44</v>
      </c>
      <c r="C53" s="553"/>
    </row>
    <row r="54" spans="1:3" ht="15.5">
      <c r="A54" s="540">
        <f t="shared" si="1"/>
        <v>45</v>
      </c>
      <c r="C54" s="553"/>
    </row>
    <row r="55" spans="1:3" ht="15.5">
      <c r="A55" s="540">
        <f t="shared" si="1"/>
        <v>46</v>
      </c>
      <c r="B55" s="541" t="s">
        <v>78</v>
      </c>
      <c r="C55" s="553"/>
    </row>
    <row r="56" spans="1:3" ht="15.5">
      <c r="A56" s="540">
        <f t="shared" si="1"/>
        <v>47</v>
      </c>
      <c r="C56" s="553"/>
    </row>
    <row r="57" spans="1:5" ht="15.5">
      <c r="A57" s="540">
        <f t="shared" si="1"/>
        <v>48</v>
      </c>
      <c r="B57" s="539" t="s">
        <v>31</v>
      </c>
      <c r="C57" s="555">
        <f>-(+C22+C28+C51)</f>
        <v>-12.08</v>
      </c>
      <c r="D57" s="548" t="s">
        <v>313</v>
      </c>
      <c r="E57" s="558"/>
    </row>
    <row r="58" spans="1:7" ht="15.5">
      <c r="A58" s="540">
        <f t="shared" si="1"/>
        <v>49</v>
      </c>
      <c r="B58" s="539" t="s">
        <v>32</v>
      </c>
      <c r="C58" s="555">
        <f>-(+C23+C29+C52)</f>
        <v>-12.17</v>
      </c>
      <c r="D58" s="548" t="s">
        <v>314</v>
      </c>
      <c r="E58" s="558"/>
      <c r="G58" s="558"/>
    </row>
    <row r="59" spans="1:5" ht="15.5">
      <c r="A59" s="540">
        <f t="shared" si="1"/>
        <v>50</v>
      </c>
      <c r="B59" s="539" t="s">
        <v>79</v>
      </c>
      <c r="C59" s="555">
        <f>ROUND((+C57+C58)/2,3)</f>
        <v>-12.125</v>
      </c>
      <c r="D59" s="548" t="s">
        <v>295</v>
      </c>
      <c r="E59" s="558"/>
    </row>
    <row r="60" spans="1:1" ht="15.5">
      <c r="A60" s="540"/>
    </row>
  </sheetData>
  <printOptions horizontalCentered="1"/>
  <pageMargins left="0.5" right="0.5" top="1.5" bottom="0.5" header="1" footer="0.5"/>
  <pageSetup fitToHeight="2" orientation="landscape" scale="88" r:id="rId1"/>
  <headerFooter alignWithMargins="0">
    <oddHeader>&amp;RWP/II-B-9/&amp;A
Page &amp;P of &amp;N</oddHeader>
  </headerFooter>
  <rowBreaks count="2" manualBreakCount="2">
    <brk id="25" max="4" man="1"/>
    <brk id="48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4">
    <tabColor rgb="FF92D050"/>
    <pageSetUpPr fitToPage="1"/>
  </sheetPr>
  <dimension ref="A1:H41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33.1428571428571" style="1" bestFit="1" customWidth="1"/>
    <col min="3" max="3" width="15.5714285714286" style="1" customWidth="1"/>
    <col min="4" max="4" width="16.4285714285714" style="1" customWidth="1"/>
    <col min="5" max="5" width="1.57142857142857" style="1" customWidth="1"/>
    <col min="6" max="6" width="30.4285714285714" style="1" customWidth="1"/>
    <col min="7" max="7" width="1.57142857142857" style="1" customWidth="1"/>
    <col min="8" max="8" width="21.4285714285714" style="258" customWidth="1"/>
    <col min="9" max="16384" width="9.14285714285714" style="1"/>
  </cols>
  <sheetData>
    <row r="1" spans="1:8" s="42" customFormat="1" ht="13">
      <c r="A1" s="181" t="s">
        <v>530</v>
      </c>
      <c r="B1" s="181"/>
      <c r="C1" s="181"/>
      <c r="D1" s="181"/>
      <c r="H1" s="304"/>
    </row>
    <row r="2" spans="1:8" s="42" customFormat="1" ht="13">
      <c r="A2" s="181" t="str">
        <f>' '!A2</f>
        <v>ONCOR ELECTRIC DELIVERY COMPANY LLC</v>
      </c>
      <c r="B2" s="181"/>
      <c r="C2" s="181"/>
      <c r="D2" s="181"/>
      <c r="H2" s="304"/>
    </row>
    <row r="3" spans="1:8" s="42" customFormat="1" ht="13">
      <c r="A3" s="181" t="s">
        <v>442</v>
      </c>
      <c r="B3" s="614"/>
      <c r="C3" s="614"/>
      <c r="D3" s="614"/>
      <c r="H3" s="304"/>
    </row>
    <row r="4" spans="1:8" s="42" customFormat="1" ht="13">
      <c r="A4" s="817" t="s">
        <v>929</v>
      </c>
      <c r="B4" s="181"/>
      <c r="C4" s="181"/>
      <c r="D4" s="181"/>
      <c r="H4" s="304"/>
    </row>
    <row r="5" spans="1:8" s="42" customFormat="1" ht="13">
      <c r="A5" s="181" t="s">
        <v>524</v>
      </c>
      <c r="B5" s="181"/>
      <c r="C5" s="181"/>
      <c r="D5" s="181"/>
      <c r="H5" s="304"/>
    </row>
    <row r="7" spans="1:4" ht="13">
      <c r="A7" s="22"/>
      <c r="B7" s="25"/>
      <c r="C7" s="823" t="s">
        <v>30</v>
      </c>
      <c r="D7" s="823"/>
    </row>
    <row r="8" spans="1:8" ht="26">
      <c r="A8" s="32" t="s">
        <v>45</v>
      </c>
      <c r="B8" s="32" t="s">
        <v>389</v>
      </c>
      <c r="C8" s="32" t="s">
        <v>28</v>
      </c>
      <c r="D8" s="32" t="s">
        <v>29</v>
      </c>
      <c r="F8" s="32" t="s">
        <v>390</v>
      </c>
      <c r="G8" s="38"/>
      <c r="H8" s="32" t="s">
        <v>132</v>
      </c>
    </row>
    <row r="9" spans="1:8" ht="13">
      <c r="A9" s="38"/>
      <c r="B9" s="40" t="s">
        <v>55</v>
      </c>
      <c r="C9" s="40" t="s">
        <v>56</v>
      </c>
      <c r="D9" s="40" t="s">
        <v>62</v>
      </c>
      <c r="F9" s="40" t="s">
        <v>57</v>
      </c>
      <c r="G9" s="40"/>
      <c r="H9" s="40" t="s">
        <v>58</v>
      </c>
    </row>
    <row r="10" spans="6:8" ht="18">
      <c r="F10" s="254"/>
      <c r="G10" s="254"/>
      <c r="H10" s="20"/>
    </row>
    <row r="11" spans="1:8" ht="15.5">
      <c r="A11" s="3">
        <v>1</v>
      </c>
      <c r="B11" s="215">
        <v>44119</v>
      </c>
      <c r="C11" s="18">
        <v>0</v>
      </c>
      <c r="D11" s="18">
        <v>0</v>
      </c>
      <c r="F11" s="215">
        <f>+B11-C11-D11</f>
        <v>44119</v>
      </c>
      <c r="G11" s="255"/>
      <c r="H11" s="18">
        <f>+B11-F11</f>
        <v>0</v>
      </c>
    </row>
    <row r="12" spans="1:8" ht="15.5">
      <c r="A12" s="3">
        <v>2</v>
      </c>
      <c r="B12" s="215">
        <f>+B11+16</f>
        <v>44135</v>
      </c>
      <c r="C12" s="18">
        <v>0</v>
      </c>
      <c r="D12" s="18">
        <v>1</v>
      </c>
      <c r="F12" s="215">
        <f t="shared" si="0" ref="F12:F34">+B12-C12-D12</f>
        <v>44134</v>
      </c>
      <c r="G12" s="256"/>
      <c r="H12" s="18">
        <f t="shared" si="1" ref="H12:H34">+B12-F12</f>
        <v>1</v>
      </c>
    </row>
    <row r="13" spans="1:8" ht="15.5">
      <c r="A13" s="3">
        <v>3</v>
      </c>
      <c r="B13" s="215">
        <f>+B12+15</f>
        <v>44150</v>
      </c>
      <c r="C13" s="18">
        <v>2</v>
      </c>
      <c r="D13" s="18">
        <v>0</v>
      </c>
      <c r="F13" s="215">
        <f t="shared" si="0"/>
        <v>44148</v>
      </c>
      <c r="G13" s="256"/>
      <c r="H13" s="18">
        <f t="shared" si="1"/>
        <v>2</v>
      </c>
    </row>
    <row r="14" spans="1:8" ht="15.5">
      <c r="A14" s="3">
        <v>4</v>
      </c>
      <c r="B14" s="215">
        <f>+B13+15</f>
        <v>44165</v>
      </c>
      <c r="C14" s="18">
        <v>0</v>
      </c>
      <c r="D14" s="18">
        <v>0</v>
      </c>
      <c r="F14" s="215">
        <f t="shared" si="0"/>
        <v>44165</v>
      </c>
      <c r="G14" s="257"/>
      <c r="H14" s="18">
        <f t="shared" si="1"/>
        <v>0</v>
      </c>
    </row>
    <row r="15" spans="1:8" ht="15.5">
      <c r="A15" s="3">
        <v>5</v>
      </c>
      <c r="B15" s="215">
        <f>+B14+15</f>
        <v>44180</v>
      </c>
      <c r="C15" s="18">
        <v>0</v>
      </c>
      <c r="D15" s="18">
        <v>0</v>
      </c>
      <c r="F15" s="215">
        <f t="shared" si="0"/>
        <v>44180</v>
      </c>
      <c r="G15" s="257"/>
      <c r="H15" s="18">
        <f t="shared" si="1"/>
        <v>0</v>
      </c>
    </row>
    <row r="16" spans="1:8" ht="15.5">
      <c r="A16" s="3">
        <v>6</v>
      </c>
      <c r="B16" s="215">
        <f>+B15+16</f>
        <v>44196</v>
      </c>
      <c r="C16" s="18">
        <v>0</v>
      </c>
      <c r="D16" s="18">
        <v>0</v>
      </c>
      <c r="F16" s="215">
        <f t="shared" si="0"/>
        <v>44196</v>
      </c>
      <c r="G16" s="256"/>
      <c r="H16" s="18">
        <f t="shared" si="1"/>
        <v>0</v>
      </c>
    </row>
    <row r="17" spans="1:8" ht="15.5">
      <c r="A17" s="3">
        <v>7</v>
      </c>
      <c r="B17" s="215">
        <f>+B16+15</f>
        <v>44211</v>
      </c>
      <c r="C17" s="18">
        <v>0</v>
      </c>
      <c r="D17" s="18">
        <v>0</v>
      </c>
      <c r="F17" s="215">
        <f t="shared" si="0"/>
        <v>44211</v>
      </c>
      <c r="G17" s="255"/>
      <c r="H17" s="18">
        <f t="shared" si="1"/>
        <v>0</v>
      </c>
    </row>
    <row r="18" spans="1:8" ht="15.5">
      <c r="A18" s="3">
        <v>8</v>
      </c>
      <c r="B18" s="215">
        <f>+B17+16</f>
        <v>44227</v>
      </c>
      <c r="C18" s="18">
        <v>0</v>
      </c>
      <c r="D18" s="18">
        <v>2</v>
      </c>
      <c r="F18" s="215">
        <f t="shared" si="0"/>
        <v>44225</v>
      </c>
      <c r="G18" s="257"/>
      <c r="H18" s="18">
        <f t="shared" si="1"/>
        <v>2</v>
      </c>
    </row>
    <row r="19" spans="1:8" ht="15.5">
      <c r="A19" s="3">
        <v>9</v>
      </c>
      <c r="B19" s="215">
        <f>+B18+15</f>
        <v>44242</v>
      </c>
      <c r="C19" s="18">
        <v>3</v>
      </c>
      <c r="D19" s="18">
        <v>0</v>
      </c>
      <c r="F19" s="215">
        <f t="shared" si="0"/>
        <v>44239</v>
      </c>
      <c r="G19" s="257"/>
      <c r="H19" s="18">
        <f t="shared" si="1"/>
        <v>3</v>
      </c>
    </row>
    <row r="20" spans="1:8" ht="15.5">
      <c r="A20" s="3">
        <v>10</v>
      </c>
      <c r="B20" s="215">
        <f>+B19+13</f>
        <v>44255</v>
      </c>
      <c r="C20" s="18">
        <v>0</v>
      </c>
      <c r="D20" s="18">
        <v>2</v>
      </c>
      <c r="F20" s="215">
        <f t="shared" si="0"/>
        <v>44253</v>
      </c>
      <c r="G20" s="257"/>
      <c r="H20" s="18">
        <f t="shared" si="1"/>
        <v>2</v>
      </c>
    </row>
    <row r="21" spans="1:8" ht="15.5">
      <c r="A21" s="3">
        <v>11</v>
      </c>
      <c r="B21" s="215">
        <f>+B20+15</f>
        <v>44270</v>
      </c>
      <c r="C21" s="18">
        <v>0</v>
      </c>
      <c r="D21" s="18">
        <v>0</v>
      </c>
      <c r="F21" s="215">
        <f t="shared" si="0"/>
        <v>44270</v>
      </c>
      <c r="G21" s="256"/>
      <c r="H21" s="18">
        <f t="shared" si="1"/>
        <v>0</v>
      </c>
    </row>
    <row r="22" spans="1:8" ht="15.5">
      <c r="A22" s="3">
        <v>12</v>
      </c>
      <c r="B22" s="215">
        <f>+B21+16</f>
        <v>44286</v>
      </c>
      <c r="C22" s="18">
        <v>0</v>
      </c>
      <c r="D22" s="18">
        <v>0</v>
      </c>
      <c r="F22" s="215">
        <f t="shared" si="0"/>
        <v>44286</v>
      </c>
      <c r="G22" s="256"/>
      <c r="H22" s="18">
        <f t="shared" si="1"/>
        <v>0</v>
      </c>
    </row>
    <row r="23" spans="1:8" ht="15.5">
      <c r="A23" s="3">
        <v>13</v>
      </c>
      <c r="B23" s="215">
        <f>+B22+15</f>
        <v>44301</v>
      </c>
      <c r="C23" s="18">
        <v>0</v>
      </c>
      <c r="D23" s="18">
        <v>0</v>
      </c>
      <c r="F23" s="215">
        <f t="shared" si="0"/>
        <v>44301</v>
      </c>
      <c r="G23" s="255"/>
      <c r="H23" s="18">
        <f t="shared" si="1"/>
        <v>0</v>
      </c>
    </row>
    <row r="24" spans="1:8" ht="15.5">
      <c r="A24" s="3">
        <v>14</v>
      </c>
      <c r="B24" s="215">
        <f>+B23+15</f>
        <v>44316</v>
      </c>
      <c r="C24" s="18">
        <v>0</v>
      </c>
      <c r="D24" s="18">
        <v>0</v>
      </c>
      <c r="F24" s="215">
        <f t="shared" si="0"/>
        <v>44316</v>
      </c>
      <c r="G24" s="257"/>
      <c r="H24" s="18">
        <f t="shared" si="1"/>
        <v>0</v>
      </c>
    </row>
    <row r="25" spans="1:8" ht="15.5">
      <c r="A25" s="3">
        <v>15</v>
      </c>
      <c r="B25" s="215">
        <f>+B24+15</f>
        <v>44331</v>
      </c>
      <c r="C25" s="18">
        <v>1</v>
      </c>
      <c r="D25" s="18">
        <v>0</v>
      </c>
      <c r="F25" s="215">
        <f t="shared" si="0"/>
        <v>44330</v>
      </c>
      <c r="G25" s="257"/>
      <c r="H25" s="18">
        <f t="shared" si="1"/>
        <v>1</v>
      </c>
    </row>
    <row r="26" spans="1:8" ht="15.5">
      <c r="A26" s="3">
        <f>+A25+1</f>
        <v>16</v>
      </c>
      <c r="B26" s="215">
        <f>+B25+16</f>
        <v>44347</v>
      </c>
      <c r="C26" s="18">
        <v>0</v>
      </c>
      <c r="D26" s="18">
        <v>3</v>
      </c>
      <c r="F26" s="215">
        <f t="shared" si="0"/>
        <v>44344</v>
      </c>
      <c r="G26" s="256"/>
      <c r="H26" s="18">
        <f t="shared" si="1"/>
        <v>3</v>
      </c>
    </row>
    <row r="27" spans="1:8" ht="15.5">
      <c r="A27" s="3">
        <f t="shared" si="2" ref="A27:A41">+A26+1</f>
        <v>17</v>
      </c>
      <c r="B27" s="215">
        <f>+B26+15</f>
        <v>44362</v>
      </c>
      <c r="C27" s="18">
        <v>0</v>
      </c>
      <c r="D27" s="18">
        <v>0</v>
      </c>
      <c r="F27" s="215">
        <f t="shared" si="0"/>
        <v>44362</v>
      </c>
      <c r="G27" s="256"/>
      <c r="H27" s="18">
        <f t="shared" si="1"/>
        <v>0</v>
      </c>
    </row>
    <row r="28" spans="1:8" ht="15.5">
      <c r="A28" s="3">
        <f t="shared" si="2"/>
        <v>18</v>
      </c>
      <c r="B28" s="215">
        <f>+B27+15</f>
        <v>44377</v>
      </c>
      <c r="C28" s="18">
        <v>0</v>
      </c>
      <c r="D28" s="18">
        <v>0</v>
      </c>
      <c r="F28" s="215">
        <f t="shared" si="0"/>
        <v>44377</v>
      </c>
      <c r="G28" s="255"/>
      <c r="H28" s="18">
        <f t="shared" si="1"/>
        <v>0</v>
      </c>
    </row>
    <row r="29" spans="1:8" ht="15.5">
      <c r="A29" s="3">
        <f t="shared" si="2"/>
        <v>19</v>
      </c>
      <c r="B29" s="215">
        <f>+B28+15</f>
        <v>44392</v>
      </c>
      <c r="C29" s="18">
        <v>0</v>
      </c>
      <c r="D29" s="18">
        <v>0</v>
      </c>
      <c r="F29" s="215">
        <f t="shared" si="0"/>
        <v>44392</v>
      </c>
      <c r="G29" s="257"/>
      <c r="H29" s="18">
        <f t="shared" si="1"/>
        <v>0</v>
      </c>
    </row>
    <row r="30" spans="1:8" ht="15.5">
      <c r="A30" s="3">
        <f t="shared" si="2"/>
        <v>20</v>
      </c>
      <c r="B30" s="215">
        <f>+B29+16</f>
        <v>44408</v>
      </c>
      <c r="C30" s="18">
        <v>0</v>
      </c>
      <c r="D30" s="18">
        <v>1</v>
      </c>
      <c r="F30" s="215">
        <f t="shared" si="0"/>
        <v>44407</v>
      </c>
      <c r="G30" s="257"/>
      <c r="H30" s="18">
        <f t="shared" si="1"/>
        <v>1</v>
      </c>
    </row>
    <row r="31" spans="1:8" ht="15.5">
      <c r="A31" s="3">
        <f t="shared" si="2"/>
        <v>21</v>
      </c>
      <c r="B31" s="215">
        <f>+B30+15</f>
        <v>44423</v>
      </c>
      <c r="C31" s="18">
        <v>2</v>
      </c>
      <c r="D31" s="18">
        <v>0</v>
      </c>
      <c r="F31" s="215">
        <f t="shared" si="0"/>
        <v>44421</v>
      </c>
      <c r="G31" s="257"/>
      <c r="H31" s="18">
        <f t="shared" si="1"/>
        <v>2</v>
      </c>
    </row>
    <row r="32" spans="1:8" ht="15.5">
      <c r="A32" s="3">
        <f t="shared" si="2"/>
        <v>22</v>
      </c>
      <c r="B32" s="215">
        <f>+B31+16</f>
        <v>44439</v>
      </c>
      <c r="C32" s="18">
        <v>0</v>
      </c>
      <c r="D32" s="18">
        <v>0</v>
      </c>
      <c r="F32" s="215">
        <f t="shared" si="0"/>
        <v>44439</v>
      </c>
      <c r="G32" s="256"/>
      <c r="H32" s="18">
        <f t="shared" si="1"/>
        <v>0</v>
      </c>
    </row>
    <row r="33" spans="1:8" ht="15.5">
      <c r="A33" s="3">
        <f t="shared" si="2"/>
        <v>23</v>
      </c>
      <c r="B33" s="215">
        <f>+B32+15</f>
        <v>44454</v>
      </c>
      <c r="C33" s="18">
        <v>0</v>
      </c>
      <c r="D33" s="18">
        <v>0</v>
      </c>
      <c r="F33" s="215">
        <f t="shared" si="0"/>
        <v>44454</v>
      </c>
      <c r="G33" s="256"/>
      <c r="H33" s="18">
        <f t="shared" si="1"/>
        <v>0</v>
      </c>
    </row>
    <row r="34" spans="1:8" ht="15.5">
      <c r="A34" s="3">
        <f t="shared" si="2"/>
        <v>24</v>
      </c>
      <c r="B34" s="215">
        <f>+B33+15</f>
        <v>44469</v>
      </c>
      <c r="C34" s="18">
        <v>0</v>
      </c>
      <c r="D34" s="18">
        <v>0</v>
      </c>
      <c r="F34" s="215">
        <f t="shared" si="0"/>
        <v>44469</v>
      </c>
      <c r="G34" s="257"/>
      <c r="H34" s="18">
        <f t="shared" si="1"/>
        <v>0</v>
      </c>
    </row>
    <row r="35" spans="1:8" ht="12.5">
      <c r="A35" s="3">
        <f t="shared" si="2"/>
        <v>25</v>
      </c>
      <c r="H35" s="216"/>
    </row>
    <row r="36" spans="1:8" ht="13" thickBot="1">
      <c r="A36" s="3">
        <f t="shared" si="2"/>
        <v>26</v>
      </c>
      <c r="B36" s="3" t="s">
        <v>26</v>
      </c>
      <c r="C36" s="39">
        <f>SUM(C11:C35)</f>
        <v>8</v>
      </c>
      <c r="D36" s="39">
        <f>SUM(D11:D35)</f>
        <v>9</v>
      </c>
      <c r="H36" s="39">
        <f>SUM(H11:H35)</f>
        <v>17</v>
      </c>
    </row>
    <row r="37" spans="1:4" ht="13" thickTop="1">
      <c r="A37" s="3">
        <f t="shared" si="2"/>
        <v>27</v>
      </c>
      <c r="C37" s="3"/>
      <c r="D37" s="3"/>
    </row>
    <row r="38" spans="1:4" ht="13" thickBot="1">
      <c r="A38" s="3">
        <f t="shared" si="2"/>
        <v>28</v>
      </c>
      <c r="B38" s="3" t="s">
        <v>249</v>
      </c>
      <c r="C38" s="41">
        <f>ROUND(C36/12,2)</f>
        <v>0.67000000000000004</v>
      </c>
      <c r="D38" s="41">
        <f>ROUND(D36/12,2)</f>
        <v>0.75</v>
      </c>
    </row>
    <row r="39" spans="1:1" ht="13" thickTop="1">
      <c r="A39" s="3">
        <f t="shared" si="2"/>
        <v>29</v>
      </c>
    </row>
    <row r="40" spans="1:3" ht="12.5">
      <c r="A40" s="3">
        <f t="shared" si="2"/>
        <v>30</v>
      </c>
      <c r="B40" s="1" t="s">
        <v>297</v>
      </c>
      <c r="C40" s="293" t="s">
        <v>463</v>
      </c>
    </row>
    <row r="41" spans="1:3" ht="12.5">
      <c r="A41" s="3">
        <f t="shared" si="2"/>
        <v>31</v>
      </c>
      <c r="C41" s="293" t="s">
        <v>508</v>
      </c>
    </row>
  </sheetData>
  <mergeCells count="1">
    <mergeCell ref="C7:D7"/>
  </mergeCells>
  <hyperlinks>
    <hyperlink ref="C40" r:id="rId1" display="Holidays.xlsx"/>
    <hyperlink ref="C41" r:id="rId2" display="Payroll Calendar Semi-Monthly"/>
  </hyperlinks>
  <printOptions horizontalCentered="1"/>
  <pageMargins left="0.5" right="0.5" top="1.5" bottom="0.5" header="1" footer="0.5"/>
  <pageSetup orientation="landscape" scale="78" r:id="rId3"/>
  <headerFooter alignWithMargins="0">
    <oddHeader>&amp;RWP/II-B-9/&amp;A
Page &amp;P of &amp;N</oddHeader>
  </headerFooter>
  <ignoredErrors>
    <ignoredError sqref="H11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6">
    <tabColor rgb="FF92D050"/>
    <pageSetUpPr fitToPage="1"/>
  </sheetPr>
  <dimension ref="A1:G20"/>
  <sheetViews>
    <sheetView workbookViewId="0" topLeftCell="A1">
      <selection pane="topLeft" activeCell="A4" sqref="A4"/>
    </sheetView>
  </sheetViews>
  <sheetFormatPr defaultRowHeight="12.75"/>
  <cols>
    <col min="2" max="2" width="28.4285714285714" customWidth="1"/>
    <col min="3" max="3" width="16.5714285714286" customWidth="1"/>
    <col min="4" max="4" width="17.1428571428571" customWidth="1"/>
    <col min="5" max="5" width="19.8571428571429" customWidth="1"/>
    <col min="6" max="6" width="0.571428571428571" hidden="1" customWidth="1"/>
    <col min="7" max="8" width="8.85714285714286" hidden="1" customWidth="1"/>
  </cols>
  <sheetData>
    <row r="1" spans="1:5" s="295" customFormat="1" ht="13">
      <c r="A1" s="181" t="s">
        <v>530</v>
      </c>
      <c r="B1" s="181"/>
      <c r="C1" s="181"/>
      <c r="D1" s="181"/>
      <c r="E1" s="181"/>
    </row>
    <row r="2" spans="1:5" s="295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5" s="295" customFormat="1" ht="13">
      <c r="A3" s="181" t="s">
        <v>275</v>
      </c>
      <c r="B3" s="181"/>
      <c r="C3" s="181"/>
      <c r="D3" s="181"/>
      <c r="E3" s="181"/>
    </row>
    <row r="4" spans="1:5" s="295" customFormat="1" ht="13">
      <c r="A4" s="817" t="s">
        <v>929</v>
      </c>
      <c r="B4" s="181"/>
      <c r="C4" s="181"/>
      <c r="D4" s="181"/>
      <c r="E4" s="181"/>
    </row>
    <row r="5" spans="1:5" s="295" customFormat="1" ht="13">
      <c r="A5" s="181" t="s">
        <v>524</v>
      </c>
      <c r="B5" s="181"/>
      <c r="C5" s="181"/>
      <c r="D5" s="181"/>
      <c r="E5" s="181"/>
    </row>
    <row r="7" spans="1:7" s="67" customFormat="1" ht="13">
      <c r="A7" s="26"/>
      <c r="B7" s="26"/>
      <c r="C7" s="26"/>
      <c r="D7" s="79"/>
      <c r="E7" s="22" t="s">
        <v>117</v>
      </c>
      <c r="F7" s="26"/>
      <c r="G7" s="26"/>
    </row>
    <row r="8" spans="1:7" ht="13">
      <c r="A8" s="57" t="s">
        <v>45</v>
      </c>
      <c r="B8" s="57" t="s">
        <v>212</v>
      </c>
      <c r="C8" s="308" t="s">
        <v>44</v>
      </c>
      <c r="D8" s="77" t="s">
        <v>49</v>
      </c>
      <c r="E8" s="57" t="s">
        <v>90</v>
      </c>
      <c r="F8" s="57" t="s">
        <v>26</v>
      </c>
      <c r="G8" s="1"/>
    </row>
    <row r="9" spans="1:7" ht="12.5">
      <c r="A9" s="1"/>
      <c r="B9" s="40" t="s">
        <v>55</v>
      </c>
      <c r="C9" s="40" t="s">
        <v>56</v>
      </c>
      <c r="D9" s="40" t="s">
        <v>62</v>
      </c>
      <c r="E9" s="40" t="s">
        <v>57</v>
      </c>
      <c r="F9" s="1"/>
      <c r="G9" s="1"/>
    </row>
    <row r="10" spans="1:7" ht="12.5">
      <c r="A10" s="1"/>
      <c r="B10" s="40"/>
      <c r="C10" s="40"/>
      <c r="D10" s="40"/>
      <c r="E10" s="40"/>
      <c r="F10" s="1"/>
      <c r="G10" s="1"/>
    </row>
    <row r="11" spans="1:7" ht="12.5">
      <c r="A11" s="3">
        <v>1</v>
      </c>
      <c r="B11" s="1" t="s">
        <v>134</v>
      </c>
      <c r="C11" s="227">
        <v>50746.94000000001</v>
      </c>
      <c r="D11" s="28">
        <v>-8.4547616073008527</v>
      </c>
      <c r="E11" s="227">
        <f>+D11*C11</f>
        <v>-429053.28000000003</v>
      </c>
      <c r="F11" s="1"/>
      <c r="G11" s="1"/>
    </row>
    <row r="12" spans="1:7" ht="12.5">
      <c r="A12" s="3">
        <v>2</v>
      </c>
      <c r="B12" s="1" t="s">
        <v>135</v>
      </c>
      <c r="C12" s="339">
        <v>196900.20999999999</v>
      </c>
      <c r="D12" s="643">
        <v>-6.9640341673581796</v>
      </c>
      <c r="E12" s="339">
        <f>+D12*C12</f>
        <v>-1371219.7900000007</v>
      </c>
      <c r="F12" s="1"/>
      <c r="G12" s="1"/>
    </row>
    <row r="13" spans="1:7" ht="12.5">
      <c r="A13" s="3">
        <v>3</v>
      </c>
      <c r="B13" s="1"/>
      <c r="D13" s="28"/>
      <c r="F13" s="1"/>
      <c r="G13" s="1"/>
    </row>
    <row r="14" spans="1:7" ht="13" thickBot="1">
      <c r="A14" s="3">
        <v>4</v>
      </c>
      <c r="B14" s="1" t="s">
        <v>136</v>
      </c>
      <c r="C14" s="345">
        <f>SUM(C11:C12)</f>
        <v>247647.14999999999</v>
      </c>
      <c r="D14" s="644">
        <f>ROUND(E14/C14,2)</f>
        <v>-7.2699999999999996</v>
      </c>
      <c r="E14" s="345">
        <f>SUM(E11:E12)</f>
        <v>-1800273.0700000008</v>
      </c>
      <c r="F14" s="1"/>
      <c r="G14" s="1"/>
    </row>
    <row r="15" spans="1:1" ht="13" thickTop="1">
      <c r="A15" s="3">
        <v>5</v>
      </c>
    </row>
    <row r="16" spans="1:3" ht="12.5">
      <c r="A16" s="3">
        <v>6</v>
      </c>
      <c r="B16" t="s">
        <v>256</v>
      </c>
      <c r="C16" s="293" t="s">
        <v>461</v>
      </c>
    </row>
    <row r="20" spans="2:2" ht="12.5">
      <c r="B20" s="80"/>
    </row>
  </sheetData>
  <hyperlinks>
    <hyperlink ref="C16" r:id="rId1" display="Payroll manual check sample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8">
    <tabColor rgb="FF92D050"/>
    <pageSetUpPr fitToPage="1"/>
  </sheetPr>
  <dimension ref="A1:F33"/>
  <sheetViews>
    <sheetView workbookViewId="0" topLeftCell="A1">
      <selection pane="topLeft" activeCell="A4" sqref="A4"/>
    </sheetView>
  </sheetViews>
  <sheetFormatPr defaultRowHeight="12.75"/>
  <cols>
    <col min="2" max="2" width="14.8571428571429" customWidth="1"/>
    <col min="3" max="3" width="18" customWidth="1"/>
    <col min="4" max="5" width="16.4285714285714" bestFit="1" customWidth="1"/>
    <col min="6" max="6" width="17.1428571428571" bestFit="1" customWidth="1"/>
  </cols>
  <sheetData>
    <row r="1" spans="1:5" s="295" customFormat="1" ht="13">
      <c r="A1" s="183" t="s">
        <v>530</v>
      </c>
      <c r="B1" s="302"/>
      <c r="C1" s="302"/>
      <c r="D1" s="302"/>
      <c r="E1" s="302"/>
    </row>
    <row r="2" spans="1:5" s="295" customFormat="1" ht="13">
      <c r="A2" s="183" t="str">
        <f>' '!A2</f>
        <v>ONCOR ELECTRIC DELIVERY COMPANY LLC</v>
      </c>
      <c r="B2" s="302"/>
      <c r="C2" s="302"/>
      <c r="D2" s="302"/>
      <c r="E2" s="302"/>
    </row>
    <row r="3" spans="1:5" s="295" customFormat="1" ht="13">
      <c r="A3" s="183" t="s">
        <v>274</v>
      </c>
      <c r="B3" s="303"/>
      <c r="C3" s="303"/>
      <c r="D3" s="303"/>
      <c r="E3" s="303"/>
    </row>
    <row r="4" spans="1:5" s="295" customFormat="1" ht="13">
      <c r="A4" s="817" t="s">
        <v>929</v>
      </c>
      <c r="B4" s="303"/>
      <c r="C4" s="303"/>
      <c r="D4" s="303"/>
      <c r="E4" s="303"/>
    </row>
    <row r="5" spans="1:5" s="295" customFormat="1" ht="13">
      <c r="A5" s="183" t="s">
        <v>524</v>
      </c>
      <c r="B5" s="303"/>
      <c r="C5" s="303"/>
      <c r="D5" s="303"/>
      <c r="E5" s="303"/>
    </row>
    <row r="6" spans="1:5" ht="13">
      <c r="A6" s="261"/>
      <c r="B6" s="78"/>
      <c r="C6" s="78"/>
      <c r="D6" s="78"/>
      <c r="E6" s="78"/>
    </row>
    <row r="7" spans="1:6" ht="13">
      <c r="A7" s="57" t="s">
        <v>45</v>
      </c>
      <c r="B7" s="57" t="s">
        <v>23</v>
      </c>
      <c r="C7" s="57" t="s">
        <v>224</v>
      </c>
      <c r="D7" s="57" t="s">
        <v>225</v>
      </c>
      <c r="E7" s="57" t="s">
        <v>411</v>
      </c>
      <c r="F7" s="57" t="s">
        <v>26</v>
      </c>
    </row>
    <row r="8" spans="2:6" ht="12.5">
      <c r="B8" s="40" t="s">
        <v>55</v>
      </c>
      <c r="C8" s="40" t="s">
        <v>56</v>
      </c>
      <c r="D8" s="40" t="s">
        <v>62</v>
      </c>
      <c r="E8" s="40" t="s">
        <v>62</v>
      </c>
      <c r="F8" s="40" t="s">
        <v>57</v>
      </c>
    </row>
    <row r="9" spans="2:2" ht="13">
      <c r="B9" s="609" t="s">
        <v>437</v>
      </c>
    </row>
    <row r="10" spans="1:2" ht="12.5">
      <c r="A10" s="2">
        <v>1</v>
      </c>
      <c r="B10" s="309" t="s">
        <v>135</v>
      </c>
    </row>
    <row r="11" spans="1:6" ht="12.5">
      <c r="A11" s="2">
        <v>2</v>
      </c>
      <c r="B11" s="652" t="s">
        <v>532</v>
      </c>
      <c r="C11" s="92">
        <v>3227958.77</v>
      </c>
      <c r="D11" s="92">
        <v>3209451.1000000001</v>
      </c>
      <c r="E11" s="92">
        <v>0</v>
      </c>
      <c r="F11" s="92">
        <f>SUM(C11:E11)</f>
        <v>6437409.8700000001</v>
      </c>
    </row>
    <row r="12" spans="1:6" ht="12.5">
      <c r="A12" s="2">
        <v>3</v>
      </c>
      <c r="B12" s="652" t="s">
        <v>533</v>
      </c>
      <c r="C12" s="336">
        <v>3577242.9299999997</v>
      </c>
      <c r="D12" s="336">
        <v>3603265.4900000002</v>
      </c>
      <c r="E12" s="336">
        <v>0</v>
      </c>
      <c r="F12" s="336">
        <f>SUM(C12:E12)</f>
        <v>7180508.4199999999</v>
      </c>
    </row>
    <row r="13" spans="1:6" ht="12.5">
      <c r="A13" s="2">
        <v>4</v>
      </c>
      <c r="B13" s="2" t="s">
        <v>26</v>
      </c>
      <c r="C13" s="92">
        <f>SUM(C11+C12)</f>
        <v>6805201.6999999993</v>
      </c>
      <c r="D13" s="92">
        <f>SUM(D11+D12)</f>
        <v>6812716.5899999999</v>
      </c>
      <c r="E13" s="92">
        <f>SUM(E11+E12)</f>
        <v>0</v>
      </c>
      <c r="F13" s="92">
        <f>SUM(F11+F12)</f>
        <v>13617918.289999999</v>
      </c>
    </row>
    <row r="14" spans="1:6" ht="12.5">
      <c r="A14" s="2">
        <v>5</v>
      </c>
      <c r="B14" s="2" t="s">
        <v>81</v>
      </c>
      <c r="C14" s="259">
        <f>ROUND(SUM(C13/$F$13),4)</f>
        <v>0.49969999999999998</v>
      </c>
      <c r="D14" s="259">
        <f>ROUND(SUM(D13/$F$13),4)</f>
        <v>0.50029999999999997</v>
      </c>
      <c r="E14" s="259">
        <f>ROUND(SUM(E13/$F$13),4)</f>
        <v>0</v>
      </c>
      <c r="F14" s="449">
        <f>SUM(C13+D13+E13)/F13</f>
        <v>1</v>
      </c>
    </row>
    <row r="15" spans="1:6" ht="13">
      <c r="A15" s="2">
        <v>6</v>
      </c>
      <c r="B15" s="22"/>
      <c r="C15" s="22"/>
      <c r="D15" s="22"/>
      <c r="E15" s="22"/>
      <c r="F15" s="22"/>
    </row>
    <row r="16" spans="2:2" ht="13">
      <c r="B16" s="609" t="s">
        <v>438</v>
      </c>
    </row>
    <row r="17" spans="1:2" ht="12.5">
      <c r="A17" s="2">
        <v>1</v>
      </c>
      <c r="B17" s="653" t="s">
        <v>135</v>
      </c>
    </row>
    <row r="18" spans="1:6" ht="12.5">
      <c r="A18" s="2">
        <v>2</v>
      </c>
      <c r="B18" s="652" t="s">
        <v>532</v>
      </c>
      <c r="C18" s="92">
        <v>11931675.630000001</v>
      </c>
      <c r="D18" s="92">
        <v>11638890.68</v>
      </c>
      <c r="E18" s="92"/>
      <c r="F18" s="92">
        <f>SUM(C18:E18)</f>
        <v>23570566.310000002</v>
      </c>
    </row>
    <row r="19" spans="1:6" ht="12.5">
      <c r="A19" s="2">
        <v>3</v>
      </c>
      <c r="B19" s="652" t="s">
        <v>533</v>
      </c>
      <c r="C19" s="336">
        <v>12194054.219999999</v>
      </c>
      <c r="D19" s="336">
        <v>12233895.540000001</v>
      </c>
      <c r="E19" s="336"/>
      <c r="F19" s="336">
        <f>SUM(C19:E19)</f>
        <v>24427949.759999998</v>
      </c>
    </row>
    <row r="20" spans="1:6" ht="12.5">
      <c r="A20" s="2">
        <v>4</v>
      </c>
      <c r="B20" s="2" t="s">
        <v>26</v>
      </c>
      <c r="C20" s="92">
        <f>SUM(C18+C19)</f>
        <v>24125729.850000001</v>
      </c>
      <c r="D20" s="92">
        <f>SUM(D18+D19)</f>
        <v>23872786.219999999</v>
      </c>
      <c r="E20" s="92"/>
      <c r="F20" s="92">
        <f>SUM(F18+F19)</f>
        <v>47998516.07</v>
      </c>
    </row>
    <row r="21" spans="1:6" ht="12.5">
      <c r="A21" s="2">
        <v>5</v>
      </c>
      <c r="B21" s="2" t="s">
        <v>81</v>
      </c>
      <c r="C21" s="259">
        <f>ROUND(SUM(C20/$F$20),4)</f>
        <v>0.50260000000000005</v>
      </c>
      <c r="D21" s="259">
        <f>ROUND(SUM(D20/$F$20),4)</f>
        <v>0.49740000000000001</v>
      </c>
      <c r="E21" s="259"/>
      <c r="F21" s="449">
        <f>SUM(C20+D20+E20)/F20</f>
        <v>1</v>
      </c>
    </row>
    <row r="22" spans="1:6" ht="13">
      <c r="A22" s="2"/>
      <c r="B22" s="22"/>
      <c r="C22" s="22"/>
      <c r="D22" s="22"/>
      <c r="E22" s="22"/>
      <c r="F22" s="22"/>
    </row>
    <row r="23" spans="1:6" ht="13">
      <c r="A23" s="2"/>
      <c r="B23" s="22"/>
      <c r="C23" s="22"/>
      <c r="D23" s="22"/>
      <c r="E23" s="22"/>
      <c r="F23" s="22"/>
    </row>
    <row r="24" spans="1:6" ht="13">
      <c r="A24" s="2">
        <v>7</v>
      </c>
      <c r="B24" s="309" t="s">
        <v>134</v>
      </c>
      <c r="C24" s="22"/>
      <c r="D24" s="22"/>
      <c r="E24" s="22"/>
      <c r="F24" s="22"/>
    </row>
    <row r="25" spans="1:6" ht="12.5">
      <c r="A25" s="2">
        <v>8</v>
      </c>
      <c r="B25" s="652" t="s">
        <v>532</v>
      </c>
      <c r="C25" s="92">
        <v>5401716.0800000001</v>
      </c>
      <c r="D25" s="92">
        <v>5859475.0300000003</v>
      </c>
      <c r="E25" s="92"/>
      <c r="F25" s="92">
        <f>SUM(C25:E25)</f>
        <v>11261191.109999999</v>
      </c>
    </row>
    <row r="26" spans="1:6" ht="12.5">
      <c r="A26" s="2">
        <v>9</v>
      </c>
      <c r="B26" s="652" t="s">
        <v>533</v>
      </c>
      <c r="C26" s="92">
        <v>5220787.5499999998</v>
      </c>
      <c r="D26" s="336">
        <v>5497216.9299999997</v>
      </c>
      <c r="E26" s="336"/>
      <c r="F26" s="336">
        <f>SUM(C26:E26)</f>
        <v>10718004.48</v>
      </c>
    </row>
    <row r="27" spans="1:6" ht="12.5">
      <c r="A27" s="2">
        <v>10</v>
      </c>
      <c r="B27" s="2" t="s">
        <v>26</v>
      </c>
      <c r="C27" s="92">
        <f>SUM(C25+C26)</f>
        <v>10622503.629999999</v>
      </c>
      <c r="D27" s="92">
        <f>SUM(D25+D26)</f>
        <v>11356691.960000001</v>
      </c>
      <c r="E27" s="92"/>
      <c r="F27" s="92">
        <f>SUM(F25+F26)</f>
        <v>21979195.59</v>
      </c>
    </row>
    <row r="28" spans="1:6" ht="12.5">
      <c r="A28" s="2">
        <v>11</v>
      </c>
      <c r="B28" s="2" t="s">
        <v>81</v>
      </c>
      <c r="C28" s="259">
        <f>ROUND(SUM(C27/$F$27),4)</f>
        <v>0.48330000000000001</v>
      </c>
      <c r="D28" s="259">
        <f>ROUND(SUM(D27/$F$27),4)</f>
        <v>0.51670000000000005</v>
      </c>
      <c r="E28" s="259"/>
      <c r="F28" s="260">
        <f>SUM(C27+D27+E27)/F27</f>
        <v>1</v>
      </c>
    </row>
    <row r="29" spans="1:1" ht="12.5">
      <c r="A29" s="2">
        <v>12</v>
      </c>
    </row>
    <row r="30" spans="1:6" ht="13" thickBot="1">
      <c r="A30" s="2">
        <v>13</v>
      </c>
      <c r="B30" s="1" t="s">
        <v>95</v>
      </c>
      <c r="C30" s="361">
        <f>C27+C20</f>
        <v>34748233.480000004</v>
      </c>
      <c r="D30" s="361">
        <f>D27+D20</f>
        <v>35229478.18</v>
      </c>
      <c r="E30" s="361"/>
      <c r="F30" s="362">
        <f>SUM(C30:E30)</f>
        <v>69977711.659999996</v>
      </c>
    </row>
    <row r="31" spans="1:6" ht="13.5" thickTop="1" thickBot="1">
      <c r="A31" s="2">
        <v>14</v>
      </c>
      <c r="B31" t="s">
        <v>81</v>
      </c>
      <c r="C31" s="363">
        <f>ROUND(C30/F30,4)</f>
        <v>0.49659999999999999</v>
      </c>
      <c r="D31" s="363">
        <f>ROUND(D30/F30,4)</f>
        <v>0.50339999999999996</v>
      </c>
      <c r="E31" s="363"/>
      <c r="F31" s="363">
        <f>SUM(C30+D30+E30)/F30</f>
        <v>1</v>
      </c>
    </row>
    <row r="32" spans="1:1" ht="13" thickTop="1">
      <c r="A32" s="2">
        <v>15</v>
      </c>
    </row>
    <row r="33" spans="1:3" ht="12.5">
      <c r="A33" s="2">
        <v>16</v>
      </c>
      <c r="B33" t="s">
        <v>256</v>
      </c>
      <c r="C33" s="293" t="s">
        <v>462</v>
      </c>
    </row>
  </sheetData>
  <hyperlinks>
    <hyperlink ref="C33" r:id="rId1" display="Payroll pay cycles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3">
    <tabColor rgb="FF92D050"/>
    <pageSetUpPr fitToPage="1"/>
  </sheetPr>
  <dimension ref="A1:F13"/>
  <sheetViews>
    <sheetView workbookViewId="0" topLeftCell="A1">
      <selection pane="topLeft" activeCell="A4" sqref="A4"/>
    </sheetView>
  </sheetViews>
  <sheetFormatPr defaultRowHeight="12.75"/>
  <cols>
    <col min="2" max="2" width="13.5714285714286" customWidth="1"/>
    <col min="3" max="3" width="18.1428571428571" customWidth="1"/>
    <col min="4" max="4" width="17.1428571428571" customWidth="1"/>
    <col min="5" max="5" width="11.4285714285714" customWidth="1"/>
    <col min="6" max="6" width="15.1428571428571" customWidth="1"/>
  </cols>
  <sheetData>
    <row r="1" spans="1:6" s="295" customFormat="1" ht="13">
      <c r="A1" s="181" t="s">
        <v>530</v>
      </c>
      <c r="C1" s="181"/>
      <c r="D1" s="181"/>
      <c r="E1" s="181"/>
      <c r="F1" s="181"/>
    </row>
    <row r="2" spans="1:6" s="295" customFormat="1" ht="13">
      <c r="A2" s="181" t="str">
        <f>' '!A2</f>
        <v>ONCOR ELECTRIC DELIVERY COMPANY LLC</v>
      </c>
      <c r="C2" s="181"/>
      <c r="D2" s="181"/>
      <c r="E2" s="181"/>
      <c r="F2" s="181"/>
    </row>
    <row r="3" spans="1:6" s="295" customFormat="1" ht="13">
      <c r="A3" s="181" t="s">
        <v>308</v>
      </c>
      <c r="C3" s="181"/>
      <c r="D3" s="181"/>
      <c r="E3" s="181"/>
      <c r="F3" s="181"/>
    </row>
    <row r="4" spans="1:6" s="295" customFormat="1" ht="13">
      <c r="A4" s="817" t="s">
        <v>929</v>
      </c>
      <c r="C4" s="181"/>
      <c r="D4" s="181"/>
      <c r="E4" s="181"/>
      <c r="F4" s="181"/>
    </row>
    <row r="5" spans="1:6" s="295" customFormat="1" ht="13">
      <c r="A5" s="181" t="s">
        <v>524</v>
      </c>
      <c r="C5" s="181"/>
      <c r="D5" s="181"/>
      <c r="E5" s="181"/>
      <c r="F5" s="181"/>
    </row>
    <row r="7" spans="1:6" ht="13">
      <c r="A7" s="22" t="s">
        <v>219</v>
      </c>
      <c r="B7" s="22"/>
      <c r="C7" s="22"/>
      <c r="D7" s="22"/>
      <c r="E7" s="22" t="s">
        <v>213</v>
      </c>
      <c r="F7" s="22" t="s">
        <v>52</v>
      </c>
    </row>
    <row r="8" spans="1:6" ht="13">
      <c r="A8" s="57" t="s">
        <v>41</v>
      </c>
      <c r="B8" s="57" t="s">
        <v>23</v>
      </c>
      <c r="C8" s="57" t="s">
        <v>124</v>
      </c>
      <c r="D8" s="57" t="s">
        <v>213</v>
      </c>
      <c r="E8" s="57" t="s">
        <v>81</v>
      </c>
      <c r="F8" s="57" t="s">
        <v>81</v>
      </c>
    </row>
    <row r="9" spans="1:6" ht="12.5">
      <c r="A9" s="210"/>
      <c r="B9" s="40" t="s">
        <v>55</v>
      </c>
      <c r="C9" s="40" t="s">
        <v>56</v>
      </c>
      <c r="D9" s="40" t="s">
        <v>62</v>
      </c>
      <c r="E9" s="40" t="s">
        <v>57</v>
      </c>
      <c r="F9" s="40" t="s">
        <v>58</v>
      </c>
    </row>
    <row r="10" spans="1:6" ht="12.5">
      <c r="A10" s="210"/>
      <c r="B10" s="40"/>
      <c r="C10" s="40"/>
      <c r="D10" s="40"/>
      <c r="E10" s="40"/>
      <c r="F10" s="40"/>
    </row>
    <row r="11" spans="1:6" ht="13" thickBot="1">
      <c r="A11" s="2">
        <v>1</v>
      </c>
      <c r="B11" s="2" t="s">
        <v>39</v>
      </c>
      <c r="C11" s="366">
        <v>601711203.11000001</v>
      </c>
      <c r="D11" s="367">
        <v>103083012.86</v>
      </c>
      <c r="E11" s="364">
        <f>ROUND(D11/C11,4)</f>
        <v>0.17130000000000001</v>
      </c>
      <c r="F11" s="365">
        <f>1-E11</f>
        <v>0.82869999999999999</v>
      </c>
    </row>
    <row r="12" spans="1:6" ht="13" thickTop="1">
      <c r="A12" s="2">
        <v>2</v>
      </c>
      <c r="B12" s="78"/>
      <c r="C12" s="78"/>
      <c r="D12" s="78"/>
      <c r="E12" s="78"/>
      <c r="F12" s="78"/>
    </row>
    <row r="13" spans="1:3" ht="12.5">
      <c r="A13" s="2">
        <v>3</v>
      </c>
      <c r="B13" t="s">
        <v>256</v>
      </c>
      <c r="C13" s="293" t="s">
        <v>460</v>
      </c>
    </row>
  </sheetData>
  <hyperlinks>
    <hyperlink ref="C13" r:id="rId1" display="Payroll semi-monthly &amp; bi-weekly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21">
    <tabColor rgb="FF92D050"/>
    <pageSetUpPr fitToPage="1"/>
  </sheetPr>
  <dimension ref="A1:M20"/>
  <sheetViews>
    <sheetView zoomScale="95" zoomScaleNormal="95" workbookViewId="0" topLeftCell="A1">
      <selection pane="topLeft" activeCell="I20" sqref="I20"/>
    </sheetView>
  </sheetViews>
  <sheetFormatPr defaultColWidth="9.09428571428571" defaultRowHeight="12.75"/>
  <cols>
    <col min="1" max="1" width="5.57142857142857" style="1" customWidth="1"/>
    <col min="2" max="2" width="28.1428571428571" style="1" bestFit="1" customWidth="1"/>
    <col min="3" max="3" width="15.1428571428571" style="1" bestFit="1" customWidth="1"/>
    <col min="4" max="4" width="17.1428571428571" style="1" customWidth="1"/>
    <col min="5" max="5" width="19.1428571428571" style="1" customWidth="1"/>
    <col min="6" max="6" width="20.5714285714286" style="1" customWidth="1"/>
    <col min="7" max="7" width="12.1428571428571" style="1" customWidth="1"/>
    <col min="8" max="8" width="17.4285714285714" style="1" customWidth="1"/>
    <col min="9" max="9" width="17.5714285714286" style="1" customWidth="1"/>
    <col min="10" max="10" width="12" style="1" bestFit="1" customWidth="1"/>
    <col min="11" max="11" width="18.4285714285714" style="1" bestFit="1" customWidth="1"/>
    <col min="12" max="12" width="9.14285714285714" style="1"/>
    <col min="13" max="13" width="16.8571428571429" style="1" bestFit="1" customWidth="1"/>
    <col min="14" max="16384" width="9.14285714285714" style="1"/>
  </cols>
  <sheetData>
    <row r="1" spans="1:4" s="42" customFormat="1" ht="13">
      <c r="A1" s="181" t="s">
        <v>530</v>
      </c>
      <c r="B1" s="181"/>
      <c r="C1" s="181"/>
      <c r="D1" s="181"/>
    </row>
    <row r="2" spans="1:4" s="42" customFormat="1" ht="13">
      <c r="A2" s="181" t="str">
        <f>' '!A2</f>
        <v>ONCOR ELECTRIC DELIVERY COMPANY LLC</v>
      </c>
      <c r="B2" s="181"/>
      <c r="C2" s="181"/>
      <c r="D2" s="181"/>
    </row>
    <row r="3" spans="1:9" s="42" customFormat="1" ht="13">
      <c r="A3" s="183" t="s">
        <v>292</v>
      </c>
      <c r="B3" s="183"/>
      <c r="C3" s="183"/>
      <c r="D3" s="183"/>
      <c r="E3" s="183"/>
      <c r="F3" s="183"/>
      <c r="G3" s="183"/>
      <c r="H3" s="183"/>
      <c r="I3" s="183"/>
    </row>
    <row r="4" spans="1:4" s="42" customFormat="1" ht="13">
      <c r="A4" s="817" t="s">
        <v>929</v>
      </c>
      <c r="B4" s="181"/>
      <c r="C4" s="181"/>
      <c r="D4" s="181"/>
    </row>
    <row r="5" spans="1:4" s="42" customFormat="1" ht="13">
      <c r="A5" s="181" t="s">
        <v>524</v>
      </c>
      <c r="B5" s="181"/>
      <c r="C5" s="181"/>
      <c r="D5" s="181"/>
    </row>
    <row r="7" spans="1:11" ht="26">
      <c r="A7" s="190" t="s">
        <v>80</v>
      </c>
      <c r="B7" s="32" t="s">
        <v>23</v>
      </c>
      <c r="C7" s="190" t="s">
        <v>217</v>
      </c>
      <c r="D7" s="282" t="s">
        <v>81</v>
      </c>
      <c r="E7" s="32" t="s">
        <v>25</v>
      </c>
      <c r="F7" s="32" t="s">
        <v>46</v>
      </c>
      <c r="G7" s="32" t="s">
        <v>25</v>
      </c>
      <c r="H7" s="32" t="s">
        <v>36</v>
      </c>
      <c r="I7" s="32" t="s">
        <v>25</v>
      </c>
      <c r="J7" s="32" t="s">
        <v>47</v>
      </c>
      <c r="K7" s="32" t="s">
        <v>43</v>
      </c>
    </row>
    <row r="8" spans="1:11" ht="13">
      <c r="A8" s="95"/>
      <c r="B8" s="52" t="s">
        <v>55</v>
      </c>
      <c r="C8" s="52" t="s">
        <v>56</v>
      </c>
      <c r="D8" s="283" t="s">
        <v>62</v>
      </c>
      <c r="E8" s="40" t="s">
        <v>57</v>
      </c>
      <c r="F8" s="40" t="s">
        <v>58</v>
      </c>
      <c r="G8" s="40" t="s">
        <v>59</v>
      </c>
      <c r="H8" s="40" t="s">
        <v>60</v>
      </c>
      <c r="I8" s="40" t="s">
        <v>63</v>
      </c>
      <c r="J8" s="40" t="s">
        <v>64</v>
      </c>
      <c r="K8" s="40" t="s">
        <v>82</v>
      </c>
    </row>
    <row r="10" spans="1:5" ht="12.5">
      <c r="A10" s="3">
        <v>1</v>
      </c>
      <c r="B10" s="1" t="s">
        <v>435</v>
      </c>
      <c r="C10" s="811">
        <f>+C12-C11</f>
        <v>24995198</v>
      </c>
      <c r="E10" s="686" t="s">
        <v>499</v>
      </c>
    </row>
    <row r="11" spans="1:3" ht="12.5">
      <c r="A11" s="3">
        <f t="shared" si="0" ref="A11:A20">A10+1</f>
        <v>2</v>
      </c>
      <c r="B11" s="674" t="s">
        <v>495</v>
      </c>
      <c r="C11" s="812">
        <v>2583392.2599999998</v>
      </c>
    </row>
    <row r="12" spans="1:5" ht="12.5">
      <c r="A12" s="3">
        <f t="shared" si="0"/>
        <v>3</v>
      </c>
      <c r="B12" s="674" t="s">
        <v>496</v>
      </c>
      <c r="C12" s="813">
        <v>27578590.259999998</v>
      </c>
      <c r="E12" s="686" t="s">
        <v>497</v>
      </c>
    </row>
    <row r="13" spans="1:3" ht="12.5">
      <c r="A13" s="3"/>
      <c r="B13" s="674"/>
      <c r="C13" s="813"/>
    </row>
    <row r="14" spans="1:13" ht="12.5">
      <c r="A14" s="3">
        <f>A12+1</f>
        <v>4</v>
      </c>
      <c r="C14" s="814"/>
      <c r="M14" s="42"/>
    </row>
    <row r="15" spans="1:13" ht="12.5">
      <c r="A15" s="3">
        <f t="shared" si="0"/>
        <v>5</v>
      </c>
      <c r="B15" s="1" t="s">
        <v>37</v>
      </c>
      <c r="C15" s="813">
        <f>+C17*D15</f>
        <v>27515159.502402</v>
      </c>
      <c r="D15" s="437">
        <f>+'2-1'!F18</f>
        <v>0.99770000000000003</v>
      </c>
      <c r="E15" s="55" t="s">
        <v>207</v>
      </c>
      <c r="F15" s="346">
        <f>'3-1'!F34</f>
        <v>-249.33000000000001</v>
      </c>
      <c r="G15" s="55" t="s">
        <v>250</v>
      </c>
      <c r="H15" s="346">
        <v>0</v>
      </c>
      <c r="I15" s="55"/>
      <c r="J15" s="251">
        <f>+H15+F15</f>
        <v>-249.33000000000001</v>
      </c>
      <c r="K15" s="75">
        <f>+J15*C15</f>
        <v>-6860354718.7338915</v>
      </c>
      <c r="M15" s="42"/>
    </row>
    <row r="16" spans="1:13" ht="12.5">
      <c r="A16" s="3">
        <f t="shared" si="0"/>
        <v>6</v>
      </c>
      <c r="B16" s="1" t="s">
        <v>38</v>
      </c>
      <c r="C16" s="767">
        <f>+C17*D16</f>
        <v>63430.757597999997</v>
      </c>
      <c r="D16" s="437">
        <f>+'2-1'!G18</f>
        <v>0.0023</v>
      </c>
      <c r="E16" s="55" t="s">
        <v>207</v>
      </c>
      <c r="F16" s="346">
        <f>F15</f>
        <v>-249.33000000000001</v>
      </c>
      <c r="G16" s="55" t="s">
        <v>250</v>
      </c>
      <c r="H16" s="346">
        <f>'2-4'!D14</f>
        <v>-7.2699999999999996</v>
      </c>
      <c r="I16" s="55" t="s">
        <v>253</v>
      </c>
      <c r="J16" s="661">
        <f>+H16+F16</f>
        <v>-256.60000000000002</v>
      </c>
      <c r="K16" s="389">
        <f>+J16*C16</f>
        <v>-16276332.3996468</v>
      </c>
      <c r="M16" s="42"/>
    </row>
    <row r="17" spans="1:13" ht="12.5">
      <c r="A17" s="3">
        <f t="shared" si="0"/>
        <v>7</v>
      </c>
      <c r="B17" s="1" t="s">
        <v>436</v>
      </c>
      <c r="C17" s="813">
        <f>+C12</f>
        <v>27578590.259999998</v>
      </c>
      <c r="D17" s="56"/>
      <c r="E17" s="47"/>
      <c r="F17" s="346"/>
      <c r="G17" s="55"/>
      <c r="H17" s="66"/>
      <c r="I17" s="55"/>
      <c r="J17" s="126">
        <f>K17/C17</f>
        <v>-249.34672100000006</v>
      </c>
      <c r="K17" s="75">
        <f>+K16+K15</f>
        <v>-6876631051.1335382</v>
      </c>
      <c r="M17" s="42"/>
    </row>
    <row r="18" spans="1:13" ht="12.5">
      <c r="A18" s="3">
        <f t="shared" si="0"/>
        <v>8</v>
      </c>
      <c r="M18" s="42"/>
    </row>
    <row r="19" spans="1:1" ht="12.5">
      <c r="A19" s="3">
        <f t="shared" si="0"/>
        <v>9</v>
      </c>
    </row>
    <row r="20" spans="1:3" ht="12.5">
      <c r="A20" s="3">
        <f t="shared" si="0"/>
        <v>10</v>
      </c>
      <c r="B20" s="679" t="s">
        <v>498</v>
      </c>
      <c r="C20" s="674" t="s">
        <v>924</v>
      </c>
    </row>
  </sheetData>
  <printOptions horizontalCentered="1"/>
  <pageMargins left="0.5" right="0.5" top="1.5" bottom="0.5" header="1" footer="0.5"/>
  <pageSetup orientation="landscape" scale="71" r:id="rId1"/>
  <headerFooter alignWithMargins="0">
    <oddHeader>&amp;RWP/II-B-9/&amp;A
Page &amp;P of 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0">
    <tabColor rgb="FF92D050"/>
    <pageSetUpPr fitToPage="1"/>
  </sheetPr>
  <dimension ref="A1:H43"/>
  <sheetViews>
    <sheetView zoomScale="90" zoomScaleNormal="90" workbookViewId="0" topLeftCell="A14">
      <selection pane="topLeft" activeCell="A4" sqref="A4"/>
    </sheetView>
  </sheetViews>
  <sheetFormatPr defaultColWidth="9.09428571428571" defaultRowHeight="12.75"/>
  <cols>
    <col min="1" max="1" width="6.85714285714286" style="1" customWidth="1"/>
    <col min="2" max="2" width="13.8571428571429" style="1" customWidth="1"/>
    <col min="3" max="3" width="12.5714285714286" style="1" bestFit="1" customWidth="1"/>
    <col min="4" max="4" width="27" style="1" customWidth="1"/>
    <col min="5" max="6" width="10.8571428571429" style="1" bestFit="1" customWidth="1"/>
    <col min="7" max="7" width="9.14285714285714" style="1"/>
    <col min="8" max="8" width="23.4285714285714" style="1" bestFit="1" customWidth="1"/>
    <col min="9" max="16384" width="9.14285714285714" style="1"/>
  </cols>
  <sheetData>
    <row r="1" spans="1:4" s="42" customFormat="1" ht="13">
      <c r="A1" s="181" t="s">
        <v>530</v>
      </c>
      <c r="B1" s="181"/>
      <c r="C1" s="181"/>
      <c r="D1" s="181"/>
    </row>
    <row r="2" spans="1:4" s="42" customFormat="1" ht="13">
      <c r="A2" s="181" t="str">
        <f>' '!A2</f>
        <v>ONCOR ELECTRIC DELIVERY COMPANY LLC</v>
      </c>
      <c r="B2" s="181"/>
      <c r="C2" s="181"/>
      <c r="D2" s="181"/>
    </row>
    <row r="3" spans="1:6" s="42" customFormat="1" ht="13">
      <c r="A3" s="824" t="s">
        <v>439</v>
      </c>
      <c r="B3" s="824"/>
      <c r="C3" s="824"/>
      <c r="D3" s="824"/>
      <c r="E3" s="824"/>
      <c r="F3" s="824"/>
    </row>
    <row r="4" spans="1:4" s="42" customFormat="1" ht="13">
      <c r="A4" s="817" t="s">
        <v>929</v>
      </c>
      <c r="B4" s="181"/>
      <c r="C4" s="181"/>
      <c r="D4" s="181"/>
    </row>
    <row r="5" spans="1:4" s="42" customFormat="1" ht="13">
      <c r="A5" s="181" t="s">
        <v>524</v>
      </c>
      <c r="B5" s="181"/>
      <c r="C5" s="181"/>
      <c r="D5" s="181"/>
    </row>
    <row r="7" spans="1:7" ht="26">
      <c r="A7" s="32" t="s">
        <v>45</v>
      </c>
      <c r="B7" s="32" t="s">
        <v>94</v>
      </c>
      <c r="C7" s="32" t="s">
        <v>105</v>
      </c>
      <c r="D7" s="32" t="s">
        <v>106</v>
      </c>
      <c r="E7" s="32" t="s">
        <v>107</v>
      </c>
      <c r="F7" s="32" t="s">
        <v>49</v>
      </c>
      <c r="G7" s="26"/>
    </row>
    <row r="8" spans="1:7" ht="13">
      <c r="A8" s="38"/>
      <c r="B8" s="40" t="s">
        <v>55</v>
      </c>
      <c r="C8" s="40" t="s">
        <v>56</v>
      </c>
      <c r="D8" s="40" t="s">
        <v>62</v>
      </c>
      <c r="E8" s="40" t="s">
        <v>57</v>
      </c>
      <c r="F8" s="40" t="s">
        <v>58</v>
      </c>
      <c r="G8" s="26"/>
    </row>
    <row r="9" spans="6:6" ht="12.5">
      <c r="F9" s="23"/>
    </row>
    <row r="10" spans="1:8" ht="12.5">
      <c r="A10" s="3">
        <v>1</v>
      </c>
      <c r="B10" s="720">
        <v>44105</v>
      </c>
      <c r="C10" s="721">
        <v>44135</v>
      </c>
      <c r="D10" s="440">
        <f>IF(C10=0,"",DATE(YEAR(C10),MONTH(C10),1)+INT(DAY(DATE(YEAR(C10),MONTH(C10)+1,1)-1)/2)-0.5)</f>
        <v>44119.5</v>
      </c>
      <c r="E10" s="440">
        <v>44263</v>
      </c>
      <c r="F10" s="371">
        <f>D10-E10</f>
        <v>-143.5</v>
      </c>
      <c r="H10" s="294"/>
    </row>
    <row r="11" spans="1:8" ht="12.5">
      <c r="A11" s="3">
        <v>2</v>
      </c>
      <c r="B11" s="686"/>
      <c r="C11" s="721"/>
      <c r="D11" s="441"/>
      <c r="E11" s="441"/>
      <c r="F11" s="371"/>
      <c r="H11" s="86"/>
    </row>
    <row r="12" spans="1:8" ht="12.5">
      <c r="A12" s="3">
        <v>3</v>
      </c>
      <c r="B12" s="720">
        <f>B10+31</f>
        <v>44136</v>
      </c>
      <c r="C12" s="721">
        <f>C10+30</f>
        <v>44165</v>
      </c>
      <c r="D12" s="440">
        <f>IF(C12=0,"",DATE(YEAR(C12),MONTH(C12),1)+INT(DAY(DATE(YEAR(C12),MONTH(C12)+1,1)-1)/2)-0.5)</f>
        <v>44150.5</v>
      </c>
      <c r="E12" s="440">
        <f>$E$10</f>
        <v>44263</v>
      </c>
      <c r="F12" s="371">
        <f>D12-E12</f>
        <v>-112.5</v>
      </c>
      <c r="H12" s="86"/>
    </row>
    <row r="13" spans="1:8" ht="12.5">
      <c r="A13" s="3">
        <v>4</v>
      </c>
      <c r="B13" s="686"/>
      <c r="C13" s="721"/>
      <c r="D13" s="441"/>
      <c r="E13" s="441"/>
      <c r="F13" s="371"/>
      <c r="H13" s="86"/>
    </row>
    <row r="14" spans="1:8" ht="12.5">
      <c r="A14" s="3">
        <v>5</v>
      </c>
      <c r="B14" s="720">
        <f>B12+30</f>
        <v>44166</v>
      </c>
      <c r="C14" s="721">
        <f>C12+31</f>
        <v>44196</v>
      </c>
      <c r="D14" s="440">
        <f>IF(C14=0,"",DATE(YEAR(C14),MONTH(C14),1)+INT(DAY(DATE(YEAR(C14),MONTH(C14)+1,1)-1)/2)-0.5)</f>
        <v>44180.5</v>
      </c>
      <c r="E14" s="440">
        <f>$E$10</f>
        <v>44263</v>
      </c>
      <c r="F14" s="371">
        <f>D14-E14</f>
        <v>-82.5</v>
      </c>
      <c r="H14" s="86"/>
    </row>
    <row r="15" spans="1:8" ht="12.5">
      <c r="A15" s="3">
        <v>6</v>
      </c>
      <c r="B15" s="686"/>
      <c r="C15" s="721"/>
      <c r="D15" s="441"/>
      <c r="E15" s="441"/>
      <c r="F15" s="371"/>
      <c r="H15" s="86"/>
    </row>
    <row r="16" spans="1:8" ht="12.5">
      <c r="A16" s="3">
        <v>7</v>
      </c>
      <c r="B16" s="720">
        <f>B14+31</f>
        <v>44197</v>
      </c>
      <c r="C16" s="721">
        <f>C14+31</f>
        <v>44227</v>
      </c>
      <c r="D16" s="440">
        <f>IF(C16=0,"",DATE(YEAR(C16),MONTH(C16),1)+INT(DAY(DATE(YEAR(C16),MONTH(C16)+1,1)-1)/2)-0.5)</f>
        <v>44211.5</v>
      </c>
      <c r="E16" s="440">
        <v>44627</v>
      </c>
      <c r="F16" s="371">
        <f>D16-E16</f>
        <v>-415.5</v>
      </c>
      <c r="H16" s="86"/>
    </row>
    <row r="17" spans="1:8" ht="12.5">
      <c r="A17" s="3">
        <v>8</v>
      </c>
      <c r="B17" s="686"/>
      <c r="C17" s="721"/>
      <c r="D17" s="441"/>
      <c r="E17" s="441"/>
      <c r="F17" s="371"/>
      <c r="H17" s="86"/>
    </row>
    <row r="18" spans="1:8" ht="12.5">
      <c r="A18" s="3">
        <v>9</v>
      </c>
      <c r="B18" s="720">
        <f>B16+31</f>
        <v>44228</v>
      </c>
      <c r="C18" s="721">
        <v>44255</v>
      </c>
      <c r="D18" s="440">
        <f>IF(C18=0,"",DATE(YEAR(C18),MONTH(C18),1)+INT(DAY(DATE(YEAR(C18),MONTH(C18)+1,1)-1)/2)-0.5)</f>
        <v>44241.5</v>
      </c>
      <c r="E18" s="440">
        <f>+E16</f>
        <v>44627</v>
      </c>
      <c r="F18" s="371">
        <f>D18-E18</f>
        <v>-385.5</v>
      </c>
      <c r="H18" s="86"/>
    </row>
    <row r="19" spans="1:8" ht="12.5">
      <c r="A19" s="3">
        <v>10</v>
      </c>
      <c r="B19" s="686"/>
      <c r="C19" s="721"/>
      <c r="D19" s="441"/>
      <c r="E19" s="441"/>
      <c r="F19" s="371"/>
      <c r="H19" s="86"/>
    </row>
    <row r="20" spans="1:8" ht="12.5">
      <c r="A20" s="3">
        <v>11</v>
      </c>
      <c r="B20" s="720">
        <f>B18+29</f>
        <v>44257</v>
      </c>
      <c r="C20" s="721">
        <v>44286</v>
      </c>
      <c r="D20" s="440">
        <f>IF(C20=0,"",DATE(YEAR(C20),MONTH(C20),1)+INT(DAY(DATE(YEAR(C20),MONTH(C20)+1,1)-1)/2)-0.5)</f>
        <v>44270.5</v>
      </c>
      <c r="E20" s="440">
        <f>+E18</f>
        <v>44627</v>
      </c>
      <c r="F20" s="371">
        <f>D20-E20</f>
        <v>-356.5</v>
      </c>
      <c r="H20" s="86"/>
    </row>
    <row r="21" spans="1:8" ht="12.5">
      <c r="A21" s="3">
        <v>12</v>
      </c>
      <c r="B21" s="686"/>
      <c r="C21" s="721"/>
      <c r="D21" s="441"/>
      <c r="E21" s="441"/>
      <c r="F21" s="371"/>
      <c r="H21" s="86"/>
    </row>
    <row r="22" spans="1:8" ht="12.5">
      <c r="A22" s="3">
        <v>13</v>
      </c>
      <c r="B22" s="720">
        <f>B20+31</f>
        <v>44288</v>
      </c>
      <c r="C22" s="721">
        <f>C20+30</f>
        <v>44316</v>
      </c>
      <c r="D22" s="440">
        <f>IF(C22=0,"",DATE(YEAR(C22),MONTH(C22),1)+INT(DAY(DATE(YEAR(C22),MONTH(C22)+1,1)-1)/2)-0.5)</f>
        <v>44301.5</v>
      </c>
      <c r="E22" s="440">
        <f>+E20</f>
        <v>44627</v>
      </c>
      <c r="F22" s="371">
        <f>D22-E22</f>
        <v>-325.5</v>
      </c>
      <c r="H22" s="86"/>
    </row>
    <row r="23" spans="1:8" ht="12.5">
      <c r="A23" s="3">
        <v>14</v>
      </c>
      <c r="B23" s="686"/>
      <c r="C23" s="721"/>
      <c r="D23" s="441"/>
      <c r="E23" s="441"/>
      <c r="F23" s="371"/>
      <c r="H23" s="86"/>
    </row>
    <row r="24" spans="1:8" ht="12.5">
      <c r="A24" s="3">
        <v>15</v>
      </c>
      <c r="B24" s="720">
        <f>B22+30</f>
        <v>44318</v>
      </c>
      <c r="C24" s="721">
        <f>C22+31</f>
        <v>44347</v>
      </c>
      <c r="D24" s="440">
        <f>IF(C24=0,"",DATE(YEAR(C24),MONTH(C24),1)+INT(DAY(DATE(YEAR(C24),MONTH(C24)+1,1)-1)/2)-0.5)</f>
        <v>44331.5</v>
      </c>
      <c r="E24" s="440">
        <f>E22</f>
        <v>44627</v>
      </c>
      <c r="F24" s="371">
        <f>D24-E24</f>
        <v>-295.5</v>
      </c>
      <c r="H24" s="86"/>
    </row>
    <row r="25" spans="1:8" ht="12.5">
      <c r="A25" s="3">
        <v>16</v>
      </c>
      <c r="B25" s="686"/>
      <c r="C25" s="721"/>
      <c r="D25" s="441"/>
      <c r="E25" s="441"/>
      <c r="F25" s="371"/>
      <c r="H25" s="86"/>
    </row>
    <row r="26" spans="1:8" ht="12.5">
      <c r="A26" s="3">
        <v>17</v>
      </c>
      <c r="B26" s="720">
        <f>B24+31</f>
        <v>44349</v>
      </c>
      <c r="C26" s="721">
        <f>C24+30</f>
        <v>44377</v>
      </c>
      <c r="D26" s="440">
        <f>IF(C26=0,"",DATE(YEAR(C26),MONTH(C26),1)+INT(DAY(DATE(YEAR(C26),MONTH(C26)+1,1)-1)/2)-0.5)</f>
        <v>44362.5</v>
      </c>
      <c r="E26" s="440">
        <f>E24</f>
        <v>44627</v>
      </c>
      <c r="F26" s="371">
        <f>D26-E26</f>
        <v>-264.5</v>
      </c>
      <c r="H26" s="86"/>
    </row>
    <row r="27" spans="1:8" ht="12.5">
      <c r="A27" s="3">
        <v>18</v>
      </c>
      <c r="B27" s="686"/>
      <c r="C27" s="721"/>
      <c r="D27" s="441"/>
      <c r="E27" s="441"/>
      <c r="F27" s="371"/>
      <c r="H27" s="86"/>
    </row>
    <row r="28" spans="1:8" ht="12.5">
      <c r="A28" s="3">
        <v>19</v>
      </c>
      <c r="B28" s="720">
        <f>B26+30</f>
        <v>44379</v>
      </c>
      <c r="C28" s="721">
        <f>C26+31</f>
        <v>44408</v>
      </c>
      <c r="D28" s="440">
        <f>IF(C28=0,"",DATE(YEAR(C28),MONTH(C28),1)+INT(DAY(DATE(YEAR(C28),MONTH(C28)+1,1)-1)/2)-0.5)</f>
        <v>44392.5</v>
      </c>
      <c r="E28" s="440">
        <f>E26</f>
        <v>44627</v>
      </c>
      <c r="F28" s="371">
        <f>D28-E28</f>
        <v>-234.5</v>
      </c>
      <c r="H28" s="86"/>
    </row>
    <row r="29" spans="1:8" ht="12.5">
      <c r="A29" s="3">
        <v>20</v>
      </c>
      <c r="B29" s="686"/>
      <c r="C29" s="721"/>
      <c r="D29" s="441"/>
      <c r="E29" s="441"/>
      <c r="F29" s="371"/>
      <c r="H29" s="86"/>
    </row>
    <row r="30" spans="1:8" ht="12.5">
      <c r="A30" s="3">
        <v>21</v>
      </c>
      <c r="B30" s="720">
        <f>B28+31</f>
        <v>44410</v>
      </c>
      <c r="C30" s="721">
        <f>C28+31</f>
        <v>44439</v>
      </c>
      <c r="D30" s="440">
        <f>IF(C30=0,"",DATE(YEAR(C30),MONTH(C30),1)+INT(DAY(DATE(YEAR(C30),MONTH(C30)+1,1)-1)/2)-0.5)</f>
        <v>44423.5</v>
      </c>
      <c r="E30" s="440">
        <f>E28</f>
        <v>44627</v>
      </c>
      <c r="F30" s="371">
        <f>D30-E30</f>
        <v>-203.5</v>
      </c>
      <c r="H30" s="86"/>
    </row>
    <row r="31" spans="1:8" ht="12.5">
      <c r="A31" s="3">
        <v>22</v>
      </c>
      <c r="B31" s="686"/>
      <c r="C31" s="721"/>
      <c r="D31" s="441"/>
      <c r="E31" s="441"/>
      <c r="F31" s="371"/>
      <c r="H31" s="86"/>
    </row>
    <row r="32" spans="1:8" ht="12.5">
      <c r="A32" s="3">
        <v>23</v>
      </c>
      <c r="B32" s="720">
        <f>B30+31</f>
        <v>44441</v>
      </c>
      <c r="C32" s="721">
        <f>C30+30</f>
        <v>44469</v>
      </c>
      <c r="D32" s="440">
        <f>IF(C32=0,"",DATE(YEAR(C32),MONTH(C32),1)+INT(DAY(DATE(YEAR(C32),MONTH(C32)+1,1)-1)/2)-0.5)</f>
        <v>44454.5</v>
      </c>
      <c r="E32" s="440">
        <f>E30</f>
        <v>44627</v>
      </c>
      <c r="F32" s="372">
        <f>D32-E32</f>
        <v>-172.5</v>
      </c>
      <c r="H32" s="86"/>
    </row>
    <row r="33" spans="1:6" ht="12.5">
      <c r="A33" s="3">
        <v>24</v>
      </c>
      <c r="C33" s="93"/>
      <c r="D33" s="3"/>
      <c r="F33" s="46"/>
    </row>
    <row r="34" spans="1:6" ht="13" thickBot="1">
      <c r="A34" s="3">
        <v>25</v>
      </c>
      <c r="B34" s="3" t="s">
        <v>249</v>
      </c>
      <c r="C34" s="93"/>
      <c r="F34" s="373">
        <f>ROUND(AVERAGE(F10:F32),2)</f>
        <v>-249.33000000000001</v>
      </c>
    </row>
    <row r="35" spans="3:6" ht="13" thickTop="1">
      <c r="C35" s="93"/>
      <c r="F35" s="46"/>
    </row>
    <row r="36" spans="1:3" ht="12.5">
      <c r="A36" s="7"/>
      <c r="B36" s="213"/>
      <c r="C36" s="93"/>
    </row>
    <row r="37" spans="3:3" ht="12.5">
      <c r="C37" s="93"/>
    </row>
    <row r="38" spans="3:3" ht="12.5">
      <c r="C38" s="93"/>
    </row>
    <row r="39" spans="3:3" ht="12.5">
      <c r="C39" s="93"/>
    </row>
    <row r="40" spans="3:3" ht="12.5">
      <c r="C40" s="93"/>
    </row>
    <row r="41" spans="3:3" ht="12.5">
      <c r="C41" s="93"/>
    </row>
    <row r="42" spans="3:3" ht="12.5">
      <c r="C42" s="93"/>
    </row>
    <row r="43" spans="3:3" ht="12.5">
      <c r="C43" s="93"/>
    </row>
  </sheetData>
  <mergeCells count="1">
    <mergeCell ref="A3:F3"/>
  </mergeCells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1">
    <tabColor rgb="FF92D050"/>
    <pageSetUpPr fitToPage="1"/>
  </sheetPr>
  <dimension ref="A1:I43"/>
  <sheetViews>
    <sheetView zoomScale="90" zoomScaleNormal="90" workbookViewId="0" topLeftCell="A1">
      <selection pane="topLeft" activeCell="A4" sqref="A4"/>
    </sheetView>
  </sheetViews>
  <sheetFormatPr defaultColWidth="9.09428571428571" defaultRowHeight="12.75"/>
  <cols>
    <col min="1" max="1" width="6.85714285714286" style="1" customWidth="1"/>
    <col min="2" max="2" width="13.8571428571429" style="1" customWidth="1"/>
    <col min="3" max="3" width="12.5714285714286" style="1" bestFit="1" customWidth="1"/>
    <col min="4" max="4" width="27" style="1" customWidth="1"/>
    <col min="5" max="5" width="24" style="1" customWidth="1"/>
    <col min="6" max="6" width="10.8571428571429" style="1" bestFit="1" customWidth="1"/>
    <col min="7" max="7" width="9.14285714285714" style="1"/>
    <col min="8" max="8" width="27.5714285714286" style="1" bestFit="1" customWidth="1"/>
    <col min="9" max="9" width="13.5714285714286" style="1" bestFit="1" customWidth="1"/>
    <col min="10" max="16384" width="9.14285714285714" style="1"/>
  </cols>
  <sheetData>
    <row r="1" spans="1:4" s="42" customFormat="1" ht="13">
      <c r="A1" s="181" t="s">
        <v>530</v>
      </c>
      <c r="B1" s="181"/>
      <c r="C1" s="181"/>
      <c r="D1" s="181"/>
    </row>
    <row r="2" spans="1:4" s="42" customFormat="1" ht="13">
      <c r="A2" s="181" t="str">
        <f>' '!A2</f>
        <v>ONCOR ELECTRIC DELIVERY COMPANY LLC</v>
      </c>
      <c r="B2" s="181"/>
      <c r="C2" s="181"/>
      <c r="D2" s="181"/>
    </row>
    <row r="3" spans="1:6" s="42" customFormat="1" ht="13">
      <c r="A3" s="824" t="s">
        <v>294</v>
      </c>
      <c r="B3" s="824"/>
      <c r="C3" s="824"/>
      <c r="D3" s="824"/>
      <c r="E3" s="824"/>
      <c r="F3" s="824"/>
    </row>
    <row r="4" spans="1:4" s="42" customFormat="1" ht="13">
      <c r="A4" s="817" t="s">
        <v>929</v>
      </c>
      <c r="B4" s="181"/>
      <c r="C4" s="181"/>
      <c r="D4" s="181"/>
    </row>
    <row r="5" spans="1:4" s="42" customFormat="1" ht="13">
      <c r="A5" s="181" t="s">
        <v>524</v>
      </c>
      <c r="B5" s="181"/>
      <c r="C5" s="181"/>
      <c r="D5" s="181"/>
    </row>
    <row r="7" spans="1:7" ht="26">
      <c r="A7" s="32" t="s">
        <v>45</v>
      </c>
      <c r="B7" s="32" t="s">
        <v>94</v>
      </c>
      <c r="C7" s="32" t="s">
        <v>105</v>
      </c>
      <c r="D7" s="32" t="s">
        <v>106</v>
      </c>
      <c r="E7" s="32" t="s">
        <v>107</v>
      </c>
      <c r="F7" s="32" t="s">
        <v>49</v>
      </c>
      <c r="G7" s="26"/>
    </row>
    <row r="8" spans="1:7" ht="13">
      <c r="A8" s="38"/>
      <c r="B8" s="40" t="s">
        <v>55</v>
      </c>
      <c r="C8" s="40" t="s">
        <v>56</v>
      </c>
      <c r="D8" s="40" t="s">
        <v>62</v>
      </c>
      <c r="E8" s="40" t="s">
        <v>57</v>
      </c>
      <c r="F8" s="40" t="s">
        <v>58</v>
      </c>
      <c r="G8" s="26"/>
    </row>
    <row r="9" spans="6:6" ht="12.5">
      <c r="F9" s="23"/>
    </row>
    <row r="10" spans="1:8" ht="12.5">
      <c r="A10" s="3">
        <v>1</v>
      </c>
      <c r="B10" s="656" t="s">
        <v>470</v>
      </c>
      <c r="C10" s="439"/>
      <c r="D10" s="440"/>
      <c r="E10" s="615"/>
      <c r="F10" s="371"/>
      <c r="H10" s="294"/>
    </row>
    <row r="11" spans="1:8" ht="12.5">
      <c r="A11" s="3">
        <v>2</v>
      </c>
      <c r="B11" s="3"/>
      <c r="C11" s="439"/>
      <c r="D11" s="441"/>
      <c r="E11" s="441"/>
      <c r="F11" s="371"/>
      <c r="H11" s="86"/>
    </row>
    <row r="12" spans="1:8" ht="12.5">
      <c r="A12" s="3">
        <v>3</v>
      </c>
      <c r="B12" s="24"/>
      <c r="C12" s="439"/>
      <c r="D12" s="440"/>
      <c r="E12" s="615"/>
      <c r="F12" s="371"/>
      <c r="H12" s="86"/>
    </row>
    <row r="13" spans="1:8" ht="12.5">
      <c r="A13" s="3">
        <v>4</v>
      </c>
      <c r="B13" s="3"/>
      <c r="C13" s="439"/>
      <c r="D13" s="441"/>
      <c r="E13" s="615"/>
      <c r="F13" s="371"/>
      <c r="H13" s="86"/>
    </row>
    <row r="14" spans="1:8" ht="12.5">
      <c r="A14" s="3">
        <v>5</v>
      </c>
      <c r="B14" s="24"/>
      <c r="C14" s="439"/>
      <c r="D14" s="440"/>
      <c r="E14" s="615"/>
      <c r="F14" s="371"/>
      <c r="H14" s="86"/>
    </row>
    <row r="15" spans="1:9" ht="12.5">
      <c r="A15" s="3">
        <v>6</v>
      </c>
      <c r="B15" s="3"/>
      <c r="C15" s="439"/>
      <c r="D15" s="441"/>
      <c r="E15" s="615"/>
      <c r="F15" s="371"/>
      <c r="H15" s="86"/>
      <c r="I15" s="14"/>
    </row>
    <row r="16" spans="1:8" ht="12.5">
      <c r="A16" s="3">
        <v>7</v>
      </c>
      <c r="B16" s="24"/>
      <c r="C16" s="439"/>
      <c r="D16" s="440"/>
      <c r="E16" s="615"/>
      <c r="F16" s="371"/>
      <c r="H16" s="294"/>
    </row>
    <row r="17" spans="1:8" ht="12.5">
      <c r="A17" s="3">
        <v>8</v>
      </c>
      <c r="B17" s="3"/>
      <c r="C17" s="439"/>
      <c r="D17" s="441"/>
      <c r="E17" s="615"/>
      <c r="F17" s="371"/>
      <c r="H17" s="86"/>
    </row>
    <row r="18" spans="1:8" ht="12.5">
      <c r="A18" s="3">
        <v>9</v>
      </c>
      <c r="B18" s="24"/>
      <c r="C18" s="439"/>
      <c r="D18" s="440"/>
      <c r="E18" s="615"/>
      <c r="F18" s="371"/>
      <c r="H18" s="86"/>
    </row>
    <row r="19" spans="1:8" ht="12.5">
      <c r="A19" s="3">
        <v>10</v>
      </c>
      <c r="B19" s="3"/>
      <c r="C19" s="439"/>
      <c r="D19" s="441"/>
      <c r="E19" s="615"/>
      <c r="F19" s="371"/>
      <c r="H19" s="86"/>
    </row>
    <row r="20" spans="1:8" ht="12.5">
      <c r="A20" s="3">
        <v>11</v>
      </c>
      <c r="B20" s="24"/>
      <c r="C20" s="439"/>
      <c r="D20" s="440"/>
      <c r="E20" s="615"/>
      <c r="F20" s="371"/>
      <c r="H20" s="86"/>
    </row>
    <row r="21" spans="1:8" ht="12.5">
      <c r="A21" s="3">
        <v>12</v>
      </c>
      <c r="B21" s="3"/>
      <c r="C21" s="439"/>
      <c r="D21" s="441"/>
      <c r="E21" s="615"/>
      <c r="F21" s="371"/>
      <c r="H21" s="86"/>
    </row>
    <row r="22" spans="1:8" ht="12.5">
      <c r="A22" s="3">
        <v>13</v>
      </c>
      <c r="B22" s="24"/>
      <c r="C22" s="439"/>
      <c r="D22" s="440"/>
      <c r="E22" s="615"/>
      <c r="F22" s="371"/>
      <c r="H22" s="294"/>
    </row>
    <row r="23" spans="1:8" ht="12.5">
      <c r="A23" s="3">
        <v>14</v>
      </c>
      <c r="B23" s="3"/>
      <c r="C23" s="439"/>
      <c r="D23" s="441"/>
      <c r="E23" s="615"/>
      <c r="F23" s="371"/>
      <c r="H23" s="86"/>
    </row>
    <row r="24" spans="1:8" ht="12.5">
      <c r="A24" s="3">
        <v>15</v>
      </c>
      <c r="B24" s="24"/>
      <c r="C24" s="439"/>
      <c r="D24" s="440"/>
      <c r="E24" s="615"/>
      <c r="F24" s="371"/>
      <c r="H24" s="86"/>
    </row>
    <row r="25" spans="1:8" ht="12.5">
      <c r="A25" s="3">
        <v>16</v>
      </c>
      <c r="B25" s="3"/>
      <c r="C25" s="439"/>
      <c r="D25" s="441"/>
      <c r="E25" s="615"/>
      <c r="F25" s="371"/>
      <c r="H25" s="86"/>
    </row>
    <row r="26" spans="1:8" ht="12.5">
      <c r="A26" s="3">
        <v>17</v>
      </c>
      <c r="B26" s="24"/>
      <c r="C26" s="439"/>
      <c r="D26" s="440"/>
      <c r="E26" s="615"/>
      <c r="F26" s="371"/>
      <c r="H26" s="86"/>
    </row>
    <row r="27" spans="1:8" ht="12.5">
      <c r="A27" s="3">
        <v>18</v>
      </c>
      <c r="B27" s="3"/>
      <c r="C27" s="439"/>
      <c r="D27" s="441"/>
      <c r="E27" s="615"/>
      <c r="F27" s="371"/>
      <c r="H27" s="86"/>
    </row>
    <row r="28" spans="1:8" ht="12.5">
      <c r="A28" s="3">
        <v>19</v>
      </c>
      <c r="B28" s="24"/>
      <c r="C28" s="439"/>
      <c r="D28" s="440"/>
      <c r="E28" s="615"/>
      <c r="F28" s="371"/>
      <c r="H28" s="294"/>
    </row>
    <row r="29" spans="1:8" ht="12.5">
      <c r="A29" s="3">
        <v>20</v>
      </c>
      <c r="B29" s="3"/>
      <c r="C29" s="439"/>
      <c r="D29" s="441"/>
      <c r="E29" s="615"/>
      <c r="F29" s="371"/>
      <c r="H29" s="86"/>
    </row>
    <row r="30" spans="1:8" ht="12.5">
      <c r="A30" s="3">
        <v>21</v>
      </c>
      <c r="B30" s="24"/>
      <c r="C30" s="439"/>
      <c r="D30" s="440"/>
      <c r="E30" s="615"/>
      <c r="F30" s="371"/>
      <c r="H30" s="86"/>
    </row>
    <row r="31" spans="1:8" ht="12.5">
      <c r="A31" s="3">
        <v>22</v>
      </c>
      <c r="B31" s="3"/>
      <c r="C31" s="439"/>
      <c r="D31" s="441"/>
      <c r="E31" s="615"/>
      <c r="F31" s="371"/>
      <c r="H31" s="86"/>
    </row>
    <row r="32" spans="1:8" ht="12.5">
      <c r="A32" s="3">
        <v>23</v>
      </c>
      <c r="B32" s="24"/>
      <c r="C32" s="439"/>
      <c r="D32" s="440"/>
      <c r="E32" s="615"/>
      <c r="F32" s="655"/>
      <c r="H32" s="86"/>
    </row>
    <row r="33" spans="1:6" ht="12.5">
      <c r="A33" s="3">
        <v>24</v>
      </c>
      <c r="C33" s="93"/>
      <c r="D33" s="3"/>
      <c r="F33" s="289"/>
    </row>
    <row r="34" spans="1:6" ht="12.5">
      <c r="A34" s="3">
        <v>25</v>
      </c>
      <c r="B34" s="3"/>
      <c r="C34" s="93"/>
      <c r="F34" s="655"/>
    </row>
    <row r="35" spans="3:6" ht="12.5">
      <c r="C35" s="93"/>
      <c r="F35" s="289"/>
    </row>
    <row r="36" spans="1:3" ht="12.5">
      <c r="A36" s="7"/>
      <c r="B36" s="213"/>
      <c r="C36" s="93"/>
    </row>
    <row r="37" spans="3:3" ht="12.5">
      <c r="C37" s="93"/>
    </row>
    <row r="38" spans="3:3" ht="12.5">
      <c r="C38" s="93"/>
    </row>
    <row r="39" spans="3:3" ht="12.5">
      <c r="C39" s="93"/>
    </row>
    <row r="40" spans="3:3" ht="12.5">
      <c r="C40" s="93"/>
    </row>
    <row r="41" spans="3:3" ht="12.5">
      <c r="C41" s="93"/>
    </row>
    <row r="42" spans="3:3" ht="12.5">
      <c r="C42" s="93"/>
    </row>
    <row r="43" spans="3:3" ht="12.5">
      <c r="C43" s="93"/>
    </row>
  </sheetData>
  <mergeCells count="1">
    <mergeCell ref="A3:F3"/>
  </mergeCells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92">
    <tabColor rgb="FF92D050"/>
    <pageSetUpPr fitToPage="1"/>
  </sheetPr>
  <dimension ref="A1:N27"/>
  <sheetViews>
    <sheetView showGridLines="0" workbookViewId="0" topLeftCell="C1">
      <selection pane="topLeft" activeCell="O24" sqref="O24"/>
    </sheetView>
  </sheetViews>
  <sheetFormatPr defaultColWidth="9.09428571428571" defaultRowHeight="12.75"/>
  <cols>
    <col min="1" max="1" width="5.57142857142857" style="1" customWidth="1"/>
    <col min="2" max="2" width="9.42857142857143" style="1" bestFit="1" customWidth="1"/>
    <col min="3" max="4" width="12.4285714285714" style="1" bestFit="1" customWidth="1"/>
    <col min="5" max="5" width="10.5714285714286" style="1" bestFit="1" customWidth="1"/>
    <col min="6" max="6" width="10.4285714285714" style="1" bestFit="1" customWidth="1"/>
    <col min="7" max="7" width="12.1428571428571" style="1" customWidth="1"/>
    <col min="8" max="8" width="12.1428571428571" style="31" bestFit="1" customWidth="1"/>
    <col min="9" max="9" width="15.4285714285714" style="1" customWidth="1"/>
    <col min="10" max="10" width="10.1428571428571" style="1" customWidth="1"/>
    <col min="11" max="11" width="11" style="23" bestFit="1" customWidth="1"/>
    <col min="12" max="13" width="9.14285714285714" style="1"/>
    <col min="14" max="14" width="29" style="1" bestFit="1" customWidth="1"/>
    <col min="15" max="16384" width="9.14285714285714" style="1"/>
  </cols>
  <sheetData>
    <row r="1" spans="1:8" s="42" customFormat="1" ht="13">
      <c r="A1" s="181" t="s">
        <v>530</v>
      </c>
      <c r="B1" s="181"/>
      <c r="C1" s="181"/>
      <c r="D1" s="181"/>
      <c r="E1" s="181"/>
      <c r="H1" s="44"/>
    </row>
    <row r="2" spans="1:8" s="42" customFormat="1" ht="13">
      <c r="A2" s="181" t="str">
        <f>' '!A2</f>
        <v>ONCOR ELECTRIC DELIVERY COMPANY LLC</v>
      </c>
      <c r="B2" s="181"/>
      <c r="C2" s="181"/>
      <c r="D2" s="181"/>
      <c r="E2" s="181"/>
      <c r="H2" s="44"/>
    </row>
    <row r="3" spans="1:8" s="42" customFormat="1" ht="13">
      <c r="A3" s="181" t="s">
        <v>507</v>
      </c>
      <c r="B3" s="181"/>
      <c r="C3" s="181"/>
      <c r="D3" s="181"/>
      <c r="E3" s="181"/>
      <c r="H3" s="44"/>
    </row>
    <row r="4" spans="1:8" s="42" customFormat="1" ht="13">
      <c r="A4" s="817" t="s">
        <v>929</v>
      </c>
      <c r="B4" s="181"/>
      <c r="C4" s="181"/>
      <c r="D4" s="181"/>
      <c r="E4" s="181"/>
      <c r="H4" s="44"/>
    </row>
    <row r="5" spans="1:8" s="42" customFormat="1" ht="13">
      <c r="A5" s="181" t="s">
        <v>524</v>
      </c>
      <c r="B5" s="181"/>
      <c r="C5" s="181"/>
      <c r="D5" s="181"/>
      <c r="E5" s="181"/>
      <c r="H5" s="44"/>
    </row>
    <row r="6" spans="1:11" ht="14.25" customHeight="1">
      <c r="A6" s="22"/>
      <c r="B6" s="22"/>
      <c r="C6" s="22"/>
      <c r="D6" s="22"/>
      <c r="E6" s="22"/>
      <c r="F6" s="22"/>
      <c r="G6" s="22"/>
      <c r="H6" s="193"/>
      <c r="I6" s="22"/>
      <c r="J6" s="22"/>
      <c r="K6" s="22"/>
    </row>
    <row r="7" spans="1:11" ht="15.5">
      <c r="A7" s="22" t="s">
        <v>40</v>
      </c>
      <c r="B7" s="25"/>
      <c r="C7" s="34"/>
      <c r="D7" s="34"/>
      <c r="E7" s="34"/>
      <c r="F7" s="34"/>
      <c r="G7" s="22" t="s">
        <v>113</v>
      </c>
      <c r="H7" s="193" t="s">
        <v>113</v>
      </c>
      <c r="I7" s="22" t="s">
        <v>260</v>
      </c>
      <c r="J7" s="25" t="s">
        <v>118</v>
      </c>
      <c r="K7" s="310" t="s">
        <v>46</v>
      </c>
    </row>
    <row r="8" spans="1:11" ht="13">
      <c r="A8" s="57" t="s">
        <v>41</v>
      </c>
      <c r="B8" s="57" t="s">
        <v>94</v>
      </c>
      <c r="C8" s="57" t="s">
        <v>16</v>
      </c>
      <c r="D8" s="57" t="s">
        <v>48</v>
      </c>
      <c r="E8" s="69" t="s">
        <v>17</v>
      </c>
      <c r="F8" s="57" t="s">
        <v>18</v>
      </c>
      <c r="G8" s="57" t="s">
        <v>258</v>
      </c>
      <c r="H8" s="195" t="s">
        <v>259</v>
      </c>
      <c r="I8" s="57" t="s">
        <v>483</v>
      </c>
      <c r="J8" s="57" t="s">
        <v>119</v>
      </c>
      <c r="K8" s="82" t="s">
        <v>116</v>
      </c>
    </row>
    <row r="9" spans="1:11" ht="13">
      <c r="A9" s="22"/>
      <c r="B9" s="40" t="s">
        <v>55</v>
      </c>
      <c r="C9" s="40" t="s">
        <v>56</v>
      </c>
      <c r="D9" s="40" t="s">
        <v>62</v>
      </c>
      <c r="E9" s="40" t="s">
        <v>57</v>
      </c>
      <c r="F9" s="40" t="s">
        <v>58</v>
      </c>
      <c r="G9" s="20" t="s">
        <v>59</v>
      </c>
      <c r="H9" s="228" t="s">
        <v>60</v>
      </c>
      <c r="I9" s="20" t="s">
        <v>63</v>
      </c>
      <c r="J9" s="20" t="s">
        <v>64</v>
      </c>
      <c r="K9" s="311" t="s">
        <v>82</v>
      </c>
    </row>
    <row r="10" spans="2:11" ht="12.5">
      <c r="B10" s="3"/>
      <c r="C10" s="3"/>
      <c r="D10" s="3"/>
      <c r="E10" s="9"/>
      <c r="F10" s="3"/>
      <c r="G10" s="3"/>
      <c r="H10" s="91"/>
      <c r="I10" s="3"/>
      <c r="K10" s="35"/>
    </row>
    <row r="11" spans="1:14" ht="12.5">
      <c r="A11" s="3">
        <v>1</v>
      </c>
      <c r="B11" s="716">
        <v>44105</v>
      </c>
      <c r="C11" s="717">
        <v>44105</v>
      </c>
      <c r="D11" s="717">
        <v>44135</v>
      </c>
      <c r="E11" s="72">
        <f t="shared" si="0" ref="E11:E22">D11-C11+1</f>
        <v>31</v>
      </c>
      <c r="F11" s="84">
        <f t="shared" si="1" ref="F11:F22">E11/2</f>
        <v>15.5</v>
      </c>
      <c r="G11" s="718">
        <v>44165</v>
      </c>
      <c r="H11" s="718">
        <v>44165</v>
      </c>
      <c r="I11" s="472">
        <f>MAX(G11:H11)</f>
        <v>44165</v>
      </c>
      <c r="J11" s="85">
        <f t="shared" si="2" ref="J11:J22">+I11-D11</f>
        <v>30</v>
      </c>
      <c r="K11" s="46">
        <f t="shared" si="3" ref="K11:K22">-J11-F11</f>
        <v>-45.5</v>
      </c>
      <c r="M11" s="86"/>
      <c r="N11" s="294">
        <f>H11</f>
        <v>44165</v>
      </c>
    </row>
    <row r="12" spans="1:14" ht="12.5">
      <c r="A12" s="3">
        <f>A11+1</f>
        <v>2</v>
      </c>
      <c r="B12" s="716">
        <v>44136</v>
      </c>
      <c r="C12" s="717">
        <v>44136</v>
      </c>
      <c r="D12" s="717">
        <v>44165</v>
      </c>
      <c r="E12" s="72">
        <f t="shared" si="0"/>
        <v>30</v>
      </c>
      <c r="F12" s="84">
        <f t="shared" si="1"/>
        <v>15</v>
      </c>
      <c r="G12" s="719">
        <v>44196</v>
      </c>
      <c r="H12" s="719">
        <v>44196</v>
      </c>
      <c r="I12" s="472">
        <f t="shared" si="4" ref="I12:I22">MAX(G12:H12)</f>
        <v>44196</v>
      </c>
      <c r="J12" s="85">
        <f t="shared" si="2"/>
        <v>31</v>
      </c>
      <c r="K12" s="46">
        <f t="shared" si="3"/>
        <v>-46</v>
      </c>
      <c r="M12" s="86"/>
      <c r="N12" s="294">
        <f t="shared" si="5" ref="N12:N22">H12</f>
        <v>44196</v>
      </c>
    </row>
    <row r="13" spans="1:14" ht="12.5">
      <c r="A13" s="3">
        <f t="shared" si="6" ref="A13:A27">A12+1</f>
        <v>3</v>
      </c>
      <c r="B13" s="716">
        <v>44166</v>
      </c>
      <c r="C13" s="717">
        <v>44166</v>
      </c>
      <c r="D13" s="717">
        <v>44196</v>
      </c>
      <c r="E13" s="72">
        <f t="shared" si="0"/>
        <v>31</v>
      </c>
      <c r="F13" s="84">
        <f t="shared" si="1"/>
        <v>15.5</v>
      </c>
      <c r="G13" s="719">
        <v>44227</v>
      </c>
      <c r="H13" s="719">
        <v>44227</v>
      </c>
      <c r="I13" s="472">
        <f t="shared" si="4"/>
        <v>44227</v>
      </c>
      <c r="J13" s="85">
        <f t="shared" si="2"/>
        <v>31</v>
      </c>
      <c r="K13" s="46">
        <f t="shared" si="3"/>
        <v>-46.5</v>
      </c>
      <c r="M13" s="86"/>
      <c r="N13" s="294">
        <f t="shared" si="5"/>
        <v>44227</v>
      </c>
    </row>
    <row r="14" spans="1:14" ht="12.5">
      <c r="A14" s="3">
        <f t="shared" si="6"/>
        <v>4</v>
      </c>
      <c r="B14" s="716">
        <v>44197</v>
      </c>
      <c r="C14" s="717">
        <v>44197</v>
      </c>
      <c r="D14" s="717">
        <v>44227</v>
      </c>
      <c r="E14" s="72">
        <f t="shared" si="0"/>
        <v>31</v>
      </c>
      <c r="F14" s="84">
        <f t="shared" si="1"/>
        <v>15.5</v>
      </c>
      <c r="G14" s="719">
        <v>44253</v>
      </c>
      <c r="H14" s="719">
        <v>44253</v>
      </c>
      <c r="I14" s="472">
        <f t="shared" si="4"/>
        <v>44253</v>
      </c>
      <c r="J14" s="85">
        <f t="shared" si="2"/>
        <v>26</v>
      </c>
      <c r="K14" s="46">
        <f t="shared" si="3"/>
        <v>-41.5</v>
      </c>
      <c r="M14" s="86"/>
      <c r="N14" s="294">
        <f t="shared" si="5"/>
        <v>44253</v>
      </c>
    </row>
    <row r="15" spans="1:14" ht="12.5">
      <c r="A15" s="3">
        <f t="shared" si="6"/>
        <v>5</v>
      </c>
      <c r="B15" s="716">
        <v>44228</v>
      </c>
      <c r="C15" s="717">
        <v>44228</v>
      </c>
      <c r="D15" s="717">
        <v>44255</v>
      </c>
      <c r="E15" s="72">
        <f t="shared" si="0"/>
        <v>28</v>
      </c>
      <c r="F15" s="84">
        <f t="shared" si="1"/>
        <v>14</v>
      </c>
      <c r="G15" s="719">
        <v>44286</v>
      </c>
      <c r="H15" s="719">
        <v>44286</v>
      </c>
      <c r="I15" s="472">
        <f t="shared" si="4"/>
        <v>44286</v>
      </c>
      <c r="J15" s="85">
        <f t="shared" si="2"/>
        <v>31</v>
      </c>
      <c r="K15" s="46">
        <f t="shared" si="3"/>
        <v>-45</v>
      </c>
      <c r="M15" s="86"/>
      <c r="N15" s="294">
        <f t="shared" si="5"/>
        <v>44286</v>
      </c>
    </row>
    <row r="16" spans="1:14" ht="12.5">
      <c r="A16" s="3">
        <f t="shared" si="6"/>
        <v>6</v>
      </c>
      <c r="B16" s="716">
        <v>44256</v>
      </c>
      <c r="C16" s="717">
        <v>44256</v>
      </c>
      <c r="D16" s="717">
        <v>44286</v>
      </c>
      <c r="E16" s="72">
        <f t="shared" si="0"/>
        <v>31</v>
      </c>
      <c r="F16" s="84">
        <f t="shared" si="1"/>
        <v>15.5</v>
      </c>
      <c r="G16" s="719">
        <v>44316</v>
      </c>
      <c r="H16" s="719">
        <v>44316</v>
      </c>
      <c r="I16" s="472">
        <f t="shared" si="4"/>
        <v>44316</v>
      </c>
      <c r="J16" s="85">
        <f t="shared" si="2"/>
        <v>30</v>
      </c>
      <c r="K16" s="46">
        <f t="shared" si="3"/>
        <v>-45.5</v>
      </c>
      <c r="M16" s="86"/>
      <c r="N16" s="294">
        <f t="shared" si="5"/>
        <v>44316</v>
      </c>
    </row>
    <row r="17" spans="1:14" ht="12.5">
      <c r="A17" s="3">
        <f t="shared" si="6"/>
        <v>7</v>
      </c>
      <c r="B17" s="716">
        <v>44287</v>
      </c>
      <c r="C17" s="717">
        <v>44287</v>
      </c>
      <c r="D17" s="717">
        <v>44316</v>
      </c>
      <c r="E17" s="72">
        <f t="shared" si="0"/>
        <v>30</v>
      </c>
      <c r="F17" s="84">
        <f t="shared" si="1"/>
        <v>15</v>
      </c>
      <c r="G17" s="718">
        <v>44344</v>
      </c>
      <c r="H17" s="718">
        <v>44344</v>
      </c>
      <c r="I17" s="472">
        <f t="shared" si="4"/>
        <v>44344</v>
      </c>
      <c r="J17" s="85">
        <f t="shared" si="2"/>
        <v>28</v>
      </c>
      <c r="K17" s="46">
        <f t="shared" si="3"/>
        <v>-43</v>
      </c>
      <c r="M17" s="86"/>
      <c r="N17" s="294">
        <f t="shared" si="5"/>
        <v>44344</v>
      </c>
    </row>
    <row r="18" spans="1:14" ht="12.5">
      <c r="A18" s="3">
        <f t="shared" si="6"/>
        <v>8</v>
      </c>
      <c r="B18" s="716">
        <v>44317</v>
      </c>
      <c r="C18" s="717">
        <v>44317</v>
      </c>
      <c r="D18" s="717">
        <v>44347</v>
      </c>
      <c r="E18" s="72">
        <f t="shared" si="0"/>
        <v>31</v>
      </c>
      <c r="F18" s="84">
        <f t="shared" si="1"/>
        <v>15.5</v>
      </c>
      <c r="G18" s="718">
        <v>44377</v>
      </c>
      <c r="H18" s="718">
        <v>44377</v>
      </c>
      <c r="I18" s="472">
        <f t="shared" si="4"/>
        <v>44377</v>
      </c>
      <c r="J18" s="85">
        <f t="shared" si="2"/>
        <v>30</v>
      </c>
      <c r="K18" s="46">
        <f t="shared" si="3"/>
        <v>-45.5</v>
      </c>
      <c r="M18" s="86"/>
      <c r="N18" s="294">
        <f t="shared" si="5"/>
        <v>44377</v>
      </c>
    </row>
    <row r="19" spans="1:14" ht="12.5">
      <c r="A19" s="3">
        <f t="shared" si="6"/>
        <v>9</v>
      </c>
      <c r="B19" s="716">
        <v>44348</v>
      </c>
      <c r="C19" s="717">
        <v>44348</v>
      </c>
      <c r="D19" s="717">
        <v>44377</v>
      </c>
      <c r="E19" s="72">
        <f t="shared" si="0"/>
        <v>30</v>
      </c>
      <c r="F19" s="84">
        <f t="shared" si="1"/>
        <v>15</v>
      </c>
      <c r="G19" s="718">
        <v>44407</v>
      </c>
      <c r="H19" s="718">
        <v>44407</v>
      </c>
      <c r="I19" s="472">
        <f t="shared" si="4"/>
        <v>44407</v>
      </c>
      <c r="J19" s="85">
        <f t="shared" si="2"/>
        <v>30</v>
      </c>
      <c r="K19" s="46">
        <f t="shared" si="3"/>
        <v>-45</v>
      </c>
      <c r="M19" s="86"/>
      <c r="N19" s="294">
        <f t="shared" si="5"/>
        <v>44407</v>
      </c>
    </row>
    <row r="20" spans="1:14" ht="12.5">
      <c r="A20" s="3">
        <f t="shared" si="6"/>
        <v>10</v>
      </c>
      <c r="B20" s="716">
        <v>44378</v>
      </c>
      <c r="C20" s="717">
        <v>44378</v>
      </c>
      <c r="D20" s="717">
        <v>44408</v>
      </c>
      <c r="E20" s="72">
        <f t="shared" si="0"/>
        <v>31</v>
      </c>
      <c r="F20" s="84">
        <f t="shared" si="1"/>
        <v>15.5</v>
      </c>
      <c r="G20" s="718">
        <v>44439</v>
      </c>
      <c r="H20" s="718">
        <v>44439</v>
      </c>
      <c r="I20" s="472">
        <f t="shared" si="4"/>
        <v>44439</v>
      </c>
      <c r="J20" s="85">
        <f t="shared" si="2"/>
        <v>31</v>
      </c>
      <c r="K20" s="46">
        <f t="shared" si="3"/>
        <v>-46.5</v>
      </c>
      <c r="M20" s="86"/>
      <c r="N20" s="294">
        <f t="shared" si="5"/>
        <v>44439</v>
      </c>
    </row>
    <row r="21" spans="1:14" ht="12.5">
      <c r="A21" s="3">
        <f t="shared" si="6"/>
        <v>11</v>
      </c>
      <c r="B21" s="716">
        <v>44409</v>
      </c>
      <c r="C21" s="717">
        <v>44409</v>
      </c>
      <c r="D21" s="717">
        <v>44439</v>
      </c>
      <c r="E21" s="72">
        <f t="shared" si="0"/>
        <v>31</v>
      </c>
      <c r="F21" s="84">
        <f t="shared" si="1"/>
        <v>15.5</v>
      </c>
      <c r="G21" s="718">
        <v>44469</v>
      </c>
      <c r="H21" s="718">
        <v>44469</v>
      </c>
      <c r="I21" s="472">
        <f t="shared" si="4"/>
        <v>44469</v>
      </c>
      <c r="J21" s="85">
        <f t="shared" si="2"/>
        <v>30</v>
      </c>
      <c r="K21" s="46">
        <f t="shared" si="3"/>
        <v>-45.5</v>
      </c>
      <c r="M21" s="86"/>
      <c r="N21" s="294">
        <f t="shared" si="5"/>
        <v>44469</v>
      </c>
    </row>
    <row r="22" spans="1:14" ht="12.5">
      <c r="A22" s="3">
        <f t="shared" si="6"/>
        <v>12</v>
      </c>
      <c r="B22" s="716">
        <v>44440</v>
      </c>
      <c r="C22" s="717">
        <v>44440</v>
      </c>
      <c r="D22" s="717">
        <v>44469</v>
      </c>
      <c r="E22" s="88">
        <f t="shared" si="0"/>
        <v>30</v>
      </c>
      <c r="F22" s="89">
        <f t="shared" si="1"/>
        <v>15</v>
      </c>
      <c r="G22" s="718">
        <v>44498</v>
      </c>
      <c r="H22" s="718">
        <v>44498</v>
      </c>
      <c r="I22" s="472">
        <f t="shared" si="4"/>
        <v>44498</v>
      </c>
      <c r="J22" s="85">
        <f t="shared" si="2"/>
        <v>29</v>
      </c>
      <c r="K22" s="46">
        <f t="shared" si="3"/>
        <v>-44</v>
      </c>
      <c r="M22" s="86"/>
      <c r="N22" s="294">
        <f t="shared" si="5"/>
        <v>44498</v>
      </c>
    </row>
    <row r="23" spans="1:14" ht="12.5">
      <c r="A23" s="3">
        <f t="shared" si="6"/>
        <v>13</v>
      </c>
      <c r="B23" s="70"/>
      <c r="C23" s="83"/>
      <c r="D23" s="83"/>
      <c r="E23" s="88"/>
      <c r="F23" s="89"/>
      <c r="G23" s="87"/>
      <c r="H23" s="473"/>
      <c r="I23" s="473"/>
      <c r="J23" s="85"/>
      <c r="K23" s="46"/>
      <c r="M23" s="86"/>
      <c r="N23" s="294"/>
    </row>
    <row r="24" spans="1:13" ht="13" thickBot="1">
      <c r="A24" s="3">
        <f t="shared" si="6"/>
        <v>14</v>
      </c>
      <c r="E24" s="369"/>
      <c r="F24" s="84"/>
      <c r="G24" s="84" t="s">
        <v>249</v>
      </c>
      <c r="H24" s="89"/>
      <c r="I24" s="89"/>
      <c r="K24" s="370">
        <f>ROUND(AVERAGE(K11:K22),2)</f>
        <v>-44.960000000000001</v>
      </c>
      <c r="M24" s="86"/>
    </row>
    <row r="25" spans="1:9" ht="13" thickTop="1">
      <c r="A25" s="3">
        <f t="shared" si="6"/>
        <v>15</v>
      </c>
      <c r="I25" s="31"/>
    </row>
    <row r="26" spans="1:1" ht="12.5">
      <c r="A26" s="3">
        <f t="shared" si="6"/>
        <v>16</v>
      </c>
    </row>
    <row r="27" spans="1:3" ht="12.5">
      <c r="A27" s="3">
        <f t="shared" si="6"/>
        <v>17</v>
      </c>
      <c r="B27" s="9" t="s">
        <v>417</v>
      </c>
      <c r="C27" s="293" t="s">
        <v>531</v>
      </c>
    </row>
  </sheetData>
  <hyperlinks>
    <hyperlink ref="C27" r:id="rId1" display="Affiliate Payment Dates 12ME 9.30.21.pdf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8">
    <tabColor rgb="FF92D050"/>
    <pageSetUpPr fitToPage="1"/>
  </sheetPr>
  <dimension ref="A1:H18"/>
  <sheetViews>
    <sheetView workbookViewId="0" topLeftCell="A1">
      <selection pane="topLeft" activeCell="A27" sqref="A27"/>
    </sheetView>
  </sheetViews>
  <sheetFormatPr defaultColWidth="8.00428571428571" defaultRowHeight="12.75"/>
  <cols>
    <col min="1" max="1" width="5.14285714285714" style="165" customWidth="1"/>
    <col min="2" max="2" width="3.85714285714286" style="165" customWidth="1"/>
    <col min="3" max="3" width="30.8571428571429" style="165" bestFit="1" customWidth="1"/>
    <col min="4" max="4" width="11.1428571428571" style="165" customWidth="1"/>
    <col min="5" max="5" width="18" style="165" customWidth="1"/>
    <col min="6" max="6" width="1.57142857142857" style="165" customWidth="1"/>
    <col min="7" max="7" width="10.4285714285714" style="165" customWidth="1"/>
    <col min="8" max="15" width="8" style="165" customWidth="1"/>
    <col min="16" max="16" width="14.4285714285714" style="165" customWidth="1"/>
    <col min="17" max="16384" width="8" style="165"/>
  </cols>
  <sheetData>
    <row r="1" spans="1:5" s="74" customFormat="1" ht="13">
      <c r="A1" s="181" t="s">
        <v>530</v>
      </c>
      <c r="C1" s="181"/>
      <c r="D1" s="181"/>
      <c r="E1" s="184"/>
    </row>
    <row r="2" spans="1:5" s="74" customFormat="1" ht="13">
      <c r="A2" s="181" t="str">
        <f>' '!A2</f>
        <v>ONCOR ELECTRIC DELIVERY COMPANY LLC</v>
      </c>
      <c r="C2" s="181"/>
      <c r="D2" s="181"/>
      <c r="E2" s="184"/>
    </row>
    <row r="3" spans="1:5" s="74" customFormat="1" ht="13">
      <c r="A3" s="181" t="s">
        <v>388</v>
      </c>
      <c r="C3" s="181"/>
      <c r="D3" s="181"/>
      <c r="E3" s="184"/>
    </row>
    <row r="4" spans="1:5" s="74" customFormat="1" ht="13">
      <c r="A4" s="817" t="s">
        <v>929</v>
      </c>
      <c r="C4" s="181"/>
      <c r="D4" s="181"/>
      <c r="E4" s="181"/>
    </row>
    <row r="5" spans="1:5" s="74" customFormat="1" ht="13">
      <c r="A5" s="181" t="s">
        <v>524</v>
      </c>
      <c r="C5" s="181"/>
      <c r="D5" s="181"/>
      <c r="E5" s="181"/>
    </row>
    <row r="6" spans="2:8" ht="13">
      <c r="B6" s="167"/>
      <c r="C6" s="167"/>
      <c r="D6" s="167"/>
      <c r="E6" s="22"/>
      <c r="F6"/>
      <c r="G6"/>
      <c r="H6" s="167"/>
    </row>
    <row r="7" spans="1:8" ht="13">
      <c r="A7" s="207" t="s">
        <v>45</v>
      </c>
      <c r="B7" s="209"/>
      <c r="C7" s="526" t="s">
        <v>23</v>
      </c>
      <c r="D7" s="209"/>
      <c r="E7" s="57" t="s">
        <v>49</v>
      </c>
      <c r="F7"/>
      <c r="G7"/>
      <c r="H7" s="167"/>
    </row>
    <row r="8" spans="1:8" ht="13">
      <c r="A8" s="211"/>
      <c r="B8" s="212"/>
      <c r="C8" s="20" t="s">
        <v>55</v>
      </c>
      <c r="D8" s="212"/>
      <c r="E8" s="20" t="s">
        <v>56</v>
      </c>
      <c r="F8"/>
      <c r="G8"/>
      <c r="H8" s="167"/>
    </row>
    <row r="9" spans="1:8" ht="13">
      <c r="A9" s="211"/>
      <c r="B9" s="212"/>
      <c r="C9" s="20"/>
      <c r="D9" s="212"/>
      <c r="E9" s="20"/>
      <c r="F9"/>
      <c r="G9"/>
      <c r="H9" s="167"/>
    </row>
    <row r="10" spans="1:7" ht="12.5">
      <c r="A10" s="208">
        <v>1</v>
      </c>
      <c r="C10" s="165" t="s">
        <v>9</v>
      </c>
      <c r="E10" s="198"/>
      <c r="F10"/>
      <c r="G10"/>
    </row>
    <row r="11" spans="1:7" ht="12.5">
      <c r="A11" s="208">
        <f t="shared" si="0" ref="A11:A16">A10+1</f>
        <v>2</v>
      </c>
      <c r="C11" s="169" t="s">
        <v>484</v>
      </c>
      <c r="E11" s="645">
        <f>ROUND(365.25/12/2,3)*-1</f>
        <v>-15.218999999999999</v>
      </c>
      <c r="F11"/>
      <c r="G11"/>
    </row>
    <row r="12" spans="1:7" ht="12.5">
      <c r="A12" s="208">
        <f t="shared" si="0"/>
        <v>3</v>
      </c>
      <c r="E12" s="646"/>
      <c r="F12"/>
      <c r="G12"/>
    </row>
    <row r="13" spans="1:7" ht="12.5">
      <c r="A13" s="208">
        <f t="shared" si="0"/>
        <v>4</v>
      </c>
      <c r="C13" s="169" t="s">
        <v>391</v>
      </c>
      <c r="E13" s="646">
        <v>-35</v>
      </c>
      <c r="F13"/>
      <c r="G13"/>
    </row>
    <row r="14" spans="1:7" ht="12.5">
      <c r="A14" s="208">
        <f t="shared" si="0"/>
        <v>5</v>
      </c>
      <c r="E14" s="647"/>
      <c r="F14"/>
      <c r="G14"/>
    </row>
    <row r="15" spans="1:7" ht="12.5">
      <c r="A15" s="208">
        <f t="shared" si="0"/>
        <v>6</v>
      </c>
      <c r="E15" s="646"/>
      <c r="F15"/>
      <c r="G15"/>
    </row>
    <row r="16" spans="1:7" ht="13" thickBot="1">
      <c r="A16" s="208">
        <f t="shared" si="0"/>
        <v>7</v>
      </c>
      <c r="C16" s="169" t="s">
        <v>255</v>
      </c>
      <c r="E16" s="648">
        <f>ROUND(SUM(E11:E14),2)</f>
        <v>-50.219999999999999</v>
      </c>
      <c r="F16"/>
      <c r="G16"/>
    </row>
    <row r="17" spans="4:5" ht="13" thickTop="1">
      <c r="D17"/>
      <c r="E17"/>
    </row>
    <row r="18" spans="4:5" ht="12.5">
      <c r="D18"/>
      <c r="E18"/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8">
    <tabColor rgb="FF92D050"/>
    <pageSetUpPr fitToPage="1"/>
  </sheetPr>
  <dimension ref="A1:H20"/>
  <sheetViews>
    <sheetView workbookViewId="0" topLeftCell="A1">
      <selection pane="topLeft" activeCell="A4" sqref="A4"/>
    </sheetView>
  </sheetViews>
  <sheetFormatPr defaultRowHeight="12.75"/>
  <cols>
    <col min="1" max="1" width="6.42857142857143" customWidth="1"/>
    <col min="2" max="2" width="28.4285714285714" customWidth="1"/>
    <col min="3" max="3" width="16.5714285714286" customWidth="1"/>
    <col min="4" max="4" width="16.4285714285714" customWidth="1"/>
    <col min="5" max="5" width="18.8571428571429" customWidth="1"/>
    <col min="6" max="6" width="19.8571428571429" customWidth="1"/>
    <col min="7" max="7" width="9" customWidth="1"/>
  </cols>
  <sheetData>
    <row r="1" spans="1:5" s="295" customFormat="1" ht="13">
      <c r="A1" s="181" t="s">
        <v>530</v>
      </c>
      <c r="B1" s="181"/>
      <c r="C1" s="181"/>
      <c r="D1" s="181"/>
      <c r="E1" s="181"/>
    </row>
    <row r="2" spans="1:5" s="295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5" s="295" customFormat="1" ht="13">
      <c r="A3" s="181" t="s">
        <v>387</v>
      </c>
      <c r="B3" s="181"/>
      <c r="C3" s="181"/>
      <c r="D3" s="181"/>
      <c r="E3" s="181"/>
    </row>
    <row r="4" spans="1:5" s="295" customFormat="1" ht="13">
      <c r="A4" s="817" t="s">
        <v>929</v>
      </c>
      <c r="B4" s="181"/>
      <c r="C4" s="181"/>
      <c r="D4" s="181"/>
      <c r="E4" s="181"/>
    </row>
    <row r="5" spans="1:5" s="295" customFormat="1" ht="13">
      <c r="A5" s="181" t="s">
        <v>524</v>
      </c>
      <c r="B5" s="181"/>
      <c r="C5" s="181"/>
      <c r="D5" s="181"/>
      <c r="E5" s="181"/>
    </row>
    <row r="7" spans="1:1" ht="13">
      <c r="A7" s="5"/>
    </row>
    <row r="9" spans="1:8" ht="13">
      <c r="A9" s="22" t="s">
        <v>40</v>
      </c>
      <c r="B9" s="26"/>
      <c r="C9" s="22"/>
      <c r="D9" s="22" t="s">
        <v>47</v>
      </c>
      <c r="E9" s="22"/>
      <c r="F9" s="22" t="s">
        <v>112</v>
      </c>
      <c r="G9" s="1"/>
      <c r="H9" s="1"/>
    </row>
    <row r="10" spans="1:8" ht="13">
      <c r="A10" s="57" t="s">
        <v>41</v>
      </c>
      <c r="B10" s="57" t="s">
        <v>212</v>
      </c>
      <c r="C10" s="57" t="s">
        <v>24</v>
      </c>
      <c r="D10" s="57" t="s">
        <v>116</v>
      </c>
      <c r="E10" s="57" t="s">
        <v>25</v>
      </c>
      <c r="F10" s="57" t="s">
        <v>90</v>
      </c>
      <c r="G10" s="1"/>
      <c r="H10" s="1"/>
    </row>
    <row r="11" spans="1:8" ht="12.5">
      <c r="A11" s="1"/>
      <c r="B11" s="40" t="s">
        <v>55</v>
      </c>
      <c r="C11" s="40" t="s">
        <v>56</v>
      </c>
      <c r="D11" s="40" t="s">
        <v>62</v>
      </c>
      <c r="E11" s="40" t="s">
        <v>57</v>
      </c>
      <c r="F11" s="40" t="s">
        <v>58</v>
      </c>
      <c r="G11" s="1"/>
      <c r="H11" s="1"/>
    </row>
    <row r="12" spans="1:8" ht="12.5">
      <c r="A12" s="1"/>
      <c r="B12" s="40"/>
      <c r="C12" s="40"/>
      <c r="D12" s="40"/>
      <c r="E12" s="40"/>
      <c r="F12" s="40"/>
      <c r="G12" s="1"/>
      <c r="H12" s="1"/>
    </row>
    <row r="13" spans="1:8" s="230" customFormat="1" ht="12.5">
      <c r="A13" s="91">
        <v>1</v>
      </c>
      <c r="B13" s="31" t="s">
        <v>134</v>
      </c>
      <c r="C13" s="463">
        <f>+'6-1'!C17</f>
        <v>86691096.590000018</v>
      </c>
      <c r="D13" s="772">
        <f>+'6-1'!D17</f>
        <v>-29.730290171992163</v>
      </c>
      <c r="E13" s="475" t="s">
        <v>375</v>
      </c>
      <c r="F13" s="463">
        <f>+D13*C13</f>
        <v>-2577351456.9489007</v>
      </c>
      <c r="G13" s="31"/>
      <c r="H13" s="31"/>
    </row>
    <row r="14" spans="1:8" s="230" customFormat="1" ht="15" customHeight="1">
      <c r="A14" s="91">
        <f>A13+1</f>
        <v>2</v>
      </c>
      <c r="B14" s="31" t="s">
        <v>135</v>
      </c>
      <c r="C14" s="509">
        <f>'6-2'!C17</f>
        <v>470408159.74000049</v>
      </c>
      <c r="D14" s="772">
        <f>+'6-2'!D17</f>
        <v>-50.540894381029076</v>
      </c>
      <c r="E14" s="475" t="s">
        <v>376</v>
      </c>
      <c r="F14" s="509">
        <f>C14*D14</f>
        <v>-23774849117.39362</v>
      </c>
      <c r="G14" s="31"/>
      <c r="H14" s="31"/>
    </row>
    <row r="15" spans="1:8" s="230" customFormat="1" ht="15.5">
      <c r="A15" s="91">
        <f t="shared" si="0" ref="A15:A20">A14+1</f>
        <v>3</v>
      </c>
      <c r="B15" s="675" t="s">
        <v>491</v>
      </c>
      <c r="C15" s="746">
        <v>1423446.0900000001</v>
      </c>
      <c r="D15" s="397">
        <f>'6-3'!G23</f>
        <v>97.769999999999996</v>
      </c>
      <c r="E15" s="475" t="s">
        <v>377</v>
      </c>
      <c r="F15" s="474">
        <f>C15*D15</f>
        <v>139170324.2193</v>
      </c>
      <c r="G15" s="31"/>
      <c r="H15" s="31"/>
    </row>
    <row r="16" spans="1:8" s="230" customFormat="1" ht="12.5">
      <c r="A16" s="91">
        <f>A15+1</f>
        <v>4</v>
      </c>
      <c r="B16" s="31"/>
      <c r="C16" s="524"/>
      <c r="D16" s="37"/>
      <c r="E16" s="475"/>
      <c r="F16" s="524"/>
      <c r="G16" s="31"/>
      <c r="H16" s="31"/>
    </row>
    <row r="17" spans="1:8" s="230" customFormat="1" ht="13" thickBot="1">
      <c r="A17" s="91">
        <f t="shared" si="0"/>
        <v>5</v>
      </c>
      <c r="B17" s="31" t="s">
        <v>26</v>
      </c>
      <c r="C17" s="525">
        <f>SUM(C13:C15)</f>
        <v>558522702.42000055</v>
      </c>
      <c r="D17" s="399">
        <f>ROUND(F17/C17,2)</f>
        <v>-46.93</v>
      </c>
      <c r="E17" s="475"/>
      <c r="F17" s="525">
        <f>SUM(F13:F15)</f>
        <v>-26213030250.123222</v>
      </c>
      <c r="G17" s="31"/>
      <c r="H17" s="31"/>
    </row>
    <row r="18" spans="1:1" s="230" customFormat="1" ht="13" thickTop="1">
      <c r="A18" s="91">
        <f t="shared" si="0"/>
        <v>6</v>
      </c>
    </row>
    <row r="19" spans="1:1" ht="12.5">
      <c r="A19" s="91">
        <f t="shared" si="0"/>
        <v>7</v>
      </c>
    </row>
    <row r="20" spans="1:3" ht="15.5">
      <c r="A20" s="91">
        <f t="shared" si="0"/>
        <v>8</v>
      </c>
      <c r="B20" s="679" t="s">
        <v>492</v>
      </c>
      <c r="C20" s="293" t="s">
        <v>523</v>
      </c>
    </row>
  </sheetData>
  <hyperlinks>
    <hyperlink ref="C20" r:id="rId1" display="Lead Lag Samples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0">
    <tabColor rgb="FF92D050"/>
    <pageSetUpPr fitToPage="1"/>
  </sheetPr>
  <dimension ref="A1:H22"/>
  <sheetViews>
    <sheetView workbookViewId="0" topLeftCell="A1">
      <selection pane="topLeft" activeCell="A4" sqref="A4"/>
    </sheetView>
  </sheetViews>
  <sheetFormatPr defaultRowHeight="12.75"/>
  <cols>
    <col min="1" max="1" width="6.42857142857143" customWidth="1"/>
    <col min="2" max="2" width="42.5714285714286" customWidth="1"/>
    <col min="3" max="3" width="18.4285714285714" customWidth="1"/>
    <col min="4" max="4" width="16.4285714285714" customWidth="1"/>
    <col min="5" max="5" width="18.8571428571429" customWidth="1"/>
    <col min="6" max="6" width="19.8571428571429" customWidth="1"/>
    <col min="7" max="7" width="0.571428571428571" hidden="1" customWidth="1"/>
    <col min="8" max="9" width="8.85714285714286" hidden="1" customWidth="1"/>
  </cols>
  <sheetData>
    <row r="1" spans="1:5" s="74" customFormat="1" ht="13">
      <c r="A1" s="181" t="s">
        <v>530</v>
      </c>
      <c r="B1" s="181"/>
      <c r="C1" s="181"/>
      <c r="D1" s="181"/>
      <c r="E1" s="181"/>
    </row>
    <row r="2" spans="1:5" s="74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5" s="74" customFormat="1" ht="13">
      <c r="A3" s="181" t="s">
        <v>333</v>
      </c>
      <c r="B3" s="181"/>
      <c r="C3" s="181"/>
      <c r="D3" s="181"/>
      <c r="E3" s="181"/>
    </row>
    <row r="4" spans="1:5" s="74" customFormat="1" ht="13">
      <c r="A4" s="817" t="s">
        <v>929</v>
      </c>
      <c r="B4" s="181"/>
      <c r="C4" s="181"/>
      <c r="D4" s="181"/>
      <c r="E4" s="181"/>
    </row>
    <row r="5" spans="1:5" s="74" customFormat="1" ht="13">
      <c r="A5" s="181" t="s">
        <v>524</v>
      </c>
      <c r="B5" s="181"/>
      <c r="C5" s="181"/>
      <c r="D5" s="181"/>
      <c r="E5" s="181"/>
    </row>
    <row r="7" spans="1:1" ht="13">
      <c r="A7" s="5"/>
    </row>
    <row r="9" spans="1:8" ht="13">
      <c r="A9" s="22" t="s">
        <v>40</v>
      </c>
      <c r="B9" s="26"/>
      <c r="C9" s="22" t="s">
        <v>335</v>
      </c>
      <c r="D9" s="22" t="s">
        <v>46</v>
      </c>
      <c r="E9" s="22"/>
      <c r="F9" s="22" t="s">
        <v>112</v>
      </c>
      <c r="G9" s="1"/>
      <c r="H9" s="1"/>
    </row>
    <row r="10" spans="1:8" ht="13">
      <c r="A10" s="57" t="s">
        <v>41</v>
      </c>
      <c r="B10" s="57" t="s">
        <v>334</v>
      </c>
      <c r="C10" s="57" t="s">
        <v>415</v>
      </c>
      <c r="D10" s="57" t="s">
        <v>116</v>
      </c>
      <c r="E10" s="57" t="s">
        <v>25</v>
      </c>
      <c r="F10" s="57" t="s">
        <v>90</v>
      </c>
      <c r="G10" s="1"/>
      <c r="H10" s="1"/>
    </row>
    <row r="11" spans="1:8" ht="12.5">
      <c r="A11" s="1"/>
      <c r="B11" s="40" t="s">
        <v>55</v>
      </c>
      <c r="C11" s="40" t="s">
        <v>56</v>
      </c>
      <c r="D11" s="40" t="s">
        <v>62</v>
      </c>
      <c r="E11" s="40" t="s">
        <v>57</v>
      </c>
      <c r="F11" s="40" t="s">
        <v>58</v>
      </c>
      <c r="G11" s="1"/>
      <c r="H11" s="1"/>
    </row>
    <row r="12" spans="1:8" ht="12.5">
      <c r="A12" s="1"/>
      <c r="B12" s="40"/>
      <c r="C12" s="40"/>
      <c r="D12" s="40"/>
      <c r="E12" s="40"/>
      <c r="F12" s="40"/>
      <c r="G12" s="1"/>
      <c r="H12" s="1"/>
    </row>
    <row r="13" spans="1:8" ht="12.5">
      <c r="A13" s="3">
        <v>1</v>
      </c>
      <c r="B13" s="189" t="s">
        <v>337</v>
      </c>
      <c r="C13" s="510">
        <v>22309902.48</v>
      </c>
      <c r="D13" s="772">
        <f>'6-1-1'!G43</f>
        <v>-29.359999999999999</v>
      </c>
      <c r="E13" s="81" t="s">
        <v>378</v>
      </c>
      <c r="F13" s="510">
        <f>C13*D13</f>
        <v>-655018736.81280005</v>
      </c>
      <c r="G13" s="1"/>
      <c r="H13" s="1"/>
    </row>
    <row r="14" spans="1:8" s="230" customFormat="1" ht="12.5">
      <c r="A14" s="91">
        <f>A13+1</f>
        <v>2</v>
      </c>
      <c r="B14" s="189" t="s">
        <v>336</v>
      </c>
      <c r="C14" s="338">
        <v>14751915.400000013</v>
      </c>
      <c r="D14" s="772">
        <f>'6-1-2'!G33</f>
        <v>-28.34</v>
      </c>
      <c r="E14" s="81" t="s">
        <v>379</v>
      </c>
      <c r="F14" s="338">
        <f>C14*D14</f>
        <v>-418069282.43600041</v>
      </c>
      <c r="G14" s="31"/>
      <c r="H14" s="31"/>
    </row>
    <row r="15" spans="1:8" s="230" customFormat="1" ht="12.5">
      <c r="A15" s="91">
        <f t="shared" si="0" ref="A15:A21">A14+1</f>
        <v>3</v>
      </c>
      <c r="B15" s="189" t="s">
        <v>338</v>
      </c>
      <c r="C15" s="446">
        <v>49629278.710000008</v>
      </c>
      <c r="D15" s="776">
        <f>'6-1-3'!G79</f>
        <v>-30.309999999999999</v>
      </c>
      <c r="E15" s="81" t="s">
        <v>380</v>
      </c>
      <c r="F15" s="446">
        <f>C15*D15</f>
        <v>-1504263437.7001002</v>
      </c>
      <c r="G15" s="31"/>
      <c r="H15" s="31"/>
    </row>
    <row r="16" spans="1:8" ht="12.5">
      <c r="A16" s="91">
        <f t="shared" si="0"/>
        <v>4</v>
      </c>
      <c r="B16" s="16"/>
      <c r="C16" s="28"/>
      <c r="D16" s="772"/>
      <c r="E16" s="81"/>
      <c r="F16" s="28"/>
      <c r="G16" s="1"/>
      <c r="H16" s="1"/>
    </row>
    <row r="17" spans="1:8" ht="13" thickBot="1">
      <c r="A17" s="91">
        <f t="shared" si="0"/>
        <v>5</v>
      </c>
      <c r="B17" s="1" t="s">
        <v>26</v>
      </c>
      <c r="C17" s="502">
        <f>SUM(C13:C15)</f>
        <v>86691096.590000018</v>
      </c>
      <c r="D17" s="777">
        <f>+F17/C17</f>
        <v>-29.730290171992163</v>
      </c>
      <c r="E17" s="81"/>
      <c r="F17" s="502">
        <f>SUM(F13:F15)</f>
        <v>-2577351456.9489007</v>
      </c>
      <c r="G17" s="1"/>
      <c r="H17" s="1"/>
    </row>
    <row r="18" spans="1:4" ht="13" thickTop="1">
      <c r="A18" s="91">
        <f t="shared" si="0"/>
        <v>6</v>
      </c>
      <c r="D18" s="742"/>
    </row>
    <row r="19" spans="1:2" ht="12.5">
      <c r="A19" s="91">
        <f t="shared" si="0"/>
        <v>7</v>
      </c>
      <c r="B19" s="80"/>
    </row>
    <row r="20" spans="1:1" ht="12.5">
      <c r="A20" s="91">
        <f t="shared" si="0"/>
        <v>8</v>
      </c>
    </row>
    <row r="21" spans="1:3" ht="12.5">
      <c r="A21" s="91">
        <f t="shared" si="0"/>
        <v>9</v>
      </c>
      <c r="B21" s="508" t="s">
        <v>417</v>
      </c>
      <c r="C21" s="293" t="s">
        <v>688</v>
      </c>
    </row>
    <row r="22" spans="1:1" ht="12.5">
      <c r="A22" s="91"/>
    </row>
  </sheetData>
  <hyperlinks>
    <hyperlink ref="C21" r:id="rId1" display="Lead Lag Samples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8">
    <tabColor rgb="FF92D050"/>
    <pageSetUpPr fitToPage="1"/>
  </sheetPr>
  <dimension ref="A1:N57"/>
  <sheetViews>
    <sheetView workbookViewId="0" topLeftCell="A1">
      <pane xSplit="1" ySplit="9" topLeftCell="B28" activePane="bottomRight" state="frozen"/>
      <selection pane="topLeft" activeCell="A2" sqref="A2"/>
      <selection pane="bottomLeft" activeCell="A2" sqref="A2"/>
      <selection pane="topRight" activeCell="A2" sqref="A2"/>
      <selection pane="bottomRight" activeCell="C45" sqref="C45"/>
    </sheetView>
  </sheetViews>
  <sheetFormatPr defaultRowHeight="12.75"/>
  <cols>
    <col min="1" max="1" width="8.85714285714286" style="2" customWidth="1"/>
    <col min="2" max="2" width="16.8571428571429" customWidth="1"/>
    <col min="3" max="3" width="14.1428571428571" style="94" bestFit="1" customWidth="1"/>
    <col min="4" max="4" width="11.4285714285714" bestFit="1" customWidth="1"/>
    <col min="5" max="5" width="23.8571428571429" customWidth="1"/>
    <col min="6" max="6" width="17.4285714285714" customWidth="1"/>
    <col min="7" max="7" width="11.4285714285714" style="264" customWidth="1"/>
    <col min="8" max="8" width="18.1428571428571" customWidth="1"/>
    <col min="9" max="9" width="14.1428571428571" customWidth="1"/>
  </cols>
  <sheetData>
    <row r="1" spans="1:5" s="74" customFormat="1" ht="13">
      <c r="A1" s="181" t="s">
        <v>530</v>
      </c>
      <c r="B1" s="181"/>
      <c r="C1" s="181"/>
      <c r="D1" s="181"/>
      <c r="E1" s="181"/>
    </row>
    <row r="2" spans="1:5" s="74" customFormat="1" ht="13">
      <c r="A2" s="181" t="str">
        <f>'1-1-3-1-1'!A2</f>
        <v>ONCOR ELECTRIC DELIVERY COMPANY LLC</v>
      </c>
      <c r="B2" s="181"/>
      <c r="C2" s="181"/>
      <c r="D2" s="181"/>
      <c r="E2" s="181"/>
    </row>
    <row r="3" spans="1:5" s="74" customFormat="1" ht="13">
      <c r="A3" s="181" t="s">
        <v>339</v>
      </c>
      <c r="B3" s="181"/>
      <c r="C3" s="181"/>
      <c r="D3" s="181"/>
      <c r="E3" s="181"/>
    </row>
    <row r="4" spans="1:5" s="74" customFormat="1" ht="13">
      <c r="A4" s="817" t="s">
        <v>929</v>
      </c>
      <c r="B4" s="181"/>
      <c r="C4" s="181"/>
      <c r="D4" s="181"/>
      <c r="E4" s="181"/>
    </row>
    <row r="5" spans="1:5" s="74" customFormat="1" ht="13">
      <c r="A5" s="181" t="s">
        <v>524</v>
      </c>
      <c r="B5" s="181"/>
      <c r="C5" s="181"/>
      <c r="D5" s="181"/>
      <c r="E5" s="181"/>
    </row>
    <row r="7" spans="1:9" ht="13">
      <c r="A7"/>
      <c r="B7" s="96"/>
      <c r="C7"/>
      <c r="D7" s="2"/>
      <c r="E7" s="2"/>
      <c r="F7" s="6" t="s">
        <v>227</v>
      </c>
      <c r="G7" s="266"/>
      <c r="H7" s="6"/>
      <c r="I7" s="6"/>
    </row>
    <row r="8" spans="1:9" ht="13">
      <c r="A8" s="6" t="s">
        <v>40</v>
      </c>
      <c r="B8" s="6"/>
      <c r="C8" s="265"/>
      <c r="D8" s="6" t="s">
        <v>330</v>
      </c>
      <c r="E8" s="6" t="s">
        <v>331</v>
      </c>
      <c r="F8" s="6" t="s">
        <v>229</v>
      </c>
      <c r="G8" s="266" t="s">
        <v>46</v>
      </c>
      <c r="H8" s="6" t="s">
        <v>230</v>
      </c>
      <c r="I8" s="6"/>
    </row>
    <row r="9" spans="1:9" ht="13">
      <c r="A9" s="57" t="s">
        <v>41</v>
      </c>
      <c r="B9" s="57" t="s">
        <v>231</v>
      </c>
      <c r="C9" s="315" t="s">
        <v>24</v>
      </c>
      <c r="D9" s="57" t="s">
        <v>113</v>
      </c>
      <c r="E9" s="57" t="s">
        <v>332</v>
      </c>
      <c r="F9" s="57" t="s">
        <v>113</v>
      </c>
      <c r="G9" s="267" t="s">
        <v>116</v>
      </c>
      <c r="H9" s="57" t="s">
        <v>116</v>
      </c>
      <c r="I9" s="22"/>
    </row>
    <row r="10" spans="1:9" s="1" customFormat="1" ht="12.5">
      <c r="A10" s="20"/>
      <c r="B10" s="20" t="s">
        <v>55</v>
      </c>
      <c r="C10" s="312" t="s">
        <v>56</v>
      </c>
      <c r="D10" s="20" t="s">
        <v>62</v>
      </c>
      <c r="E10" s="20" t="s">
        <v>57</v>
      </c>
      <c r="F10" s="20" t="s">
        <v>58</v>
      </c>
      <c r="G10" s="313" t="s">
        <v>59</v>
      </c>
      <c r="H10" s="20" t="s">
        <v>60</v>
      </c>
      <c r="I10" s="314"/>
    </row>
    <row r="11" spans="1:9" s="1" customFormat="1" ht="12.5">
      <c r="A11" s="20"/>
      <c r="B11" s="20"/>
      <c r="C11" s="312"/>
      <c r="D11" s="20"/>
      <c r="E11" s="20"/>
      <c r="F11" s="313"/>
      <c r="G11" s="20"/>
      <c r="H11" s="314"/>
      <c r="I11" s="20"/>
    </row>
    <row r="12" spans="1:14" ht="12.5">
      <c r="A12" s="2">
        <v>1</v>
      </c>
      <c r="B12" s="727" t="s">
        <v>757</v>
      </c>
      <c r="C12" s="94">
        <v>96.769999999999996</v>
      </c>
      <c r="D12" s="268">
        <v>44113.5</v>
      </c>
      <c r="E12" s="495" t="s">
        <v>931</v>
      </c>
      <c r="F12" s="268">
        <v>44121</v>
      </c>
      <c r="G12" s="37">
        <f t="shared" si="0" ref="G12:G23">D12-F12</f>
        <v>-7.5</v>
      </c>
      <c r="H12" s="36">
        <f t="shared" si="1" ref="H12:H23">IF(ISERR(G12*C12),"",G12*C12)</f>
        <v>-725.77499999999998</v>
      </c>
      <c r="J12" s="263"/>
      <c r="L12" s="263"/>
      <c r="M12" s="263"/>
      <c r="N12" s="263"/>
    </row>
    <row r="13" spans="1:14" ht="12.5">
      <c r="A13" s="2">
        <f>A12+1</f>
        <v>2</v>
      </c>
      <c r="B13" s="727" t="s">
        <v>758</v>
      </c>
      <c r="C13" s="295">
        <v>818.04999999999995</v>
      </c>
      <c r="D13" s="268">
        <v>44264</v>
      </c>
      <c r="E13" s="495" t="s">
        <v>321</v>
      </c>
      <c r="F13" s="268">
        <v>44345</v>
      </c>
      <c r="G13" s="37">
        <f t="shared" si="0"/>
        <v>-81</v>
      </c>
      <c r="H13" s="44">
        <f t="shared" si="1"/>
        <v>-66262.050000000003</v>
      </c>
      <c r="J13" s="263"/>
      <c r="L13" s="263"/>
      <c r="M13" s="263"/>
      <c r="N13" s="263"/>
    </row>
    <row r="14" spans="1:14" ht="12.5">
      <c r="A14" s="2">
        <f t="shared" si="2" ref="A14:A45">A13+1</f>
        <v>3</v>
      </c>
      <c r="B14" s="727" t="s">
        <v>759</v>
      </c>
      <c r="C14" s="295">
        <v>3181</v>
      </c>
      <c r="D14" s="268">
        <v>44308.5</v>
      </c>
      <c r="E14" s="495" t="s">
        <v>931</v>
      </c>
      <c r="F14" s="268">
        <v>44355</v>
      </c>
      <c r="G14" s="37">
        <f t="shared" si="0"/>
        <v>-46.5</v>
      </c>
      <c r="H14" s="44">
        <f t="shared" si="1"/>
        <v>-147916.5</v>
      </c>
      <c r="J14" s="263"/>
      <c r="L14" s="263"/>
      <c r="M14" s="263"/>
      <c r="N14" s="263"/>
    </row>
    <row r="15" spans="1:14" ht="12.5">
      <c r="A15" s="2">
        <f t="shared" si="2"/>
        <v>4</v>
      </c>
      <c r="B15" s="727" t="s">
        <v>760</v>
      </c>
      <c r="C15" s="295">
        <v>637.76999999999998</v>
      </c>
      <c r="D15" s="268">
        <v>44246</v>
      </c>
      <c r="E15" s="495" t="s">
        <v>321</v>
      </c>
      <c r="F15" s="268">
        <v>44279</v>
      </c>
      <c r="G15" s="37">
        <f t="shared" si="0"/>
        <v>-33</v>
      </c>
      <c r="H15" s="44">
        <f t="shared" si="1"/>
        <v>-21046.41</v>
      </c>
      <c r="J15" s="263"/>
      <c r="L15" s="263"/>
      <c r="M15" s="263"/>
      <c r="N15" s="263"/>
    </row>
    <row r="16" spans="1:14" ht="12.5">
      <c r="A16" s="2">
        <f t="shared" si="2"/>
        <v>5</v>
      </c>
      <c r="B16" s="727" t="s">
        <v>761</v>
      </c>
      <c r="C16" s="295">
        <v>594.5</v>
      </c>
      <c r="D16" s="268">
        <v>44278</v>
      </c>
      <c r="E16" s="495" t="s">
        <v>931</v>
      </c>
      <c r="F16" s="268">
        <v>44312</v>
      </c>
      <c r="G16" s="37">
        <f t="shared" si="0"/>
        <v>-34</v>
      </c>
      <c r="H16" s="44">
        <f t="shared" si="1"/>
        <v>-20213</v>
      </c>
      <c r="J16" s="263"/>
      <c r="L16" s="263"/>
      <c r="M16" s="263"/>
      <c r="N16" s="263"/>
    </row>
    <row r="17" spans="1:14" ht="12.5">
      <c r="A17" s="2">
        <f t="shared" si="2"/>
        <v>6</v>
      </c>
      <c r="B17" s="727" t="s">
        <v>762</v>
      </c>
      <c r="C17" s="295">
        <v>295.41000000000003</v>
      </c>
      <c r="D17" s="268">
        <v>44346.5</v>
      </c>
      <c r="E17" s="495" t="s">
        <v>931</v>
      </c>
      <c r="F17" s="268">
        <v>44384</v>
      </c>
      <c r="G17" s="37">
        <f t="shared" si="0"/>
        <v>-37.5</v>
      </c>
      <c r="H17" s="44">
        <f t="shared" si="1"/>
        <v>-11077.875000000002</v>
      </c>
      <c r="J17" s="263"/>
      <c r="L17" s="263"/>
      <c r="M17" s="263"/>
      <c r="N17" s="263"/>
    </row>
    <row r="18" spans="1:14" ht="12.5">
      <c r="A18" s="2">
        <f t="shared" si="2"/>
        <v>7</v>
      </c>
      <c r="B18" s="727" t="s">
        <v>763</v>
      </c>
      <c r="C18" s="295">
        <v>37.450000000000003</v>
      </c>
      <c r="D18" s="268">
        <v>44317</v>
      </c>
      <c r="E18" s="495" t="s">
        <v>931</v>
      </c>
      <c r="F18" s="268">
        <v>44357</v>
      </c>
      <c r="G18" s="37">
        <f t="shared" si="0"/>
        <v>-40</v>
      </c>
      <c r="H18" s="44">
        <f t="shared" si="1"/>
        <v>-1498</v>
      </c>
      <c r="J18" s="263"/>
      <c r="L18" s="263"/>
      <c r="M18" s="263"/>
      <c r="N18" s="263"/>
    </row>
    <row r="19" spans="1:14" ht="12.5">
      <c r="A19" s="2">
        <f t="shared" si="2"/>
        <v>8</v>
      </c>
      <c r="B19" s="727" t="s">
        <v>764</v>
      </c>
      <c r="C19" s="295">
        <v>220.47</v>
      </c>
      <c r="D19" s="268">
        <v>44332</v>
      </c>
      <c r="E19" s="495" t="s">
        <v>931</v>
      </c>
      <c r="F19" s="268">
        <v>44337</v>
      </c>
      <c r="G19" s="37">
        <f t="shared" si="0"/>
        <v>-5</v>
      </c>
      <c r="H19" s="44">
        <f t="shared" si="1"/>
        <v>-1102.3499999999999</v>
      </c>
      <c r="J19" s="263"/>
      <c r="L19" s="263"/>
      <c r="M19" s="263"/>
      <c r="N19" s="263"/>
    </row>
    <row r="20" spans="1:14" ht="12.5">
      <c r="A20" s="2">
        <f t="shared" si="2"/>
        <v>9</v>
      </c>
      <c r="B20" s="727" t="s">
        <v>765</v>
      </c>
      <c r="C20" s="295">
        <v>10.279999999999999</v>
      </c>
      <c r="D20" s="268">
        <v>44262</v>
      </c>
      <c r="E20" s="495" t="s">
        <v>321</v>
      </c>
      <c r="F20" s="268">
        <v>44291</v>
      </c>
      <c r="G20" s="37">
        <f t="shared" si="0"/>
        <v>-29</v>
      </c>
      <c r="H20" s="44">
        <f t="shared" si="1"/>
        <v>-298.12</v>
      </c>
      <c r="J20" s="263"/>
      <c r="L20" s="263"/>
      <c r="M20" s="263"/>
      <c r="N20" s="263"/>
    </row>
    <row r="21" spans="1:14" ht="12.5">
      <c r="A21" s="2">
        <f t="shared" si="2"/>
        <v>10</v>
      </c>
      <c r="B21" s="727" t="s">
        <v>766</v>
      </c>
      <c r="C21" s="295">
        <v>3950</v>
      </c>
      <c r="D21" s="268">
        <v>44120</v>
      </c>
      <c r="E21" s="495" t="s">
        <v>931</v>
      </c>
      <c r="F21" s="268">
        <v>44186</v>
      </c>
      <c r="G21" s="37">
        <f t="shared" si="0"/>
        <v>-66</v>
      </c>
      <c r="H21" s="44">
        <f t="shared" si="1"/>
        <v>-260700</v>
      </c>
      <c r="J21" s="263"/>
      <c r="L21" s="263"/>
      <c r="M21" s="263"/>
      <c r="N21" s="263"/>
    </row>
    <row r="22" spans="1:14" ht="12.5">
      <c r="A22" s="2">
        <f t="shared" si="2"/>
        <v>11</v>
      </c>
      <c r="B22" s="727" t="s">
        <v>767</v>
      </c>
      <c r="C22" s="295">
        <v>1170.1800000000001</v>
      </c>
      <c r="D22" s="268">
        <v>44433</v>
      </c>
      <c r="E22" s="495" t="s">
        <v>321</v>
      </c>
      <c r="F22" s="268">
        <v>44468</v>
      </c>
      <c r="G22" s="37">
        <f t="shared" si="0"/>
        <v>-35</v>
      </c>
      <c r="H22" s="44">
        <f t="shared" si="1"/>
        <v>-40956.300000000003</v>
      </c>
      <c r="J22" s="263"/>
      <c r="L22" s="263"/>
      <c r="M22" s="263"/>
      <c r="N22" s="263"/>
    </row>
    <row r="23" spans="1:14" ht="12.5">
      <c r="A23" s="2">
        <f t="shared" si="2"/>
        <v>12</v>
      </c>
      <c r="B23" s="727" t="s">
        <v>768</v>
      </c>
      <c r="C23" s="295">
        <v>65.180000000000007</v>
      </c>
      <c r="D23" s="268">
        <v>44114.5</v>
      </c>
      <c r="E23" s="495" t="s">
        <v>931</v>
      </c>
      <c r="F23" s="268">
        <v>44153</v>
      </c>
      <c r="G23" s="37">
        <f t="shared" si="0"/>
        <v>-38.5</v>
      </c>
      <c r="H23" s="44">
        <f t="shared" si="1"/>
        <v>-2509.4300000000003</v>
      </c>
      <c r="J23" s="263"/>
      <c r="L23" s="263"/>
      <c r="M23" s="263"/>
      <c r="N23" s="263"/>
    </row>
    <row r="24" spans="1:14" ht="12.5">
      <c r="A24" s="2">
        <f t="shared" si="2"/>
        <v>13</v>
      </c>
      <c r="B24" s="727" t="s">
        <v>769</v>
      </c>
      <c r="C24" s="295">
        <v>5458.29</v>
      </c>
      <c r="D24" s="268">
        <v>44448</v>
      </c>
      <c r="E24" s="495" t="s">
        <v>931</v>
      </c>
      <c r="F24" s="268">
        <v>44463</v>
      </c>
      <c r="G24" s="37">
        <f t="shared" si="3" ref="G24:G41">D24-F24</f>
        <v>-15</v>
      </c>
      <c r="H24" s="44">
        <f t="shared" si="4" ref="H24:H41">IF(ISERR(G24*C24),"",G24*C24)</f>
        <v>-81874.350000000006</v>
      </c>
      <c r="J24" s="263"/>
      <c r="L24" s="263"/>
      <c r="M24" s="263"/>
      <c r="N24" s="263"/>
    </row>
    <row r="25" spans="1:14" ht="12.5">
      <c r="A25" s="2">
        <f t="shared" si="2"/>
        <v>14</v>
      </c>
      <c r="B25" s="727" t="s">
        <v>770</v>
      </c>
      <c r="C25" s="295">
        <v>45.530000000000001</v>
      </c>
      <c r="D25" s="268">
        <v>44172.5</v>
      </c>
      <c r="E25" s="495" t="s">
        <v>931</v>
      </c>
      <c r="F25" s="268">
        <v>44217</v>
      </c>
      <c r="G25" s="37">
        <f t="shared" si="3"/>
        <v>-44.5</v>
      </c>
      <c r="H25" s="44">
        <f t="shared" si="4"/>
        <v>-2026.085</v>
      </c>
      <c r="J25" s="263"/>
      <c r="L25" s="263"/>
      <c r="M25" s="263"/>
      <c r="N25" s="263"/>
    </row>
    <row r="26" spans="1:14" ht="12.5">
      <c r="A26" s="2">
        <f t="shared" si="2"/>
        <v>15</v>
      </c>
      <c r="B26" s="727" t="s">
        <v>771</v>
      </c>
      <c r="C26" s="295">
        <v>285.18000000000001</v>
      </c>
      <c r="D26" s="268">
        <v>44354</v>
      </c>
      <c r="E26" s="495" t="s">
        <v>321</v>
      </c>
      <c r="F26" s="268">
        <v>44384</v>
      </c>
      <c r="G26" s="37">
        <f t="shared" si="3"/>
        <v>-30</v>
      </c>
      <c r="H26" s="44">
        <f t="shared" si="4"/>
        <v>-8555.3999999999996</v>
      </c>
      <c r="J26" s="263"/>
      <c r="L26" s="263"/>
      <c r="M26" s="263"/>
      <c r="N26" s="263"/>
    </row>
    <row r="27" spans="1:14" ht="12.5">
      <c r="A27" s="2">
        <f t="shared" si="2"/>
        <v>16</v>
      </c>
      <c r="B27" s="727" t="s">
        <v>772</v>
      </c>
      <c r="C27" s="295">
        <v>109.94</v>
      </c>
      <c r="D27" s="268">
        <v>44076</v>
      </c>
      <c r="E27" s="495" t="s">
        <v>931</v>
      </c>
      <c r="F27" s="268">
        <v>44116</v>
      </c>
      <c r="G27" s="37">
        <f t="shared" si="3"/>
        <v>-40</v>
      </c>
      <c r="H27" s="44">
        <f t="shared" si="4"/>
        <v>-4397.6000000000004</v>
      </c>
      <c r="J27" s="263"/>
      <c r="L27" s="263"/>
      <c r="M27" s="263"/>
      <c r="N27" s="263"/>
    </row>
    <row r="28" spans="1:14" ht="12.5">
      <c r="A28" s="2">
        <f t="shared" si="2"/>
        <v>17</v>
      </c>
      <c r="B28" s="727" t="s">
        <v>773</v>
      </c>
      <c r="C28" s="295">
        <v>16.73</v>
      </c>
      <c r="D28" s="268">
        <v>44252</v>
      </c>
      <c r="E28" s="495" t="s">
        <v>931</v>
      </c>
      <c r="F28" s="268">
        <v>44300</v>
      </c>
      <c r="G28" s="37">
        <f t="shared" si="3"/>
        <v>-48</v>
      </c>
      <c r="H28" s="44">
        <f t="shared" si="4"/>
        <v>-803.03999999999996</v>
      </c>
      <c r="J28" s="263"/>
      <c r="L28" s="263"/>
      <c r="M28" s="263"/>
      <c r="N28" s="263"/>
    </row>
    <row r="29" spans="1:14" ht="12.5">
      <c r="A29" s="2">
        <f t="shared" si="2"/>
        <v>18</v>
      </c>
      <c r="B29" s="727" t="s">
        <v>774</v>
      </c>
      <c r="C29" s="295">
        <v>56.890000000000001</v>
      </c>
      <c r="D29" s="268">
        <v>44373.5</v>
      </c>
      <c r="E29" s="495" t="s">
        <v>931</v>
      </c>
      <c r="F29" s="268">
        <v>44414</v>
      </c>
      <c r="G29" s="37">
        <f t="shared" si="3"/>
        <v>-40.5</v>
      </c>
      <c r="H29" s="44">
        <f t="shared" si="4"/>
        <v>-2304.0450000000001</v>
      </c>
      <c r="J29" s="263"/>
      <c r="L29" s="263"/>
      <c r="M29" s="263"/>
      <c r="N29" s="263"/>
    </row>
    <row r="30" spans="1:14" ht="12.5">
      <c r="A30" s="2">
        <f t="shared" si="2"/>
        <v>19</v>
      </c>
      <c r="B30" s="727" t="s">
        <v>775</v>
      </c>
      <c r="C30" s="295">
        <v>65.239999999999995</v>
      </c>
      <c r="D30" s="268">
        <v>44236</v>
      </c>
      <c r="E30" s="495" t="s">
        <v>321</v>
      </c>
      <c r="F30" s="268">
        <v>44266</v>
      </c>
      <c r="G30" s="37">
        <f t="shared" si="3"/>
        <v>-30</v>
      </c>
      <c r="H30" s="44">
        <f t="shared" si="4"/>
        <v>-1957.1999999999998</v>
      </c>
      <c r="J30" s="263"/>
      <c r="L30" s="263"/>
      <c r="M30" s="263"/>
      <c r="N30" s="263"/>
    </row>
    <row r="31" spans="1:14" ht="12.5">
      <c r="A31" s="2">
        <f t="shared" si="2"/>
        <v>20</v>
      </c>
      <c r="B31" s="727" t="s">
        <v>776</v>
      </c>
      <c r="C31" s="295">
        <v>4829.7299999999996</v>
      </c>
      <c r="D31" s="268">
        <v>44440</v>
      </c>
      <c r="E31" s="495" t="s">
        <v>321</v>
      </c>
      <c r="F31" s="268">
        <v>44424</v>
      </c>
      <c r="G31" s="37">
        <f t="shared" si="3"/>
        <v>16</v>
      </c>
      <c r="H31" s="44">
        <f t="shared" si="4"/>
        <v>77275.679999999993</v>
      </c>
      <c r="J31" s="263"/>
      <c r="L31" s="263"/>
      <c r="M31" s="263"/>
      <c r="N31" s="263"/>
    </row>
    <row r="32" spans="1:14" ht="12.5">
      <c r="A32" s="2">
        <f t="shared" si="2"/>
        <v>21</v>
      </c>
      <c r="B32" s="727" t="s">
        <v>777</v>
      </c>
      <c r="C32" s="295">
        <v>5090.9499999999998</v>
      </c>
      <c r="D32" s="268">
        <v>44392</v>
      </c>
      <c r="E32" s="495" t="s">
        <v>321</v>
      </c>
      <c r="F32" s="268">
        <v>44437</v>
      </c>
      <c r="G32" s="37">
        <f t="shared" si="3"/>
        <v>-45</v>
      </c>
      <c r="H32" s="44">
        <f t="shared" si="4"/>
        <v>-229092.75</v>
      </c>
      <c r="J32" s="263"/>
      <c r="L32" s="263"/>
      <c r="M32" s="263"/>
      <c r="N32" s="263"/>
    </row>
    <row r="33" spans="1:14" ht="12.5">
      <c r="A33" s="2">
        <f t="shared" si="2"/>
        <v>22</v>
      </c>
      <c r="B33" s="727" t="s">
        <v>778</v>
      </c>
      <c r="C33" s="295">
        <v>16.030000000000001</v>
      </c>
      <c r="D33" s="268">
        <v>44157</v>
      </c>
      <c r="E33" s="495" t="s">
        <v>931</v>
      </c>
      <c r="F33" s="268">
        <v>44188</v>
      </c>
      <c r="G33" s="37">
        <f t="shared" si="3"/>
        <v>-31</v>
      </c>
      <c r="H33" s="44">
        <f t="shared" si="4"/>
        <v>-496.93000000000006</v>
      </c>
      <c r="J33" s="263"/>
      <c r="L33" s="263"/>
      <c r="M33" s="263"/>
      <c r="N33" s="263"/>
    </row>
    <row r="34" spans="1:14" ht="12.5">
      <c r="A34" s="2">
        <f t="shared" si="2"/>
        <v>23</v>
      </c>
      <c r="B34" s="727" t="s">
        <v>779</v>
      </c>
      <c r="C34" s="295">
        <v>51.530000000000001</v>
      </c>
      <c r="D34" s="268">
        <v>44338</v>
      </c>
      <c r="E34" s="495" t="s">
        <v>931</v>
      </c>
      <c r="F34" s="268">
        <v>44343</v>
      </c>
      <c r="G34" s="37">
        <f t="shared" si="3"/>
        <v>-5</v>
      </c>
      <c r="H34" s="44">
        <f t="shared" si="4"/>
        <v>-257.64999999999998</v>
      </c>
      <c r="J34" s="263"/>
      <c r="L34" s="263"/>
      <c r="M34" s="263"/>
      <c r="N34" s="263"/>
    </row>
    <row r="35" spans="1:14" ht="12.5">
      <c r="A35" s="2">
        <f t="shared" si="2"/>
        <v>24</v>
      </c>
      <c r="B35" s="727" t="s">
        <v>780</v>
      </c>
      <c r="C35" s="295">
        <v>266.36000000000001</v>
      </c>
      <c r="D35" s="268">
        <v>44393</v>
      </c>
      <c r="E35" s="495" t="s">
        <v>931</v>
      </c>
      <c r="F35" s="268">
        <v>44412</v>
      </c>
      <c r="G35" s="37">
        <f t="shared" si="3"/>
        <v>-19</v>
      </c>
      <c r="H35" s="44">
        <f t="shared" si="4"/>
        <v>-5060.8400000000001</v>
      </c>
      <c r="J35" s="263"/>
      <c r="L35" s="263"/>
      <c r="M35" s="263"/>
      <c r="N35" s="263"/>
    </row>
    <row r="36" spans="1:14" ht="12.5">
      <c r="A36" s="2">
        <f t="shared" si="2"/>
        <v>25</v>
      </c>
      <c r="B36" s="727" t="s">
        <v>781</v>
      </c>
      <c r="C36" s="295">
        <v>366.33999999999998</v>
      </c>
      <c r="D36" s="268">
        <v>44236</v>
      </c>
      <c r="E36" s="495" t="s">
        <v>931</v>
      </c>
      <c r="F36" s="268">
        <v>44252</v>
      </c>
      <c r="G36" s="37">
        <f t="shared" si="3"/>
        <v>-16</v>
      </c>
      <c r="H36" s="44">
        <f t="shared" si="4"/>
        <v>-5861.4399999999996</v>
      </c>
      <c r="J36" s="263"/>
      <c r="L36" s="263"/>
      <c r="M36" s="263"/>
      <c r="N36" s="263"/>
    </row>
    <row r="37" spans="1:14" ht="12.5">
      <c r="A37" s="2">
        <f t="shared" si="2"/>
        <v>26</v>
      </c>
      <c r="B37" s="727" t="s">
        <v>782</v>
      </c>
      <c r="C37" s="295">
        <v>81.930000000000007</v>
      </c>
      <c r="D37" s="268">
        <v>44391.5</v>
      </c>
      <c r="E37" s="495" t="s">
        <v>931</v>
      </c>
      <c r="F37" s="268">
        <v>44426</v>
      </c>
      <c r="G37" s="37">
        <f t="shared" si="3"/>
        <v>-34.5</v>
      </c>
      <c r="H37" s="44">
        <f t="shared" si="4"/>
        <v>-2826.585</v>
      </c>
      <c r="J37" s="263"/>
      <c r="L37" s="263"/>
      <c r="M37" s="263"/>
      <c r="N37" s="263"/>
    </row>
    <row r="38" spans="1:14" ht="12.5">
      <c r="A38" s="2">
        <f t="shared" si="2"/>
        <v>27</v>
      </c>
      <c r="B38" s="727" t="s">
        <v>783</v>
      </c>
      <c r="C38" s="295">
        <v>3321</v>
      </c>
      <c r="D38" s="268">
        <v>44236.5</v>
      </c>
      <c r="E38" s="495" t="s">
        <v>931</v>
      </c>
      <c r="F38" s="268">
        <v>44279</v>
      </c>
      <c r="G38" s="37">
        <f t="shared" si="3"/>
        <v>-42.5</v>
      </c>
      <c r="H38" s="44">
        <f t="shared" si="4"/>
        <v>-141142.5</v>
      </c>
      <c r="J38" s="263"/>
      <c r="L38" s="263"/>
      <c r="M38" s="263"/>
      <c r="N38" s="263"/>
    </row>
    <row r="39" spans="1:14" ht="12.5">
      <c r="A39" s="2">
        <f t="shared" si="2"/>
        <v>28</v>
      </c>
      <c r="B39" s="727" t="s">
        <v>784</v>
      </c>
      <c r="C39" s="295">
        <v>3622.46</v>
      </c>
      <c r="D39" s="268">
        <v>44380.5</v>
      </c>
      <c r="E39" s="495" t="s">
        <v>931</v>
      </c>
      <c r="F39" s="268">
        <v>44390</v>
      </c>
      <c r="G39" s="37">
        <f t="shared" si="3"/>
        <v>-9.5</v>
      </c>
      <c r="H39" s="44">
        <f t="shared" si="4"/>
        <v>-34413.370000000003</v>
      </c>
      <c r="J39" s="263"/>
      <c r="L39" s="263"/>
      <c r="M39" s="263"/>
      <c r="N39" s="263"/>
    </row>
    <row r="40" spans="1:14" ht="12.5">
      <c r="A40" s="2">
        <f t="shared" si="2"/>
        <v>29</v>
      </c>
      <c r="B40" s="727" t="s">
        <v>785</v>
      </c>
      <c r="C40" s="295">
        <v>662.70000000000005</v>
      </c>
      <c r="D40" s="268">
        <v>44412</v>
      </c>
      <c r="E40" s="495" t="s">
        <v>931</v>
      </c>
      <c r="F40" s="268">
        <v>44445</v>
      </c>
      <c r="G40" s="37">
        <f t="shared" si="3"/>
        <v>-33</v>
      </c>
      <c r="H40" s="44">
        <f t="shared" si="4"/>
        <v>-21869.100000000002</v>
      </c>
      <c r="J40" s="263"/>
      <c r="L40" s="263"/>
      <c r="M40" s="263"/>
      <c r="N40" s="263"/>
    </row>
    <row r="41" spans="1:14" ht="12.5">
      <c r="A41" s="2">
        <f t="shared" si="2"/>
        <v>30</v>
      </c>
      <c r="B41" s="727" t="s">
        <v>786</v>
      </c>
      <c r="C41" s="295">
        <v>9.75</v>
      </c>
      <c r="D41" s="268">
        <v>44417</v>
      </c>
      <c r="E41" s="495" t="s">
        <v>931</v>
      </c>
      <c r="F41" s="268">
        <v>44454</v>
      </c>
      <c r="G41" s="37">
        <f t="shared" si="3"/>
        <v>-37</v>
      </c>
      <c r="H41" s="44">
        <f t="shared" si="4"/>
        <v>-360.75</v>
      </c>
      <c r="J41" s="263"/>
      <c r="L41" s="263"/>
      <c r="M41" s="263"/>
      <c r="N41" s="263"/>
    </row>
    <row r="42" spans="1:14" ht="12.5">
      <c r="A42" s="2">
        <f t="shared" si="2"/>
        <v>31</v>
      </c>
      <c r="B42" s="2"/>
      <c r="C42" s="74"/>
      <c r="D42" s="268"/>
      <c r="E42" s="495"/>
      <c r="F42" s="268"/>
      <c r="G42" s="37"/>
      <c r="H42" s="179"/>
      <c r="J42" s="263"/>
      <c r="L42" s="263"/>
      <c r="M42" s="263"/>
      <c r="N42" s="263"/>
    </row>
    <row r="43" spans="1:8" ht="13" thickBot="1">
      <c r="A43" s="2">
        <f t="shared" si="2"/>
        <v>32</v>
      </c>
      <c r="B43" t="s">
        <v>311</v>
      </c>
      <c r="C43" s="361">
        <f>SUM(C12:C42)</f>
        <v>35433.639999999999</v>
      </c>
      <c r="G43" s="399">
        <f>+ROUND(H43/C43,2)</f>
        <v>-29.359999999999999</v>
      </c>
      <c r="H43" s="361">
        <f>SUM(H12:H42)</f>
        <v>-1040329.765</v>
      </c>
    </row>
    <row r="44" spans="1:7" ht="13" thickTop="1">
      <c r="A44" s="2">
        <f t="shared" si="2"/>
        <v>33</v>
      </c>
      <c r="G44" s="28"/>
    </row>
    <row r="45" spans="1:7" ht="12.5">
      <c r="A45" s="2">
        <f t="shared" si="2"/>
        <v>34</v>
      </c>
      <c r="B45" t="s">
        <v>256</v>
      </c>
      <c r="C45" s="293" t="s">
        <v>807</v>
      </c>
      <c r="G45" s="28"/>
    </row>
    <row r="46" spans="7:7" ht="12.5">
      <c r="G46" s="28"/>
    </row>
    <row r="47" spans="7:7" ht="12.5">
      <c r="G47" s="28"/>
    </row>
    <row r="48" spans="7:7" ht="12.5">
      <c r="G48" s="28"/>
    </row>
    <row r="49" spans="7:7" ht="12.5">
      <c r="G49" s="28"/>
    </row>
    <row r="50" spans="7:7" ht="12.5">
      <c r="G50" s="28"/>
    </row>
    <row r="51" spans="7:7" ht="12.5">
      <c r="G51" s="28"/>
    </row>
    <row r="52" spans="7:7" ht="12.5">
      <c r="G52" s="28"/>
    </row>
    <row r="53" spans="7:7" ht="12.5">
      <c r="G53" s="28"/>
    </row>
    <row r="54" spans="7:7" ht="12.5">
      <c r="G54" s="28"/>
    </row>
    <row r="55" spans="7:7" ht="12.5">
      <c r="G55" s="28"/>
    </row>
    <row r="56" spans="7:7" ht="12.5">
      <c r="G56" s="28"/>
    </row>
    <row r="57" spans="7:7" ht="12.5">
      <c r="G57" s="28"/>
    </row>
  </sheetData>
  <hyperlinks>
    <hyperlink ref="C45" r:id="rId1" display="3rd party O&amp;M - TRN sample 2021.xlsx"/>
  </hyperlinks>
  <printOptions horizontalCentered="1"/>
  <pageMargins left="0.5" right="0.5" top="1.5" bottom="0.5" header="1" footer="0.5"/>
  <pageSetup fitToHeight="3" orientation="landscape" r:id="rId2"/>
  <headerFooter alignWithMargins="0">
    <oddHeader>&amp;RWP/II-B-9/&amp;A
Page &amp;P of &amp;N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9">
    <tabColor rgb="FF92D050"/>
    <pageSetUpPr fitToPage="1"/>
  </sheetPr>
  <dimension ref="A1:N50"/>
  <sheetViews>
    <sheetView workbookViewId="0" topLeftCell="A1">
      <pane xSplit="1" ySplit="9" topLeftCell="B13" activePane="bottomRight" state="frozen"/>
      <selection pane="topLeft" activeCell="A2" sqref="A2"/>
      <selection pane="bottomLeft" activeCell="A2" sqref="A2"/>
      <selection pane="topRight" activeCell="A2" sqref="A2"/>
      <selection pane="bottomRight" activeCell="C26" sqref="C26"/>
    </sheetView>
  </sheetViews>
  <sheetFormatPr defaultRowHeight="12.75"/>
  <cols>
    <col min="1" max="1" width="8.85714285714286" style="2" customWidth="1"/>
    <col min="2" max="2" width="17.5714285714286" customWidth="1"/>
    <col min="3" max="3" width="14.4285714285714" style="94" bestFit="1" customWidth="1"/>
    <col min="4" max="4" width="11.4285714285714" bestFit="1" customWidth="1"/>
    <col min="5" max="5" width="23.8571428571429" customWidth="1"/>
    <col min="6" max="6" width="17.4285714285714" customWidth="1"/>
    <col min="7" max="7" width="11.4285714285714" style="264" customWidth="1"/>
    <col min="8" max="8" width="18.1428571428571" customWidth="1"/>
    <col min="9" max="9" width="14.1428571428571" customWidth="1"/>
  </cols>
  <sheetData>
    <row r="1" spans="1:5" s="74" customFormat="1" ht="13">
      <c r="A1" s="181" t="s">
        <v>530</v>
      </c>
      <c r="B1" s="181"/>
      <c r="C1" s="181"/>
      <c r="D1" s="181"/>
      <c r="E1" s="181"/>
    </row>
    <row r="2" spans="1:5" s="74" customFormat="1" ht="13">
      <c r="A2" s="181" t="str">
        <f>'1-1-3-1-1'!A2</f>
        <v>ONCOR ELECTRIC DELIVERY COMPANY LLC</v>
      </c>
      <c r="B2" s="181"/>
      <c r="C2" s="181"/>
      <c r="D2" s="181"/>
      <c r="E2" s="181"/>
    </row>
    <row r="3" spans="1:5" s="74" customFormat="1" ht="13">
      <c r="A3" s="181" t="s">
        <v>341</v>
      </c>
      <c r="B3" s="181"/>
      <c r="C3" s="181"/>
      <c r="D3" s="181"/>
      <c r="E3" s="181"/>
    </row>
    <row r="4" spans="1:5" s="74" customFormat="1" ht="13">
      <c r="A4" s="817" t="s">
        <v>929</v>
      </c>
      <c r="B4" s="181"/>
      <c r="C4" s="181"/>
      <c r="D4" s="181"/>
      <c r="E4" s="181"/>
    </row>
    <row r="5" spans="1:5" s="74" customFormat="1" ht="13">
      <c r="A5" s="181" t="s">
        <v>524</v>
      </c>
      <c r="B5" s="181"/>
      <c r="C5" s="181"/>
      <c r="D5" s="181"/>
      <c r="E5" s="181"/>
    </row>
    <row r="7" spans="1:9" ht="13">
      <c r="A7"/>
      <c r="B7" s="96"/>
      <c r="C7"/>
      <c r="D7" s="2"/>
      <c r="E7" s="2"/>
      <c r="F7" s="6" t="s">
        <v>227</v>
      </c>
      <c r="G7" s="266"/>
      <c r="H7" s="6"/>
      <c r="I7" s="6"/>
    </row>
    <row r="8" spans="1:9" ht="13">
      <c r="A8" s="6" t="s">
        <v>40</v>
      </c>
      <c r="B8" s="6"/>
      <c r="C8" s="265"/>
      <c r="D8" s="6" t="s">
        <v>330</v>
      </c>
      <c r="E8" s="6" t="s">
        <v>331</v>
      </c>
      <c r="F8" s="6" t="s">
        <v>229</v>
      </c>
      <c r="G8" s="266" t="s">
        <v>46</v>
      </c>
      <c r="H8" s="6" t="s">
        <v>230</v>
      </c>
      <c r="I8" s="6"/>
    </row>
    <row r="9" spans="1:9" ht="13">
      <c r="A9" s="57" t="s">
        <v>41</v>
      </c>
      <c r="B9" s="57" t="s">
        <v>231</v>
      </c>
      <c r="C9" s="315" t="s">
        <v>24</v>
      </c>
      <c r="D9" s="57" t="s">
        <v>113</v>
      </c>
      <c r="E9" s="57" t="s">
        <v>332</v>
      </c>
      <c r="F9" s="57" t="s">
        <v>113</v>
      </c>
      <c r="G9" s="267" t="s">
        <v>116</v>
      </c>
      <c r="H9" s="57" t="s">
        <v>116</v>
      </c>
      <c r="I9" s="22"/>
    </row>
    <row r="10" spans="1:9" s="1" customFormat="1" ht="12.5">
      <c r="A10" s="20"/>
      <c r="B10" s="20" t="s">
        <v>55</v>
      </c>
      <c r="C10" s="312" t="s">
        <v>56</v>
      </c>
      <c r="D10" s="20" t="s">
        <v>62</v>
      </c>
      <c r="E10" s="20" t="s">
        <v>57</v>
      </c>
      <c r="F10" s="20" t="s">
        <v>58</v>
      </c>
      <c r="G10" s="313" t="s">
        <v>59</v>
      </c>
      <c r="H10" s="20" t="s">
        <v>60</v>
      </c>
      <c r="I10" s="314"/>
    </row>
    <row r="11" spans="1:9" s="1" customFormat="1" ht="12.5">
      <c r="A11" s="20"/>
      <c r="B11" s="20"/>
      <c r="C11" s="312"/>
      <c r="D11" s="20"/>
      <c r="E11" s="20"/>
      <c r="F11" s="313"/>
      <c r="G11" s="20"/>
      <c r="H11" s="314"/>
      <c r="I11" s="20"/>
    </row>
    <row r="12" spans="1:14" s="230" customFormat="1" ht="12.5">
      <c r="A12" s="231">
        <v>1</v>
      </c>
      <c r="B12" s="727" t="s">
        <v>787</v>
      </c>
      <c r="C12" s="520">
        <v>19797.09</v>
      </c>
      <c r="D12" s="505">
        <v>44120</v>
      </c>
      <c r="E12" s="506" t="s">
        <v>931</v>
      </c>
      <c r="F12" s="505">
        <v>44149</v>
      </c>
      <c r="G12" s="504">
        <f>D12-F12</f>
        <v>-29</v>
      </c>
      <c r="H12" s="519">
        <f>IF(ISERR(G12*C12),"",G12*C12)</f>
        <v>-574115.60999999999</v>
      </c>
      <c r="J12" s="400"/>
      <c r="L12" s="400"/>
      <c r="M12" s="400"/>
      <c r="N12" s="400"/>
    </row>
    <row r="13" spans="1:14" ht="12.5">
      <c r="A13" s="2">
        <f>A12+1</f>
        <v>2</v>
      </c>
      <c r="B13" s="727" t="s">
        <v>788</v>
      </c>
      <c r="C13" s="507">
        <v>24566.040000000001</v>
      </c>
      <c r="D13" s="505">
        <v>44362.5</v>
      </c>
      <c r="E13" s="506" t="s">
        <v>931</v>
      </c>
      <c r="F13" s="505">
        <v>44422</v>
      </c>
      <c r="G13" s="504">
        <f t="shared" si="0" ref="G13:G31">D13-F13</f>
        <v>-59.5</v>
      </c>
      <c r="H13" s="114">
        <f t="shared" si="1" ref="H13:H31">IF(ISERR(G13*C13),"",G13*C13)</f>
        <v>-1461679.3800000001</v>
      </c>
      <c r="J13" s="263"/>
      <c r="L13" s="263"/>
      <c r="M13" s="263"/>
      <c r="N13" s="263"/>
    </row>
    <row r="14" spans="1:14" ht="12.5">
      <c r="A14" s="2">
        <f t="shared" si="2" ref="A14:A35">A13+1</f>
        <v>3</v>
      </c>
      <c r="B14" s="727" t="s">
        <v>789</v>
      </c>
      <c r="C14" s="507">
        <v>17310.080000000002</v>
      </c>
      <c r="D14" s="505">
        <v>44332</v>
      </c>
      <c r="E14" s="506" t="s">
        <v>931</v>
      </c>
      <c r="F14" s="505">
        <v>44347</v>
      </c>
      <c r="G14" s="504">
        <f t="shared" si="0"/>
        <v>-15</v>
      </c>
      <c r="H14" s="114">
        <f t="shared" si="1"/>
        <v>-259651.20000000001</v>
      </c>
      <c r="J14" s="263"/>
      <c r="L14" s="263"/>
      <c r="M14" s="263"/>
      <c r="N14" s="263"/>
    </row>
    <row r="15" spans="1:14" ht="12.5">
      <c r="A15" s="2">
        <f t="shared" si="2"/>
        <v>4</v>
      </c>
      <c r="B15" s="727" t="s">
        <v>790</v>
      </c>
      <c r="C15" s="507">
        <v>20209.400000000001</v>
      </c>
      <c r="D15" s="505">
        <v>44379</v>
      </c>
      <c r="E15" s="506" t="s">
        <v>931</v>
      </c>
      <c r="F15" s="505">
        <v>44440</v>
      </c>
      <c r="G15" s="504">
        <f t="shared" si="0"/>
        <v>-61</v>
      </c>
      <c r="H15" s="114">
        <f t="shared" si="1"/>
        <v>-1232773.4000000001</v>
      </c>
      <c r="J15" s="263"/>
      <c r="L15" s="263"/>
      <c r="M15" s="263"/>
      <c r="N15" s="263"/>
    </row>
    <row r="16" spans="1:14" ht="12.5">
      <c r="A16" s="2">
        <f t="shared" si="2"/>
        <v>5</v>
      </c>
      <c r="B16" s="727" t="s">
        <v>791</v>
      </c>
      <c r="C16" s="507">
        <v>19006.84</v>
      </c>
      <c r="D16" s="505">
        <v>44386.5</v>
      </c>
      <c r="E16" s="506" t="s">
        <v>931</v>
      </c>
      <c r="F16" s="505">
        <v>44419</v>
      </c>
      <c r="G16" s="504">
        <f t="shared" si="0"/>
        <v>-32.5</v>
      </c>
      <c r="H16" s="114">
        <f t="shared" si="1"/>
        <v>-617722.30000000005</v>
      </c>
      <c r="J16" s="263"/>
      <c r="L16" s="263"/>
      <c r="M16" s="263"/>
      <c r="N16" s="263"/>
    </row>
    <row r="17" spans="1:14" ht="12.5">
      <c r="A17" s="2">
        <f t="shared" si="2"/>
        <v>6</v>
      </c>
      <c r="B17" s="727" t="s">
        <v>792</v>
      </c>
      <c r="C17" s="507">
        <v>10326.549999999999</v>
      </c>
      <c r="D17" s="505">
        <v>44425.5</v>
      </c>
      <c r="E17" s="506" t="s">
        <v>931</v>
      </c>
      <c r="F17" s="505">
        <v>44466</v>
      </c>
      <c r="G17" s="504">
        <f t="shared" si="0"/>
        <v>-40.5</v>
      </c>
      <c r="H17" s="114">
        <f t="shared" si="1"/>
        <v>-418225.27499999997</v>
      </c>
      <c r="J17" s="263"/>
      <c r="L17" s="263"/>
      <c r="M17" s="263"/>
      <c r="N17" s="263"/>
    </row>
    <row r="18" spans="1:14" ht="12.5">
      <c r="A18" s="2">
        <f t="shared" si="2"/>
        <v>7</v>
      </c>
      <c r="B18" s="727" t="s">
        <v>793</v>
      </c>
      <c r="C18" s="507">
        <v>23479.419999999998</v>
      </c>
      <c r="D18" s="505">
        <v>44110.5</v>
      </c>
      <c r="E18" s="506" t="s">
        <v>931</v>
      </c>
      <c r="F18" s="505">
        <v>44150</v>
      </c>
      <c r="G18" s="504">
        <f t="shared" si="0"/>
        <v>-39.5</v>
      </c>
      <c r="H18" s="114">
        <f t="shared" si="1"/>
        <v>-927437.08999999997</v>
      </c>
      <c r="J18" s="263"/>
      <c r="L18" s="263"/>
      <c r="M18" s="263"/>
      <c r="N18" s="263"/>
    </row>
    <row r="19" spans="1:14" ht="12.5">
      <c r="A19" s="2">
        <f t="shared" si="2"/>
        <v>8</v>
      </c>
      <c r="B19" s="727" t="s">
        <v>794</v>
      </c>
      <c r="C19" s="507">
        <v>23610.799999999999</v>
      </c>
      <c r="D19" s="505">
        <v>44420.5</v>
      </c>
      <c r="E19" s="506" t="s">
        <v>931</v>
      </c>
      <c r="F19" s="505">
        <v>44463</v>
      </c>
      <c r="G19" s="504">
        <f t="shared" si="0"/>
        <v>-42.5</v>
      </c>
      <c r="H19" s="114">
        <f t="shared" si="1"/>
        <v>-1003459</v>
      </c>
      <c r="J19" s="263"/>
      <c r="L19" s="263"/>
      <c r="M19" s="263"/>
      <c r="N19" s="263"/>
    </row>
    <row r="20" spans="1:14" ht="12.5">
      <c r="A20" s="2">
        <f t="shared" si="2"/>
        <v>9</v>
      </c>
      <c r="B20" s="727" t="s">
        <v>795</v>
      </c>
      <c r="C20" s="507">
        <v>16691.200000000001</v>
      </c>
      <c r="D20" s="505">
        <v>44273</v>
      </c>
      <c r="E20" s="506" t="s">
        <v>931</v>
      </c>
      <c r="F20" s="505">
        <v>44309</v>
      </c>
      <c r="G20" s="504">
        <f t="shared" si="0"/>
        <v>-36</v>
      </c>
      <c r="H20" s="114">
        <f t="shared" si="1"/>
        <v>-600883.20000000007</v>
      </c>
      <c r="J20" s="263"/>
      <c r="L20" s="263"/>
      <c r="M20" s="263"/>
      <c r="N20" s="263"/>
    </row>
    <row r="21" spans="1:14" ht="12.5">
      <c r="A21" s="2">
        <f t="shared" si="2"/>
        <v>10</v>
      </c>
      <c r="B21" s="727" t="s">
        <v>796</v>
      </c>
      <c r="C21" s="507">
        <v>18524.150000000001</v>
      </c>
      <c r="D21" s="505">
        <v>44306.5</v>
      </c>
      <c r="E21" s="506" t="s">
        <v>931</v>
      </c>
      <c r="F21" s="505">
        <v>44346</v>
      </c>
      <c r="G21" s="504">
        <f t="shared" si="0"/>
        <v>-39.5</v>
      </c>
      <c r="H21" s="114">
        <f t="shared" si="1"/>
        <v>-731703.92500000005</v>
      </c>
      <c r="J21" s="263"/>
      <c r="L21" s="263"/>
      <c r="M21" s="263"/>
      <c r="N21" s="263"/>
    </row>
    <row r="22" spans="1:14" ht="12.5">
      <c r="A22" s="2">
        <f t="shared" si="2"/>
        <v>11</v>
      </c>
      <c r="B22" s="727" t="s">
        <v>797</v>
      </c>
      <c r="C22" s="507">
        <v>23127.610000000001</v>
      </c>
      <c r="D22" s="505">
        <v>44300.5</v>
      </c>
      <c r="E22" s="506" t="s">
        <v>931</v>
      </c>
      <c r="F22" s="505">
        <v>44337</v>
      </c>
      <c r="G22" s="504">
        <f t="shared" si="0"/>
        <v>-36.5</v>
      </c>
      <c r="H22" s="114">
        <f t="shared" si="1"/>
        <v>-844157.76500000001</v>
      </c>
      <c r="J22" s="263"/>
      <c r="L22" s="263"/>
      <c r="M22" s="263"/>
      <c r="N22" s="263"/>
    </row>
    <row r="23" spans="1:14" ht="12.5">
      <c r="A23" s="2">
        <f t="shared" si="2"/>
        <v>12</v>
      </c>
      <c r="B23" s="727" t="s">
        <v>798</v>
      </c>
      <c r="C23" s="507">
        <v>23050.099999999999</v>
      </c>
      <c r="D23" s="505">
        <v>44103.5</v>
      </c>
      <c r="E23" s="506" t="s">
        <v>931</v>
      </c>
      <c r="F23" s="505">
        <v>44143</v>
      </c>
      <c r="G23" s="504">
        <f t="shared" si="0"/>
        <v>-39.5</v>
      </c>
      <c r="H23" s="114">
        <f t="shared" si="1"/>
        <v>-910478.94999999995</v>
      </c>
      <c r="J23" s="263"/>
      <c r="L23" s="263"/>
      <c r="M23" s="263"/>
      <c r="N23" s="263"/>
    </row>
    <row r="24" spans="1:14" ht="12.5">
      <c r="A24" s="2">
        <f t="shared" si="2"/>
        <v>13</v>
      </c>
      <c r="B24" s="727" t="s">
        <v>799</v>
      </c>
      <c r="C24" s="507">
        <v>10800</v>
      </c>
      <c r="D24" s="505">
        <v>44362.5</v>
      </c>
      <c r="E24" s="506" t="s">
        <v>931</v>
      </c>
      <c r="F24" s="505">
        <v>44407</v>
      </c>
      <c r="G24" s="504">
        <f t="shared" si="0"/>
        <v>-44.5</v>
      </c>
      <c r="H24" s="114">
        <f t="shared" si="1"/>
        <v>-480600</v>
      </c>
      <c r="J24" s="263"/>
      <c r="L24" s="263"/>
      <c r="M24" s="263"/>
      <c r="N24" s="263"/>
    </row>
    <row r="25" spans="1:14" ht="12.5">
      <c r="A25" s="2">
        <f t="shared" si="2"/>
        <v>14</v>
      </c>
      <c r="B25" s="727" t="s">
        <v>800</v>
      </c>
      <c r="C25" s="507">
        <v>15036.91</v>
      </c>
      <c r="D25" s="505">
        <v>44236.5</v>
      </c>
      <c r="E25" s="506" t="s">
        <v>931</v>
      </c>
      <c r="F25" s="505">
        <v>44279</v>
      </c>
      <c r="G25" s="504">
        <f t="shared" si="0"/>
        <v>-42.5</v>
      </c>
      <c r="H25" s="114">
        <f t="shared" si="1"/>
        <v>-639068.67500000005</v>
      </c>
      <c r="J25" s="263"/>
      <c r="L25" s="263"/>
      <c r="M25" s="263"/>
      <c r="N25" s="263"/>
    </row>
    <row r="26" spans="1:14" ht="12.5">
      <c r="A26" s="2">
        <f t="shared" si="2"/>
        <v>15</v>
      </c>
      <c r="B26" s="727" t="s">
        <v>801</v>
      </c>
      <c r="C26" s="507">
        <v>13927.799999999999</v>
      </c>
      <c r="D26" s="505">
        <v>44325.5</v>
      </c>
      <c r="E26" s="506" t="s">
        <v>931</v>
      </c>
      <c r="F26" s="505">
        <v>44372</v>
      </c>
      <c r="G26" s="504">
        <f t="shared" si="0"/>
        <v>-46.5</v>
      </c>
      <c r="H26" s="114">
        <f t="shared" si="1"/>
        <v>-647642.69999999995</v>
      </c>
      <c r="J26" s="263"/>
      <c r="L26" s="263"/>
      <c r="M26" s="263"/>
      <c r="N26" s="263"/>
    </row>
    <row r="27" spans="1:14" ht="12.5">
      <c r="A27" s="2">
        <f t="shared" si="2"/>
        <v>16</v>
      </c>
      <c r="B27" s="727" t="s">
        <v>802</v>
      </c>
      <c r="C27" s="507">
        <v>19949.369999999999</v>
      </c>
      <c r="D27" s="505">
        <v>44225.5</v>
      </c>
      <c r="E27" s="506" t="s">
        <v>931</v>
      </c>
      <c r="F27" s="505">
        <v>44258</v>
      </c>
      <c r="G27" s="504">
        <f t="shared" si="0"/>
        <v>-32.5</v>
      </c>
      <c r="H27" s="114">
        <f t="shared" si="1"/>
        <v>-648354.52500000002</v>
      </c>
      <c r="J27" s="263"/>
      <c r="L27" s="263"/>
      <c r="M27" s="263"/>
      <c r="N27" s="263"/>
    </row>
    <row r="28" spans="1:14" ht="12.5">
      <c r="A28" s="2">
        <f t="shared" si="2"/>
        <v>17</v>
      </c>
      <c r="B28" s="727" t="s">
        <v>803</v>
      </c>
      <c r="C28" s="507">
        <v>15900</v>
      </c>
      <c r="D28" s="505">
        <v>44361</v>
      </c>
      <c r="E28" s="506" t="s">
        <v>321</v>
      </c>
      <c r="F28" s="505">
        <v>44399</v>
      </c>
      <c r="G28" s="504">
        <f t="shared" si="0"/>
        <v>-38</v>
      </c>
      <c r="H28" s="114">
        <f t="shared" si="1"/>
        <v>-604200</v>
      </c>
      <c r="J28" s="263"/>
      <c r="L28" s="263"/>
      <c r="M28" s="263"/>
      <c r="N28" s="263"/>
    </row>
    <row r="29" spans="1:14" ht="12.5">
      <c r="A29" s="2">
        <f t="shared" si="2"/>
        <v>18</v>
      </c>
      <c r="B29" s="727" t="s">
        <v>804</v>
      </c>
      <c r="C29" s="507">
        <v>18525</v>
      </c>
      <c r="D29" s="505">
        <v>44318</v>
      </c>
      <c r="E29" s="506" t="s">
        <v>931</v>
      </c>
      <c r="F29" s="505">
        <v>44140</v>
      </c>
      <c r="G29" s="504">
        <f t="shared" si="0"/>
        <v>178</v>
      </c>
      <c r="H29" s="114">
        <f t="shared" si="1"/>
        <v>3297450</v>
      </c>
      <c r="J29" s="263"/>
      <c r="L29" s="263"/>
      <c r="M29" s="263"/>
      <c r="N29" s="263"/>
    </row>
    <row r="30" spans="1:14" ht="12.5">
      <c r="A30" s="2">
        <f t="shared" si="2"/>
        <v>19</v>
      </c>
      <c r="B30" s="727" t="s">
        <v>805</v>
      </c>
      <c r="C30" s="507">
        <v>11259.73</v>
      </c>
      <c r="D30" s="505">
        <v>44224</v>
      </c>
      <c r="E30" s="506" t="s">
        <v>931</v>
      </c>
      <c r="F30" s="505">
        <v>44259</v>
      </c>
      <c r="G30" s="504">
        <f t="shared" si="0"/>
        <v>-35</v>
      </c>
      <c r="H30" s="114">
        <f t="shared" si="1"/>
        <v>-394090.54999999999</v>
      </c>
      <c r="J30" s="263"/>
      <c r="L30" s="263"/>
      <c r="M30" s="263"/>
      <c r="N30" s="263"/>
    </row>
    <row r="31" spans="1:14" ht="12.5">
      <c r="A31" s="2">
        <f t="shared" si="2"/>
        <v>20</v>
      </c>
      <c r="B31" s="727" t="s">
        <v>806</v>
      </c>
      <c r="C31" s="507">
        <v>14563.41</v>
      </c>
      <c r="D31" s="505">
        <v>44182</v>
      </c>
      <c r="E31" s="506" t="s">
        <v>931</v>
      </c>
      <c r="F31" s="505">
        <v>44216</v>
      </c>
      <c r="G31" s="504">
        <f t="shared" si="0"/>
        <v>-34</v>
      </c>
      <c r="H31" s="114">
        <f t="shared" si="1"/>
        <v>-495155.94</v>
      </c>
      <c r="J31" s="263"/>
      <c r="L31" s="263"/>
      <c r="M31" s="263"/>
      <c r="N31" s="263"/>
    </row>
    <row r="32" spans="1:14" ht="12.5">
      <c r="A32" s="2">
        <f t="shared" si="2"/>
        <v>21</v>
      </c>
      <c r="B32" s="2"/>
      <c r="C32" s="507"/>
      <c r="D32" s="505"/>
      <c r="E32" s="506"/>
      <c r="F32" s="505"/>
      <c r="G32" s="504"/>
      <c r="H32" s="114"/>
      <c r="J32" s="263"/>
      <c r="L32" s="263"/>
      <c r="M32" s="263"/>
      <c r="N32" s="263"/>
    </row>
    <row r="33" spans="1:14" ht="13" thickBot="1">
      <c r="A33" s="2">
        <f t="shared" si="2"/>
        <v>22</v>
      </c>
      <c r="B33" t="s">
        <v>26</v>
      </c>
      <c r="C33" s="361">
        <f>SUM(C12:C32)</f>
        <v>359661.49999999994</v>
      </c>
      <c r="G33" s="399">
        <f>+ROUND(H33/C33,2)</f>
        <v>-28.34</v>
      </c>
      <c r="H33" s="361">
        <f>SUM(H12:H32)</f>
        <v>-10193949.485000001</v>
      </c>
      <c r="J33" s="263"/>
      <c r="L33" s="263"/>
      <c r="M33" s="263"/>
      <c r="N33" s="263"/>
    </row>
    <row r="34" spans="1:7" ht="13" thickTop="1">
      <c r="A34" s="2">
        <f t="shared" si="2"/>
        <v>23</v>
      </c>
      <c r="G34" s="28"/>
    </row>
    <row r="35" spans="1:7" ht="12.5">
      <c r="A35" s="2">
        <f t="shared" si="2"/>
        <v>24</v>
      </c>
      <c r="B35" t="s">
        <v>256</v>
      </c>
      <c r="C35" s="293" t="s">
        <v>807</v>
      </c>
      <c r="G35" s="28"/>
    </row>
    <row r="36" spans="7:7" ht="12.5">
      <c r="G36" s="28"/>
    </row>
    <row r="37" spans="7:7" ht="12.5">
      <c r="G37" s="28"/>
    </row>
    <row r="38" spans="7:7" ht="12.5">
      <c r="G38" s="28"/>
    </row>
    <row r="39" spans="7:7" ht="12.5">
      <c r="G39" s="28"/>
    </row>
    <row r="40" spans="7:7" ht="12.5">
      <c r="G40" s="28"/>
    </row>
    <row r="41" spans="7:7" ht="12.5">
      <c r="G41" s="28"/>
    </row>
    <row r="42" spans="7:7" ht="12.5">
      <c r="G42" s="28"/>
    </row>
    <row r="43" spans="7:7" ht="12.5">
      <c r="G43" s="28"/>
    </row>
    <row r="44" spans="7:7" ht="12.5">
      <c r="G44" s="28"/>
    </row>
    <row r="45" spans="7:7" ht="12.5">
      <c r="G45" s="28"/>
    </row>
    <row r="46" spans="7:7" ht="12.5">
      <c r="G46" s="28"/>
    </row>
    <row r="47" spans="7:7" ht="12.5">
      <c r="G47" s="28"/>
    </row>
    <row r="48" spans="7:7" ht="12.5">
      <c r="G48" s="28"/>
    </row>
    <row r="49" spans="7:7" ht="12.5">
      <c r="G49" s="28"/>
    </row>
    <row r="50" spans="7:7" ht="12.5">
      <c r="G50" s="28"/>
    </row>
  </sheetData>
  <hyperlinks>
    <hyperlink ref="C35" r:id="rId1" display="3rd party O&amp;M - TRN sample 2021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  <rowBreaks count="1" manualBreakCount="1">
    <brk id="29" max="7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4">
    <tabColor rgb="FF92D050"/>
  </sheetPr>
  <dimension ref="A1:N96"/>
  <sheetViews>
    <sheetView zoomScaleSheetLayoutView="100" workbookViewId="0" topLeftCell="A1">
      <pane xSplit="1" ySplit="9" topLeftCell="B73" activePane="bottomRight" state="frozen"/>
      <selection pane="topLeft" activeCell="A2" sqref="A2"/>
      <selection pane="bottomLeft" activeCell="A2" sqref="A2"/>
      <selection pane="topRight" activeCell="A2" sqref="A2"/>
      <selection pane="bottomRight" activeCell="C81" sqref="C81"/>
    </sheetView>
  </sheetViews>
  <sheetFormatPr defaultRowHeight="12.75"/>
  <cols>
    <col min="1" max="1" width="8.85714285714286" style="2" customWidth="1"/>
    <col min="2" max="2" width="18.1428571428571" customWidth="1"/>
    <col min="3" max="3" width="14.8571428571429" style="94" bestFit="1" customWidth="1"/>
    <col min="4" max="4" width="11.5714285714286" bestFit="1" customWidth="1"/>
    <col min="5" max="5" width="23.8571428571429" customWidth="1"/>
    <col min="6" max="6" width="17.4285714285714" customWidth="1"/>
    <col min="7" max="7" width="11.4285714285714" style="264" customWidth="1"/>
    <col min="8" max="8" width="18.1428571428571" customWidth="1"/>
    <col min="9" max="9" width="14.1428571428571" customWidth="1"/>
  </cols>
  <sheetData>
    <row r="1" spans="1:5" s="295" customFormat="1" ht="13">
      <c r="A1" s="181" t="s">
        <v>530</v>
      </c>
      <c r="B1" s="181"/>
      <c r="C1" s="181"/>
      <c r="D1" s="181"/>
      <c r="E1" s="181"/>
    </row>
    <row r="2" spans="1:5" s="295" customFormat="1" ht="13">
      <c r="A2" s="181" t="str">
        <f>'1-1-3-1-1'!A2</f>
        <v>ONCOR ELECTRIC DELIVERY COMPANY LLC</v>
      </c>
      <c r="B2" s="181"/>
      <c r="C2" s="181"/>
      <c r="D2" s="181"/>
      <c r="E2" s="181"/>
    </row>
    <row r="3" spans="1:5" s="295" customFormat="1" ht="13">
      <c r="A3" s="181" t="s">
        <v>340</v>
      </c>
      <c r="B3" s="181"/>
      <c r="C3" s="181"/>
      <c r="D3" s="181"/>
      <c r="E3" s="181"/>
    </row>
    <row r="4" spans="1:5" s="295" customFormat="1" ht="13">
      <c r="A4" s="817" t="s">
        <v>929</v>
      </c>
      <c r="B4" s="181"/>
      <c r="C4" s="181"/>
      <c r="D4" s="181"/>
      <c r="E4" s="181"/>
    </row>
    <row r="5" spans="1:5" s="295" customFormat="1" ht="13">
      <c r="A5" s="181" t="s">
        <v>524</v>
      </c>
      <c r="B5" s="181"/>
      <c r="C5" s="181"/>
      <c r="D5" s="181"/>
      <c r="E5" s="181"/>
    </row>
    <row r="7" spans="1:9" ht="13">
      <c r="A7"/>
      <c r="B7" s="96"/>
      <c r="C7"/>
      <c r="D7" s="2"/>
      <c r="E7" s="2"/>
      <c r="F7" s="6" t="s">
        <v>227</v>
      </c>
      <c r="G7" s="266"/>
      <c r="H7" s="6"/>
      <c r="I7" s="6"/>
    </row>
    <row r="8" spans="1:9" ht="13">
      <c r="A8" s="6" t="s">
        <v>40</v>
      </c>
      <c r="B8" s="6"/>
      <c r="C8" s="265"/>
      <c r="D8" s="6" t="s">
        <v>330</v>
      </c>
      <c r="E8" s="6" t="s">
        <v>331</v>
      </c>
      <c r="F8" s="6" t="s">
        <v>229</v>
      </c>
      <c r="G8" s="266" t="s">
        <v>46</v>
      </c>
      <c r="H8" s="6" t="s">
        <v>230</v>
      </c>
      <c r="I8" s="6"/>
    </row>
    <row r="9" spans="1:9" ht="13">
      <c r="A9" s="57" t="s">
        <v>41</v>
      </c>
      <c r="B9" s="57" t="s">
        <v>231</v>
      </c>
      <c r="C9" s="315" t="s">
        <v>24</v>
      </c>
      <c r="D9" s="57" t="s">
        <v>113</v>
      </c>
      <c r="E9" s="57" t="s">
        <v>332</v>
      </c>
      <c r="F9" s="57" t="s">
        <v>113</v>
      </c>
      <c r="G9" s="267" t="s">
        <v>116</v>
      </c>
      <c r="H9" s="57" t="s">
        <v>116</v>
      </c>
      <c r="I9" s="22"/>
    </row>
    <row r="10" spans="1:9" s="1" customFormat="1" ht="12.5">
      <c r="A10" s="20"/>
      <c r="B10" s="20" t="s">
        <v>55</v>
      </c>
      <c r="C10" s="312" t="s">
        <v>56</v>
      </c>
      <c r="D10" s="20" t="s">
        <v>62</v>
      </c>
      <c r="E10" s="20" t="s">
        <v>57</v>
      </c>
      <c r="F10" s="20" t="s">
        <v>58</v>
      </c>
      <c r="G10" s="313" t="s">
        <v>59</v>
      </c>
      <c r="H10" s="20" t="s">
        <v>60</v>
      </c>
      <c r="I10" s="314"/>
    </row>
    <row r="11" spans="1:9" s="1" customFormat="1" ht="12.5">
      <c r="A11" s="20"/>
      <c r="B11" s="20"/>
      <c r="C11" s="312"/>
      <c r="D11" s="20"/>
      <c r="E11" s="20"/>
      <c r="F11" s="313"/>
      <c r="G11" s="20"/>
      <c r="H11" s="314"/>
      <c r="I11" s="20"/>
    </row>
    <row r="12" spans="1:14" ht="12.5">
      <c r="A12" s="2">
        <v>1</v>
      </c>
      <c r="B12" s="727" t="s">
        <v>691</v>
      </c>
      <c r="C12" s="176">
        <v>32538.220000000001</v>
      </c>
      <c r="D12" s="268">
        <v>44089.5</v>
      </c>
      <c r="E12" s="495" t="s">
        <v>931</v>
      </c>
      <c r="F12" s="268">
        <v>44155</v>
      </c>
      <c r="G12" s="37">
        <f>D12-F12</f>
        <v>-65.5</v>
      </c>
      <c r="H12" s="36">
        <f>IF(ISERR(G12*C12),"",G12*C12)</f>
        <v>-2131253.4100000001</v>
      </c>
      <c r="I12" s="94"/>
      <c r="J12" s="263"/>
      <c r="L12" s="263"/>
      <c r="M12" s="263"/>
      <c r="N12" s="263"/>
    </row>
    <row r="13" spans="1:14" ht="12.5">
      <c r="A13" s="2">
        <f t="shared" si="0" ref="A13:A44">+A12+1</f>
        <v>2</v>
      </c>
      <c r="B13" s="727" t="s">
        <v>692</v>
      </c>
      <c r="C13" s="295">
        <v>77700</v>
      </c>
      <c r="D13" s="268">
        <v>44096</v>
      </c>
      <c r="E13" s="495" t="s">
        <v>321</v>
      </c>
      <c r="F13" s="268">
        <v>44126</v>
      </c>
      <c r="G13" s="37">
        <f>D13-F13</f>
        <v>-30</v>
      </c>
      <c r="H13" s="44">
        <f>IF(ISERR(G13*C13),"",G13*C13)</f>
        <v>-2331000</v>
      </c>
      <c r="I13" s="94"/>
      <c r="J13" s="263"/>
      <c r="L13" s="263"/>
      <c r="M13" s="263"/>
      <c r="N13" s="263"/>
    </row>
    <row r="14" spans="1:14" ht="12.5">
      <c r="A14" s="2">
        <f t="shared" si="0"/>
        <v>3</v>
      </c>
      <c r="B14" s="727" t="s">
        <v>693</v>
      </c>
      <c r="C14" s="295">
        <v>270108</v>
      </c>
      <c r="D14" s="268">
        <v>44103.5</v>
      </c>
      <c r="E14" s="495" t="s">
        <v>931</v>
      </c>
      <c r="F14" s="268">
        <v>44142</v>
      </c>
      <c r="G14" s="37">
        <f t="shared" si="1" ref="G14:G47">D14-F14</f>
        <v>-38.5</v>
      </c>
      <c r="H14" s="44">
        <f t="shared" si="2" ref="H14:H47">IF(ISERR(G14*C14),"",G14*C14)</f>
        <v>-10399158</v>
      </c>
      <c r="I14" s="94"/>
      <c r="J14" s="263"/>
      <c r="L14" s="263"/>
      <c r="M14" s="263"/>
      <c r="N14" s="263"/>
    </row>
    <row r="15" spans="1:14" ht="12.5">
      <c r="A15" s="2">
        <f t="shared" si="0"/>
        <v>4</v>
      </c>
      <c r="B15" s="727" t="s">
        <v>694</v>
      </c>
      <c r="C15" s="295">
        <v>70000</v>
      </c>
      <c r="D15" s="268">
        <v>44143.5</v>
      </c>
      <c r="E15" s="495" t="s">
        <v>931</v>
      </c>
      <c r="F15" s="268">
        <v>44177</v>
      </c>
      <c r="G15" s="37">
        <f t="shared" si="1"/>
        <v>-33.5</v>
      </c>
      <c r="H15" s="44">
        <f t="shared" si="2"/>
        <v>-2345000</v>
      </c>
      <c r="I15" s="94"/>
      <c r="J15" s="263"/>
      <c r="L15" s="263"/>
      <c r="M15" s="263"/>
      <c r="N15" s="263"/>
    </row>
    <row r="16" spans="1:14" ht="12.5">
      <c r="A16" s="2">
        <f t="shared" si="0"/>
        <v>5</v>
      </c>
      <c r="B16" s="727" t="s">
        <v>695</v>
      </c>
      <c r="C16" s="295">
        <v>80504.059999999998</v>
      </c>
      <c r="D16" s="268">
        <v>44089.5</v>
      </c>
      <c r="E16" s="495" t="s">
        <v>931</v>
      </c>
      <c r="F16" s="268">
        <v>44157</v>
      </c>
      <c r="G16" s="37">
        <f t="shared" si="1"/>
        <v>-67.5</v>
      </c>
      <c r="H16" s="44">
        <f t="shared" si="2"/>
        <v>-5434024.0499999998</v>
      </c>
      <c r="I16" s="94"/>
      <c r="J16" s="263"/>
      <c r="L16" s="263"/>
      <c r="M16" s="263"/>
      <c r="N16" s="263"/>
    </row>
    <row r="17" spans="1:14" ht="12.5">
      <c r="A17" s="2">
        <f t="shared" si="0"/>
        <v>6</v>
      </c>
      <c r="B17" s="727" t="s">
        <v>696</v>
      </c>
      <c r="C17" s="295">
        <v>29600</v>
      </c>
      <c r="D17" s="268">
        <v>44334</v>
      </c>
      <c r="E17" s="495" t="s">
        <v>321</v>
      </c>
      <c r="F17" s="268">
        <v>44364</v>
      </c>
      <c r="G17" s="37">
        <f t="shared" si="1"/>
        <v>-30</v>
      </c>
      <c r="H17" s="44">
        <f t="shared" si="2"/>
        <v>-888000</v>
      </c>
      <c r="I17" s="94"/>
      <c r="J17" s="263"/>
      <c r="L17" s="263"/>
      <c r="M17" s="263"/>
      <c r="N17" s="263"/>
    </row>
    <row r="18" spans="1:14" ht="12.5">
      <c r="A18" s="2">
        <f t="shared" si="0"/>
        <v>7</v>
      </c>
      <c r="B18" s="727" t="s">
        <v>697</v>
      </c>
      <c r="C18" s="295">
        <v>95242.600000000006</v>
      </c>
      <c r="D18" s="268">
        <v>44362.5</v>
      </c>
      <c r="E18" s="495" t="s">
        <v>932</v>
      </c>
      <c r="F18" s="268">
        <v>44392</v>
      </c>
      <c r="G18" s="37">
        <f t="shared" si="1"/>
        <v>-29.5</v>
      </c>
      <c r="H18" s="44">
        <f t="shared" si="2"/>
        <v>-2809656.7000000002</v>
      </c>
      <c r="I18" s="94"/>
      <c r="J18" s="263"/>
      <c r="L18" s="263"/>
      <c r="M18" s="263"/>
      <c r="N18" s="263"/>
    </row>
    <row r="19" spans="1:14" ht="12.5">
      <c r="A19" s="2">
        <f t="shared" si="0"/>
        <v>8</v>
      </c>
      <c r="B19" s="727" t="s">
        <v>698</v>
      </c>
      <c r="C19" s="295">
        <v>276269.12</v>
      </c>
      <c r="D19" s="268">
        <v>44258</v>
      </c>
      <c r="E19" s="495" t="s">
        <v>931</v>
      </c>
      <c r="F19" s="268">
        <v>44264</v>
      </c>
      <c r="G19" s="37">
        <f t="shared" si="1"/>
        <v>-6</v>
      </c>
      <c r="H19" s="44">
        <f t="shared" si="2"/>
        <v>-1657614.72</v>
      </c>
      <c r="I19" s="94"/>
      <c r="J19" s="263"/>
      <c r="L19" s="263"/>
      <c r="M19" s="263"/>
      <c r="N19" s="263"/>
    </row>
    <row r="20" spans="1:14" ht="12.5">
      <c r="A20" s="2">
        <f t="shared" si="0"/>
        <v>9</v>
      </c>
      <c r="B20" s="727" t="s">
        <v>699</v>
      </c>
      <c r="C20" s="295">
        <v>27318.450000000001</v>
      </c>
      <c r="D20" s="268">
        <v>44485</v>
      </c>
      <c r="E20" s="495" t="s">
        <v>931</v>
      </c>
      <c r="F20" s="268">
        <v>44484</v>
      </c>
      <c r="G20" s="37">
        <f t="shared" si="1"/>
        <v>1</v>
      </c>
      <c r="H20" s="44">
        <f t="shared" si="2"/>
        <v>27318.450000000001</v>
      </c>
      <c r="I20" s="94"/>
      <c r="J20" s="263"/>
      <c r="L20" s="263"/>
      <c r="M20" s="263"/>
      <c r="N20" s="263"/>
    </row>
    <row r="21" spans="1:14" ht="12.5">
      <c r="A21" s="2">
        <f t="shared" si="0"/>
        <v>10</v>
      </c>
      <c r="B21" s="727" t="s">
        <v>700</v>
      </c>
      <c r="C21" s="295">
        <v>31638.970000000001</v>
      </c>
      <c r="D21" s="268">
        <v>44393</v>
      </c>
      <c r="E21" s="495" t="s">
        <v>931</v>
      </c>
      <c r="F21" s="268">
        <v>44422</v>
      </c>
      <c r="G21" s="37">
        <f t="shared" si="1"/>
        <v>-29</v>
      </c>
      <c r="H21" s="44">
        <f t="shared" si="2"/>
        <v>-917530.13</v>
      </c>
      <c r="I21" s="94"/>
      <c r="J21" s="263"/>
      <c r="L21" s="263"/>
      <c r="M21" s="263"/>
      <c r="N21" s="263"/>
    </row>
    <row r="22" spans="1:14" ht="12.5">
      <c r="A22" s="2">
        <f t="shared" si="0"/>
        <v>11</v>
      </c>
      <c r="B22" s="727" t="s">
        <v>701</v>
      </c>
      <c r="C22" s="295">
        <v>246280.95000000001</v>
      </c>
      <c r="D22" s="268">
        <v>44416</v>
      </c>
      <c r="E22" s="495" t="s">
        <v>931</v>
      </c>
      <c r="F22" s="268">
        <v>44473</v>
      </c>
      <c r="G22" s="37">
        <f t="shared" si="1"/>
        <v>-57</v>
      </c>
      <c r="H22" s="44">
        <f t="shared" si="2"/>
        <v>-14038014.15</v>
      </c>
      <c r="I22" s="94"/>
      <c r="J22" s="263"/>
      <c r="L22" s="263"/>
      <c r="M22" s="263"/>
      <c r="N22" s="263"/>
    </row>
    <row r="23" spans="1:14" ht="12.5">
      <c r="A23" s="2">
        <f t="shared" si="0"/>
        <v>12</v>
      </c>
      <c r="B23" s="727" t="s">
        <v>702</v>
      </c>
      <c r="C23" s="295">
        <v>33871.43</v>
      </c>
      <c r="D23" s="268">
        <v>44176</v>
      </c>
      <c r="E23" s="495" t="s">
        <v>321</v>
      </c>
      <c r="F23" s="268">
        <v>44206</v>
      </c>
      <c r="G23" s="37">
        <f t="shared" si="1"/>
        <v>-30</v>
      </c>
      <c r="H23" s="44">
        <f t="shared" si="2"/>
        <v>-1016142.9</v>
      </c>
      <c r="I23" s="94"/>
      <c r="J23" s="263"/>
      <c r="L23" s="263"/>
      <c r="M23" s="263"/>
      <c r="N23" s="263"/>
    </row>
    <row r="24" spans="1:14" ht="12.5">
      <c r="A24" s="2">
        <f t="shared" si="0"/>
        <v>13</v>
      </c>
      <c r="B24" s="727" t="s">
        <v>703</v>
      </c>
      <c r="C24" s="295">
        <v>28807.900000000001</v>
      </c>
      <c r="D24" s="268">
        <v>44229</v>
      </c>
      <c r="E24" s="495" t="s">
        <v>931</v>
      </c>
      <c r="F24" s="268">
        <v>44279</v>
      </c>
      <c r="G24" s="37">
        <f t="shared" si="1"/>
        <v>-50</v>
      </c>
      <c r="H24" s="44">
        <f t="shared" si="2"/>
        <v>-1440395</v>
      </c>
      <c r="I24" s="94"/>
      <c r="J24" s="263"/>
      <c r="L24" s="263"/>
      <c r="M24" s="263"/>
      <c r="N24" s="263"/>
    </row>
    <row r="25" spans="1:14" ht="12.5">
      <c r="A25" s="2">
        <f t="shared" si="0"/>
        <v>14</v>
      </c>
      <c r="B25" s="727" t="s">
        <v>704</v>
      </c>
      <c r="C25" s="295">
        <v>28052.16</v>
      </c>
      <c r="D25" s="268">
        <v>44399.5</v>
      </c>
      <c r="E25" s="495" t="s">
        <v>931</v>
      </c>
      <c r="F25" s="268">
        <v>44433</v>
      </c>
      <c r="G25" s="37">
        <f t="shared" si="1"/>
        <v>-33.5</v>
      </c>
      <c r="H25" s="44">
        <f t="shared" si="2"/>
        <v>-939747.35999999999</v>
      </c>
      <c r="I25" s="94"/>
      <c r="J25" s="263"/>
      <c r="L25" s="263"/>
      <c r="M25" s="263"/>
      <c r="N25" s="263"/>
    </row>
    <row r="26" spans="1:14" s="230" customFormat="1" ht="12.5">
      <c r="A26" s="231">
        <f t="shared" si="0"/>
        <v>15</v>
      </c>
      <c r="B26" s="727" t="s">
        <v>705</v>
      </c>
      <c r="C26" s="295">
        <v>70000</v>
      </c>
      <c r="D26" s="268">
        <v>44271</v>
      </c>
      <c r="E26" s="495" t="s">
        <v>931</v>
      </c>
      <c r="F26" s="268">
        <v>44324</v>
      </c>
      <c r="G26" s="37">
        <f>D26-F26</f>
        <v>-53</v>
      </c>
      <c r="H26" s="44">
        <f>IF(ISERR(G26*C26),"",G26*C26)</f>
        <v>-3710000</v>
      </c>
      <c r="I26" s="94"/>
      <c r="J26" s="400"/>
      <c r="L26" s="400"/>
      <c r="M26" s="400"/>
      <c r="N26" s="400"/>
    </row>
    <row r="27" spans="1:14" ht="12.5">
      <c r="A27" s="2">
        <f t="shared" si="0"/>
        <v>16</v>
      </c>
      <c r="B27" s="727" t="s">
        <v>706</v>
      </c>
      <c r="C27" s="295">
        <v>27000.98</v>
      </c>
      <c r="D27" s="268">
        <v>44109</v>
      </c>
      <c r="E27" s="495" t="s">
        <v>931</v>
      </c>
      <c r="F27" s="268">
        <v>44154</v>
      </c>
      <c r="G27" s="37">
        <f t="shared" si="1"/>
        <v>-45</v>
      </c>
      <c r="H27" s="44">
        <f t="shared" si="2"/>
        <v>-1215044.1000000001</v>
      </c>
      <c r="I27" s="94"/>
      <c r="J27" s="263"/>
      <c r="L27" s="263"/>
      <c r="M27" s="263"/>
      <c r="N27" s="263"/>
    </row>
    <row r="28" spans="1:14" ht="12.5">
      <c r="A28" s="2">
        <f t="shared" si="0"/>
        <v>17</v>
      </c>
      <c r="B28" s="727" t="s">
        <v>707</v>
      </c>
      <c r="C28" s="295">
        <v>29169.200000000001</v>
      </c>
      <c r="D28" s="268">
        <v>44340</v>
      </c>
      <c r="E28" s="495" t="s">
        <v>931</v>
      </c>
      <c r="F28" s="268">
        <v>44440</v>
      </c>
      <c r="G28" s="37">
        <f t="shared" si="1"/>
        <v>-100</v>
      </c>
      <c r="H28" s="44">
        <f t="shared" si="2"/>
        <v>-2916920</v>
      </c>
      <c r="I28" s="94"/>
      <c r="J28" s="263"/>
      <c r="L28" s="263"/>
      <c r="M28" s="263"/>
      <c r="N28" s="263"/>
    </row>
    <row r="29" spans="1:14" ht="12.5">
      <c r="A29" s="2">
        <f t="shared" si="0"/>
        <v>18</v>
      </c>
      <c r="B29" s="727" t="s">
        <v>708</v>
      </c>
      <c r="C29" s="295">
        <v>43264.620000000003</v>
      </c>
      <c r="D29" s="268">
        <v>44186</v>
      </c>
      <c r="E29" s="495" t="s">
        <v>321</v>
      </c>
      <c r="F29" s="268">
        <v>44216</v>
      </c>
      <c r="G29" s="37">
        <f t="shared" si="1"/>
        <v>-30</v>
      </c>
      <c r="H29" s="44">
        <f t="shared" si="2"/>
        <v>-1297938.6000000001</v>
      </c>
      <c r="I29" s="94"/>
      <c r="J29" s="263"/>
      <c r="L29" s="263"/>
      <c r="M29" s="263"/>
      <c r="N29" s="263"/>
    </row>
    <row r="30" spans="1:14" ht="12.5">
      <c r="A30" s="2">
        <f t="shared" si="0"/>
        <v>19</v>
      </c>
      <c r="B30" s="727" t="s">
        <v>709</v>
      </c>
      <c r="C30" s="295">
        <v>51772.629999999997</v>
      </c>
      <c r="D30" s="268">
        <v>44238.5</v>
      </c>
      <c r="E30" s="495" t="s">
        <v>931</v>
      </c>
      <c r="F30" s="268">
        <v>44273</v>
      </c>
      <c r="G30" s="37">
        <f t="shared" si="1"/>
        <v>-34.5</v>
      </c>
      <c r="H30" s="44">
        <f t="shared" si="2"/>
        <v>-1786155.7349999999</v>
      </c>
      <c r="I30" s="94"/>
      <c r="J30" s="263"/>
      <c r="L30" s="263"/>
      <c r="M30" s="263"/>
      <c r="N30" s="263"/>
    </row>
    <row r="31" spans="1:14" ht="12.5">
      <c r="A31" s="2">
        <f t="shared" si="0"/>
        <v>20</v>
      </c>
      <c r="B31" s="727" t="s">
        <v>710</v>
      </c>
      <c r="C31" s="295">
        <v>65409.599999999999</v>
      </c>
      <c r="D31" s="268">
        <v>44195</v>
      </c>
      <c r="E31" s="495" t="s">
        <v>931</v>
      </c>
      <c r="F31" s="268">
        <v>44223</v>
      </c>
      <c r="G31" s="37">
        <f t="shared" si="1"/>
        <v>-28</v>
      </c>
      <c r="H31" s="44">
        <f t="shared" si="2"/>
        <v>-1831468.8000000001</v>
      </c>
      <c r="I31" s="94"/>
      <c r="J31" s="263"/>
      <c r="L31" s="263"/>
      <c r="M31" s="263"/>
      <c r="N31" s="263"/>
    </row>
    <row r="32" spans="1:14" ht="12.5">
      <c r="A32" s="2">
        <f t="shared" si="0"/>
        <v>21</v>
      </c>
      <c r="B32" s="727" t="s">
        <v>711</v>
      </c>
      <c r="C32" s="295">
        <v>30000</v>
      </c>
      <c r="D32" s="268">
        <v>44164</v>
      </c>
      <c r="E32" s="495" t="s">
        <v>931</v>
      </c>
      <c r="F32" s="268">
        <v>44209</v>
      </c>
      <c r="G32" s="37">
        <f t="shared" si="1"/>
        <v>-45</v>
      </c>
      <c r="H32" s="44">
        <f t="shared" si="2"/>
        <v>-1350000</v>
      </c>
      <c r="I32" s="94"/>
      <c r="J32" s="263"/>
      <c r="L32" s="263"/>
      <c r="M32" s="263"/>
      <c r="N32" s="263"/>
    </row>
    <row r="33" spans="1:14" ht="12.5">
      <c r="A33" s="2">
        <f t="shared" si="0"/>
        <v>22</v>
      </c>
      <c r="B33" s="727" t="s">
        <v>712</v>
      </c>
      <c r="C33" s="295">
        <v>26086.720000000001</v>
      </c>
      <c r="D33" s="268">
        <v>44376.5</v>
      </c>
      <c r="E33" s="495" t="s">
        <v>931</v>
      </c>
      <c r="F33" s="268">
        <v>44416</v>
      </c>
      <c r="G33" s="37">
        <f t="shared" si="1"/>
        <v>-39.5</v>
      </c>
      <c r="H33" s="44">
        <f t="shared" si="2"/>
        <v>-1030425.4400000001</v>
      </c>
      <c r="I33" s="94"/>
      <c r="J33" s="263"/>
      <c r="L33" s="263"/>
      <c r="M33" s="263"/>
      <c r="N33" s="263"/>
    </row>
    <row r="34" spans="1:14" ht="12.5">
      <c r="A34" s="2">
        <f t="shared" si="0"/>
        <v>23</v>
      </c>
      <c r="B34" s="727" t="s">
        <v>713</v>
      </c>
      <c r="C34" s="295">
        <v>84035.110000000001</v>
      </c>
      <c r="D34" s="268">
        <v>44183</v>
      </c>
      <c r="E34" s="495" t="s">
        <v>321</v>
      </c>
      <c r="F34" s="268">
        <v>44213</v>
      </c>
      <c r="G34" s="37">
        <f t="shared" si="1"/>
        <v>-30</v>
      </c>
      <c r="H34" s="44">
        <f t="shared" si="2"/>
        <v>-2521053.2999999998</v>
      </c>
      <c r="I34" s="94"/>
      <c r="J34" s="263"/>
      <c r="L34" s="263"/>
      <c r="M34" s="263"/>
      <c r="N34" s="263"/>
    </row>
    <row r="35" spans="1:14" ht="12.5">
      <c r="A35" s="2">
        <f t="shared" si="0"/>
        <v>24</v>
      </c>
      <c r="B35" s="727" t="s">
        <v>714</v>
      </c>
      <c r="C35" s="295">
        <v>60000</v>
      </c>
      <c r="D35" s="268">
        <v>44438</v>
      </c>
      <c r="E35" s="495" t="s">
        <v>931</v>
      </c>
      <c r="F35" s="268">
        <v>44239</v>
      </c>
      <c r="G35" s="37">
        <f t="shared" si="1"/>
        <v>199</v>
      </c>
      <c r="H35" s="44">
        <f t="shared" si="2"/>
        <v>11940000</v>
      </c>
      <c r="I35" s="94"/>
      <c r="J35" s="263"/>
      <c r="L35" s="263"/>
      <c r="M35" s="263"/>
      <c r="N35" s="263"/>
    </row>
    <row r="36" spans="1:14" ht="12.5">
      <c r="A36" s="2">
        <f t="shared" si="0"/>
        <v>25</v>
      </c>
      <c r="B36" s="727" t="s">
        <v>715</v>
      </c>
      <c r="C36" s="295">
        <v>26522.77</v>
      </c>
      <c r="D36" s="268">
        <v>44212</v>
      </c>
      <c r="E36" s="495" t="s">
        <v>931</v>
      </c>
      <c r="F36" s="268">
        <v>44231</v>
      </c>
      <c r="G36" s="37">
        <f t="shared" si="1"/>
        <v>-19</v>
      </c>
      <c r="H36" s="44">
        <f t="shared" si="2"/>
        <v>-503932.63</v>
      </c>
      <c r="I36" s="94"/>
      <c r="J36" s="263"/>
      <c r="L36" s="263"/>
      <c r="M36" s="263"/>
      <c r="N36" s="263"/>
    </row>
    <row r="37" spans="1:14" ht="12.5">
      <c r="A37" s="2">
        <f t="shared" si="0"/>
        <v>26</v>
      </c>
      <c r="B37" s="727" t="s">
        <v>716</v>
      </c>
      <c r="C37" s="295">
        <v>184664.63000000001</v>
      </c>
      <c r="D37" s="268">
        <v>44341</v>
      </c>
      <c r="E37" s="495" t="s">
        <v>931</v>
      </c>
      <c r="F37" s="268">
        <v>44349</v>
      </c>
      <c r="G37" s="37">
        <f t="shared" si="1"/>
        <v>-8</v>
      </c>
      <c r="H37" s="44">
        <f t="shared" si="2"/>
        <v>-1477317.04</v>
      </c>
      <c r="I37" s="94"/>
      <c r="J37" s="263"/>
      <c r="L37" s="263"/>
      <c r="M37" s="263"/>
      <c r="N37" s="263"/>
    </row>
    <row r="38" spans="1:14" ht="12.5">
      <c r="A38" s="2">
        <f t="shared" si="0"/>
        <v>27</v>
      </c>
      <c r="B38" s="727" t="s">
        <v>717</v>
      </c>
      <c r="C38" s="295">
        <v>50021.239999999998</v>
      </c>
      <c r="D38" s="268">
        <v>44287</v>
      </c>
      <c r="E38" s="495" t="s">
        <v>931</v>
      </c>
      <c r="F38" s="268">
        <v>44320</v>
      </c>
      <c r="G38" s="37">
        <f t="shared" si="1"/>
        <v>-33</v>
      </c>
      <c r="H38" s="44">
        <f t="shared" si="2"/>
        <v>-1650700.9199999999</v>
      </c>
      <c r="I38" s="94"/>
      <c r="J38" s="263"/>
      <c r="L38" s="263"/>
      <c r="M38" s="263"/>
      <c r="N38" s="263"/>
    </row>
    <row r="39" spans="1:14" ht="12.5">
      <c r="A39" s="2">
        <f t="shared" si="0"/>
        <v>28</v>
      </c>
      <c r="B39" s="727" t="s">
        <v>718</v>
      </c>
      <c r="C39" s="295">
        <v>31954.389999999999</v>
      </c>
      <c r="D39" s="268">
        <v>44120</v>
      </c>
      <c r="E39" s="495" t="s">
        <v>931</v>
      </c>
      <c r="F39" s="268">
        <v>44126</v>
      </c>
      <c r="G39" s="37">
        <f t="shared" si="1"/>
        <v>-6</v>
      </c>
      <c r="H39" s="44">
        <f t="shared" si="2"/>
        <v>-191726.34</v>
      </c>
      <c r="I39" s="94"/>
      <c r="J39" s="263"/>
      <c r="L39" s="263"/>
      <c r="M39" s="263"/>
      <c r="N39" s="263"/>
    </row>
    <row r="40" spans="1:14" ht="12.5">
      <c r="A40" s="2">
        <f t="shared" si="0"/>
        <v>29</v>
      </c>
      <c r="B40" s="727" t="s">
        <v>719</v>
      </c>
      <c r="C40" s="295">
        <v>28600</v>
      </c>
      <c r="D40" s="268">
        <v>44170</v>
      </c>
      <c r="E40" s="495" t="s">
        <v>931</v>
      </c>
      <c r="F40" s="268">
        <v>44212</v>
      </c>
      <c r="G40" s="37">
        <f t="shared" si="1"/>
        <v>-42</v>
      </c>
      <c r="H40" s="44">
        <f t="shared" si="2"/>
        <v>-1201200</v>
      </c>
      <c r="I40" s="94"/>
      <c r="J40" s="263"/>
      <c r="L40" s="263"/>
      <c r="M40" s="263"/>
      <c r="N40" s="263"/>
    </row>
    <row r="41" spans="1:14" ht="12.5">
      <c r="A41" s="2">
        <f t="shared" si="0"/>
        <v>30</v>
      </c>
      <c r="B41" s="727" t="s">
        <v>720</v>
      </c>
      <c r="C41" s="295">
        <v>34637.730000000003</v>
      </c>
      <c r="D41" s="268">
        <v>44384</v>
      </c>
      <c r="E41" s="495" t="s">
        <v>931</v>
      </c>
      <c r="F41" s="268">
        <v>44427</v>
      </c>
      <c r="G41" s="37">
        <f t="shared" si="1"/>
        <v>-43</v>
      </c>
      <c r="H41" s="44">
        <f t="shared" si="2"/>
        <v>-1489422.3900000001</v>
      </c>
      <c r="I41" s="94"/>
      <c r="J41" s="263"/>
      <c r="L41" s="263"/>
      <c r="M41" s="263"/>
      <c r="N41" s="263"/>
    </row>
    <row r="42" spans="1:14" ht="12.5">
      <c r="A42" s="2">
        <f t="shared" si="0"/>
        <v>31</v>
      </c>
      <c r="B42" s="727" t="s">
        <v>721</v>
      </c>
      <c r="C42" s="295">
        <v>30400</v>
      </c>
      <c r="D42" s="268">
        <v>44154</v>
      </c>
      <c r="E42" s="495" t="s">
        <v>931</v>
      </c>
      <c r="F42" s="268">
        <v>44209</v>
      </c>
      <c r="G42" s="37">
        <f t="shared" si="1"/>
        <v>-55</v>
      </c>
      <c r="H42" s="44">
        <f t="shared" si="2"/>
        <v>-1672000</v>
      </c>
      <c r="I42" s="94"/>
      <c r="J42" s="263"/>
      <c r="L42" s="263"/>
      <c r="M42" s="263"/>
      <c r="N42" s="263"/>
    </row>
    <row r="43" spans="1:14" ht="12.5">
      <c r="A43" s="2">
        <f t="shared" si="0"/>
        <v>32</v>
      </c>
      <c r="B43" s="727" t="s">
        <v>722</v>
      </c>
      <c r="C43" s="295">
        <v>25941.330000000002</v>
      </c>
      <c r="D43" s="268">
        <v>44245</v>
      </c>
      <c r="E43" s="495" t="s">
        <v>931</v>
      </c>
      <c r="F43" s="268">
        <v>44266</v>
      </c>
      <c r="G43" s="37">
        <f t="shared" si="1"/>
        <v>-21</v>
      </c>
      <c r="H43" s="44">
        <f t="shared" si="2"/>
        <v>-544767.93000000005</v>
      </c>
      <c r="I43" s="94"/>
      <c r="J43" s="263"/>
      <c r="L43" s="263"/>
      <c r="M43" s="263"/>
      <c r="N43" s="263"/>
    </row>
    <row r="44" spans="1:14" ht="12.5">
      <c r="A44" s="2">
        <f t="shared" si="0"/>
        <v>33</v>
      </c>
      <c r="B44" s="727" t="s">
        <v>723</v>
      </c>
      <c r="C44" s="295">
        <v>148021.04999999999</v>
      </c>
      <c r="D44" s="268">
        <v>44120</v>
      </c>
      <c r="E44" s="495" t="s">
        <v>321</v>
      </c>
      <c r="F44" s="268">
        <v>44159</v>
      </c>
      <c r="G44" s="37">
        <f t="shared" si="1"/>
        <v>-39</v>
      </c>
      <c r="H44" s="44">
        <f t="shared" si="2"/>
        <v>-5772820.9499999993</v>
      </c>
      <c r="I44" s="94"/>
      <c r="J44" s="263"/>
      <c r="L44" s="263"/>
      <c r="M44" s="263"/>
      <c r="N44" s="263"/>
    </row>
    <row r="45" spans="1:14" ht="12.5">
      <c r="A45" s="2">
        <f>+A44+1</f>
        <v>34</v>
      </c>
      <c r="B45" s="727" t="s">
        <v>724</v>
      </c>
      <c r="C45" s="295">
        <v>33700</v>
      </c>
      <c r="D45" s="268">
        <v>44369.5</v>
      </c>
      <c r="E45" s="495" t="s">
        <v>931</v>
      </c>
      <c r="F45" s="268">
        <v>44421</v>
      </c>
      <c r="G45" s="37">
        <f t="shared" si="1"/>
        <v>-51.5</v>
      </c>
      <c r="H45" s="44">
        <f t="shared" si="2"/>
        <v>-1735550</v>
      </c>
      <c r="I45" s="94"/>
      <c r="J45" s="263"/>
      <c r="L45" s="263"/>
      <c r="M45" s="263"/>
      <c r="N45" s="263"/>
    </row>
    <row r="46" spans="1:14" ht="12.5">
      <c r="A46" s="2">
        <f>+A45+1</f>
        <v>35</v>
      </c>
      <c r="B46" s="727" t="s">
        <v>725</v>
      </c>
      <c r="C46" s="295">
        <v>42700</v>
      </c>
      <c r="D46" s="268">
        <v>44404.5</v>
      </c>
      <c r="E46" s="495" t="s">
        <v>931</v>
      </c>
      <c r="F46" s="268">
        <v>44443</v>
      </c>
      <c r="G46" s="37">
        <f t="shared" si="1"/>
        <v>-38.5</v>
      </c>
      <c r="H46" s="44">
        <f t="shared" si="2"/>
        <v>-1643950</v>
      </c>
      <c r="I46" s="94"/>
      <c r="J46" s="263"/>
      <c r="L46" s="263"/>
      <c r="M46" s="263"/>
      <c r="N46" s="263"/>
    </row>
    <row r="47" spans="1:14" ht="12.5">
      <c r="A47" s="2">
        <f>+A46+1</f>
        <v>36</v>
      </c>
      <c r="B47" s="727" t="s">
        <v>726</v>
      </c>
      <c r="C47" s="295">
        <v>38055.290000000001</v>
      </c>
      <c r="D47" s="268">
        <v>44202.5</v>
      </c>
      <c r="E47" s="495" t="s">
        <v>931</v>
      </c>
      <c r="F47" s="268">
        <v>44259</v>
      </c>
      <c r="G47" s="37">
        <f t="shared" si="1"/>
        <v>-56.5</v>
      </c>
      <c r="H47" s="44">
        <f t="shared" si="2"/>
        <v>-2150123.8850000002</v>
      </c>
      <c r="I47" s="94"/>
      <c r="J47" s="263"/>
      <c r="L47" s="263"/>
      <c r="M47" s="263"/>
      <c r="N47" s="263"/>
    </row>
    <row r="48" spans="1:14" ht="12.5">
      <c r="A48" s="2">
        <f t="shared" si="3" ref="A48:A81">+A47+1</f>
        <v>37</v>
      </c>
      <c r="B48" s="727" t="s">
        <v>727</v>
      </c>
      <c r="C48" s="295">
        <v>39823.199999999997</v>
      </c>
      <c r="D48" s="268">
        <v>44176.5</v>
      </c>
      <c r="E48" s="495" t="s">
        <v>931</v>
      </c>
      <c r="F48" s="268">
        <v>44211</v>
      </c>
      <c r="G48" s="37">
        <f>D48-F48</f>
        <v>-34.5</v>
      </c>
      <c r="H48" s="44">
        <f>IF(ISERR(G48*C48),"",G48*C48)</f>
        <v>-1373900.3999999999</v>
      </c>
      <c r="I48" s="94"/>
      <c r="J48" s="263"/>
      <c r="L48" s="263"/>
      <c r="M48" s="263"/>
      <c r="N48" s="263"/>
    </row>
    <row r="49" spans="1:14" ht="12.5">
      <c r="A49" s="2">
        <f t="shared" si="3"/>
        <v>38</v>
      </c>
      <c r="B49" s="727" t="s">
        <v>728</v>
      </c>
      <c r="C49" s="295">
        <v>42544.919999999998</v>
      </c>
      <c r="D49" s="268">
        <v>44443</v>
      </c>
      <c r="E49" s="495" t="s">
        <v>931</v>
      </c>
      <c r="F49" s="268">
        <v>44470</v>
      </c>
      <c r="G49" s="37">
        <f>D49-F49</f>
        <v>-27</v>
      </c>
      <c r="H49" s="44">
        <f>IF(ISERR(G49*C49),"",G49*C49)</f>
        <v>-1148712.8399999999</v>
      </c>
      <c r="I49" s="94"/>
      <c r="J49" s="263"/>
      <c r="L49" s="263"/>
      <c r="M49" s="263"/>
      <c r="N49" s="263"/>
    </row>
    <row r="50" spans="1:14" ht="12.5">
      <c r="A50" s="2">
        <f t="shared" si="3"/>
        <v>39</v>
      </c>
      <c r="B50" s="727" t="s">
        <v>729</v>
      </c>
      <c r="C50" s="295">
        <v>25500</v>
      </c>
      <c r="D50" s="268">
        <v>44168</v>
      </c>
      <c r="E50" s="495" t="s">
        <v>931</v>
      </c>
      <c r="F50" s="268">
        <v>44265</v>
      </c>
      <c r="G50" s="37">
        <f>D50-F50</f>
        <v>-97</v>
      </c>
      <c r="H50" s="44">
        <f>IF(ISERR(G50*C50),"",G50*C50)</f>
        <v>-2473500</v>
      </c>
      <c r="I50" s="94"/>
      <c r="J50" s="263"/>
      <c r="L50" s="263"/>
      <c r="M50" s="263"/>
      <c r="N50" s="263"/>
    </row>
    <row r="51" spans="1:14" ht="12.5">
      <c r="A51" s="2">
        <f t="shared" si="3"/>
        <v>40</v>
      </c>
      <c r="B51" s="727" t="s">
        <v>730</v>
      </c>
      <c r="C51" s="295">
        <v>28597.490000000002</v>
      </c>
      <c r="D51" s="268">
        <v>44238</v>
      </c>
      <c r="E51" s="495" t="s">
        <v>931</v>
      </c>
      <c r="F51" s="268">
        <v>44281</v>
      </c>
      <c r="G51" s="37">
        <f>D51-F51</f>
        <v>-43</v>
      </c>
      <c r="H51" s="44">
        <f>IF(ISERR(G51*C51),"",G51*C51)</f>
        <v>-1229692.0700000001</v>
      </c>
      <c r="I51" s="94"/>
      <c r="J51" s="263"/>
      <c r="L51" s="263"/>
      <c r="M51" s="263"/>
      <c r="N51" s="263"/>
    </row>
    <row r="52" spans="1:14" ht="12.5">
      <c r="A52" s="2">
        <f t="shared" si="3"/>
        <v>41</v>
      </c>
      <c r="B52" s="727" t="s">
        <v>731</v>
      </c>
      <c r="C52" s="295">
        <v>71334.899999999994</v>
      </c>
      <c r="D52" s="268">
        <v>44364</v>
      </c>
      <c r="E52" s="495" t="s">
        <v>931</v>
      </c>
      <c r="F52" s="268">
        <v>44464</v>
      </c>
      <c r="G52" s="37">
        <f>D52-F52</f>
        <v>-100</v>
      </c>
      <c r="H52" s="44">
        <f>IF(ISERR(G52*C52),"",G52*C52)</f>
        <v>-7133489.9999999991</v>
      </c>
      <c r="I52" s="94"/>
      <c r="J52" s="263"/>
      <c r="L52" s="263"/>
      <c r="M52" s="263"/>
      <c r="N52" s="263"/>
    </row>
    <row r="53" spans="1:14" ht="12.5">
      <c r="A53" s="2">
        <f t="shared" si="3"/>
        <v>42</v>
      </c>
      <c r="B53" s="727" t="s">
        <v>732</v>
      </c>
      <c r="C53" s="295">
        <v>49535.199999999997</v>
      </c>
      <c r="D53" s="268">
        <v>44343</v>
      </c>
      <c r="E53" s="495" t="s">
        <v>931</v>
      </c>
      <c r="F53" s="268">
        <v>44161</v>
      </c>
      <c r="G53" s="37">
        <f t="shared" si="4" ref="G53:G55">D53-F53</f>
        <v>182</v>
      </c>
      <c r="H53" s="44">
        <f t="shared" si="5" ref="H53:H54">IF(ISERR(G53*C53),"",G53*C53)</f>
        <v>9015406.4000000004</v>
      </c>
      <c r="I53" s="94"/>
      <c r="J53" s="263"/>
      <c r="L53" s="263"/>
      <c r="M53" s="263"/>
      <c r="N53" s="263"/>
    </row>
    <row r="54" spans="1:14" ht="12.5">
      <c r="A54" s="2">
        <f t="shared" si="3"/>
        <v>43</v>
      </c>
      <c r="B54" s="727" t="s">
        <v>733</v>
      </c>
      <c r="C54" s="295">
        <v>54770</v>
      </c>
      <c r="D54" s="268">
        <v>44103.5</v>
      </c>
      <c r="E54" s="495" t="s">
        <v>931</v>
      </c>
      <c r="F54" s="268">
        <v>44142</v>
      </c>
      <c r="G54" s="37">
        <f t="shared" si="4"/>
        <v>-38.5</v>
      </c>
      <c r="H54" s="44">
        <f t="shared" si="5"/>
        <v>-2108645</v>
      </c>
      <c r="I54" s="94"/>
      <c r="J54" s="263"/>
      <c r="L54" s="263"/>
      <c r="M54" s="263"/>
      <c r="N54" s="263"/>
    </row>
    <row r="55" spans="1:14" s="742" customFormat="1" ht="12.5">
      <c r="A55" s="768">
        <f t="shared" si="3"/>
        <v>44</v>
      </c>
      <c r="B55" s="756" t="s">
        <v>734</v>
      </c>
      <c r="C55" s="769">
        <v>38372.400000000001</v>
      </c>
      <c r="D55" s="770">
        <v>44212</v>
      </c>
      <c r="E55" s="771" t="s">
        <v>931</v>
      </c>
      <c r="F55" s="770">
        <v>44266</v>
      </c>
      <c r="G55" s="772">
        <f t="shared" si="4"/>
        <v>-54</v>
      </c>
      <c r="H55" s="773">
        <f t="shared" si="6" ref="H55:H75">IF(ISERR(G55*C55),"",G55*C55)</f>
        <v>-2072109.6000000001</v>
      </c>
      <c r="I55" s="774"/>
      <c r="J55" s="775"/>
      <c r="L55" s="775"/>
      <c r="M55" s="775"/>
      <c r="N55" s="775"/>
    </row>
    <row r="56" spans="1:14" ht="12.5">
      <c r="A56" s="2">
        <f t="shared" si="3"/>
        <v>45</v>
      </c>
      <c r="B56" s="727" t="s">
        <v>735</v>
      </c>
      <c r="C56" s="295">
        <v>30302</v>
      </c>
      <c r="D56" s="268">
        <v>44187</v>
      </c>
      <c r="E56" s="495" t="s">
        <v>321</v>
      </c>
      <c r="F56" s="268">
        <v>44224</v>
      </c>
      <c r="G56" s="37">
        <f t="shared" si="7" ref="G56:G75">D56-F56</f>
        <v>-37</v>
      </c>
      <c r="H56" s="44">
        <f t="shared" si="6"/>
        <v>-1121174</v>
      </c>
      <c r="I56" s="94"/>
      <c r="J56" s="263"/>
      <c r="L56" s="263"/>
      <c r="M56" s="263"/>
      <c r="N56" s="263"/>
    </row>
    <row r="57" spans="1:14" ht="12.5">
      <c r="A57" s="2">
        <f t="shared" si="3"/>
        <v>46</v>
      </c>
      <c r="B57" s="727" t="s">
        <v>736</v>
      </c>
      <c r="C57" s="295">
        <v>70000</v>
      </c>
      <c r="D57" s="268">
        <v>44249</v>
      </c>
      <c r="E57" s="495" t="s">
        <v>931</v>
      </c>
      <c r="F57" s="268">
        <v>44325</v>
      </c>
      <c r="G57" s="37">
        <f t="shared" si="7"/>
        <v>-76</v>
      </c>
      <c r="H57" s="44">
        <f t="shared" si="6"/>
        <v>-5320000</v>
      </c>
      <c r="I57" s="94"/>
      <c r="J57" s="263"/>
      <c r="L57" s="263"/>
      <c r="M57" s="263"/>
      <c r="N57" s="263"/>
    </row>
    <row r="58" spans="1:14" ht="12.5">
      <c r="A58" s="2">
        <f t="shared" si="3"/>
        <v>47</v>
      </c>
      <c r="B58" s="727" t="s">
        <v>737</v>
      </c>
      <c r="C58" s="295">
        <v>61659.300000000003</v>
      </c>
      <c r="D58" s="268">
        <v>44059.5</v>
      </c>
      <c r="E58" s="495" t="s">
        <v>931</v>
      </c>
      <c r="F58" s="268">
        <v>44133</v>
      </c>
      <c r="G58" s="37">
        <f t="shared" si="7"/>
        <v>-73.5</v>
      </c>
      <c r="H58" s="44">
        <f t="shared" si="6"/>
        <v>-4531958.5499999998</v>
      </c>
      <c r="I58" s="94"/>
      <c r="J58" s="263"/>
      <c r="L58" s="263"/>
      <c r="M58" s="263"/>
      <c r="N58" s="263"/>
    </row>
    <row r="59" spans="1:14" ht="12.5">
      <c r="A59" s="2">
        <f t="shared" si="3"/>
        <v>48</v>
      </c>
      <c r="B59" s="727" t="s">
        <v>738</v>
      </c>
      <c r="C59" s="295">
        <v>92406.009999999995</v>
      </c>
      <c r="D59" s="268">
        <v>44424</v>
      </c>
      <c r="E59" s="495" t="s">
        <v>931</v>
      </c>
      <c r="F59" s="268">
        <v>44454</v>
      </c>
      <c r="G59" s="37">
        <f t="shared" si="7"/>
        <v>-30</v>
      </c>
      <c r="H59" s="44">
        <f t="shared" si="6"/>
        <v>-2772180.2999999998</v>
      </c>
      <c r="I59" s="94"/>
      <c r="J59" s="263"/>
      <c r="L59" s="263"/>
      <c r="M59" s="263"/>
      <c r="N59" s="263"/>
    </row>
    <row r="60" spans="1:14" ht="12.5">
      <c r="A60" s="2">
        <f t="shared" si="3"/>
        <v>49</v>
      </c>
      <c r="B60" s="727" t="s">
        <v>739</v>
      </c>
      <c r="C60" s="295">
        <v>52589.32</v>
      </c>
      <c r="D60" s="268">
        <v>44362.5</v>
      </c>
      <c r="E60" s="495" t="s">
        <v>931</v>
      </c>
      <c r="F60" s="268">
        <v>44407</v>
      </c>
      <c r="G60" s="37">
        <f t="shared" si="7"/>
        <v>-44.5</v>
      </c>
      <c r="H60" s="44">
        <f t="shared" si="6"/>
        <v>-2340224.7399999998</v>
      </c>
      <c r="I60" s="94"/>
      <c r="J60" s="263"/>
      <c r="L60" s="263"/>
      <c r="M60" s="263"/>
      <c r="N60" s="263"/>
    </row>
    <row r="61" spans="1:14" ht="12.5">
      <c r="A61" s="2">
        <f t="shared" si="3"/>
        <v>50</v>
      </c>
      <c r="B61" s="727" t="s">
        <v>740</v>
      </c>
      <c r="C61" s="295">
        <v>107191.42</v>
      </c>
      <c r="D61" s="268">
        <v>44418.5</v>
      </c>
      <c r="E61" s="495" t="s">
        <v>931</v>
      </c>
      <c r="F61" s="268">
        <v>44458</v>
      </c>
      <c r="G61" s="37">
        <f t="shared" si="7"/>
        <v>-39.5</v>
      </c>
      <c r="H61" s="44">
        <f t="shared" si="6"/>
        <v>-4234061.0899999999</v>
      </c>
      <c r="I61" s="94"/>
      <c r="J61" s="263"/>
      <c r="L61" s="263"/>
      <c r="M61" s="263"/>
      <c r="N61" s="263"/>
    </row>
    <row r="62" spans="1:14" ht="12.5">
      <c r="A62" s="2">
        <f t="shared" si="3"/>
        <v>51</v>
      </c>
      <c r="B62" s="727" t="s">
        <v>741</v>
      </c>
      <c r="C62" s="295">
        <v>38700</v>
      </c>
      <c r="D62" s="268">
        <v>44397</v>
      </c>
      <c r="E62" s="495" t="s">
        <v>321</v>
      </c>
      <c r="F62" s="268">
        <v>44463</v>
      </c>
      <c r="G62" s="37">
        <f t="shared" si="7"/>
        <v>-66</v>
      </c>
      <c r="H62" s="44">
        <f t="shared" si="6"/>
        <v>-2554200</v>
      </c>
      <c r="I62" s="94"/>
      <c r="J62" s="263"/>
      <c r="L62" s="263"/>
      <c r="M62" s="263"/>
      <c r="N62" s="263"/>
    </row>
    <row r="63" spans="1:14" ht="12.5">
      <c r="A63" s="2">
        <f t="shared" si="3"/>
        <v>52</v>
      </c>
      <c r="B63" s="727" t="s">
        <v>742</v>
      </c>
      <c r="C63" s="295">
        <v>26250</v>
      </c>
      <c r="D63" s="268">
        <v>44288</v>
      </c>
      <c r="E63" s="495" t="s">
        <v>931</v>
      </c>
      <c r="F63" s="268">
        <v>44427</v>
      </c>
      <c r="G63" s="37">
        <f t="shared" si="7"/>
        <v>-139</v>
      </c>
      <c r="H63" s="44">
        <f t="shared" si="6"/>
        <v>-3648750</v>
      </c>
      <c r="I63" s="94"/>
      <c r="J63" s="263"/>
      <c r="L63" s="263"/>
      <c r="M63" s="263"/>
      <c r="N63" s="263"/>
    </row>
    <row r="64" spans="1:14" ht="12.5">
      <c r="A64" s="2">
        <f t="shared" si="3"/>
        <v>53</v>
      </c>
      <c r="B64" s="727" t="s">
        <v>743</v>
      </c>
      <c r="C64" s="295">
        <v>38800</v>
      </c>
      <c r="D64" s="268">
        <v>44159.5</v>
      </c>
      <c r="E64" s="495" t="s">
        <v>931</v>
      </c>
      <c r="F64" s="268">
        <v>44195</v>
      </c>
      <c r="G64" s="37">
        <f t="shared" si="7"/>
        <v>-35.5</v>
      </c>
      <c r="H64" s="44">
        <f t="shared" si="6"/>
        <v>-1377400</v>
      </c>
      <c r="I64" s="94"/>
      <c r="J64" s="263"/>
      <c r="L64" s="263"/>
      <c r="M64" s="263"/>
      <c r="N64" s="263"/>
    </row>
    <row r="65" spans="1:14" ht="12.5">
      <c r="A65" s="2">
        <f t="shared" si="3"/>
        <v>54</v>
      </c>
      <c r="B65" s="727" t="s">
        <v>744</v>
      </c>
      <c r="C65" s="295">
        <v>30000</v>
      </c>
      <c r="D65" s="268">
        <v>44259</v>
      </c>
      <c r="E65" s="495" t="s">
        <v>931</v>
      </c>
      <c r="F65" s="268">
        <v>44337</v>
      </c>
      <c r="G65" s="37">
        <f t="shared" si="7"/>
        <v>-78</v>
      </c>
      <c r="H65" s="44">
        <f t="shared" si="6"/>
        <v>-2340000</v>
      </c>
      <c r="I65" s="94"/>
      <c r="J65" s="263"/>
      <c r="L65" s="263"/>
      <c r="M65" s="263"/>
      <c r="N65" s="263"/>
    </row>
    <row r="66" spans="1:14" ht="12.5">
      <c r="A66" s="2">
        <f t="shared" si="3"/>
        <v>55</v>
      </c>
      <c r="B66" s="727" t="s">
        <v>745</v>
      </c>
      <c r="C66" s="295">
        <v>44200</v>
      </c>
      <c r="D66" s="268">
        <v>44296</v>
      </c>
      <c r="E66" s="495" t="s">
        <v>931</v>
      </c>
      <c r="F66" s="268">
        <v>44316</v>
      </c>
      <c r="G66" s="37">
        <f t="shared" si="7"/>
        <v>-20</v>
      </c>
      <c r="H66" s="44">
        <f t="shared" si="6"/>
        <v>-884000</v>
      </c>
      <c r="I66" s="94"/>
      <c r="J66" s="263"/>
      <c r="L66" s="263"/>
      <c r="M66" s="263"/>
      <c r="N66" s="263"/>
    </row>
    <row r="67" spans="1:14" ht="12.5">
      <c r="A67" s="2">
        <f t="shared" si="3"/>
        <v>56</v>
      </c>
      <c r="B67" s="727" t="s">
        <v>746</v>
      </c>
      <c r="C67" s="295">
        <v>101762.22</v>
      </c>
      <c r="D67" s="268">
        <v>44241.5</v>
      </c>
      <c r="E67" s="495" t="s">
        <v>931</v>
      </c>
      <c r="F67" s="268">
        <v>44226</v>
      </c>
      <c r="G67" s="37">
        <f t="shared" si="7"/>
        <v>15.5</v>
      </c>
      <c r="H67" s="44">
        <f t="shared" si="6"/>
        <v>1577314.4099999999</v>
      </c>
      <c r="I67" s="94"/>
      <c r="J67" s="263"/>
      <c r="L67" s="263"/>
      <c r="M67" s="263"/>
      <c r="N67" s="263"/>
    </row>
    <row r="68" spans="1:14" ht="12.5">
      <c r="A68" s="2">
        <f t="shared" si="3"/>
        <v>57</v>
      </c>
      <c r="B68" s="727" t="s">
        <v>747</v>
      </c>
      <c r="C68" s="295">
        <v>27970.720000000001</v>
      </c>
      <c r="D68" s="268">
        <v>44322</v>
      </c>
      <c r="E68" s="495" t="s">
        <v>931</v>
      </c>
      <c r="F68" s="268">
        <v>44358</v>
      </c>
      <c r="G68" s="37">
        <f t="shared" si="7"/>
        <v>-36</v>
      </c>
      <c r="H68" s="44">
        <f t="shared" si="6"/>
        <v>-1006945.92</v>
      </c>
      <c r="I68" s="94"/>
      <c r="J68" s="263"/>
      <c r="L68" s="263"/>
      <c r="M68" s="263"/>
      <c r="N68" s="263"/>
    </row>
    <row r="69" spans="1:14" ht="12.5">
      <c r="A69" s="2">
        <f t="shared" si="3"/>
        <v>58</v>
      </c>
      <c r="B69" s="727" t="s">
        <v>748</v>
      </c>
      <c r="C69" s="295">
        <v>25525</v>
      </c>
      <c r="D69" s="268">
        <v>44376</v>
      </c>
      <c r="E69" s="495" t="s">
        <v>321</v>
      </c>
      <c r="F69" s="268">
        <v>44412</v>
      </c>
      <c r="G69" s="37">
        <f t="shared" si="7"/>
        <v>-36</v>
      </c>
      <c r="H69" s="44">
        <f t="shared" si="6"/>
        <v>-918900</v>
      </c>
      <c r="I69" s="94"/>
      <c r="J69" s="263"/>
      <c r="L69" s="263"/>
      <c r="M69" s="263"/>
      <c r="N69" s="263"/>
    </row>
    <row r="70" spans="1:14" ht="12.5">
      <c r="A70" s="2">
        <f t="shared" si="3"/>
        <v>59</v>
      </c>
      <c r="B70" s="727" t="s">
        <v>749</v>
      </c>
      <c r="C70" s="295">
        <v>37410.660000000003</v>
      </c>
      <c r="D70" s="268">
        <v>44282.5</v>
      </c>
      <c r="E70" s="495" t="s">
        <v>931</v>
      </c>
      <c r="F70" s="268">
        <v>44317</v>
      </c>
      <c r="G70" s="37">
        <f t="shared" si="7"/>
        <v>-34.5</v>
      </c>
      <c r="H70" s="44">
        <f t="shared" si="6"/>
        <v>-1290667.77</v>
      </c>
      <c r="I70" s="94"/>
      <c r="J70" s="263"/>
      <c r="L70" s="263"/>
      <c r="M70" s="263"/>
      <c r="N70" s="263"/>
    </row>
    <row r="71" spans="1:14" ht="12.5">
      <c r="A71" s="2">
        <f t="shared" si="3"/>
        <v>60</v>
      </c>
      <c r="B71" s="727" t="s">
        <v>750</v>
      </c>
      <c r="C71" s="295">
        <v>55649.940000000002</v>
      </c>
      <c r="D71" s="268">
        <v>44035</v>
      </c>
      <c r="E71" s="495" t="s">
        <v>931</v>
      </c>
      <c r="F71" s="268">
        <v>44076</v>
      </c>
      <c r="G71" s="37">
        <f t="shared" si="7"/>
        <v>-41</v>
      </c>
      <c r="H71" s="44">
        <f t="shared" si="6"/>
        <v>-2281647.54</v>
      </c>
      <c r="I71" s="94"/>
      <c r="J71" s="263"/>
      <c r="L71" s="263"/>
      <c r="M71" s="263"/>
      <c r="N71" s="263"/>
    </row>
    <row r="72" spans="1:14" ht="12.5">
      <c r="A72" s="2">
        <f t="shared" si="3"/>
        <v>61</v>
      </c>
      <c r="B72" s="727" t="s">
        <v>751</v>
      </c>
      <c r="C72" s="295">
        <v>75825</v>
      </c>
      <c r="D72" s="268">
        <v>44398</v>
      </c>
      <c r="E72" s="495" t="s">
        <v>931</v>
      </c>
      <c r="F72" s="268">
        <v>44431</v>
      </c>
      <c r="G72" s="37">
        <f t="shared" si="7"/>
        <v>-33</v>
      </c>
      <c r="H72" s="44">
        <f t="shared" si="6"/>
        <v>-2502225</v>
      </c>
      <c r="I72" s="94"/>
      <c r="J72" s="263"/>
      <c r="L72" s="263"/>
      <c r="M72" s="263"/>
      <c r="N72" s="263"/>
    </row>
    <row r="73" spans="1:14" ht="12.5">
      <c r="A73" s="2">
        <f t="shared" si="3"/>
        <v>62</v>
      </c>
      <c r="B73" s="727" t="s">
        <v>752</v>
      </c>
      <c r="C73" s="295">
        <v>123630.37</v>
      </c>
      <c r="D73" s="268">
        <v>44453</v>
      </c>
      <c r="E73" s="495" t="s">
        <v>931</v>
      </c>
      <c r="F73" s="268">
        <v>44460</v>
      </c>
      <c r="G73" s="37">
        <f t="shared" si="7"/>
        <v>-7</v>
      </c>
      <c r="H73" s="44">
        <f t="shared" si="6"/>
        <v>-865412.58999999997</v>
      </c>
      <c r="I73" s="94"/>
      <c r="J73" s="263"/>
      <c r="L73" s="263"/>
      <c r="M73" s="263"/>
      <c r="N73" s="263"/>
    </row>
    <row r="74" spans="1:14" ht="12.5">
      <c r="A74" s="2">
        <f t="shared" si="3"/>
        <v>63</v>
      </c>
      <c r="B74" s="727" t="s">
        <v>753</v>
      </c>
      <c r="C74" s="295">
        <v>38700</v>
      </c>
      <c r="D74" s="268">
        <v>44359</v>
      </c>
      <c r="E74" s="495" t="s">
        <v>931</v>
      </c>
      <c r="F74" s="268">
        <v>44384</v>
      </c>
      <c r="G74" s="37">
        <f t="shared" si="7"/>
        <v>-25</v>
      </c>
      <c r="H74" s="44">
        <f t="shared" si="6"/>
        <v>-967500</v>
      </c>
      <c r="I74" s="94"/>
      <c r="J74" s="263"/>
      <c r="L74" s="263"/>
      <c r="M74" s="263"/>
      <c r="N74" s="263"/>
    </row>
    <row r="75" spans="1:14" ht="12.5">
      <c r="A75" s="2">
        <f t="shared" si="3"/>
        <v>64</v>
      </c>
      <c r="B75" s="727" t="s">
        <v>754</v>
      </c>
      <c r="C75" s="295">
        <v>50512</v>
      </c>
      <c r="D75" s="268">
        <v>44174.5</v>
      </c>
      <c r="E75" s="495" t="s">
        <v>931</v>
      </c>
      <c r="F75" s="268">
        <v>44206</v>
      </c>
      <c r="G75" s="37">
        <f t="shared" si="7"/>
        <v>-31.5</v>
      </c>
      <c r="H75" s="44">
        <f t="shared" si="6"/>
        <v>-1591128</v>
      </c>
      <c r="I75" s="94"/>
      <c r="J75" s="263"/>
      <c r="L75" s="263"/>
      <c r="M75" s="263"/>
      <c r="N75" s="263"/>
    </row>
    <row r="76" spans="1:14" ht="12.5">
      <c r="A76" s="2">
        <f t="shared" si="3"/>
        <v>65</v>
      </c>
      <c r="B76" s="727" t="s">
        <v>755</v>
      </c>
      <c r="C76" s="295">
        <v>49697.760000000002</v>
      </c>
      <c r="D76" s="268">
        <v>44379</v>
      </c>
      <c r="E76" s="495" t="s">
        <v>931</v>
      </c>
      <c r="F76" s="268">
        <v>44484</v>
      </c>
      <c r="G76" s="37">
        <f t="shared" si="8" ref="G76:G77">D76-F76</f>
        <v>-105</v>
      </c>
      <c r="H76" s="44">
        <f t="shared" si="9" ref="H76:H77">IF(ISERR(G76*C76),"",G76*C76)</f>
        <v>-5218264.7999999998</v>
      </c>
      <c r="I76" s="94"/>
      <c r="J76" s="263"/>
      <c r="L76" s="263"/>
      <c r="M76" s="263"/>
      <c r="N76" s="263"/>
    </row>
    <row r="77" spans="1:14" ht="12.5">
      <c r="A77" s="2">
        <f t="shared" si="3"/>
        <v>66</v>
      </c>
      <c r="B77" s="727" t="s">
        <v>756</v>
      </c>
      <c r="C77" s="295">
        <v>213494.06</v>
      </c>
      <c r="D77" s="268">
        <v>44117</v>
      </c>
      <c r="E77" s="495" t="s">
        <v>931</v>
      </c>
      <c r="F77" s="268">
        <v>44124</v>
      </c>
      <c r="G77" s="37">
        <f t="shared" si="8"/>
        <v>-7</v>
      </c>
      <c r="H77" s="44">
        <f t="shared" si="9"/>
        <v>-1494458.4199999999</v>
      </c>
      <c r="I77" s="94"/>
      <c r="J77" s="263"/>
      <c r="L77" s="263"/>
      <c r="M77" s="263"/>
      <c r="N77" s="263"/>
    </row>
    <row r="78" spans="1:14" ht="12.5">
      <c r="A78" s="2">
        <f t="shared" si="3"/>
        <v>67</v>
      </c>
      <c r="B78" s="2"/>
      <c r="C78" s="507"/>
      <c r="D78" s="268"/>
      <c r="E78" s="495"/>
      <c r="F78" s="268"/>
      <c r="G78" s="504"/>
      <c r="H78" s="114"/>
      <c r="I78" s="94"/>
      <c r="J78" s="263"/>
      <c r="L78" s="263"/>
      <c r="M78" s="263"/>
      <c r="N78" s="263"/>
    </row>
    <row r="79" spans="1:14" ht="13" thickBot="1">
      <c r="A79" s="2">
        <f t="shared" si="3"/>
        <v>68</v>
      </c>
      <c r="B79" t="s">
        <v>311</v>
      </c>
      <c r="C79" s="361">
        <f>SUM(C12:C78)</f>
        <v>4232643.0399999991</v>
      </c>
      <c r="G79" s="399">
        <f>+ROUND(H79/C79,2)</f>
        <v>-30.309999999999999</v>
      </c>
      <c r="H79" s="361">
        <f>SUM(H12:H78)</f>
        <v>-128281163.84999999</v>
      </c>
      <c r="I79" s="94"/>
      <c r="J79" s="263"/>
      <c r="L79" s="263"/>
      <c r="M79" s="263"/>
      <c r="N79" s="263"/>
    </row>
    <row r="80" spans="1:7" ht="13" thickTop="1">
      <c r="A80" s="2">
        <f t="shared" si="3"/>
        <v>69</v>
      </c>
      <c r="G80" s="28"/>
    </row>
    <row r="81" spans="1:7" ht="12.5">
      <c r="A81" s="2">
        <f t="shared" si="3"/>
        <v>70</v>
      </c>
      <c r="B81" t="s">
        <v>256</v>
      </c>
      <c r="C81" s="293" t="s">
        <v>807</v>
      </c>
      <c r="G81" s="28"/>
    </row>
    <row r="82" spans="7:7" ht="12.5">
      <c r="G82" s="28"/>
    </row>
    <row r="83" spans="7:7" ht="12.5">
      <c r="G83" s="28"/>
    </row>
    <row r="84" spans="7:7" ht="12.5">
      <c r="G84" s="28"/>
    </row>
    <row r="85" spans="7:7" ht="12.5">
      <c r="G85" s="28"/>
    </row>
    <row r="86" spans="7:7" ht="12.5">
      <c r="G86" s="28"/>
    </row>
    <row r="87" spans="7:7" ht="12.5">
      <c r="G87" s="28"/>
    </row>
    <row r="88" spans="7:7" ht="12.5">
      <c r="G88" s="28"/>
    </row>
    <row r="89" spans="7:7" ht="12.5">
      <c r="G89" s="28"/>
    </row>
    <row r="90" spans="7:7" ht="12.5">
      <c r="G90" s="28"/>
    </row>
    <row r="91" spans="7:7" ht="12.5">
      <c r="G91" s="28"/>
    </row>
    <row r="92" spans="7:7" ht="12.5">
      <c r="G92" s="28"/>
    </row>
    <row r="93" spans="7:7" ht="12.5">
      <c r="G93" s="28"/>
    </row>
    <row r="94" spans="7:7" ht="12.5">
      <c r="G94" s="28"/>
    </row>
    <row r="95" spans="7:7" ht="12.5">
      <c r="G95" s="28"/>
    </row>
    <row r="96" spans="7:7" ht="12.5">
      <c r="G96" s="28"/>
    </row>
  </sheetData>
  <hyperlinks>
    <hyperlink ref="C81" r:id="rId1" display="3rd party O&amp;M - TRN sample 2021.xlsx"/>
  </hyperlinks>
  <printOptions horizontalCentered="1"/>
  <pageMargins left="0.5" right="0.5" top="1.5" bottom="0.5" header="1" footer="0.5"/>
  <pageSetup fitToHeight="3" orientation="landscape" r:id="rId2"/>
  <headerFooter alignWithMargins="0">
    <oddHeader>&amp;RWP/II-B-9/&amp;A
Page &amp;P of &amp;N</oddHeader>
  </headerFooter>
  <rowBreaks count="2" manualBreakCount="2">
    <brk id="35" max="7" man="1"/>
    <brk id="60" max="7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1">
    <tabColor rgb="FF92D050"/>
    <pageSetUpPr fitToPage="1"/>
  </sheetPr>
  <dimension ref="A1:H28"/>
  <sheetViews>
    <sheetView workbookViewId="0" topLeftCell="A1">
      <selection pane="topLeft" activeCell="A4" sqref="A4"/>
    </sheetView>
  </sheetViews>
  <sheetFormatPr defaultRowHeight="12.75"/>
  <cols>
    <col min="1" max="1" width="6.42857142857143" customWidth="1"/>
    <col min="2" max="2" width="42.5714285714286" customWidth="1"/>
    <col min="3" max="3" width="19" customWidth="1"/>
    <col min="4" max="4" width="16.4285714285714" customWidth="1"/>
    <col min="5" max="5" width="18.8571428571429" customWidth="1"/>
    <col min="6" max="6" width="19.8571428571429" customWidth="1"/>
    <col min="7" max="7" width="0.571428571428571" hidden="1" customWidth="1"/>
    <col min="8" max="9" width="8.85714285714286" hidden="1" customWidth="1"/>
  </cols>
  <sheetData>
    <row r="1" spans="1:5" s="74" customFormat="1" ht="13">
      <c r="A1" s="181" t="s">
        <v>530</v>
      </c>
      <c r="B1" s="181"/>
      <c r="C1" s="181"/>
      <c r="D1" s="181"/>
      <c r="E1" s="181"/>
    </row>
    <row r="2" spans="1:5" s="74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5" s="74" customFormat="1" ht="13">
      <c r="A3" s="181" t="s">
        <v>342</v>
      </c>
      <c r="B3" s="181"/>
      <c r="C3" s="181"/>
      <c r="D3" s="181"/>
      <c r="E3" s="181"/>
    </row>
    <row r="4" spans="1:5" s="74" customFormat="1" ht="13">
      <c r="A4" s="817" t="s">
        <v>929</v>
      </c>
      <c r="B4" s="181"/>
      <c r="C4" s="181"/>
      <c r="D4" s="181"/>
      <c r="E4" s="181"/>
    </row>
    <row r="5" spans="1:5" s="74" customFormat="1" ht="13">
      <c r="A5" s="181" t="s">
        <v>524</v>
      </c>
      <c r="B5" s="181"/>
      <c r="C5" s="181"/>
      <c r="D5" s="181"/>
      <c r="E5" s="181"/>
    </row>
    <row r="7" spans="1:1" ht="13">
      <c r="A7" s="5"/>
    </row>
    <row r="9" spans="1:8" ht="13">
      <c r="A9" s="22" t="s">
        <v>40</v>
      </c>
      <c r="B9" s="26"/>
      <c r="C9" s="22" t="s">
        <v>335</v>
      </c>
      <c r="D9" s="22" t="s">
        <v>46</v>
      </c>
      <c r="E9" s="22"/>
      <c r="F9" s="22" t="s">
        <v>112</v>
      </c>
      <c r="G9" s="1"/>
      <c r="H9" s="1"/>
    </row>
    <row r="10" spans="1:8" ht="13">
      <c r="A10" s="57" t="s">
        <v>41</v>
      </c>
      <c r="B10" s="57" t="s">
        <v>334</v>
      </c>
      <c r="C10" s="57" t="s">
        <v>416</v>
      </c>
      <c r="D10" s="57" t="s">
        <v>116</v>
      </c>
      <c r="E10" s="57" t="s">
        <v>25</v>
      </c>
      <c r="F10" s="57" t="s">
        <v>90</v>
      </c>
      <c r="G10" s="1"/>
      <c r="H10" s="1"/>
    </row>
    <row r="11" spans="1:8" ht="12.5">
      <c r="A11" s="1"/>
      <c r="B11" s="40" t="s">
        <v>55</v>
      </c>
      <c r="C11" s="40" t="s">
        <v>56</v>
      </c>
      <c r="D11" s="40" t="s">
        <v>62</v>
      </c>
      <c r="E11" s="40" t="s">
        <v>57</v>
      </c>
      <c r="F11" s="40" t="s">
        <v>58</v>
      </c>
      <c r="G11" s="1"/>
      <c r="H11" s="1"/>
    </row>
    <row r="12" spans="1:8" ht="12.5">
      <c r="A12" s="1"/>
      <c r="B12" s="40"/>
      <c r="C12" s="40"/>
      <c r="D12" s="40"/>
      <c r="E12" s="40"/>
      <c r="F12" s="40"/>
      <c r="G12" s="1"/>
      <c r="H12" s="1"/>
    </row>
    <row r="13" spans="1:8" ht="12.5">
      <c r="A13" s="3">
        <v>1</v>
      </c>
      <c r="B13" s="189" t="s">
        <v>337</v>
      </c>
      <c r="C13" s="510">
        <v>100913085.06999999</v>
      </c>
      <c r="D13" s="772">
        <f>+'6-2-1'!G38</f>
        <v>-92.569999999999993</v>
      </c>
      <c r="E13" s="81" t="s">
        <v>381</v>
      </c>
      <c r="F13" s="510">
        <f>C13*D13</f>
        <v>-9341524284.9298992</v>
      </c>
      <c r="G13" s="1"/>
      <c r="H13" s="1"/>
    </row>
    <row r="14" spans="1:8" s="230" customFormat="1" ht="12.5">
      <c r="A14" s="91">
        <f>A13+1</f>
        <v>2</v>
      </c>
      <c r="B14" s="189" t="s">
        <v>336</v>
      </c>
      <c r="C14" s="478">
        <v>56499539.820000082</v>
      </c>
      <c r="D14" s="772">
        <f>'6-2-2'!G27</f>
        <v>-59.960000000000001</v>
      </c>
      <c r="E14" s="81" t="s">
        <v>382</v>
      </c>
      <c r="F14" s="478">
        <f>C14*D14</f>
        <v>-3387712407.6072049</v>
      </c>
      <c r="G14" s="31"/>
      <c r="H14" s="31"/>
    </row>
    <row r="15" spans="1:8" s="230" customFormat="1" ht="12.5">
      <c r="A15" s="91">
        <f t="shared" si="0" ref="A15:A21">A14+1</f>
        <v>3</v>
      </c>
      <c r="B15" s="189" t="s">
        <v>338</v>
      </c>
      <c r="C15" s="511">
        <v>312995534.85000044</v>
      </c>
      <c r="D15" s="776">
        <f>'6-2-3'!G90</f>
        <v>-35.289999999999999</v>
      </c>
      <c r="E15" s="81" t="s">
        <v>383</v>
      </c>
      <c r="F15" s="512">
        <f>C15*D15</f>
        <v>-11045612424.856516</v>
      </c>
      <c r="G15" s="31"/>
      <c r="H15" s="31"/>
    </row>
    <row r="16" spans="1:8" ht="12.5">
      <c r="A16" s="91">
        <f t="shared" si="0"/>
        <v>4</v>
      </c>
      <c r="B16" s="16"/>
      <c r="C16" s="28"/>
      <c r="D16" s="772"/>
      <c r="E16" s="81"/>
      <c r="F16" s="28"/>
      <c r="G16" s="1"/>
      <c r="H16" s="1"/>
    </row>
    <row r="17" spans="1:8" ht="13" thickBot="1">
      <c r="A17" s="91">
        <f t="shared" si="0"/>
        <v>5</v>
      </c>
      <c r="B17" s="1" t="s">
        <v>26</v>
      </c>
      <c r="C17" s="502">
        <f>SUM(C13:C15)</f>
        <v>470408159.74000049</v>
      </c>
      <c r="D17" s="777">
        <f>+F17/C17</f>
        <v>-50.540894381029076</v>
      </c>
      <c r="E17" s="81"/>
      <c r="F17" s="502">
        <f>SUM(F13:F15)</f>
        <v>-23774849117.39362</v>
      </c>
      <c r="G17" s="1"/>
      <c r="H17" s="1"/>
    </row>
    <row r="18" spans="1:1" ht="13" thickTop="1">
      <c r="A18" s="91">
        <f t="shared" si="0"/>
        <v>6</v>
      </c>
    </row>
    <row r="19" spans="1:2" ht="12.5">
      <c r="A19" s="91">
        <f t="shared" si="0"/>
        <v>7</v>
      </c>
      <c r="B19" s="80"/>
    </row>
    <row r="20" spans="1:1" ht="12.5">
      <c r="A20" s="91">
        <f t="shared" si="0"/>
        <v>8</v>
      </c>
    </row>
    <row r="21" spans="1:3" ht="12.5">
      <c r="A21" s="91">
        <f t="shared" si="0"/>
        <v>9</v>
      </c>
      <c r="B21" s="508" t="s">
        <v>417</v>
      </c>
      <c r="C21" s="293" t="s">
        <v>522</v>
      </c>
    </row>
    <row r="22" spans="1:1" ht="12.5">
      <c r="A22" s="91"/>
    </row>
    <row r="23" spans="2:6" ht="12.5">
      <c r="B23" s="67"/>
      <c r="C23" s="67"/>
      <c r="D23" s="67"/>
      <c r="E23" s="67"/>
      <c r="F23" s="67"/>
    </row>
    <row r="24" spans="2:6" ht="12.5">
      <c r="B24" s="67"/>
      <c r="C24" s="503"/>
      <c r="D24" s="289"/>
      <c r="E24" s="67"/>
      <c r="F24" s="503"/>
    </row>
    <row r="25" spans="2:6" ht="12.5">
      <c r="B25" s="67"/>
      <c r="C25" s="67"/>
      <c r="D25" s="67"/>
      <c r="E25" s="67"/>
      <c r="F25" s="67"/>
    </row>
    <row r="26" spans="2:6" ht="12.5">
      <c r="B26" s="67"/>
      <c r="C26" s="67"/>
      <c r="D26" s="67"/>
      <c r="E26" s="67"/>
      <c r="F26" s="67"/>
    </row>
    <row r="27" spans="2:6" ht="12.5">
      <c r="B27" s="67"/>
      <c r="C27" s="67"/>
      <c r="D27" s="67"/>
      <c r="E27" s="67"/>
      <c r="F27" s="67"/>
    </row>
    <row r="28" spans="2:6" ht="12.5">
      <c r="B28" s="67"/>
      <c r="C28" s="67"/>
      <c r="D28" s="67"/>
      <c r="E28" s="67"/>
      <c r="F28" s="67"/>
    </row>
  </sheetData>
  <hyperlinks>
    <hyperlink ref="C21" r:id="rId1" display="Lead Lag Sample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2">
    <tabColor rgb="FF92D050"/>
    <pageSetUpPr fitToPage="1"/>
  </sheetPr>
  <dimension ref="A1:N56"/>
  <sheetViews>
    <sheetView workbookViewId="0" topLeftCell="A1">
      <pane xSplit="1" ySplit="9" topLeftCell="B10" activePane="bottomRight" state="frozen"/>
      <selection pane="topLeft" activeCell="A2" sqref="A2"/>
      <selection pane="bottomLeft" activeCell="A2" sqref="A2"/>
      <selection pane="topRight" activeCell="A2" sqref="A2"/>
      <selection pane="bottomRight" activeCell="A4" sqref="A4"/>
    </sheetView>
  </sheetViews>
  <sheetFormatPr defaultRowHeight="12.75"/>
  <cols>
    <col min="1" max="1" width="8.85714285714286" style="2" customWidth="1"/>
    <col min="2" max="2" width="16.1428571428571" customWidth="1"/>
    <col min="3" max="3" width="14.1428571428571" style="94" bestFit="1" customWidth="1"/>
    <col min="4" max="4" width="11.4285714285714" bestFit="1" customWidth="1"/>
    <col min="5" max="5" width="23.8571428571429" customWidth="1"/>
    <col min="6" max="6" width="17.4285714285714" customWidth="1"/>
    <col min="7" max="7" width="11.4285714285714" style="264" customWidth="1"/>
    <col min="8" max="8" width="18.1428571428571" customWidth="1"/>
    <col min="9" max="9" width="14.1428571428571" customWidth="1"/>
  </cols>
  <sheetData>
    <row r="1" spans="1:5" s="74" customFormat="1" ht="13">
      <c r="A1" s="181" t="s">
        <v>530</v>
      </c>
      <c r="B1" s="181"/>
      <c r="C1" s="181"/>
      <c r="D1" s="181"/>
      <c r="E1" s="181"/>
    </row>
    <row r="2" spans="1:5" s="74" customFormat="1" ht="13">
      <c r="A2" s="181" t="str">
        <f>'1-1-3-1-1'!A2</f>
        <v>ONCOR ELECTRIC DELIVERY COMPANY LLC</v>
      </c>
      <c r="B2" s="181"/>
      <c r="C2" s="181"/>
      <c r="D2" s="181"/>
      <c r="E2" s="181"/>
    </row>
    <row r="3" spans="1:5" s="74" customFormat="1" ht="13">
      <c r="A3" s="181" t="s">
        <v>343</v>
      </c>
      <c r="B3" s="181"/>
      <c r="C3" s="181"/>
      <c r="D3" s="181"/>
      <c r="E3" s="181"/>
    </row>
    <row r="4" spans="1:5" s="74" customFormat="1" ht="13">
      <c r="A4" s="817" t="s">
        <v>929</v>
      </c>
      <c r="B4" s="181"/>
      <c r="C4" s="181"/>
      <c r="D4" s="181"/>
      <c r="E4" s="181"/>
    </row>
    <row r="5" spans="1:5" s="74" customFormat="1" ht="13">
      <c r="A5" s="181" t="s">
        <v>524</v>
      </c>
      <c r="B5" s="181"/>
      <c r="C5" s="181"/>
      <c r="D5" s="181"/>
      <c r="E5" s="181"/>
    </row>
    <row r="7" spans="1:9" ht="13">
      <c r="A7"/>
      <c r="B7" s="96"/>
      <c r="C7"/>
      <c r="D7" s="2"/>
      <c r="E7" s="2"/>
      <c r="F7" s="6" t="s">
        <v>227</v>
      </c>
      <c r="G7" s="266"/>
      <c r="H7" s="6"/>
      <c r="I7" s="6"/>
    </row>
    <row r="8" spans="1:9" ht="13">
      <c r="A8" s="6" t="s">
        <v>40</v>
      </c>
      <c r="B8" s="6"/>
      <c r="C8" s="265"/>
      <c r="D8" s="6" t="s">
        <v>330</v>
      </c>
      <c r="E8" s="6" t="s">
        <v>331</v>
      </c>
      <c r="F8" s="6" t="s">
        <v>229</v>
      </c>
      <c r="G8" s="266" t="s">
        <v>46</v>
      </c>
      <c r="H8" s="6" t="s">
        <v>230</v>
      </c>
      <c r="I8" s="6"/>
    </row>
    <row r="9" spans="1:9" ht="13">
      <c r="A9" s="57" t="s">
        <v>41</v>
      </c>
      <c r="B9" s="57" t="s">
        <v>231</v>
      </c>
      <c r="C9" s="315" t="s">
        <v>24</v>
      </c>
      <c r="D9" s="57" t="s">
        <v>113</v>
      </c>
      <c r="E9" s="57" t="s">
        <v>332</v>
      </c>
      <c r="F9" s="57" t="s">
        <v>113</v>
      </c>
      <c r="G9" s="267" t="s">
        <v>116</v>
      </c>
      <c r="H9" s="57" t="s">
        <v>116</v>
      </c>
      <c r="I9" s="22"/>
    </row>
    <row r="10" spans="1:9" s="1" customFormat="1" ht="12.5">
      <c r="A10" s="20"/>
      <c r="B10" s="20" t="s">
        <v>55</v>
      </c>
      <c r="C10" s="312" t="s">
        <v>56</v>
      </c>
      <c r="D10" s="20" t="s">
        <v>62</v>
      </c>
      <c r="E10" s="20" t="s">
        <v>57</v>
      </c>
      <c r="F10" s="20" t="s">
        <v>58</v>
      </c>
      <c r="G10" s="313" t="s">
        <v>59</v>
      </c>
      <c r="H10" s="20" t="s">
        <v>60</v>
      </c>
      <c r="I10" s="314"/>
    </row>
    <row r="11" spans="1:9" s="1" customFormat="1" ht="12.5">
      <c r="A11" s="20"/>
      <c r="B11" s="20"/>
      <c r="C11" s="312"/>
      <c r="D11" s="20"/>
      <c r="E11" s="20"/>
      <c r="F11" s="313"/>
      <c r="G11" s="20"/>
      <c r="H11" s="314"/>
      <c r="I11" s="20"/>
    </row>
    <row r="12" spans="1:14" ht="12.5">
      <c r="A12" s="2">
        <v>1</v>
      </c>
      <c r="B12" s="727" t="s">
        <v>896</v>
      </c>
      <c r="C12" s="94">
        <v>352.31999999999999</v>
      </c>
      <c r="D12" s="268">
        <v>44061</v>
      </c>
      <c r="E12" s="495" t="s">
        <v>931</v>
      </c>
      <c r="F12" s="268">
        <v>44114</v>
      </c>
      <c r="G12" s="37">
        <f t="shared" si="0" ref="G12:G36">D12-F12</f>
        <v>-53</v>
      </c>
      <c r="H12" s="36">
        <f t="shared" si="1" ref="H12:H36">IF(ISERR(G12*C12),"",G12*C12)</f>
        <v>-18672.959999999999</v>
      </c>
      <c r="J12" s="263"/>
      <c r="L12" s="263"/>
      <c r="M12" s="263"/>
      <c r="N12" s="263"/>
    </row>
    <row r="13" spans="1:14" ht="12.5">
      <c r="A13" s="2">
        <v>2</v>
      </c>
      <c r="B13" s="727" t="s">
        <v>897</v>
      </c>
      <c r="C13" s="295">
        <v>1522.8499999999999</v>
      </c>
      <c r="D13" s="268">
        <v>44270</v>
      </c>
      <c r="E13" s="495" t="s">
        <v>931</v>
      </c>
      <c r="F13" s="268">
        <v>44300</v>
      </c>
      <c r="G13" s="37">
        <f t="shared" si="0"/>
        <v>-30</v>
      </c>
      <c r="H13" s="36">
        <f t="shared" si="1"/>
        <v>-45685.5</v>
      </c>
      <c r="J13" s="263"/>
      <c r="L13" s="263"/>
      <c r="M13" s="263"/>
      <c r="N13" s="263"/>
    </row>
    <row r="14" spans="1:14" ht="12.5">
      <c r="A14" s="2">
        <v>3</v>
      </c>
      <c r="B14" s="727" t="s">
        <v>898</v>
      </c>
      <c r="C14" s="295">
        <v>1062.5</v>
      </c>
      <c r="D14" s="268">
        <v>44060</v>
      </c>
      <c r="E14" s="495" t="s">
        <v>931</v>
      </c>
      <c r="F14" s="268">
        <v>44118</v>
      </c>
      <c r="G14" s="37">
        <f t="shared" si="0"/>
        <v>-58</v>
      </c>
      <c r="H14" s="36">
        <f t="shared" si="1"/>
        <v>-61625</v>
      </c>
      <c r="J14" s="263"/>
      <c r="L14" s="263"/>
      <c r="M14" s="263"/>
      <c r="N14" s="263"/>
    </row>
    <row r="15" spans="1:14" ht="12.5">
      <c r="A15" s="2">
        <v>4</v>
      </c>
      <c r="B15" s="727" t="s">
        <v>899</v>
      </c>
      <c r="C15" s="295">
        <v>256.35000000000002</v>
      </c>
      <c r="D15" s="268">
        <v>44462</v>
      </c>
      <c r="E15" s="495" t="s">
        <v>931</v>
      </c>
      <c r="F15" s="268">
        <v>44492</v>
      </c>
      <c r="G15" s="37">
        <f t="shared" si="0"/>
        <v>-30</v>
      </c>
      <c r="H15" s="36">
        <f t="shared" si="1"/>
        <v>-7690.5000000000009</v>
      </c>
      <c r="J15" s="263"/>
      <c r="L15" s="263"/>
      <c r="M15" s="263"/>
      <c r="N15" s="263"/>
    </row>
    <row r="16" spans="1:14" ht="12.5">
      <c r="A16" s="2">
        <v>5</v>
      </c>
      <c r="B16" s="727" t="s">
        <v>900</v>
      </c>
      <c r="C16" s="295">
        <v>43.399999999999999</v>
      </c>
      <c r="D16" s="268">
        <v>44305</v>
      </c>
      <c r="E16" s="495" t="s">
        <v>931</v>
      </c>
      <c r="F16" s="268">
        <v>44333</v>
      </c>
      <c r="G16" s="37">
        <f t="shared" si="0"/>
        <v>-28</v>
      </c>
      <c r="H16" s="36">
        <f t="shared" si="1"/>
        <v>-1215.2000000000001</v>
      </c>
      <c r="J16" s="263"/>
      <c r="L16" s="263"/>
      <c r="M16" s="263"/>
      <c r="N16" s="263"/>
    </row>
    <row r="17" spans="1:14" ht="12.5">
      <c r="A17" s="2">
        <v>6</v>
      </c>
      <c r="B17" s="727" t="s">
        <v>901</v>
      </c>
      <c r="C17" s="295">
        <v>114.8</v>
      </c>
      <c r="D17" s="268">
        <v>44049</v>
      </c>
      <c r="E17" s="495" t="s">
        <v>931</v>
      </c>
      <c r="F17" s="268">
        <v>44122</v>
      </c>
      <c r="G17" s="37">
        <f t="shared" si="0"/>
        <v>-73</v>
      </c>
      <c r="H17" s="36">
        <f t="shared" si="1"/>
        <v>-8380.3999999999996</v>
      </c>
      <c r="J17" s="263"/>
      <c r="L17" s="263"/>
      <c r="M17" s="263"/>
      <c r="N17" s="263"/>
    </row>
    <row r="18" spans="1:14" ht="12.5">
      <c r="A18" s="2">
        <v>7</v>
      </c>
      <c r="B18" s="727" t="s">
        <v>902</v>
      </c>
      <c r="C18" s="295">
        <v>14.32</v>
      </c>
      <c r="D18" s="268">
        <v>44439</v>
      </c>
      <c r="E18" s="495" t="s">
        <v>931</v>
      </c>
      <c r="F18" s="268">
        <v>44466</v>
      </c>
      <c r="G18" s="37">
        <f t="shared" si="0"/>
        <v>-27</v>
      </c>
      <c r="H18" s="36">
        <f t="shared" si="1"/>
        <v>-386.63999999999999</v>
      </c>
      <c r="J18" s="263"/>
      <c r="L18" s="263"/>
      <c r="M18" s="263"/>
      <c r="N18" s="263"/>
    </row>
    <row r="19" spans="1:14" ht="12.5">
      <c r="A19" s="2">
        <v>8</v>
      </c>
      <c r="B19" s="727" t="s">
        <v>903</v>
      </c>
      <c r="C19" s="295">
        <v>72.349999999999994</v>
      </c>
      <c r="D19" s="268">
        <v>44259</v>
      </c>
      <c r="E19" s="495" t="s">
        <v>931</v>
      </c>
      <c r="F19" s="268">
        <v>44321</v>
      </c>
      <c r="G19" s="37">
        <f t="shared" si="0"/>
        <v>-62</v>
      </c>
      <c r="H19" s="36">
        <f t="shared" si="1"/>
        <v>-4485.6999999999998</v>
      </c>
      <c r="J19" s="263"/>
      <c r="L19" s="263"/>
      <c r="M19" s="263"/>
      <c r="N19" s="263"/>
    </row>
    <row r="20" spans="1:14" ht="12.5">
      <c r="A20" s="2">
        <v>9</v>
      </c>
      <c r="B20" s="727" t="s">
        <v>904</v>
      </c>
      <c r="C20" s="295">
        <v>1373.7000000000001</v>
      </c>
      <c r="D20" s="268">
        <v>44094</v>
      </c>
      <c r="E20" s="495" t="s">
        <v>931</v>
      </c>
      <c r="F20" s="268">
        <v>44139</v>
      </c>
      <c r="G20" s="37">
        <f t="shared" si="0"/>
        <v>-45</v>
      </c>
      <c r="H20" s="36">
        <f t="shared" si="1"/>
        <v>-61816.5</v>
      </c>
      <c r="J20" s="263"/>
      <c r="L20" s="263"/>
      <c r="M20" s="263"/>
      <c r="N20" s="263"/>
    </row>
    <row r="21" spans="1:14" ht="12.5">
      <c r="A21" s="2">
        <v>10</v>
      </c>
      <c r="B21" s="727" t="s">
        <v>905</v>
      </c>
      <c r="C21" s="295">
        <v>259.80000000000001</v>
      </c>
      <c r="D21" s="268">
        <v>44126</v>
      </c>
      <c r="E21" s="495" t="s">
        <v>931</v>
      </c>
      <c r="F21" s="268">
        <v>44138</v>
      </c>
      <c r="G21" s="37">
        <f t="shared" si="0"/>
        <v>-12</v>
      </c>
      <c r="H21" s="36">
        <f t="shared" si="1"/>
        <v>-3117.6000000000004</v>
      </c>
      <c r="J21" s="263"/>
      <c r="L21" s="263"/>
      <c r="M21" s="263"/>
      <c r="N21" s="263"/>
    </row>
    <row r="22" spans="1:14" ht="12.5">
      <c r="A22" s="2">
        <v>11</v>
      </c>
      <c r="B22" s="727" t="s">
        <v>906</v>
      </c>
      <c r="C22" s="295">
        <v>1151.5799999999999</v>
      </c>
      <c r="D22" s="268">
        <v>44262.5</v>
      </c>
      <c r="E22" s="495" t="s">
        <v>931</v>
      </c>
      <c r="F22" s="268">
        <v>44303</v>
      </c>
      <c r="G22" s="37">
        <f t="shared" si="0"/>
        <v>-40.5</v>
      </c>
      <c r="H22" s="36">
        <f t="shared" si="1"/>
        <v>-46638.989999999998</v>
      </c>
      <c r="J22" s="263"/>
      <c r="L22" s="263"/>
      <c r="M22" s="263"/>
      <c r="N22" s="263"/>
    </row>
    <row r="23" spans="1:14" ht="12.5">
      <c r="A23" s="2">
        <v>12</v>
      </c>
      <c r="B23" s="756" t="s">
        <v>907</v>
      </c>
      <c r="C23" s="295">
        <v>5748.5699999999997</v>
      </c>
      <c r="D23" s="268">
        <v>43844.5</v>
      </c>
      <c r="E23" s="495" t="s">
        <v>931</v>
      </c>
      <c r="F23" s="268">
        <v>44161</v>
      </c>
      <c r="G23" s="37">
        <f t="shared" si="0"/>
        <v>-316.5</v>
      </c>
      <c r="H23" s="36">
        <f t="shared" si="1"/>
        <v>-1819422.4049999998</v>
      </c>
      <c r="J23" s="263"/>
      <c r="L23" s="263"/>
      <c r="M23" s="263"/>
      <c r="N23" s="263"/>
    </row>
    <row r="24" spans="1:14" ht="12.5">
      <c r="A24" s="2">
        <v>13</v>
      </c>
      <c r="B24" s="727" t="s">
        <v>908</v>
      </c>
      <c r="C24" s="295">
        <v>1203.2000000000001</v>
      </c>
      <c r="D24" s="268">
        <v>44149.5</v>
      </c>
      <c r="E24" s="495" t="s">
        <v>931</v>
      </c>
      <c r="F24" s="268">
        <v>44139</v>
      </c>
      <c r="G24" s="37">
        <f t="shared" si="0"/>
        <v>10.5</v>
      </c>
      <c r="H24" s="36">
        <f t="shared" si="1"/>
        <v>12633.6</v>
      </c>
      <c r="J24" s="263"/>
      <c r="L24" s="263"/>
      <c r="M24" s="263"/>
      <c r="N24" s="263"/>
    </row>
    <row r="25" spans="1:14" ht="12.5">
      <c r="A25" s="2">
        <v>14</v>
      </c>
      <c r="B25" s="727" t="s">
        <v>909</v>
      </c>
      <c r="C25" s="295">
        <v>227.84999999999999</v>
      </c>
      <c r="D25" s="268">
        <v>44275.5</v>
      </c>
      <c r="E25" s="495" t="s">
        <v>931</v>
      </c>
      <c r="F25" s="268">
        <v>44357</v>
      </c>
      <c r="G25" s="37">
        <f t="shared" si="0"/>
        <v>-81.5</v>
      </c>
      <c r="H25" s="36">
        <f t="shared" si="1"/>
        <v>-18569.774999999998</v>
      </c>
      <c r="J25" s="263"/>
      <c r="L25" s="263"/>
      <c r="M25" s="263"/>
      <c r="N25" s="263"/>
    </row>
    <row r="26" spans="1:14" ht="12.5">
      <c r="A26" s="2">
        <v>15</v>
      </c>
      <c r="B26" s="727" t="s">
        <v>910</v>
      </c>
      <c r="C26" s="295">
        <v>1046.1600000000001</v>
      </c>
      <c r="D26" s="268">
        <v>44167.5</v>
      </c>
      <c r="E26" s="495" t="s">
        <v>931</v>
      </c>
      <c r="F26" s="268">
        <v>44212</v>
      </c>
      <c r="G26" s="37">
        <f t="shared" si="0"/>
        <v>-44.5</v>
      </c>
      <c r="H26" s="36">
        <f t="shared" si="1"/>
        <v>-46554.120000000003</v>
      </c>
      <c r="J26" s="263"/>
      <c r="L26" s="263"/>
      <c r="M26" s="263"/>
      <c r="N26" s="263"/>
    </row>
    <row r="27" spans="1:14" ht="12.5">
      <c r="A27" s="2">
        <v>16</v>
      </c>
      <c r="B27" s="744" t="s">
        <v>911</v>
      </c>
      <c r="C27" s="295">
        <v>250.06</v>
      </c>
      <c r="D27" s="268">
        <v>44224</v>
      </c>
      <c r="E27" s="495" t="s">
        <v>931</v>
      </c>
      <c r="F27" s="268">
        <v>44257</v>
      </c>
      <c r="G27" s="37">
        <f t="shared" si="0"/>
        <v>-33</v>
      </c>
      <c r="H27" s="36">
        <f t="shared" si="1"/>
        <v>-8251.9799999999996</v>
      </c>
      <c r="J27" s="263"/>
      <c r="L27" s="263"/>
      <c r="M27" s="263"/>
      <c r="N27" s="263"/>
    </row>
    <row r="28" spans="1:14" ht="12.5">
      <c r="A28" s="2">
        <v>17</v>
      </c>
      <c r="B28" s="727" t="s">
        <v>912</v>
      </c>
      <c r="C28" s="295">
        <v>1767.1300000000001</v>
      </c>
      <c r="D28" s="268">
        <v>44317</v>
      </c>
      <c r="E28" s="495" t="s">
        <v>931</v>
      </c>
      <c r="F28" s="268">
        <v>44373</v>
      </c>
      <c r="G28" s="37">
        <f t="shared" si="0"/>
        <v>-56</v>
      </c>
      <c r="H28" s="36">
        <f t="shared" si="1"/>
        <v>-98959.279999999999</v>
      </c>
      <c r="J28" s="263"/>
      <c r="L28" s="263"/>
      <c r="M28" s="263"/>
      <c r="N28" s="263"/>
    </row>
    <row r="29" spans="1:14" ht="12.5">
      <c r="A29" s="2">
        <v>18</v>
      </c>
      <c r="B29" s="727" t="s">
        <v>913</v>
      </c>
      <c r="C29" s="295">
        <v>2959</v>
      </c>
      <c r="D29" s="268">
        <v>44116</v>
      </c>
      <c r="E29" s="495" t="s">
        <v>931</v>
      </c>
      <c r="F29" s="268">
        <v>44165</v>
      </c>
      <c r="G29" s="37">
        <f t="shared" si="2" ref="G29:G32">D29-F29</f>
        <v>-49</v>
      </c>
      <c r="H29" s="36">
        <f t="shared" si="3" ref="H29:H32">IF(ISERR(G29*C29),"",G29*C29)</f>
        <v>-144991</v>
      </c>
      <c r="J29" s="263"/>
      <c r="L29" s="263"/>
      <c r="M29" s="263"/>
      <c r="N29" s="263"/>
    </row>
    <row r="30" spans="1:14" ht="12.5">
      <c r="A30" s="2">
        <v>19</v>
      </c>
      <c r="B30" s="727" t="s">
        <v>914</v>
      </c>
      <c r="C30" s="295">
        <v>7098.46</v>
      </c>
      <c r="D30" s="268">
        <v>44059</v>
      </c>
      <c r="E30" s="495" t="s">
        <v>931</v>
      </c>
      <c r="F30" s="268">
        <v>44109</v>
      </c>
      <c r="G30" s="37">
        <f t="shared" si="2"/>
        <v>-50</v>
      </c>
      <c r="H30" s="36">
        <f t="shared" si="3"/>
        <v>-354923</v>
      </c>
      <c r="J30" s="263"/>
      <c r="L30" s="263"/>
      <c r="M30" s="263"/>
      <c r="N30" s="263"/>
    </row>
    <row r="31" spans="1:14" ht="12.5">
      <c r="A31" s="2">
        <v>20</v>
      </c>
      <c r="B31" s="727" t="s">
        <v>915</v>
      </c>
      <c r="C31" s="295">
        <v>3.9100000000000001</v>
      </c>
      <c r="D31" s="268">
        <v>44300</v>
      </c>
      <c r="E31" s="495" t="s">
        <v>931</v>
      </c>
      <c r="F31" s="268">
        <v>44326</v>
      </c>
      <c r="G31" s="37">
        <f t="shared" si="2"/>
        <v>-26</v>
      </c>
      <c r="H31" s="36">
        <f t="shared" si="3"/>
        <v>-101.66</v>
      </c>
      <c r="J31" s="263"/>
      <c r="L31" s="263"/>
      <c r="M31" s="263"/>
      <c r="N31" s="263"/>
    </row>
    <row r="32" spans="1:14" ht="12.5">
      <c r="A32" s="2">
        <v>21</v>
      </c>
      <c r="B32" s="727" t="s">
        <v>916</v>
      </c>
      <c r="C32" s="295">
        <v>829.82000000000005</v>
      </c>
      <c r="D32" s="268">
        <v>44007</v>
      </c>
      <c r="E32" s="495" t="s">
        <v>931</v>
      </c>
      <c r="F32" s="268">
        <v>44118</v>
      </c>
      <c r="G32" s="37">
        <f t="shared" si="2"/>
        <v>-111</v>
      </c>
      <c r="H32" s="36">
        <f t="shared" si="3"/>
        <v>-92110.020000000004</v>
      </c>
      <c r="J32" s="263"/>
      <c r="L32" s="263"/>
      <c r="M32" s="263"/>
      <c r="N32" s="263"/>
    </row>
    <row r="33" spans="1:14" ht="12.5">
      <c r="A33" s="2">
        <v>22</v>
      </c>
      <c r="B33" s="727" t="s">
        <v>917</v>
      </c>
      <c r="C33" s="295">
        <v>162.56999999999999</v>
      </c>
      <c r="D33" s="268">
        <v>44458</v>
      </c>
      <c r="E33" s="495" t="s">
        <v>931</v>
      </c>
      <c r="F33" s="268">
        <v>44487</v>
      </c>
      <c r="G33" s="37">
        <f t="shared" si="0"/>
        <v>-29</v>
      </c>
      <c r="H33" s="36">
        <f t="shared" si="1"/>
        <v>-4714.5299999999997</v>
      </c>
      <c r="J33" s="263"/>
      <c r="L33" s="263"/>
      <c r="M33" s="263"/>
      <c r="N33" s="263"/>
    </row>
    <row r="34" spans="1:14" ht="12.5">
      <c r="A34" s="2">
        <v>23</v>
      </c>
      <c r="B34" s="727" t="s">
        <v>918</v>
      </c>
      <c r="C34" s="295">
        <v>0.80000000000000004</v>
      </c>
      <c r="D34" s="268">
        <v>44287</v>
      </c>
      <c r="E34" s="495" t="s">
        <v>931</v>
      </c>
      <c r="F34" s="268">
        <v>44312</v>
      </c>
      <c r="G34" s="37">
        <f t="shared" si="0"/>
        <v>-25</v>
      </c>
      <c r="H34" s="36">
        <f t="shared" si="1"/>
        <v>-20</v>
      </c>
      <c r="J34" s="263"/>
      <c r="L34" s="263"/>
      <c r="M34" s="263"/>
      <c r="N34" s="263"/>
    </row>
    <row r="35" spans="1:14" ht="12.5">
      <c r="A35" s="2">
        <v>24</v>
      </c>
      <c r="B35" s="727" t="s">
        <v>919</v>
      </c>
      <c r="C35" s="295">
        <v>66.25</v>
      </c>
      <c r="D35" s="268">
        <v>44115</v>
      </c>
      <c r="E35" s="495" t="s">
        <v>931</v>
      </c>
      <c r="F35" s="268">
        <v>44144</v>
      </c>
      <c r="G35" s="37">
        <f t="shared" si="0"/>
        <v>-29</v>
      </c>
      <c r="H35" s="36">
        <f t="shared" si="1"/>
        <v>-1921.25</v>
      </c>
      <c r="J35" s="263"/>
      <c r="L35" s="263"/>
      <c r="M35" s="263"/>
      <c r="N35" s="263"/>
    </row>
    <row r="36" spans="1:14" ht="12.5">
      <c r="A36" s="2">
        <v>25</v>
      </c>
      <c r="B36" s="727" t="s">
        <v>920</v>
      </c>
      <c r="C36" s="763">
        <v>5345.0799999999999</v>
      </c>
      <c r="D36" s="268">
        <v>44429.5</v>
      </c>
      <c r="E36" s="495" t="s">
        <v>931</v>
      </c>
      <c r="F36" s="268">
        <v>44469</v>
      </c>
      <c r="G36" s="397">
        <f t="shared" si="0"/>
        <v>-39.5</v>
      </c>
      <c r="H36" s="745">
        <f t="shared" si="1"/>
        <v>-211130.66</v>
      </c>
      <c r="J36" s="263"/>
      <c r="L36" s="263"/>
      <c r="M36" s="263"/>
      <c r="N36" s="263"/>
    </row>
    <row r="37" spans="1:14" ht="12.5">
      <c r="A37" s="2">
        <v>26</v>
      </c>
      <c r="B37" s="2"/>
      <c r="C37" s="74"/>
      <c r="D37" s="268"/>
      <c r="E37" s="495"/>
      <c r="F37" s="268"/>
      <c r="G37" s="37"/>
      <c r="H37" s="179"/>
      <c r="J37" s="263"/>
      <c r="L37" s="263"/>
      <c r="M37" s="263"/>
      <c r="N37" s="263"/>
    </row>
    <row r="38" spans="1:8" ht="13" thickBot="1">
      <c r="A38" s="2">
        <v>27</v>
      </c>
      <c r="B38" t="s">
        <v>26</v>
      </c>
      <c r="C38" s="361">
        <f>SUM(C12:C37)</f>
        <v>32932.830000000002</v>
      </c>
      <c r="G38" s="399">
        <f>+ROUND(H38/C38,2)</f>
        <v>-92.569999999999993</v>
      </c>
      <c r="H38" s="361">
        <f>SUM(H12:H37)</f>
        <v>-3048751.0699999994</v>
      </c>
    </row>
    <row r="39" spans="1:7" ht="13" thickTop="1">
      <c r="A39" s="2">
        <v>28</v>
      </c>
      <c r="C39" s="514"/>
      <c r="G39" s="28"/>
    </row>
    <row r="40" spans="1:7" ht="12.5">
      <c r="A40" s="2">
        <v>29</v>
      </c>
      <c r="B40" s="173"/>
      <c r="G40" s="28"/>
    </row>
    <row r="41" spans="1:2" ht="12.5">
      <c r="A41" s="2">
        <v>30</v>
      </c>
      <c r="B41" s="173"/>
    </row>
    <row r="42" spans="1:7" ht="12.5">
      <c r="A42" s="2">
        <v>31</v>
      </c>
      <c r="G42" s="28"/>
    </row>
    <row r="43" spans="1:7" ht="12.5">
      <c r="A43" s="2">
        <v>32</v>
      </c>
      <c r="B43" t="s">
        <v>256</v>
      </c>
      <c r="C43" s="293" t="s">
        <v>521</v>
      </c>
      <c r="G43" s="28"/>
    </row>
    <row r="44" spans="7:7" ht="12.5">
      <c r="G44" s="28"/>
    </row>
    <row r="45" spans="1:7" ht="12.5">
      <c r="A45" s="231"/>
      <c r="B45" s="230"/>
      <c r="C45" s="583"/>
      <c r="G45" s="28"/>
    </row>
    <row r="46" spans="7:7" ht="12.5">
      <c r="G46" s="28"/>
    </row>
    <row r="47" spans="7:7" ht="12.5">
      <c r="G47" s="28"/>
    </row>
    <row r="48" spans="7:7" ht="12.5">
      <c r="G48" s="28"/>
    </row>
    <row r="49" spans="7:7" ht="12.5">
      <c r="G49" s="28"/>
    </row>
    <row r="50" spans="7:7" ht="12.5">
      <c r="G50" s="28"/>
    </row>
    <row r="51" spans="7:7" ht="12.5">
      <c r="G51" s="28"/>
    </row>
    <row r="52" spans="7:7" ht="12.5">
      <c r="G52" s="28"/>
    </row>
    <row r="53" spans="7:7" ht="12.5">
      <c r="G53" s="28"/>
    </row>
    <row r="54" spans="7:7" ht="12.5">
      <c r="G54" s="28"/>
    </row>
    <row r="55" spans="7:7" ht="12.5">
      <c r="G55" s="28"/>
    </row>
    <row r="56" spans="7:7" ht="12.5">
      <c r="G56" s="28"/>
    </row>
  </sheetData>
  <hyperlinks>
    <hyperlink ref="C43" r:id="rId1" display="3rd party O&amp;M - ESD sample.xlsx"/>
  </hyperlinks>
  <printOptions horizontalCentered="1"/>
  <pageMargins left="0.5" right="0.5" top="1.5" bottom="0.5" header="1" footer="0.5"/>
  <pageSetup orientation="landscape" scale="88" r:id="rId2"/>
  <headerFooter alignWithMargins="0">
    <oddHeader>&amp;RWP/II-B-9/&amp;A
Page &amp;P of &amp;N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3">
    <tabColor rgb="FF92D050"/>
    <pageSetUpPr fitToPage="1"/>
  </sheetPr>
  <dimension ref="A1:N39"/>
  <sheetViews>
    <sheetView workbookViewId="0" topLeftCell="A1">
      <pane xSplit="1" ySplit="9" topLeftCell="B13" activePane="bottomRight" state="frozen"/>
      <selection pane="topLeft" activeCell="A2" sqref="A2"/>
      <selection pane="bottomLeft" activeCell="A2" sqref="A2"/>
      <selection pane="topRight" activeCell="A2" sqref="A2"/>
      <selection pane="bottomRight" activeCell="A4" sqref="A4"/>
    </sheetView>
  </sheetViews>
  <sheetFormatPr defaultRowHeight="12.75"/>
  <cols>
    <col min="1" max="1" width="8.85714285714286" style="2" customWidth="1"/>
    <col min="2" max="2" width="18.8571428571429" customWidth="1"/>
    <col min="3" max="3" width="14.4285714285714" style="94" bestFit="1" customWidth="1"/>
    <col min="4" max="4" width="11.5714285714286" bestFit="1" customWidth="1"/>
    <col min="5" max="5" width="23.8571428571429" customWidth="1"/>
    <col min="6" max="6" width="17.4285714285714" customWidth="1"/>
    <col min="7" max="7" width="11.4285714285714" style="264" customWidth="1"/>
    <col min="8" max="8" width="18.1428571428571" customWidth="1"/>
    <col min="9" max="9" width="14.1428571428571" customWidth="1"/>
  </cols>
  <sheetData>
    <row r="1" spans="1:5" s="74" customFormat="1" ht="13">
      <c r="A1" s="181" t="s">
        <v>530</v>
      </c>
      <c r="B1" s="181"/>
      <c r="C1" s="181"/>
      <c r="D1" s="181"/>
      <c r="E1" s="181"/>
    </row>
    <row r="2" spans="1:5" s="74" customFormat="1" ht="13">
      <c r="A2" s="181" t="str">
        <f>'1-1-3-1-1'!A2</f>
        <v>ONCOR ELECTRIC DELIVERY COMPANY LLC</v>
      </c>
      <c r="B2" s="181"/>
      <c r="C2" s="181"/>
      <c r="D2" s="181"/>
      <c r="E2" s="181"/>
    </row>
    <row r="3" spans="1:5" s="74" customFormat="1" ht="13">
      <c r="A3" s="181" t="s">
        <v>344</v>
      </c>
      <c r="B3" s="181"/>
      <c r="C3" s="181"/>
      <c r="D3" s="181"/>
      <c r="E3" s="181"/>
    </row>
    <row r="4" spans="1:5" s="74" customFormat="1" ht="13">
      <c r="A4" s="817" t="s">
        <v>929</v>
      </c>
      <c r="B4" s="181"/>
      <c r="C4" s="181"/>
      <c r="D4" s="181"/>
      <c r="E4" s="181"/>
    </row>
    <row r="5" spans="1:5" s="74" customFormat="1" ht="13">
      <c r="A5" s="181" t="s">
        <v>524</v>
      </c>
      <c r="B5" s="181"/>
      <c r="C5" s="181"/>
      <c r="D5" s="181"/>
      <c r="E5" s="181"/>
    </row>
    <row r="7" spans="1:9" ht="13">
      <c r="A7"/>
      <c r="B7" s="96"/>
      <c r="C7"/>
      <c r="D7" s="2"/>
      <c r="E7" s="2"/>
      <c r="F7" s="6" t="s">
        <v>227</v>
      </c>
      <c r="G7" s="266"/>
      <c r="H7" s="6"/>
      <c r="I7" s="6"/>
    </row>
    <row r="8" spans="1:9" ht="13">
      <c r="A8" s="6" t="s">
        <v>40</v>
      </c>
      <c r="B8" s="6"/>
      <c r="C8" s="265"/>
      <c r="D8" s="6" t="s">
        <v>330</v>
      </c>
      <c r="E8" s="6" t="s">
        <v>331</v>
      </c>
      <c r="F8" s="6" t="s">
        <v>229</v>
      </c>
      <c r="G8" s="266" t="s">
        <v>46</v>
      </c>
      <c r="H8" s="6" t="s">
        <v>230</v>
      </c>
      <c r="I8" s="6"/>
    </row>
    <row r="9" spans="1:9" ht="13">
      <c r="A9" s="57" t="s">
        <v>41</v>
      </c>
      <c r="B9" s="57" t="s">
        <v>231</v>
      </c>
      <c r="C9" s="315" t="s">
        <v>24</v>
      </c>
      <c r="D9" s="57" t="s">
        <v>113</v>
      </c>
      <c r="E9" s="57" t="s">
        <v>332</v>
      </c>
      <c r="F9" s="57" t="s">
        <v>113</v>
      </c>
      <c r="G9" s="267" t="s">
        <v>116</v>
      </c>
      <c r="H9" s="57" t="s">
        <v>116</v>
      </c>
      <c r="I9" s="22"/>
    </row>
    <row r="10" spans="1:9" s="1" customFormat="1" ht="12.5">
      <c r="A10" s="20"/>
      <c r="B10" s="20" t="s">
        <v>55</v>
      </c>
      <c r="C10" s="312" t="s">
        <v>56</v>
      </c>
      <c r="D10" s="20" t="s">
        <v>62</v>
      </c>
      <c r="E10" s="20" t="s">
        <v>57</v>
      </c>
      <c r="F10" s="20" t="s">
        <v>58</v>
      </c>
      <c r="G10" s="313" t="s">
        <v>59</v>
      </c>
      <c r="H10" s="20" t="s">
        <v>60</v>
      </c>
      <c r="I10" s="314"/>
    </row>
    <row r="11" spans="1:9" s="1" customFormat="1" ht="12.5">
      <c r="A11" s="20"/>
      <c r="B11" s="20"/>
      <c r="C11" s="312"/>
      <c r="D11" s="20"/>
      <c r="E11" s="20"/>
      <c r="F11" s="313"/>
      <c r="G11" s="20"/>
      <c r="H11" s="314"/>
      <c r="I11" s="20"/>
    </row>
    <row r="12" spans="1:14" s="230" customFormat="1" ht="12.5">
      <c r="A12" s="231">
        <v>1</v>
      </c>
      <c r="B12" s="727" t="s">
        <v>882</v>
      </c>
      <c r="C12" s="176">
        <v>11903.870000000001</v>
      </c>
      <c r="D12" s="268">
        <v>44150.5</v>
      </c>
      <c r="E12" s="495" t="s">
        <v>931</v>
      </c>
      <c r="F12" s="268">
        <v>44118</v>
      </c>
      <c r="G12" s="37">
        <f>D12-F12</f>
        <v>32.5</v>
      </c>
      <c r="H12" s="687">
        <f>IF(ISERR(G12*C12),"",G12*C12)</f>
        <v>386875.77500000002</v>
      </c>
      <c r="J12" s="400"/>
      <c r="L12" s="400"/>
      <c r="M12" s="400"/>
      <c r="N12" s="400"/>
    </row>
    <row r="13" spans="1:14" ht="12.5">
      <c r="A13" s="2">
        <f>+A12+1</f>
        <v>2</v>
      </c>
      <c r="B13" s="727" t="s">
        <v>883</v>
      </c>
      <c r="C13" s="295">
        <v>11325.66</v>
      </c>
      <c r="D13" s="268">
        <v>44365</v>
      </c>
      <c r="E13" s="495" t="s">
        <v>321</v>
      </c>
      <c r="F13" s="268">
        <v>44414</v>
      </c>
      <c r="G13" s="37">
        <f t="shared" si="0" ref="G13:G25">D13-F13</f>
        <v>-49</v>
      </c>
      <c r="H13" s="688">
        <f t="shared" si="1" ref="H13:H25">IF(ISERR(G13*C13),"",G13*C13)</f>
        <v>-554957.33999999997</v>
      </c>
      <c r="I13" s="230"/>
      <c r="J13" s="263"/>
      <c r="L13" s="263"/>
      <c r="M13" s="263"/>
      <c r="N13" s="263"/>
    </row>
    <row r="14" spans="1:14" ht="12.5">
      <c r="A14" s="2">
        <f t="shared" si="2" ref="A14:A32">+A13+1</f>
        <v>3</v>
      </c>
      <c r="B14" s="727" t="s">
        <v>884</v>
      </c>
      <c r="C14" s="295">
        <v>15375</v>
      </c>
      <c r="D14" s="268">
        <v>44060</v>
      </c>
      <c r="E14" s="495" t="s">
        <v>321</v>
      </c>
      <c r="F14" s="268">
        <v>44238</v>
      </c>
      <c r="G14" s="37">
        <f t="shared" si="0"/>
        <v>-178</v>
      </c>
      <c r="H14" s="688">
        <f t="shared" si="1"/>
        <v>-2736750</v>
      </c>
      <c r="I14" s="230"/>
      <c r="J14" s="263"/>
      <c r="L14" s="263"/>
      <c r="M14" s="263"/>
      <c r="N14" s="263"/>
    </row>
    <row r="15" spans="1:14" ht="12.5">
      <c r="A15" s="2">
        <f t="shared" si="2"/>
        <v>4</v>
      </c>
      <c r="B15" s="727" t="s">
        <v>885</v>
      </c>
      <c r="C15" s="295">
        <v>16228.969999999999</v>
      </c>
      <c r="D15" s="268">
        <v>44315</v>
      </c>
      <c r="E15" s="495" t="s">
        <v>931</v>
      </c>
      <c r="F15" s="268">
        <v>44359</v>
      </c>
      <c r="G15" s="37">
        <f t="shared" si="0"/>
        <v>-44</v>
      </c>
      <c r="H15" s="688">
        <f t="shared" si="1"/>
        <v>-714074.67999999993</v>
      </c>
      <c r="I15" s="230"/>
      <c r="J15" s="263"/>
      <c r="L15" s="263"/>
      <c r="M15" s="263"/>
      <c r="N15" s="263"/>
    </row>
    <row r="16" spans="1:14" ht="12.5">
      <c r="A16" s="2">
        <f t="shared" si="2"/>
        <v>5</v>
      </c>
      <c r="B16" s="727" t="s">
        <v>886</v>
      </c>
      <c r="C16" s="295">
        <v>15609.940000000001</v>
      </c>
      <c r="D16" s="268">
        <v>44362.5</v>
      </c>
      <c r="E16" s="495" t="s">
        <v>931</v>
      </c>
      <c r="F16" s="268">
        <v>44412</v>
      </c>
      <c r="G16" s="37">
        <f t="shared" si="0"/>
        <v>-49.5</v>
      </c>
      <c r="H16" s="688">
        <f t="shared" si="1"/>
        <v>-772692.03000000003</v>
      </c>
      <c r="I16" s="230"/>
      <c r="J16" s="263"/>
      <c r="L16" s="263"/>
      <c r="M16" s="263"/>
      <c r="N16" s="263"/>
    </row>
    <row r="17" spans="1:14" ht="12.5">
      <c r="A17" s="2">
        <f t="shared" si="2"/>
        <v>6</v>
      </c>
      <c r="B17" s="727" t="s">
        <v>887</v>
      </c>
      <c r="C17" s="295">
        <v>17477.849999999999</v>
      </c>
      <c r="D17" s="268">
        <v>44389</v>
      </c>
      <c r="E17" s="495" t="s">
        <v>931</v>
      </c>
      <c r="F17" s="268">
        <v>44461</v>
      </c>
      <c r="G17" s="37">
        <f t="shared" si="0"/>
        <v>-72</v>
      </c>
      <c r="H17" s="688">
        <f t="shared" si="1"/>
        <v>-1258405.2</v>
      </c>
      <c r="I17" s="230"/>
      <c r="J17" s="263"/>
      <c r="L17" s="263"/>
      <c r="M17" s="263"/>
      <c r="N17" s="263"/>
    </row>
    <row r="18" spans="1:14" ht="12.5">
      <c r="A18" s="2">
        <f t="shared" si="2"/>
        <v>7</v>
      </c>
      <c r="B18" s="727" t="s">
        <v>888</v>
      </c>
      <c r="C18" s="295">
        <v>16325.459999999999</v>
      </c>
      <c r="D18" s="268">
        <v>44424</v>
      </c>
      <c r="E18" s="495" t="s">
        <v>931</v>
      </c>
      <c r="F18" s="268">
        <v>44476</v>
      </c>
      <c r="G18" s="37">
        <f t="shared" si="0"/>
        <v>-52</v>
      </c>
      <c r="H18" s="688">
        <f t="shared" si="1"/>
        <v>-848923.91999999993</v>
      </c>
      <c r="I18" s="230"/>
      <c r="J18" s="263"/>
      <c r="L18" s="263"/>
      <c r="M18" s="263"/>
      <c r="N18" s="263"/>
    </row>
    <row r="19" spans="1:14" ht="12.5">
      <c r="A19" s="2">
        <f t="shared" si="2"/>
        <v>8</v>
      </c>
      <c r="B19" s="727" t="s">
        <v>889</v>
      </c>
      <c r="C19" s="295">
        <v>13544.5</v>
      </c>
      <c r="D19" s="268">
        <v>44242</v>
      </c>
      <c r="E19" s="495" t="s">
        <v>931</v>
      </c>
      <c r="F19" s="268">
        <v>44323</v>
      </c>
      <c r="G19" s="37">
        <f t="shared" si="0"/>
        <v>-81</v>
      </c>
      <c r="H19" s="688">
        <f t="shared" si="1"/>
        <v>-1097104.5</v>
      </c>
      <c r="I19" s="230"/>
      <c r="J19" s="263"/>
      <c r="L19" s="263"/>
      <c r="M19" s="263"/>
      <c r="N19" s="263"/>
    </row>
    <row r="20" spans="1:14" ht="12.5">
      <c r="A20" s="2">
        <f t="shared" si="2"/>
        <v>9</v>
      </c>
      <c r="B20" s="727" t="s">
        <v>890</v>
      </c>
      <c r="C20" s="295">
        <v>18119.68</v>
      </c>
      <c r="D20" s="268">
        <v>44180.5</v>
      </c>
      <c r="E20" s="495" t="s">
        <v>931</v>
      </c>
      <c r="F20" s="268">
        <v>44223</v>
      </c>
      <c r="G20" s="37">
        <f t="shared" si="0"/>
        <v>-42.5</v>
      </c>
      <c r="H20" s="688">
        <f t="shared" si="1"/>
        <v>-770086.40000000002</v>
      </c>
      <c r="I20" s="230"/>
      <c r="J20" s="263"/>
      <c r="L20" s="263"/>
      <c r="M20" s="263"/>
      <c r="N20" s="263"/>
    </row>
    <row r="21" spans="1:14" ht="12.5">
      <c r="A21" s="2">
        <f t="shared" si="2"/>
        <v>10</v>
      </c>
      <c r="B21" s="727" t="s">
        <v>891</v>
      </c>
      <c r="C21" s="295">
        <v>18778.759999999998</v>
      </c>
      <c r="D21" s="268">
        <v>44145.5</v>
      </c>
      <c r="E21" s="495" t="s">
        <v>931</v>
      </c>
      <c r="F21" s="268">
        <v>44207</v>
      </c>
      <c r="G21" s="37">
        <f t="shared" si="0"/>
        <v>-61.5</v>
      </c>
      <c r="H21" s="688">
        <f t="shared" si="1"/>
        <v>-1154893.74</v>
      </c>
      <c r="I21" s="230"/>
      <c r="J21" s="263"/>
      <c r="L21" s="263"/>
      <c r="M21" s="263"/>
      <c r="N21" s="263"/>
    </row>
    <row r="22" spans="1:14" ht="12.5">
      <c r="A22" s="2">
        <f t="shared" si="2"/>
        <v>11</v>
      </c>
      <c r="B22" s="727" t="s">
        <v>892</v>
      </c>
      <c r="C22" s="295">
        <v>20000</v>
      </c>
      <c r="D22" s="268">
        <v>44393</v>
      </c>
      <c r="E22" s="495" t="s">
        <v>931</v>
      </c>
      <c r="F22" s="268">
        <v>44412</v>
      </c>
      <c r="G22" s="37">
        <f t="shared" si="0"/>
        <v>-19</v>
      </c>
      <c r="H22" s="688">
        <f t="shared" si="1"/>
        <v>-380000</v>
      </c>
      <c r="I22" s="230"/>
      <c r="J22" s="263"/>
      <c r="L22" s="263"/>
      <c r="M22" s="263"/>
      <c r="N22" s="263"/>
    </row>
    <row r="23" spans="1:14" ht="12.5">
      <c r="A23" s="2">
        <f t="shared" si="2"/>
        <v>12</v>
      </c>
      <c r="B23" s="727" t="s">
        <v>893</v>
      </c>
      <c r="C23" s="295">
        <v>17600</v>
      </c>
      <c r="D23" s="268">
        <v>44332.5</v>
      </c>
      <c r="E23" s="495" t="s">
        <v>931</v>
      </c>
      <c r="F23" s="268">
        <v>44377</v>
      </c>
      <c r="G23" s="37">
        <f t="shared" si="0"/>
        <v>-44.5</v>
      </c>
      <c r="H23" s="688">
        <f t="shared" si="1"/>
        <v>-783200</v>
      </c>
      <c r="I23" s="230"/>
      <c r="J23" s="263"/>
      <c r="L23" s="263"/>
      <c r="M23" s="263"/>
      <c r="N23" s="263"/>
    </row>
    <row r="24" spans="1:14" ht="12.5">
      <c r="A24" s="2">
        <f t="shared" si="2"/>
        <v>13</v>
      </c>
      <c r="B24" s="727" t="s">
        <v>894</v>
      </c>
      <c r="C24" s="295">
        <v>22946.700000000001</v>
      </c>
      <c r="D24" s="268">
        <v>44145.5</v>
      </c>
      <c r="E24" s="495" t="s">
        <v>931</v>
      </c>
      <c r="F24" s="268">
        <v>44183</v>
      </c>
      <c r="G24" s="37">
        <f t="shared" si="0"/>
        <v>-37.5</v>
      </c>
      <c r="H24" s="688">
        <f t="shared" si="1"/>
        <v>-860501.25</v>
      </c>
      <c r="I24" s="230"/>
      <c r="J24" s="263"/>
      <c r="L24" s="263"/>
      <c r="M24" s="263"/>
      <c r="N24" s="263"/>
    </row>
    <row r="25" spans="1:14" ht="12.5">
      <c r="A25" s="2">
        <f t="shared" si="2"/>
        <v>14</v>
      </c>
      <c r="B25" s="727" t="s">
        <v>895</v>
      </c>
      <c r="C25" s="763">
        <v>18000</v>
      </c>
      <c r="D25" s="268">
        <v>44320.5</v>
      </c>
      <c r="E25" s="495" t="s">
        <v>931</v>
      </c>
      <c r="F25" s="268">
        <v>44456</v>
      </c>
      <c r="G25" s="37">
        <f t="shared" si="0"/>
        <v>-135.5</v>
      </c>
      <c r="H25" s="689">
        <f t="shared" si="1"/>
        <v>-2439000</v>
      </c>
      <c r="I25" s="230"/>
      <c r="J25" s="263"/>
      <c r="L25" s="263"/>
      <c r="M25" s="263"/>
      <c r="N25" s="263"/>
    </row>
    <row r="26" spans="1:14" ht="12.5">
      <c r="A26" s="2">
        <f t="shared" si="2"/>
        <v>15</v>
      </c>
      <c r="B26" s="2"/>
      <c r="C26" s="694"/>
      <c r="D26" s="268"/>
      <c r="E26" s="495"/>
      <c r="F26" s="268"/>
      <c r="G26" s="504"/>
      <c r="H26" s="693"/>
      <c r="J26" s="263"/>
      <c r="L26" s="263"/>
      <c r="M26" s="263"/>
      <c r="N26" s="263"/>
    </row>
    <row r="27" spans="1:8" ht="13" thickBot="1">
      <c r="A27" s="2">
        <f t="shared" si="2"/>
        <v>16</v>
      </c>
      <c r="B27" t="s">
        <v>26</v>
      </c>
      <c r="C27" s="695">
        <f>SUM(C12:C26)</f>
        <v>233236.39000000001</v>
      </c>
      <c r="G27" s="399">
        <f>+ROUND(H27/C27,2)</f>
        <v>-59.960000000000001</v>
      </c>
      <c r="H27" s="361">
        <f>SUM(H12:H25)</f>
        <v>-13983713.285</v>
      </c>
    </row>
    <row r="28" spans="1:7" ht="13" thickTop="1">
      <c r="A28" s="2">
        <f t="shared" si="2"/>
        <v>17</v>
      </c>
      <c r="G28" s="28"/>
    </row>
    <row r="29" spans="1:7" ht="12.5">
      <c r="A29" s="2">
        <f t="shared" si="2"/>
        <v>18</v>
      </c>
      <c r="B29" s="173"/>
      <c r="G29" s="28"/>
    </row>
    <row r="30" spans="1:7" ht="12.5">
      <c r="A30" s="2">
        <f t="shared" si="2"/>
        <v>19</v>
      </c>
      <c r="B30" s="2"/>
      <c r="C30" s="317"/>
      <c r="G30" s="28"/>
    </row>
    <row r="31" spans="1:7" ht="12.5">
      <c r="A31" s="2">
        <f t="shared" si="2"/>
        <v>20</v>
      </c>
      <c r="G31" s="28"/>
    </row>
    <row r="32" spans="1:7" ht="12.5">
      <c r="A32" s="2">
        <f t="shared" si="2"/>
        <v>21</v>
      </c>
      <c r="B32" t="s">
        <v>256</v>
      </c>
      <c r="C32" s="293" t="s">
        <v>520</v>
      </c>
      <c r="G32" s="28"/>
    </row>
    <row r="33" spans="7:7" ht="12.5">
      <c r="G33" s="28"/>
    </row>
    <row r="34" spans="7:7" ht="12.5">
      <c r="G34" s="28"/>
    </row>
    <row r="35" spans="7:7" ht="12.5">
      <c r="G35" s="28"/>
    </row>
    <row r="36" spans="7:7" ht="12.5">
      <c r="G36" s="28"/>
    </row>
    <row r="37" spans="7:7" ht="12.5">
      <c r="G37" s="28"/>
    </row>
    <row r="38" spans="7:7" ht="12.5">
      <c r="G38" s="28"/>
    </row>
    <row r="39" spans="7:7" ht="12.5">
      <c r="G39" s="28"/>
    </row>
  </sheetData>
  <hyperlinks>
    <hyperlink ref="C32" r:id="rId1" display="3rd party O&amp;M - ESD sample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6">
    <tabColor rgb="FF92D050"/>
    <pageSetUpPr fitToPage="1"/>
  </sheetPr>
  <dimension ref="A1:N105"/>
  <sheetViews>
    <sheetView workbookViewId="0" topLeftCell="A1">
      <pane xSplit="1" ySplit="9" topLeftCell="B82" activePane="bottomRight" state="frozen"/>
      <selection pane="topLeft" activeCell="A2" sqref="A2"/>
      <selection pane="bottomLeft" activeCell="A2" sqref="A2"/>
      <selection pane="topRight" activeCell="A2" sqref="A2"/>
      <selection pane="bottomRight" activeCell="E70" sqref="E70"/>
    </sheetView>
  </sheetViews>
  <sheetFormatPr defaultRowHeight="12.75"/>
  <cols>
    <col min="1" max="1" width="8.85714285714286" style="2" customWidth="1"/>
    <col min="2" max="2" width="17.4285714285714" customWidth="1"/>
    <col min="3" max="3" width="15.5714285714286" style="94" bestFit="1" customWidth="1"/>
    <col min="4" max="4" width="11.4285714285714" bestFit="1" customWidth="1"/>
    <col min="5" max="5" width="23.8571428571429" customWidth="1"/>
    <col min="6" max="6" width="17.4285714285714" customWidth="1"/>
    <col min="7" max="7" width="11.4285714285714" style="264" customWidth="1"/>
    <col min="8" max="8" width="19.4285714285714" bestFit="1" customWidth="1"/>
    <col min="9" max="9" width="14.1428571428571" customWidth="1"/>
  </cols>
  <sheetData>
    <row r="1" spans="1:5" s="74" customFormat="1" ht="13">
      <c r="A1" s="181" t="s">
        <v>530</v>
      </c>
      <c r="B1" s="181"/>
      <c r="C1" s="181"/>
      <c r="D1" s="181"/>
      <c r="E1" s="181"/>
    </row>
    <row r="2" spans="1:5" s="74" customFormat="1" ht="13">
      <c r="A2" s="181" t="str">
        <f>'1-1-3-1-1'!A2</f>
        <v>ONCOR ELECTRIC DELIVERY COMPANY LLC</v>
      </c>
      <c r="B2" s="181"/>
      <c r="C2" s="181"/>
      <c r="D2" s="181"/>
      <c r="E2" s="181"/>
    </row>
    <row r="3" spans="1:5" s="74" customFormat="1" ht="13">
      <c r="A3" s="181" t="s">
        <v>345</v>
      </c>
      <c r="B3" s="181"/>
      <c r="C3" s="181"/>
      <c r="D3" s="181"/>
      <c r="E3" s="181"/>
    </row>
    <row r="4" spans="1:5" s="74" customFormat="1" ht="13">
      <c r="A4" s="817" t="s">
        <v>929</v>
      </c>
      <c r="B4" s="181"/>
      <c r="C4" s="181"/>
      <c r="D4" s="181"/>
      <c r="E4" s="181"/>
    </row>
    <row r="5" spans="1:5" s="74" customFormat="1" ht="13">
      <c r="A5" s="181" t="s">
        <v>524</v>
      </c>
      <c r="B5" s="181"/>
      <c r="C5" s="181"/>
      <c r="D5" s="181"/>
      <c r="E5" s="181"/>
    </row>
    <row r="7" spans="1:9" ht="13">
      <c r="A7"/>
      <c r="B7" s="96"/>
      <c r="C7"/>
      <c r="D7" s="2"/>
      <c r="E7" s="2"/>
      <c r="F7" s="6" t="s">
        <v>227</v>
      </c>
      <c r="G7" s="266"/>
      <c r="H7" s="6"/>
      <c r="I7" s="6"/>
    </row>
    <row r="8" spans="1:9" ht="13">
      <c r="A8" s="6" t="s">
        <v>40</v>
      </c>
      <c r="B8" s="6"/>
      <c r="C8" s="265"/>
      <c r="D8" s="6" t="s">
        <v>330</v>
      </c>
      <c r="E8" s="6" t="s">
        <v>331</v>
      </c>
      <c r="F8" s="6" t="s">
        <v>229</v>
      </c>
      <c r="G8" s="266" t="s">
        <v>46</v>
      </c>
      <c r="H8" s="6" t="s">
        <v>230</v>
      </c>
      <c r="I8" s="6"/>
    </row>
    <row r="9" spans="1:9" ht="13">
      <c r="A9" s="57" t="s">
        <v>41</v>
      </c>
      <c r="B9" s="57" t="s">
        <v>231</v>
      </c>
      <c r="C9" s="315" t="s">
        <v>24</v>
      </c>
      <c r="D9" s="57" t="s">
        <v>113</v>
      </c>
      <c r="E9" s="57" t="s">
        <v>332</v>
      </c>
      <c r="F9" s="57" t="s">
        <v>113</v>
      </c>
      <c r="G9" s="267" t="s">
        <v>116</v>
      </c>
      <c r="H9" s="57" t="s">
        <v>116</v>
      </c>
      <c r="I9" s="22"/>
    </row>
    <row r="10" spans="1:9" s="1" customFormat="1" ht="12.5">
      <c r="A10" s="20"/>
      <c r="B10" s="20" t="s">
        <v>55</v>
      </c>
      <c r="C10" s="312" t="s">
        <v>56</v>
      </c>
      <c r="D10" s="20" t="s">
        <v>62</v>
      </c>
      <c r="E10" s="20" t="s">
        <v>57</v>
      </c>
      <c r="F10" s="20" t="s">
        <v>58</v>
      </c>
      <c r="G10" s="313" t="s">
        <v>59</v>
      </c>
      <c r="H10" s="20" t="s">
        <v>60</v>
      </c>
      <c r="I10" s="314"/>
    </row>
    <row r="11" spans="1:9" s="1" customFormat="1" ht="12.5">
      <c r="A11" s="20"/>
      <c r="B11" s="20"/>
      <c r="C11" s="312"/>
      <c r="D11" s="20"/>
      <c r="E11" s="20"/>
      <c r="F11" s="313"/>
      <c r="G11" s="20"/>
      <c r="H11" s="314"/>
      <c r="I11" s="20"/>
    </row>
    <row r="12" spans="1:14" ht="12.5">
      <c r="A12" s="2">
        <v>1</v>
      </c>
      <c r="B12" s="744" t="s">
        <v>808</v>
      </c>
      <c r="C12" s="94">
        <v>237843.54999999999</v>
      </c>
      <c r="D12" s="268">
        <v>44123.5</v>
      </c>
      <c r="E12" s="495" t="s">
        <v>931</v>
      </c>
      <c r="F12" s="268">
        <v>44158</v>
      </c>
      <c r="G12" s="37">
        <f>D12-F12</f>
        <v>-34.5</v>
      </c>
      <c r="H12" s="687">
        <f>IF(ISERR(G12*C12),"",G12*C12)</f>
        <v>-8205602.4749999996</v>
      </c>
      <c r="J12" s="263"/>
      <c r="L12" s="263"/>
      <c r="M12" s="263"/>
      <c r="N12" s="263"/>
    </row>
    <row r="13" spans="1:14" ht="12.5">
      <c r="A13" s="2">
        <v>2</v>
      </c>
      <c r="B13" s="727" t="s">
        <v>809</v>
      </c>
      <c r="C13" s="295">
        <v>27048</v>
      </c>
      <c r="D13" s="268">
        <v>44244.5</v>
      </c>
      <c r="E13" s="495" t="s">
        <v>931</v>
      </c>
      <c r="F13" s="268">
        <v>44429</v>
      </c>
      <c r="G13" s="37">
        <f>D13-F13</f>
        <v>-184.5</v>
      </c>
      <c r="H13" s="688">
        <f>IF(ISERR(G13*C13),"",G13*C13)</f>
        <v>-4990356</v>
      </c>
      <c r="J13" s="263"/>
      <c r="L13" s="263"/>
      <c r="M13" s="263"/>
      <c r="N13" s="263"/>
    </row>
    <row r="14" spans="1:14" ht="12.5">
      <c r="A14" s="2">
        <v>3</v>
      </c>
      <c r="B14" s="727" t="s">
        <v>810</v>
      </c>
      <c r="C14" s="295">
        <v>73200</v>
      </c>
      <c r="D14" s="268">
        <v>44299.5</v>
      </c>
      <c r="E14" s="495" t="s">
        <v>931</v>
      </c>
      <c r="F14" s="268">
        <v>44339</v>
      </c>
      <c r="G14" s="37">
        <v>-8</v>
      </c>
      <c r="H14" s="688">
        <f>IF(ISERR(G14*C14),"",G14*C14)</f>
        <v>-585600</v>
      </c>
      <c r="J14" s="263"/>
      <c r="L14" s="263"/>
      <c r="M14" s="263"/>
      <c r="N14" s="263"/>
    </row>
    <row r="15" spans="1:14" ht="12.5">
      <c r="A15" s="2">
        <v>4</v>
      </c>
      <c r="B15" s="727" t="s">
        <v>811</v>
      </c>
      <c r="C15" s="295">
        <v>26446.84</v>
      </c>
      <c r="D15" s="268">
        <v>44245.5</v>
      </c>
      <c r="E15" s="495" t="s">
        <v>931</v>
      </c>
      <c r="F15" s="268">
        <v>44286</v>
      </c>
      <c r="G15" s="37">
        <f>D15-F15</f>
        <v>-40.5</v>
      </c>
      <c r="H15" s="688">
        <f>IF(ISERR(G15*C15),"",G15*C15)</f>
        <v>-1071097.02</v>
      </c>
      <c r="J15" s="263"/>
      <c r="L15" s="263"/>
      <c r="M15" s="263"/>
      <c r="N15" s="263"/>
    </row>
    <row r="16" spans="1:14" ht="12.5">
      <c r="A16" s="2">
        <v>5</v>
      </c>
      <c r="B16" s="727" t="s">
        <v>812</v>
      </c>
      <c r="C16" s="295">
        <v>31848.720000000001</v>
      </c>
      <c r="D16" s="268">
        <v>44131.5</v>
      </c>
      <c r="E16" s="495" t="s">
        <v>931</v>
      </c>
      <c r="F16" s="268">
        <v>44171</v>
      </c>
      <c r="G16" s="37">
        <f t="shared" si="0" ref="G16:G21">D16-F16</f>
        <v>-39.5</v>
      </c>
      <c r="H16" s="688">
        <f>IF(ISERR(G16*C16),"",G16*C16)</f>
        <v>-1258024.4399999999</v>
      </c>
      <c r="J16" s="263"/>
      <c r="L16" s="263"/>
      <c r="M16" s="263"/>
      <c r="N16" s="263"/>
    </row>
    <row r="17" spans="1:14" ht="12.5">
      <c r="A17" s="2">
        <v>6</v>
      </c>
      <c r="B17" s="744" t="s">
        <v>813</v>
      </c>
      <c r="C17" s="295">
        <v>26583.68</v>
      </c>
      <c r="D17" s="268">
        <v>44276</v>
      </c>
      <c r="E17" s="495" t="s">
        <v>931</v>
      </c>
      <c r="F17" s="268">
        <v>44287</v>
      </c>
      <c r="G17" s="37">
        <f t="shared" si="0"/>
        <v>-11</v>
      </c>
      <c r="H17" s="688">
        <f t="shared" si="1" ref="H17:H23">IF(ISERR(G17*C17),"",G17*C17)</f>
        <v>-292420.47999999998</v>
      </c>
      <c r="J17" s="263"/>
      <c r="L17" s="263"/>
      <c r="M17" s="263"/>
      <c r="N17" s="263"/>
    </row>
    <row r="18" spans="1:14" ht="12.5">
      <c r="A18" s="2">
        <v>7</v>
      </c>
      <c r="B18" s="727" t="s">
        <v>814</v>
      </c>
      <c r="C18" s="295">
        <v>62315.349999999999</v>
      </c>
      <c r="D18" s="268">
        <v>44560</v>
      </c>
      <c r="E18" s="495" t="s">
        <v>931</v>
      </c>
      <c r="F18" s="268">
        <v>44396</v>
      </c>
      <c r="G18" s="37">
        <f t="shared" si="0"/>
        <v>164</v>
      </c>
      <c r="H18" s="688">
        <f t="shared" si="1"/>
        <v>10219717.4</v>
      </c>
      <c r="J18" s="263"/>
      <c r="L18" s="263"/>
      <c r="M18" s="263"/>
      <c r="N18" s="263"/>
    </row>
    <row r="19" spans="1:14" ht="12.5">
      <c r="A19" s="2">
        <v>8</v>
      </c>
      <c r="B19" s="727" t="s">
        <v>815</v>
      </c>
      <c r="C19" s="295">
        <v>620216.53000000003</v>
      </c>
      <c r="D19" s="268">
        <v>44246</v>
      </c>
      <c r="E19" s="495" t="s">
        <v>931</v>
      </c>
      <c r="F19" s="268">
        <v>44301</v>
      </c>
      <c r="G19" s="37">
        <f t="shared" si="0"/>
        <v>-55</v>
      </c>
      <c r="H19" s="688">
        <f t="shared" si="1"/>
        <v>-34111909.149999999</v>
      </c>
      <c r="J19" s="263"/>
      <c r="L19" s="263"/>
      <c r="M19" s="263"/>
      <c r="N19" s="263"/>
    </row>
    <row r="20" spans="1:14" ht="12.5">
      <c r="A20" s="2">
        <v>9</v>
      </c>
      <c r="B20" s="727" t="s">
        <v>816</v>
      </c>
      <c r="C20" s="295">
        <v>197582</v>
      </c>
      <c r="D20" s="268">
        <v>44180.5</v>
      </c>
      <c r="E20" s="495" t="s">
        <v>931</v>
      </c>
      <c r="F20" s="268">
        <v>44218</v>
      </c>
      <c r="G20" s="37">
        <f t="shared" si="0"/>
        <v>-37.5</v>
      </c>
      <c r="H20" s="688">
        <f t="shared" si="1"/>
        <v>-7409325</v>
      </c>
      <c r="J20" s="263"/>
      <c r="L20" s="263"/>
      <c r="M20" s="263"/>
      <c r="N20" s="263"/>
    </row>
    <row r="21" spans="1:14" ht="12.5">
      <c r="A21" s="2">
        <v>10</v>
      </c>
      <c r="B21" s="744" t="s">
        <v>817</v>
      </c>
      <c r="C21" s="295">
        <v>260841.5</v>
      </c>
      <c r="D21" s="268">
        <v>44192.5</v>
      </c>
      <c r="E21" s="495" t="s">
        <v>931</v>
      </c>
      <c r="F21" s="268">
        <v>44230</v>
      </c>
      <c r="G21" s="37">
        <f t="shared" si="0"/>
        <v>-37.5</v>
      </c>
      <c r="H21" s="688">
        <f t="shared" si="1"/>
        <v>-9781556.25</v>
      </c>
      <c r="J21" s="263"/>
      <c r="L21" s="263"/>
      <c r="M21" s="263"/>
      <c r="N21" s="263"/>
    </row>
    <row r="22" spans="1:14" s="230" customFormat="1" ht="12.5">
      <c r="A22" s="2">
        <v>11</v>
      </c>
      <c r="B22" s="727" t="s">
        <v>818</v>
      </c>
      <c r="C22" s="295">
        <v>82440.649999999994</v>
      </c>
      <c r="D22" s="268">
        <v>44418.5</v>
      </c>
      <c r="E22" s="495" t="s">
        <v>931</v>
      </c>
      <c r="F22" s="268">
        <v>44458</v>
      </c>
      <c r="G22" s="37">
        <f t="shared" si="2" ref="G22:G27">D22-F22</f>
        <v>-39.5</v>
      </c>
      <c r="H22" s="688">
        <f t="shared" si="1"/>
        <v>-3256405.6749999998</v>
      </c>
      <c r="I22"/>
      <c r="J22" s="400"/>
      <c r="L22" s="400"/>
      <c r="M22" s="400"/>
      <c r="N22" s="400"/>
    </row>
    <row r="23" spans="1:14" ht="12.5">
      <c r="A23" s="2">
        <v>12</v>
      </c>
      <c r="B23" s="727" t="s">
        <v>819</v>
      </c>
      <c r="C23" s="295">
        <v>35100</v>
      </c>
      <c r="D23" s="268">
        <v>44369.5</v>
      </c>
      <c r="E23" s="495" t="s">
        <v>931</v>
      </c>
      <c r="F23" s="268">
        <v>44421</v>
      </c>
      <c r="G23" s="37">
        <f t="shared" si="2"/>
        <v>-51.5</v>
      </c>
      <c r="H23" s="688">
        <f t="shared" si="1"/>
        <v>-1807650</v>
      </c>
      <c r="J23" s="263"/>
      <c r="L23" s="263"/>
      <c r="M23" s="263"/>
      <c r="N23" s="263"/>
    </row>
    <row r="24" spans="1:14" ht="12.5">
      <c r="A24" s="2">
        <v>13</v>
      </c>
      <c r="B24" s="727" t="s">
        <v>820</v>
      </c>
      <c r="C24" s="295">
        <v>66550</v>
      </c>
      <c r="D24" s="268">
        <v>44320.5</v>
      </c>
      <c r="E24" s="495" t="s">
        <v>931</v>
      </c>
      <c r="F24" s="268">
        <v>44357</v>
      </c>
      <c r="G24" s="37">
        <f t="shared" si="2"/>
        <v>-36.5</v>
      </c>
      <c r="H24" s="688">
        <f>IF(ISERR(G24*C24),"",G24*C24)</f>
        <v>-2429075</v>
      </c>
      <c r="J24" s="263"/>
      <c r="L24" s="263"/>
      <c r="M24" s="263"/>
      <c r="N24" s="263"/>
    </row>
    <row r="25" spans="1:14" ht="12.5">
      <c r="A25" s="2">
        <v>14</v>
      </c>
      <c r="B25" s="727" t="s">
        <v>821</v>
      </c>
      <c r="C25" s="295">
        <v>320361.34000000003</v>
      </c>
      <c r="D25" s="268">
        <v>44207</v>
      </c>
      <c r="E25" s="495" t="s">
        <v>931</v>
      </c>
      <c r="F25" s="268">
        <v>44246</v>
      </c>
      <c r="G25" s="37">
        <f t="shared" si="2"/>
        <v>-39</v>
      </c>
      <c r="H25" s="688">
        <f>IF(ISERR(G25*C25),"",G25*C25)</f>
        <v>-12494092.260000002</v>
      </c>
      <c r="J25" s="263"/>
      <c r="L25" s="263"/>
      <c r="M25" s="263"/>
      <c r="N25" s="263"/>
    </row>
    <row r="26" spans="1:14" ht="12.5">
      <c r="A26" s="2">
        <v>15</v>
      </c>
      <c r="B26" s="727" t="s">
        <v>822</v>
      </c>
      <c r="C26" s="295">
        <v>31575.360000000001</v>
      </c>
      <c r="D26" s="268">
        <v>44110.5</v>
      </c>
      <c r="E26" s="495" t="s">
        <v>931</v>
      </c>
      <c r="F26" s="268">
        <v>44150</v>
      </c>
      <c r="G26" s="37">
        <f t="shared" si="2"/>
        <v>-39.5</v>
      </c>
      <c r="H26" s="688">
        <f>IF(ISERR(G26*C26),"",G26*C26)</f>
        <v>-1247226.72</v>
      </c>
      <c r="J26" s="263"/>
      <c r="L26" s="263"/>
      <c r="M26" s="263"/>
      <c r="N26" s="263"/>
    </row>
    <row r="27" spans="1:14" ht="12.5">
      <c r="A27" s="2">
        <v>16</v>
      </c>
      <c r="B27" s="744" t="s">
        <v>823</v>
      </c>
      <c r="C27" s="295">
        <v>57006.940000000002</v>
      </c>
      <c r="D27" s="268">
        <v>44413</v>
      </c>
      <c r="E27" s="495" t="s">
        <v>931</v>
      </c>
      <c r="F27" s="268">
        <v>44452</v>
      </c>
      <c r="G27" s="37">
        <f t="shared" si="2"/>
        <v>-39</v>
      </c>
      <c r="H27" s="688">
        <f>IF(ISERR(G27*C27),"",G27*C27)</f>
        <v>-2223270.6600000001</v>
      </c>
      <c r="J27" s="263"/>
      <c r="L27" s="263"/>
      <c r="M27" s="263"/>
      <c r="N27" s="263"/>
    </row>
    <row r="28" spans="1:14" ht="12.5">
      <c r="A28" s="2">
        <v>17</v>
      </c>
      <c r="B28" s="744" t="s">
        <v>824</v>
      </c>
      <c r="C28" s="295">
        <v>791146.72999999998</v>
      </c>
      <c r="D28" s="268">
        <v>44390</v>
      </c>
      <c r="E28" s="495" t="s">
        <v>931</v>
      </c>
      <c r="F28" s="268">
        <v>44397</v>
      </c>
      <c r="G28" s="37">
        <f t="shared" si="3" ref="G28:G38">D28-F28</f>
        <v>-7</v>
      </c>
      <c r="H28" s="688">
        <f t="shared" si="4" ref="H28:H38">IF(ISERR(G28*C28),"",G28*C28)</f>
        <v>-5538027.1099999994</v>
      </c>
      <c r="J28" s="263"/>
      <c r="L28" s="263"/>
      <c r="M28" s="263"/>
      <c r="N28" s="263"/>
    </row>
    <row r="29" spans="1:14" ht="12.5">
      <c r="A29" s="2">
        <v>18</v>
      </c>
      <c r="B29" s="727" t="s">
        <v>825</v>
      </c>
      <c r="C29" s="295">
        <v>27865.91</v>
      </c>
      <c r="D29" s="268">
        <v>44439.5</v>
      </c>
      <c r="E29" s="495" t="s">
        <v>931</v>
      </c>
      <c r="F29" s="268">
        <v>44482</v>
      </c>
      <c r="G29" s="37">
        <f t="shared" si="3"/>
        <v>-42.5</v>
      </c>
      <c r="H29" s="688">
        <f t="shared" si="4"/>
        <v>-1184301.1750000001</v>
      </c>
      <c r="J29" s="263"/>
      <c r="L29" s="263"/>
      <c r="M29" s="263"/>
      <c r="N29" s="263"/>
    </row>
    <row r="30" spans="1:14" ht="12.5">
      <c r="A30" s="2">
        <v>19</v>
      </c>
      <c r="B30" s="744" t="s">
        <v>826</v>
      </c>
      <c r="C30" s="295">
        <v>63831.080000000002</v>
      </c>
      <c r="D30" s="268">
        <v>44379.5</v>
      </c>
      <c r="E30" s="495" t="s">
        <v>931</v>
      </c>
      <c r="F30" s="268">
        <v>44413</v>
      </c>
      <c r="G30" s="37">
        <f t="shared" si="3"/>
        <v>-33.5</v>
      </c>
      <c r="H30" s="688">
        <f t="shared" si="4"/>
        <v>-2138341.1800000002</v>
      </c>
      <c r="J30" s="263"/>
      <c r="L30" s="263"/>
      <c r="M30" s="263"/>
      <c r="N30" s="263"/>
    </row>
    <row r="31" spans="1:14" ht="12.5">
      <c r="A31" s="2">
        <v>20</v>
      </c>
      <c r="B31" s="727" t="s">
        <v>827</v>
      </c>
      <c r="C31" s="295">
        <v>25365.099999999999</v>
      </c>
      <c r="D31" s="268">
        <v>44432.5</v>
      </c>
      <c r="E31" s="495" t="s">
        <v>931</v>
      </c>
      <c r="F31" s="268">
        <v>44472</v>
      </c>
      <c r="G31" s="37">
        <f t="shared" si="3"/>
        <v>-39.5</v>
      </c>
      <c r="H31" s="688">
        <f t="shared" si="4"/>
        <v>-1001921.45</v>
      </c>
      <c r="J31" s="263"/>
      <c r="L31" s="263"/>
      <c r="M31" s="263"/>
      <c r="N31" s="263"/>
    </row>
    <row r="32" spans="1:14" ht="12.5">
      <c r="A32" s="2">
        <v>21</v>
      </c>
      <c r="B32" s="727" t="s">
        <v>828</v>
      </c>
      <c r="C32" s="295">
        <v>37532.629999999997</v>
      </c>
      <c r="D32" s="268">
        <v>44269.5</v>
      </c>
      <c r="E32" s="495" t="s">
        <v>931</v>
      </c>
      <c r="F32" s="268">
        <v>44330</v>
      </c>
      <c r="G32" s="37">
        <f t="shared" si="3"/>
        <v>-60.5</v>
      </c>
      <c r="H32" s="688">
        <f t="shared" si="4"/>
        <v>-2270724.1149999998</v>
      </c>
      <c r="J32" s="263"/>
      <c r="L32" s="263"/>
      <c r="M32" s="263"/>
      <c r="N32" s="263"/>
    </row>
    <row r="33" spans="1:14" ht="12.5">
      <c r="A33" s="2">
        <v>22</v>
      </c>
      <c r="B33" s="727" t="s">
        <v>829</v>
      </c>
      <c r="C33" s="295">
        <v>444030.95000000001</v>
      </c>
      <c r="D33" s="268">
        <v>44245</v>
      </c>
      <c r="E33" s="495" t="s">
        <v>931</v>
      </c>
      <c r="F33" s="268">
        <v>44283</v>
      </c>
      <c r="G33" s="37">
        <f t="shared" si="3"/>
        <v>-38</v>
      </c>
      <c r="H33" s="688">
        <f t="shared" si="4"/>
        <v>-16873176.100000001</v>
      </c>
      <c r="J33" s="263"/>
      <c r="L33" s="263"/>
      <c r="M33" s="263"/>
      <c r="N33" s="263"/>
    </row>
    <row r="34" spans="1:14" ht="12.5">
      <c r="A34" s="2">
        <v>23</v>
      </c>
      <c r="B34" s="727" t="s">
        <v>830</v>
      </c>
      <c r="C34" s="295">
        <v>29036</v>
      </c>
      <c r="D34" s="268">
        <v>44194.5</v>
      </c>
      <c r="E34" s="495" t="s">
        <v>931</v>
      </c>
      <c r="F34" s="268">
        <v>44226</v>
      </c>
      <c r="G34" s="37">
        <f t="shared" si="3"/>
        <v>-31.5</v>
      </c>
      <c r="H34" s="688">
        <f t="shared" si="4"/>
        <v>-914634</v>
      </c>
      <c r="J34" s="263"/>
      <c r="L34" s="263"/>
      <c r="M34" s="263"/>
      <c r="N34" s="263"/>
    </row>
    <row r="35" spans="1:14" ht="12.5">
      <c r="A35" s="2">
        <v>24</v>
      </c>
      <c r="B35" s="727" t="s">
        <v>831</v>
      </c>
      <c r="C35" s="295">
        <v>54576.190000000002</v>
      </c>
      <c r="D35" s="268">
        <v>44110.5</v>
      </c>
      <c r="E35" s="495" t="s">
        <v>931</v>
      </c>
      <c r="F35" s="268">
        <v>44150</v>
      </c>
      <c r="G35" s="37">
        <f t="shared" si="3"/>
        <v>-39.5</v>
      </c>
      <c r="H35" s="688">
        <f t="shared" si="4"/>
        <v>-2155759.5049999999</v>
      </c>
      <c r="J35" s="263"/>
      <c r="L35" s="263"/>
      <c r="M35" s="263"/>
      <c r="N35" s="263"/>
    </row>
    <row r="36" spans="1:14" ht="12.5">
      <c r="A36" s="2">
        <v>25</v>
      </c>
      <c r="B36" s="744" t="s">
        <v>832</v>
      </c>
      <c r="C36" s="295">
        <v>31822</v>
      </c>
      <c r="D36" s="268">
        <v>44301.5</v>
      </c>
      <c r="E36" s="495" t="s">
        <v>931</v>
      </c>
      <c r="F36" s="268">
        <v>44286</v>
      </c>
      <c r="G36" s="37">
        <f t="shared" si="3"/>
        <v>15.5</v>
      </c>
      <c r="H36" s="688">
        <f t="shared" si="4"/>
        <v>493241</v>
      </c>
      <c r="J36" s="263"/>
      <c r="L36" s="263"/>
      <c r="M36" s="263"/>
      <c r="N36" s="263"/>
    </row>
    <row r="37" spans="1:14" ht="12.5">
      <c r="A37" s="2">
        <v>26</v>
      </c>
      <c r="B37" s="727" t="s">
        <v>833</v>
      </c>
      <c r="C37" s="295">
        <v>42235</v>
      </c>
      <c r="D37" s="268">
        <v>44405.5</v>
      </c>
      <c r="E37" s="495" t="s">
        <v>931</v>
      </c>
      <c r="F37" s="268">
        <v>44438</v>
      </c>
      <c r="G37" s="37">
        <f t="shared" si="3"/>
        <v>-32.5</v>
      </c>
      <c r="H37" s="688">
        <f t="shared" si="4"/>
        <v>-1372637.5</v>
      </c>
      <c r="J37" s="263"/>
      <c r="L37" s="263"/>
      <c r="M37" s="263"/>
      <c r="N37" s="263"/>
    </row>
    <row r="38" spans="1:14" ht="12.5">
      <c r="A38" s="2">
        <v>27</v>
      </c>
      <c r="B38" s="727" t="s">
        <v>834</v>
      </c>
      <c r="C38" s="295">
        <v>45187.5</v>
      </c>
      <c r="D38" s="268">
        <v>44245</v>
      </c>
      <c r="E38" s="495" t="s">
        <v>931</v>
      </c>
      <c r="F38" s="268">
        <v>44306</v>
      </c>
      <c r="G38" s="37">
        <f t="shared" si="3"/>
        <v>-61</v>
      </c>
      <c r="H38" s="688">
        <f t="shared" si="4"/>
        <v>-2756437.5</v>
      </c>
      <c r="J38" s="263"/>
      <c r="L38" s="263"/>
      <c r="M38" s="263"/>
      <c r="N38" s="263"/>
    </row>
    <row r="39" spans="1:14" ht="12.5">
      <c r="A39" s="2">
        <v>28</v>
      </c>
      <c r="B39" s="727" t="s">
        <v>835</v>
      </c>
      <c r="C39" s="295">
        <v>58150.150000000001</v>
      </c>
      <c r="D39" s="268">
        <v>44271</v>
      </c>
      <c r="E39" s="495" t="s">
        <v>931</v>
      </c>
      <c r="F39" s="268">
        <v>44300</v>
      </c>
      <c r="G39" s="37">
        <f>D39-F39</f>
        <v>-29</v>
      </c>
      <c r="H39" s="688">
        <f>IF(ISERR(G39*C39),"",G39*C39)</f>
        <v>-1686354.3500000001</v>
      </c>
      <c r="J39" s="263"/>
      <c r="L39" s="263"/>
      <c r="M39" s="263"/>
      <c r="N39" s="263"/>
    </row>
    <row r="40" spans="1:14" ht="12.5">
      <c r="A40" s="2">
        <v>29</v>
      </c>
      <c r="B40" s="727" t="s">
        <v>836</v>
      </c>
      <c r="C40" s="295">
        <v>680925.20999999996</v>
      </c>
      <c r="D40" s="268">
        <v>44243.5</v>
      </c>
      <c r="E40" s="495" t="s">
        <v>931</v>
      </c>
      <c r="F40" s="268">
        <v>44286</v>
      </c>
      <c r="G40" s="37">
        <f>D40-F40</f>
        <v>-42.5</v>
      </c>
      <c r="H40" s="688">
        <f>IF(ISERR(G40*C40),"",G40*C40)</f>
        <v>-28939321.424999997</v>
      </c>
      <c r="J40" s="263"/>
      <c r="L40" s="263"/>
      <c r="M40" s="263"/>
      <c r="N40" s="263"/>
    </row>
    <row r="41" spans="1:14" ht="12.5">
      <c r="A41" s="2">
        <v>30</v>
      </c>
      <c r="B41" s="727" t="s">
        <v>837</v>
      </c>
      <c r="C41" s="295">
        <v>86187.5</v>
      </c>
      <c r="D41" s="268">
        <v>44063</v>
      </c>
      <c r="E41" s="495" t="s">
        <v>931</v>
      </c>
      <c r="F41" s="268">
        <v>44165</v>
      </c>
      <c r="G41" s="37">
        <f>D41-F41</f>
        <v>-102</v>
      </c>
      <c r="H41" s="688">
        <f>IF(ISERR(G41*C41),"",G41*C41)</f>
        <v>-8791125</v>
      </c>
      <c r="J41" s="263"/>
      <c r="L41" s="263"/>
      <c r="M41" s="263"/>
      <c r="N41" s="263"/>
    </row>
    <row r="42" spans="1:14" ht="12.5">
      <c r="A42" s="2">
        <v>31</v>
      </c>
      <c r="B42" s="744" t="s">
        <v>838</v>
      </c>
      <c r="C42" s="295">
        <v>39217.910000000003</v>
      </c>
      <c r="D42" s="268">
        <v>44181</v>
      </c>
      <c r="E42" s="495" t="s">
        <v>931</v>
      </c>
      <c r="F42" s="268">
        <v>44245</v>
      </c>
      <c r="G42" s="37">
        <f>D42-F42</f>
        <v>-64</v>
      </c>
      <c r="H42" s="688">
        <f>IF(ISERR(G42*C42),"",G42*C42)</f>
        <v>-2509946.2400000002</v>
      </c>
      <c r="J42" s="263"/>
      <c r="L42" s="263"/>
      <c r="M42" s="263"/>
      <c r="N42" s="263"/>
    </row>
    <row r="43" spans="1:14" ht="12.5">
      <c r="A43" s="2">
        <v>32</v>
      </c>
      <c r="B43" s="727" t="s">
        <v>839</v>
      </c>
      <c r="C43" s="295">
        <v>42082.449999999997</v>
      </c>
      <c r="D43" s="268">
        <v>44322.5</v>
      </c>
      <c r="E43" s="495" t="s">
        <v>931</v>
      </c>
      <c r="F43" s="268">
        <v>44357</v>
      </c>
      <c r="G43" s="504">
        <f>D43-F43</f>
        <v>-34.5</v>
      </c>
      <c r="H43" s="692">
        <f>IF(ISERR(G43*C43),"",G43*C43)</f>
        <v>-1451844.5249999999</v>
      </c>
      <c r="J43" s="263"/>
      <c r="L43" s="263"/>
      <c r="M43" s="263"/>
      <c r="N43" s="263"/>
    </row>
    <row r="44" spans="1:14" ht="12.5">
      <c r="A44" s="2">
        <f>A43+1</f>
        <v>33</v>
      </c>
      <c r="B44" s="727" t="s">
        <v>840</v>
      </c>
      <c r="C44" s="295">
        <v>26623.470000000001</v>
      </c>
      <c r="D44" s="268">
        <v>44202</v>
      </c>
      <c r="E44" s="495" t="s">
        <v>931</v>
      </c>
      <c r="F44" s="268">
        <v>44235</v>
      </c>
      <c r="G44" s="504">
        <f t="shared" si="5" ref="G44:G88">D44-F44</f>
        <v>-33</v>
      </c>
      <c r="H44" s="692">
        <f t="shared" si="6" ref="H44:H88">IF(ISERR(G44*C44),"",G44*C44)</f>
        <v>-878574.51000000001</v>
      </c>
      <c r="J44" s="263"/>
      <c r="L44" s="263"/>
      <c r="M44" s="263"/>
      <c r="N44" s="263"/>
    </row>
    <row r="45" spans="1:14" ht="12.5">
      <c r="A45" s="2">
        <f t="shared" si="7" ref="A45:A95">A44+1</f>
        <v>34</v>
      </c>
      <c r="B45" s="727" t="s">
        <v>841</v>
      </c>
      <c r="C45" s="295">
        <v>34409.400000000001</v>
      </c>
      <c r="D45" s="268">
        <v>44096.5</v>
      </c>
      <c r="E45" s="495" t="s">
        <v>931</v>
      </c>
      <c r="F45" s="268">
        <v>44139</v>
      </c>
      <c r="G45" s="504">
        <f t="shared" si="5"/>
        <v>-42.5</v>
      </c>
      <c r="H45" s="692">
        <f t="shared" si="6"/>
        <v>-1462399.5</v>
      </c>
      <c r="J45" s="263"/>
      <c r="L45" s="263"/>
      <c r="M45" s="263"/>
      <c r="N45" s="263"/>
    </row>
    <row r="46" spans="1:14" ht="12.5">
      <c r="A46" s="2">
        <f t="shared" si="7"/>
        <v>35</v>
      </c>
      <c r="B46" s="744" t="s">
        <v>842</v>
      </c>
      <c r="C46" s="295">
        <v>35485</v>
      </c>
      <c r="D46" s="268">
        <v>44340</v>
      </c>
      <c r="E46" s="495" t="s">
        <v>321</v>
      </c>
      <c r="F46" s="268">
        <v>44370</v>
      </c>
      <c r="G46" s="504">
        <f t="shared" si="5"/>
        <v>-30</v>
      </c>
      <c r="H46" s="692">
        <f t="shared" si="6"/>
        <v>-1064550</v>
      </c>
      <c r="J46" s="263"/>
      <c r="L46" s="263"/>
      <c r="M46" s="263"/>
      <c r="N46" s="263"/>
    </row>
    <row r="47" spans="1:14" ht="12.5">
      <c r="A47" s="2">
        <f t="shared" si="7"/>
        <v>36</v>
      </c>
      <c r="B47" s="744" t="s">
        <v>843</v>
      </c>
      <c r="C47" s="295">
        <v>29130.5</v>
      </c>
      <c r="D47" s="268">
        <v>44150.5</v>
      </c>
      <c r="E47" s="495" t="s">
        <v>931</v>
      </c>
      <c r="F47" s="268">
        <v>44225</v>
      </c>
      <c r="G47" s="504">
        <f t="shared" si="5"/>
        <v>-74.5</v>
      </c>
      <c r="H47" s="692">
        <f t="shared" si="6"/>
        <v>-2170222.25</v>
      </c>
      <c r="J47" s="263"/>
      <c r="L47" s="263"/>
      <c r="M47" s="263"/>
      <c r="N47" s="263"/>
    </row>
    <row r="48" spans="1:14" ht="12.5">
      <c r="A48" s="2">
        <f t="shared" si="7"/>
        <v>37</v>
      </c>
      <c r="B48" s="727" t="s">
        <v>844</v>
      </c>
      <c r="C48" s="295">
        <v>43244.239999999998</v>
      </c>
      <c r="D48" s="268">
        <v>44245</v>
      </c>
      <c r="E48" s="495" t="s">
        <v>931</v>
      </c>
      <c r="F48" s="268">
        <v>44336</v>
      </c>
      <c r="G48" s="504">
        <f t="shared" si="5"/>
        <v>-91</v>
      </c>
      <c r="H48" s="692">
        <f t="shared" si="6"/>
        <v>-3935225.8399999999</v>
      </c>
      <c r="J48" s="263"/>
      <c r="L48" s="263"/>
      <c r="M48" s="263"/>
      <c r="N48" s="263"/>
    </row>
    <row r="49" spans="1:14" ht="12.5">
      <c r="A49" s="2">
        <f t="shared" si="7"/>
        <v>38</v>
      </c>
      <c r="B49" s="727" t="s">
        <v>845</v>
      </c>
      <c r="C49" s="295">
        <v>27871.200000000001</v>
      </c>
      <c r="D49" s="268">
        <v>44257.5</v>
      </c>
      <c r="E49" s="495" t="s">
        <v>931</v>
      </c>
      <c r="F49" s="268">
        <v>44291</v>
      </c>
      <c r="G49" s="504">
        <f t="shared" si="5"/>
        <v>-33.5</v>
      </c>
      <c r="H49" s="692">
        <f t="shared" si="6"/>
        <v>-933685.20000000007</v>
      </c>
      <c r="J49" s="263"/>
      <c r="L49" s="263"/>
      <c r="M49" s="263"/>
      <c r="N49" s="263"/>
    </row>
    <row r="50" spans="1:14" ht="12.5">
      <c r="A50" s="2">
        <f t="shared" si="7"/>
        <v>39</v>
      </c>
      <c r="B50" s="727" t="s">
        <v>846</v>
      </c>
      <c r="C50" s="295">
        <v>137324.94</v>
      </c>
      <c r="D50" s="268">
        <v>44209</v>
      </c>
      <c r="E50" s="495" t="s">
        <v>321</v>
      </c>
      <c r="F50" s="268">
        <v>44253</v>
      </c>
      <c r="G50" s="504">
        <f t="shared" si="5"/>
        <v>-44</v>
      </c>
      <c r="H50" s="692">
        <f t="shared" si="6"/>
        <v>-6042297.3600000003</v>
      </c>
      <c r="J50" s="263"/>
      <c r="L50" s="263"/>
      <c r="M50" s="263"/>
      <c r="N50" s="263"/>
    </row>
    <row r="51" spans="1:14" ht="12.5">
      <c r="A51" s="2">
        <f t="shared" si="7"/>
        <v>40</v>
      </c>
      <c r="B51" s="727" t="s">
        <v>847</v>
      </c>
      <c r="C51" s="295">
        <v>32306.639999999999</v>
      </c>
      <c r="D51" s="268">
        <v>44143.5</v>
      </c>
      <c r="E51" s="495" t="s">
        <v>931</v>
      </c>
      <c r="F51" s="268">
        <v>44189</v>
      </c>
      <c r="G51" s="504">
        <f t="shared" si="5"/>
        <v>-45.5</v>
      </c>
      <c r="H51" s="692">
        <f t="shared" si="6"/>
        <v>-1469952.1199999999</v>
      </c>
      <c r="J51" s="263"/>
      <c r="L51" s="263"/>
      <c r="M51" s="263"/>
      <c r="N51" s="263"/>
    </row>
    <row r="52" spans="1:14" ht="12.5">
      <c r="A52" s="2">
        <f t="shared" si="7"/>
        <v>41</v>
      </c>
      <c r="B52" s="727" t="s">
        <v>848</v>
      </c>
      <c r="C52" s="295">
        <v>130011.17</v>
      </c>
      <c r="D52" s="268">
        <v>44210</v>
      </c>
      <c r="E52" s="495" t="s">
        <v>931</v>
      </c>
      <c r="F52" s="268">
        <v>44252</v>
      </c>
      <c r="G52" s="504">
        <f t="shared" si="5"/>
        <v>-42</v>
      </c>
      <c r="H52" s="692">
        <f t="shared" si="6"/>
        <v>-5460469.1399999997</v>
      </c>
      <c r="J52" s="263"/>
      <c r="L52" s="263"/>
      <c r="M52" s="263"/>
      <c r="N52" s="263"/>
    </row>
    <row r="53" spans="1:14" ht="12.5">
      <c r="A53" s="2">
        <f t="shared" si="7"/>
        <v>42</v>
      </c>
      <c r="B53" s="727" t="s">
        <v>849</v>
      </c>
      <c r="C53" s="295">
        <v>42240</v>
      </c>
      <c r="D53" s="268">
        <v>44071</v>
      </c>
      <c r="E53" s="495" t="s">
        <v>321</v>
      </c>
      <c r="F53" s="268">
        <v>44155</v>
      </c>
      <c r="G53" s="504">
        <f t="shared" si="5"/>
        <v>-84</v>
      </c>
      <c r="H53" s="692">
        <f t="shared" si="6"/>
        <v>-3548160</v>
      </c>
      <c r="J53" s="263"/>
      <c r="L53" s="263"/>
      <c r="M53" s="263"/>
      <c r="N53" s="263"/>
    </row>
    <row r="54" spans="1:14" ht="12.5">
      <c r="A54" s="2">
        <f t="shared" si="7"/>
        <v>43</v>
      </c>
      <c r="B54" s="744" t="s">
        <v>850</v>
      </c>
      <c r="C54" s="295">
        <v>699166.06000000006</v>
      </c>
      <c r="D54" s="268">
        <v>44355</v>
      </c>
      <c r="E54" s="495" t="s">
        <v>931</v>
      </c>
      <c r="F54" s="268">
        <v>44362</v>
      </c>
      <c r="G54" s="504">
        <f t="shared" si="5"/>
        <v>-7</v>
      </c>
      <c r="H54" s="692">
        <f t="shared" si="6"/>
        <v>-4894162.4199999999</v>
      </c>
      <c r="J54" s="263"/>
      <c r="L54" s="263"/>
      <c r="M54" s="263"/>
      <c r="N54" s="263"/>
    </row>
    <row r="55" spans="1:14" ht="12.5">
      <c r="A55" s="2">
        <f t="shared" si="7"/>
        <v>44</v>
      </c>
      <c r="B55" s="744" t="s">
        <v>851</v>
      </c>
      <c r="C55" s="295">
        <v>90904.869999999995</v>
      </c>
      <c r="D55" s="268">
        <v>44181</v>
      </c>
      <c r="E55" s="495" t="s">
        <v>931</v>
      </c>
      <c r="F55" s="268">
        <v>44180</v>
      </c>
      <c r="G55" s="504">
        <f t="shared" si="5"/>
        <v>1</v>
      </c>
      <c r="H55" s="692">
        <f t="shared" si="6"/>
        <v>90904.869999999995</v>
      </c>
      <c r="J55" s="263"/>
      <c r="L55" s="263"/>
      <c r="M55" s="263"/>
      <c r="N55" s="263"/>
    </row>
    <row r="56" spans="1:14" ht="12.5">
      <c r="A56" s="2">
        <f t="shared" si="7"/>
        <v>45</v>
      </c>
      <c r="B56" s="744" t="s">
        <v>852</v>
      </c>
      <c r="C56" s="295">
        <v>200000</v>
      </c>
      <c r="D56" s="268">
        <v>44169</v>
      </c>
      <c r="E56" s="495" t="s">
        <v>321</v>
      </c>
      <c r="F56" s="268">
        <v>44217</v>
      </c>
      <c r="G56" s="504">
        <f t="shared" si="5"/>
        <v>-48</v>
      </c>
      <c r="H56" s="692">
        <f t="shared" si="6"/>
        <v>-9600000</v>
      </c>
      <c r="J56" s="263"/>
      <c r="L56" s="263"/>
      <c r="M56" s="263"/>
      <c r="N56" s="263"/>
    </row>
    <row r="57" spans="1:14" ht="12.5">
      <c r="A57" s="2">
        <f t="shared" si="7"/>
        <v>46</v>
      </c>
      <c r="B57" s="727" t="s">
        <v>853</v>
      </c>
      <c r="C57" s="295">
        <v>41659.199999999997</v>
      </c>
      <c r="D57" s="268">
        <v>44301.5</v>
      </c>
      <c r="E57" s="495" t="s">
        <v>931</v>
      </c>
      <c r="F57" s="268">
        <v>44373</v>
      </c>
      <c r="G57" s="504">
        <f t="shared" si="5"/>
        <v>-71.5</v>
      </c>
      <c r="H57" s="692">
        <f t="shared" si="6"/>
        <v>-2978632.7999999998</v>
      </c>
      <c r="J57" s="263"/>
      <c r="L57" s="263"/>
      <c r="M57" s="263"/>
      <c r="N57" s="263"/>
    </row>
    <row r="58" spans="1:14" ht="12.5">
      <c r="A58" s="2">
        <f t="shared" si="7"/>
        <v>47</v>
      </c>
      <c r="B58" s="727" t="s">
        <v>854</v>
      </c>
      <c r="C58" s="295">
        <v>44307.199999999997</v>
      </c>
      <c r="D58" s="268">
        <v>44320.5</v>
      </c>
      <c r="E58" s="495" t="s">
        <v>931</v>
      </c>
      <c r="F58" s="268">
        <v>44360</v>
      </c>
      <c r="G58" s="504">
        <f t="shared" si="5"/>
        <v>-39.5</v>
      </c>
      <c r="H58" s="692">
        <f t="shared" si="6"/>
        <v>-1750134.3999999999</v>
      </c>
      <c r="J58" s="263"/>
      <c r="L58" s="263"/>
      <c r="M58" s="263"/>
      <c r="N58" s="263"/>
    </row>
    <row r="59" spans="1:14" ht="12.5">
      <c r="A59" s="2">
        <f t="shared" si="7"/>
        <v>48</v>
      </c>
      <c r="B59" s="727" t="s">
        <v>855</v>
      </c>
      <c r="C59" s="295">
        <v>88934.160000000003</v>
      </c>
      <c r="D59" s="268">
        <v>44242</v>
      </c>
      <c r="E59" s="495" t="s">
        <v>931</v>
      </c>
      <c r="F59" s="268">
        <v>44307</v>
      </c>
      <c r="G59" s="504">
        <f t="shared" si="5"/>
        <v>-65</v>
      </c>
      <c r="H59" s="692">
        <f t="shared" si="6"/>
        <v>-5780720.4000000004</v>
      </c>
      <c r="J59" s="263"/>
      <c r="L59" s="263"/>
      <c r="M59" s="263"/>
      <c r="N59" s="263"/>
    </row>
    <row r="60" spans="1:14" ht="12.5">
      <c r="A60" s="2">
        <f t="shared" si="7"/>
        <v>49</v>
      </c>
      <c r="B60" s="727" t="s">
        <v>856</v>
      </c>
      <c r="C60" s="295">
        <v>28652.549999999999</v>
      </c>
      <c r="D60" s="268">
        <v>44117.5</v>
      </c>
      <c r="E60" s="495" t="s">
        <v>931</v>
      </c>
      <c r="F60" s="268">
        <v>44165</v>
      </c>
      <c r="G60" s="504">
        <f t="shared" si="5"/>
        <v>-47.5</v>
      </c>
      <c r="H60" s="692">
        <f t="shared" si="6"/>
        <v>-1360996.125</v>
      </c>
      <c r="J60" s="263"/>
      <c r="L60" s="263"/>
      <c r="M60" s="263"/>
      <c r="N60" s="263"/>
    </row>
    <row r="61" spans="1:14" ht="12.5">
      <c r="A61" s="2">
        <f t="shared" si="7"/>
        <v>50</v>
      </c>
      <c r="B61" s="727" t="s">
        <v>831</v>
      </c>
      <c r="C61" s="295">
        <v>39532.150000000001</v>
      </c>
      <c r="D61" s="268">
        <v>44110.5</v>
      </c>
      <c r="E61" s="495" t="s">
        <v>931</v>
      </c>
      <c r="F61" s="268">
        <v>44150</v>
      </c>
      <c r="G61" s="504">
        <f t="shared" si="5"/>
        <v>-39.5</v>
      </c>
      <c r="H61" s="692">
        <f t="shared" si="6"/>
        <v>-1561519.9250000001</v>
      </c>
      <c r="J61" s="263"/>
      <c r="L61" s="263"/>
      <c r="M61" s="263"/>
      <c r="N61" s="263"/>
    </row>
    <row r="62" spans="1:14" ht="12.5">
      <c r="A62" s="2">
        <f t="shared" si="7"/>
        <v>51</v>
      </c>
      <c r="B62" s="744" t="s">
        <v>857</v>
      </c>
      <c r="C62" s="295">
        <v>26583.68</v>
      </c>
      <c r="D62" s="268">
        <v>44217</v>
      </c>
      <c r="E62" s="495" t="s">
        <v>931</v>
      </c>
      <c r="F62" s="268">
        <v>44229</v>
      </c>
      <c r="G62" s="504">
        <f t="shared" si="5"/>
        <v>-12</v>
      </c>
      <c r="H62" s="692">
        <f t="shared" si="6"/>
        <v>-319004.16000000003</v>
      </c>
      <c r="J62" s="263"/>
      <c r="L62" s="263"/>
      <c r="M62" s="263"/>
      <c r="N62" s="263"/>
    </row>
    <row r="63" spans="1:14" ht="12.5">
      <c r="A63" s="2">
        <f t="shared" si="7"/>
        <v>52</v>
      </c>
      <c r="B63" s="727" t="s">
        <v>858</v>
      </c>
      <c r="C63" s="295">
        <v>58365</v>
      </c>
      <c r="D63" s="268">
        <v>44305</v>
      </c>
      <c r="E63" s="495" t="s">
        <v>321</v>
      </c>
      <c r="F63" s="268">
        <v>44338</v>
      </c>
      <c r="G63" s="504">
        <f t="shared" si="5"/>
        <v>-33</v>
      </c>
      <c r="H63" s="692">
        <f t="shared" si="6"/>
        <v>-1926045</v>
      </c>
      <c r="J63" s="263"/>
      <c r="L63" s="263"/>
      <c r="M63" s="263"/>
      <c r="N63" s="263"/>
    </row>
    <row r="64" spans="1:14" ht="12.5">
      <c r="A64" s="2">
        <f t="shared" si="7"/>
        <v>53</v>
      </c>
      <c r="B64" s="727" t="s">
        <v>859</v>
      </c>
      <c r="C64" s="295">
        <v>95041.720000000001</v>
      </c>
      <c r="D64" s="268">
        <v>44255</v>
      </c>
      <c r="E64" s="495" t="s">
        <v>321</v>
      </c>
      <c r="F64" s="268">
        <v>44302</v>
      </c>
      <c r="G64" s="504">
        <f t="shared" si="5"/>
        <v>-47</v>
      </c>
      <c r="H64" s="692">
        <f t="shared" si="6"/>
        <v>-4466960.8399999999</v>
      </c>
      <c r="J64" s="263"/>
      <c r="L64" s="263"/>
      <c r="M64" s="263"/>
      <c r="N64" s="263"/>
    </row>
    <row r="65" spans="1:14" ht="12.5">
      <c r="A65" s="2">
        <f t="shared" si="7"/>
        <v>54</v>
      </c>
      <c r="B65" s="727" t="s">
        <v>860</v>
      </c>
      <c r="C65" s="295">
        <v>26562.5</v>
      </c>
      <c r="D65" s="268">
        <v>44197.5</v>
      </c>
      <c r="E65" s="495" t="s">
        <v>931</v>
      </c>
      <c r="F65" s="268">
        <v>44252</v>
      </c>
      <c r="G65" s="504">
        <f t="shared" si="5"/>
        <v>-54.5</v>
      </c>
      <c r="H65" s="692">
        <f t="shared" si="6"/>
        <v>-1447656.25</v>
      </c>
      <c r="J65" s="263"/>
      <c r="L65" s="263"/>
      <c r="M65" s="263"/>
      <c r="N65" s="263"/>
    </row>
    <row r="66" spans="1:14" ht="12.5">
      <c r="A66" s="2">
        <f t="shared" si="7"/>
        <v>55</v>
      </c>
      <c r="B66" s="744" t="s">
        <v>861</v>
      </c>
      <c r="C66" s="295">
        <v>279826.56</v>
      </c>
      <c r="D66" s="268">
        <v>44301.5</v>
      </c>
      <c r="E66" s="495" t="s">
        <v>931</v>
      </c>
      <c r="F66" s="268">
        <v>44325</v>
      </c>
      <c r="G66" s="504">
        <f t="shared" si="5"/>
        <v>-23.5</v>
      </c>
      <c r="H66" s="692">
        <f t="shared" si="6"/>
        <v>-6575924.1600000001</v>
      </c>
      <c r="J66" s="263"/>
      <c r="L66" s="263"/>
      <c r="M66" s="263"/>
      <c r="N66" s="263"/>
    </row>
    <row r="67" spans="1:14" ht="12.5">
      <c r="A67" s="2">
        <f t="shared" si="7"/>
        <v>56</v>
      </c>
      <c r="B67" s="727" t="s">
        <v>862</v>
      </c>
      <c r="C67" s="295">
        <v>314032.97999999998</v>
      </c>
      <c r="D67" s="268">
        <v>44246</v>
      </c>
      <c r="E67" s="495" t="s">
        <v>931</v>
      </c>
      <c r="F67" s="268">
        <v>44355</v>
      </c>
      <c r="G67" s="504">
        <f t="shared" si="5"/>
        <v>-109</v>
      </c>
      <c r="H67" s="692">
        <f t="shared" si="6"/>
        <v>-34229594.82</v>
      </c>
      <c r="J67" s="263"/>
      <c r="L67" s="263"/>
      <c r="M67" s="263"/>
      <c r="N67" s="263"/>
    </row>
    <row r="68" spans="1:14" ht="12.5">
      <c r="A68" s="2">
        <f t="shared" si="7"/>
        <v>57</v>
      </c>
      <c r="B68" s="727" t="s">
        <v>863</v>
      </c>
      <c r="C68" s="295">
        <v>27047.25</v>
      </c>
      <c r="D68" s="268">
        <v>44290</v>
      </c>
      <c r="E68" s="495" t="s">
        <v>321</v>
      </c>
      <c r="F68" s="268">
        <v>44343</v>
      </c>
      <c r="G68" s="504">
        <f t="shared" si="5"/>
        <v>-53</v>
      </c>
      <c r="H68" s="692">
        <f t="shared" si="6"/>
        <v>-1433504.25</v>
      </c>
      <c r="J68" s="263"/>
      <c r="L68" s="263"/>
      <c r="M68" s="263"/>
      <c r="N68" s="263"/>
    </row>
    <row r="69" spans="1:14" ht="12.5">
      <c r="A69" s="2">
        <f t="shared" si="7"/>
        <v>58</v>
      </c>
      <c r="B69" s="727" t="s">
        <v>864</v>
      </c>
      <c r="C69" s="295">
        <v>25320</v>
      </c>
      <c r="D69" s="268">
        <v>44256</v>
      </c>
      <c r="E69" s="495" t="s">
        <v>321</v>
      </c>
      <c r="F69" s="268">
        <v>44291</v>
      </c>
      <c r="G69" s="504">
        <f t="shared" si="5"/>
        <v>-35</v>
      </c>
      <c r="H69" s="692">
        <f t="shared" si="6"/>
        <v>-886200</v>
      </c>
      <c r="J69" s="263"/>
      <c r="L69" s="263"/>
      <c r="M69" s="263"/>
      <c r="N69" s="263"/>
    </row>
    <row r="70" spans="1:14" ht="12.5">
      <c r="A70" s="2">
        <f t="shared" si="7"/>
        <v>59</v>
      </c>
      <c r="B70" s="727" t="s">
        <v>865</v>
      </c>
      <c r="C70" s="295">
        <v>108950.14999999999</v>
      </c>
      <c r="D70" s="268">
        <v>44035</v>
      </c>
      <c r="E70" s="495" t="s">
        <v>931</v>
      </c>
      <c r="F70" s="268">
        <v>44170</v>
      </c>
      <c r="G70" s="504">
        <f t="shared" si="5"/>
        <v>-135</v>
      </c>
      <c r="H70" s="692">
        <f t="shared" si="6"/>
        <v>-14708270.25</v>
      </c>
      <c r="J70" s="263"/>
      <c r="L70" s="263"/>
      <c r="M70" s="263"/>
      <c r="N70" s="263"/>
    </row>
    <row r="71" spans="1:14" ht="12.5">
      <c r="A71" s="2">
        <f t="shared" si="7"/>
        <v>60</v>
      </c>
      <c r="B71" s="727" t="s">
        <v>856</v>
      </c>
      <c r="C71" s="295">
        <v>27162.240000000002</v>
      </c>
      <c r="D71" s="268">
        <v>44117.5</v>
      </c>
      <c r="E71" s="495" t="s">
        <v>931</v>
      </c>
      <c r="F71" s="268">
        <v>44165</v>
      </c>
      <c r="G71" s="504">
        <f t="shared" si="5"/>
        <v>-47.5</v>
      </c>
      <c r="H71" s="692">
        <f t="shared" si="6"/>
        <v>-1290206.4000000001</v>
      </c>
      <c r="J71" s="263"/>
      <c r="L71" s="263"/>
      <c r="M71" s="263"/>
      <c r="N71" s="263"/>
    </row>
    <row r="72" spans="1:14" ht="12.5">
      <c r="A72" s="2">
        <f t="shared" si="7"/>
        <v>61</v>
      </c>
      <c r="B72" s="778" t="s">
        <v>866</v>
      </c>
      <c r="C72" s="295">
        <v>58711.160000000003</v>
      </c>
      <c r="D72" s="268">
        <v>44418</v>
      </c>
      <c r="E72" s="495" t="s">
        <v>931</v>
      </c>
      <c r="F72" s="268">
        <v>44463</v>
      </c>
      <c r="G72" s="504">
        <f t="shared" si="5"/>
        <v>-45</v>
      </c>
      <c r="H72" s="692">
        <f t="shared" si="6"/>
        <v>-2642002.2000000002</v>
      </c>
      <c r="J72" s="263"/>
      <c r="L72" s="263"/>
      <c r="M72" s="263"/>
      <c r="N72" s="263"/>
    </row>
    <row r="73" spans="1:14" ht="12.5">
      <c r="A73" s="2">
        <f t="shared" si="7"/>
        <v>62</v>
      </c>
      <c r="B73" s="727" t="s">
        <v>867</v>
      </c>
      <c r="C73" s="295">
        <v>60430.639999999999</v>
      </c>
      <c r="D73" s="268">
        <v>44101.5</v>
      </c>
      <c r="E73" s="495" t="s">
        <v>931</v>
      </c>
      <c r="F73" s="268">
        <v>44134</v>
      </c>
      <c r="G73" s="504">
        <f t="shared" si="5"/>
        <v>-32.5</v>
      </c>
      <c r="H73" s="692">
        <f t="shared" si="6"/>
        <v>-1963995.8000000001</v>
      </c>
      <c r="J73" s="263"/>
      <c r="L73" s="263"/>
      <c r="M73" s="263"/>
      <c r="N73" s="263"/>
    </row>
    <row r="74" spans="1:14" ht="12.5">
      <c r="A74" s="2">
        <f t="shared" si="7"/>
        <v>63</v>
      </c>
      <c r="B74" s="744" t="s">
        <v>868</v>
      </c>
      <c r="C74" s="295">
        <v>26813.75</v>
      </c>
      <c r="D74" s="268">
        <v>44212</v>
      </c>
      <c r="E74" s="495" t="s">
        <v>931</v>
      </c>
      <c r="F74" s="268">
        <v>44268</v>
      </c>
      <c r="G74" s="504">
        <f t="shared" si="5"/>
        <v>-56</v>
      </c>
      <c r="H74" s="692">
        <f t="shared" si="6"/>
        <v>-1501570</v>
      </c>
      <c r="J74" s="263"/>
      <c r="L74" s="263"/>
      <c r="M74" s="263"/>
      <c r="N74" s="263"/>
    </row>
    <row r="75" spans="1:14" ht="12.5">
      <c r="A75" s="2">
        <f t="shared" si="7"/>
        <v>64</v>
      </c>
      <c r="B75" s="727" t="s">
        <v>869</v>
      </c>
      <c r="C75" s="295">
        <v>28512.919999999998</v>
      </c>
      <c r="D75" s="268">
        <v>44340</v>
      </c>
      <c r="E75" s="495" t="s">
        <v>321</v>
      </c>
      <c r="F75" s="268">
        <v>44354</v>
      </c>
      <c r="G75" s="504">
        <f t="shared" si="5"/>
        <v>-14</v>
      </c>
      <c r="H75" s="692">
        <f t="shared" si="6"/>
        <v>-399180.88</v>
      </c>
      <c r="J75" s="263"/>
      <c r="L75" s="263"/>
      <c r="M75" s="263"/>
      <c r="N75" s="263"/>
    </row>
    <row r="76" spans="1:14" ht="12.5">
      <c r="A76" s="2">
        <f t="shared" si="7"/>
        <v>65</v>
      </c>
      <c r="B76" s="727" t="s">
        <v>870</v>
      </c>
      <c r="C76" s="295">
        <v>118500</v>
      </c>
      <c r="D76" s="268">
        <v>44248.5</v>
      </c>
      <c r="E76" s="495" t="s">
        <v>931</v>
      </c>
      <c r="F76" s="268">
        <v>44308</v>
      </c>
      <c r="G76" s="504">
        <f t="shared" si="5"/>
        <v>-59.5</v>
      </c>
      <c r="H76" s="692">
        <f t="shared" si="6"/>
        <v>-7050750</v>
      </c>
      <c r="J76" s="263"/>
      <c r="L76" s="263"/>
      <c r="M76" s="263"/>
      <c r="N76" s="263"/>
    </row>
    <row r="77" spans="1:14" ht="12.5">
      <c r="A77" s="2">
        <f t="shared" si="7"/>
        <v>66</v>
      </c>
      <c r="B77" s="727" t="s">
        <v>871</v>
      </c>
      <c r="C77" s="295">
        <v>40076.699999999997</v>
      </c>
      <c r="D77" s="268">
        <v>44258</v>
      </c>
      <c r="E77" s="495" t="s">
        <v>931</v>
      </c>
      <c r="F77" s="268">
        <v>44297</v>
      </c>
      <c r="G77" s="504">
        <f t="shared" si="5"/>
        <v>-39</v>
      </c>
      <c r="H77" s="692">
        <f t="shared" si="6"/>
        <v>-1562991.2999999998</v>
      </c>
      <c r="J77" s="263"/>
      <c r="L77" s="263"/>
      <c r="M77" s="263"/>
      <c r="N77" s="263"/>
    </row>
    <row r="78" spans="1:14" ht="12.5">
      <c r="A78" s="2">
        <f t="shared" si="7"/>
        <v>67</v>
      </c>
      <c r="B78" s="727" t="s">
        <v>872</v>
      </c>
      <c r="C78" s="295">
        <v>51575</v>
      </c>
      <c r="D78" s="268">
        <v>44181</v>
      </c>
      <c r="E78" s="495" t="s">
        <v>931</v>
      </c>
      <c r="F78" s="268">
        <v>44262</v>
      </c>
      <c r="G78" s="504">
        <f t="shared" si="5"/>
        <v>-81</v>
      </c>
      <c r="H78" s="692">
        <f t="shared" si="6"/>
        <v>-4177575</v>
      </c>
      <c r="J78" s="263"/>
      <c r="L78" s="263"/>
      <c r="M78" s="263"/>
      <c r="N78" s="263"/>
    </row>
    <row r="79" spans="1:14" ht="12.5">
      <c r="A79" s="2">
        <f t="shared" si="7"/>
        <v>68</v>
      </c>
      <c r="B79" s="727" t="s">
        <v>873</v>
      </c>
      <c r="C79" s="295">
        <v>36525.860000000001</v>
      </c>
      <c r="D79" s="268">
        <v>44174.5</v>
      </c>
      <c r="E79" s="495" t="s">
        <v>931</v>
      </c>
      <c r="F79" s="268">
        <v>44214</v>
      </c>
      <c r="G79" s="504">
        <f t="shared" si="5"/>
        <v>-39.5</v>
      </c>
      <c r="H79" s="692">
        <f t="shared" si="6"/>
        <v>-1442771.47</v>
      </c>
      <c r="J79" s="263"/>
      <c r="L79" s="263"/>
      <c r="M79" s="263"/>
      <c r="N79" s="263"/>
    </row>
    <row r="80" spans="1:14" ht="12.5">
      <c r="A80" s="2">
        <f t="shared" si="7"/>
        <v>69</v>
      </c>
      <c r="B80" s="744" t="s">
        <v>716</v>
      </c>
      <c r="C80" s="295">
        <v>1019990.67</v>
      </c>
      <c r="D80" s="268">
        <v>44341</v>
      </c>
      <c r="E80" s="495" t="s">
        <v>931</v>
      </c>
      <c r="F80" s="268">
        <v>44349</v>
      </c>
      <c r="G80" s="504">
        <f t="shared" si="5"/>
        <v>-8</v>
      </c>
      <c r="H80" s="692">
        <f t="shared" si="6"/>
        <v>-8159925.3600000003</v>
      </c>
      <c r="J80" s="263"/>
      <c r="L80" s="263"/>
      <c r="M80" s="263"/>
      <c r="N80" s="263"/>
    </row>
    <row r="81" spans="1:14" ht="12.5">
      <c r="A81" s="2">
        <f t="shared" si="7"/>
        <v>70</v>
      </c>
      <c r="B81" s="744" t="s">
        <v>874</v>
      </c>
      <c r="C81" s="295">
        <v>88635.479999999996</v>
      </c>
      <c r="D81" s="268">
        <v>44074</v>
      </c>
      <c r="E81" s="495" t="s">
        <v>321</v>
      </c>
      <c r="F81" s="268">
        <v>44118</v>
      </c>
      <c r="G81" s="504">
        <f t="shared" si="5"/>
        <v>-44</v>
      </c>
      <c r="H81" s="692">
        <f t="shared" si="6"/>
        <v>-3899961.1199999996</v>
      </c>
      <c r="J81" s="263"/>
      <c r="L81" s="263"/>
      <c r="M81" s="263"/>
      <c r="N81" s="263"/>
    </row>
    <row r="82" spans="1:14" ht="12.5">
      <c r="A82" s="2">
        <f t="shared" si="7"/>
        <v>71</v>
      </c>
      <c r="B82" s="727" t="s">
        <v>875</v>
      </c>
      <c r="C82" s="295">
        <v>28884.060000000001</v>
      </c>
      <c r="D82" s="268">
        <v>44367.5</v>
      </c>
      <c r="E82" s="495" t="s">
        <v>931</v>
      </c>
      <c r="F82" s="268">
        <v>44414</v>
      </c>
      <c r="G82" s="504">
        <f t="shared" si="5"/>
        <v>-46.5</v>
      </c>
      <c r="H82" s="692">
        <f t="shared" si="6"/>
        <v>-1343108.79</v>
      </c>
      <c r="J82" s="263"/>
      <c r="L82" s="263"/>
      <c r="M82" s="263"/>
      <c r="N82" s="263"/>
    </row>
    <row r="83" spans="1:14" ht="12.5">
      <c r="A83" s="2">
        <f t="shared" si="7"/>
        <v>72</v>
      </c>
      <c r="B83" s="727" t="s">
        <v>876</v>
      </c>
      <c r="C83" s="295">
        <v>382875.90999999997</v>
      </c>
      <c r="D83" s="268">
        <v>44241.5</v>
      </c>
      <c r="E83" s="495" t="s">
        <v>931</v>
      </c>
      <c r="F83" s="268">
        <v>44272</v>
      </c>
      <c r="G83" s="504">
        <f t="shared" si="5"/>
        <v>-30.5</v>
      </c>
      <c r="H83" s="692">
        <f t="shared" si="6"/>
        <v>-11677715.254999999</v>
      </c>
      <c r="J83" s="263"/>
      <c r="L83" s="263"/>
      <c r="M83" s="263"/>
      <c r="N83" s="263"/>
    </row>
    <row r="84" spans="1:14" ht="12.5">
      <c r="A84" s="2">
        <f t="shared" si="7"/>
        <v>73</v>
      </c>
      <c r="B84" s="727" t="s">
        <v>877</v>
      </c>
      <c r="C84" s="295">
        <v>47915.330000000002</v>
      </c>
      <c r="D84" s="268">
        <v>44215.5</v>
      </c>
      <c r="E84" s="495" t="s">
        <v>931</v>
      </c>
      <c r="F84" s="268">
        <v>44255</v>
      </c>
      <c r="G84" s="504">
        <f t="shared" si="5"/>
        <v>-39.5</v>
      </c>
      <c r="H84" s="692">
        <f t="shared" si="6"/>
        <v>-1892655.5350000002</v>
      </c>
      <c r="J84" s="263"/>
      <c r="L84" s="263"/>
      <c r="M84" s="263"/>
      <c r="N84" s="263"/>
    </row>
    <row r="85" spans="1:14" ht="12.5">
      <c r="A85" s="2">
        <f t="shared" si="7"/>
        <v>74</v>
      </c>
      <c r="B85" s="727" t="s">
        <v>878</v>
      </c>
      <c r="C85" s="295">
        <v>91512</v>
      </c>
      <c r="D85" s="268">
        <v>44089.5</v>
      </c>
      <c r="E85" s="495" t="s">
        <v>931</v>
      </c>
      <c r="F85" s="268">
        <v>44141</v>
      </c>
      <c r="G85" s="504">
        <f t="shared" si="5"/>
        <v>-51.5</v>
      </c>
      <c r="H85" s="692">
        <f t="shared" si="6"/>
        <v>-4712868</v>
      </c>
      <c r="J85" s="263"/>
      <c r="L85" s="263"/>
      <c r="M85" s="263"/>
      <c r="N85" s="263"/>
    </row>
    <row r="86" spans="1:14" ht="12.5">
      <c r="A86" s="2">
        <f t="shared" si="7"/>
        <v>75</v>
      </c>
      <c r="B86" s="744" t="s">
        <v>879</v>
      </c>
      <c r="C86" s="295">
        <v>32371.869999999999</v>
      </c>
      <c r="D86" s="268">
        <v>44106</v>
      </c>
      <c r="E86" s="495" t="s">
        <v>321</v>
      </c>
      <c r="F86" s="268">
        <v>44148</v>
      </c>
      <c r="G86" s="504">
        <f t="shared" si="5"/>
        <v>-42</v>
      </c>
      <c r="H86" s="692">
        <f t="shared" si="6"/>
        <v>-1359618.54</v>
      </c>
      <c r="J86" s="263"/>
      <c r="L86" s="263"/>
      <c r="M86" s="263"/>
      <c r="N86" s="263"/>
    </row>
    <row r="87" spans="1:14" ht="12.5">
      <c r="A87" s="2">
        <f t="shared" si="7"/>
        <v>76</v>
      </c>
      <c r="B87" s="727" t="s">
        <v>880</v>
      </c>
      <c r="C87" s="295">
        <v>32289.240000000002</v>
      </c>
      <c r="D87" s="268">
        <v>44392</v>
      </c>
      <c r="E87" s="495" t="s">
        <v>931</v>
      </c>
      <c r="F87" s="268">
        <v>44427</v>
      </c>
      <c r="G87" s="504">
        <f t="shared" si="5"/>
        <v>-35</v>
      </c>
      <c r="H87" s="692">
        <f t="shared" si="6"/>
        <v>-1130123.4000000001</v>
      </c>
      <c r="J87" s="263"/>
      <c r="L87" s="263"/>
      <c r="M87" s="263"/>
      <c r="N87" s="263"/>
    </row>
    <row r="88" spans="1:14" ht="12.5">
      <c r="A88" s="2">
        <f t="shared" si="7"/>
        <v>77</v>
      </c>
      <c r="B88" s="727" t="s">
        <v>881</v>
      </c>
      <c r="C88" s="763">
        <v>167873.75</v>
      </c>
      <c r="D88" s="268">
        <v>44264</v>
      </c>
      <c r="E88" s="495" t="s">
        <v>321</v>
      </c>
      <c r="F88" s="268">
        <v>44302</v>
      </c>
      <c r="G88" s="397">
        <f t="shared" si="5"/>
        <v>-38</v>
      </c>
      <c r="H88" s="689">
        <f t="shared" si="6"/>
        <v>-6379202.5</v>
      </c>
      <c r="J88" s="263"/>
      <c r="L88" s="263"/>
      <c r="M88" s="263"/>
      <c r="N88" s="263"/>
    </row>
    <row r="89" spans="1:14" ht="12.5">
      <c r="A89" s="2">
        <f t="shared" si="7"/>
        <v>78</v>
      </c>
      <c r="D89" s="268"/>
      <c r="E89" s="268"/>
      <c r="F89" s="268"/>
      <c r="G89" s="37"/>
      <c r="H89" s="687"/>
      <c r="J89" s="263"/>
      <c r="L89" s="263"/>
      <c r="M89" s="263"/>
      <c r="N89" s="263"/>
    </row>
    <row r="90" spans="1:8" ht="13" thickBot="1">
      <c r="A90" s="2">
        <f t="shared" si="7"/>
        <v>79</v>
      </c>
      <c r="B90" t="s">
        <v>26</v>
      </c>
      <c r="C90" s="361">
        <f>SUM(C12:C89)</f>
        <v>9730341.9400000032</v>
      </c>
      <c r="G90" s="399">
        <f>+ROUND(H90/C90,2)</f>
        <v>-35.289999999999999</v>
      </c>
      <c r="H90" s="361">
        <f>SUM(H12:H89)</f>
        <v>-343415382.30500007</v>
      </c>
    </row>
    <row r="91" spans="1:7" ht="13" thickTop="1">
      <c r="A91" s="2">
        <f t="shared" si="7"/>
        <v>80</v>
      </c>
      <c r="G91" s="28"/>
    </row>
    <row r="92" spans="1:7" ht="12.5">
      <c r="A92" s="2">
        <f t="shared" si="7"/>
        <v>81</v>
      </c>
      <c r="B92" s="173"/>
      <c r="G92" s="28"/>
    </row>
    <row r="93" spans="1:7" ht="12.5">
      <c r="A93" s="2">
        <f t="shared" si="7"/>
        <v>82</v>
      </c>
      <c r="B93" s="585"/>
      <c r="C93" s="584"/>
      <c r="G93" s="28"/>
    </row>
    <row r="94" spans="1:7" ht="12.5">
      <c r="A94" s="2">
        <f t="shared" si="7"/>
        <v>83</v>
      </c>
      <c r="B94" s="2"/>
      <c r="C94" s="317"/>
      <c r="G94" s="28"/>
    </row>
    <row r="95" spans="1:7" ht="12.5">
      <c r="A95" s="2">
        <f t="shared" si="7"/>
        <v>84</v>
      </c>
      <c r="B95" t="s">
        <v>256</v>
      </c>
      <c r="C95" s="293" t="s">
        <v>520</v>
      </c>
      <c r="G95" s="28"/>
    </row>
    <row r="96" spans="7:7" ht="12.5">
      <c r="G96" s="28"/>
    </row>
    <row r="97" spans="7:7" ht="12.5">
      <c r="G97" s="28"/>
    </row>
    <row r="98" spans="7:7" ht="12.5">
      <c r="G98" s="28"/>
    </row>
    <row r="99" spans="7:7" ht="12.5">
      <c r="G99" s="28"/>
    </row>
    <row r="100" spans="7:7" ht="12.5">
      <c r="G100" s="28"/>
    </row>
    <row r="101" spans="7:7" ht="12.5">
      <c r="G101" s="28"/>
    </row>
    <row r="102" spans="7:7" ht="12.5">
      <c r="G102" s="28"/>
    </row>
    <row r="103" spans="7:7" ht="12.5">
      <c r="G103" s="28"/>
    </row>
    <row r="104" spans="7:7" ht="12.5">
      <c r="G104" s="28"/>
    </row>
    <row r="105" spans="7:7" ht="12.5">
      <c r="G105" s="28"/>
    </row>
  </sheetData>
  <hyperlinks>
    <hyperlink ref="C95" r:id="rId1" display="3rd party O&amp;M - ESD sample.XLSX"/>
  </hyperlinks>
  <printOptions horizontalCentered="1"/>
  <pageMargins left="0.5" right="0.5" top="1.5" bottom="0.5" header="1" footer="0.5"/>
  <pageSetup fitToHeight="5" orientation="landscape" r:id="rId2"/>
  <headerFooter alignWithMargins="0">
    <oddHeader>&amp;RWP/II-B-9/&amp;A
Page &amp;P of &amp;N</oddHeader>
  </headerFooter>
  <rowBreaks count="1" manualBreakCount="1">
    <brk id="42" max="7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5">
    <tabColor rgb="FF92D050"/>
    <pageSetUpPr fitToPage="1"/>
  </sheetPr>
  <dimension ref="A1:N40"/>
  <sheetViews>
    <sheetView workbookViewId="0" topLeftCell="A1">
      <pane xSplit="1" ySplit="9" topLeftCell="B10" activePane="bottomRight" state="frozen"/>
      <selection pane="topLeft" activeCell="A2" sqref="A2"/>
      <selection pane="bottomLeft" activeCell="A2" sqref="A2"/>
      <selection pane="topRight" activeCell="A2" sqref="A2"/>
      <selection pane="bottomRight" activeCell="E12" sqref="E12"/>
    </sheetView>
  </sheetViews>
  <sheetFormatPr defaultRowHeight="12.75"/>
  <cols>
    <col min="1" max="1" width="8.85714285714286" style="2" customWidth="1"/>
    <col min="2" max="2" width="12" customWidth="1"/>
    <col min="3" max="3" width="14.1428571428571" style="94" bestFit="1" customWidth="1"/>
    <col min="4" max="4" width="11.4285714285714" style="2" bestFit="1" customWidth="1"/>
    <col min="5" max="5" width="23.8571428571429" customWidth="1"/>
    <col min="6" max="6" width="17.4285714285714" style="2" customWidth="1"/>
    <col min="7" max="7" width="11.4285714285714" style="264" customWidth="1"/>
    <col min="8" max="8" width="18.1428571428571" customWidth="1"/>
    <col min="9" max="9" width="14.1428571428571" customWidth="1"/>
  </cols>
  <sheetData>
    <row r="1" spans="1:6" s="74" customFormat="1" ht="13">
      <c r="A1" s="181" t="s">
        <v>530</v>
      </c>
      <c r="B1" s="181"/>
      <c r="C1" s="181"/>
      <c r="D1" s="269"/>
      <c r="E1" s="181"/>
      <c r="F1" s="513"/>
    </row>
    <row r="2" spans="1:6" s="74" customFormat="1" ht="13">
      <c r="A2" s="181" t="str">
        <f>'1-1-3-1-1'!A2</f>
        <v>ONCOR ELECTRIC DELIVERY COMPANY LLC</v>
      </c>
      <c r="B2" s="181"/>
      <c r="C2" s="181"/>
      <c r="D2" s="269"/>
      <c r="E2" s="181"/>
      <c r="F2" s="513"/>
    </row>
    <row r="3" spans="1:6" s="74" customFormat="1" ht="13">
      <c r="A3" s="181" t="s">
        <v>346</v>
      </c>
      <c r="B3" s="181"/>
      <c r="C3" s="181"/>
      <c r="D3" s="269"/>
      <c r="E3" s="181"/>
      <c r="F3" s="513"/>
    </row>
    <row r="4" spans="1:6" s="74" customFormat="1" ht="13">
      <c r="A4" s="817" t="s">
        <v>929</v>
      </c>
      <c r="B4" s="181"/>
      <c r="C4" s="181"/>
      <c r="D4" s="269"/>
      <c r="E4" s="181"/>
      <c r="F4" s="513"/>
    </row>
    <row r="5" spans="1:6" s="74" customFormat="1" ht="13">
      <c r="A5" s="181" t="s">
        <v>524</v>
      </c>
      <c r="B5" s="181"/>
      <c r="C5" s="181"/>
      <c r="D5" s="269"/>
      <c r="E5" s="181"/>
      <c r="F5" s="513"/>
    </row>
    <row r="7" spans="1:9" ht="13">
      <c r="A7"/>
      <c r="B7" s="96"/>
      <c r="C7"/>
      <c r="E7" s="2"/>
      <c r="F7" s="6" t="s">
        <v>227</v>
      </c>
      <c r="G7" s="266"/>
      <c r="H7" s="6"/>
      <c r="I7" s="6"/>
    </row>
    <row r="8" spans="1:10" ht="13">
      <c r="A8" s="6" t="s">
        <v>40</v>
      </c>
      <c r="B8" s="6"/>
      <c r="C8" s="265"/>
      <c r="D8" s="6" t="s">
        <v>330</v>
      </c>
      <c r="E8" s="6" t="s">
        <v>331</v>
      </c>
      <c r="F8" s="6" t="s">
        <v>229</v>
      </c>
      <c r="G8" s="266" t="s">
        <v>46</v>
      </c>
      <c r="H8" s="6" t="s">
        <v>230</v>
      </c>
      <c r="I8" s="6"/>
      <c r="J8" s="6" t="s">
        <v>512</v>
      </c>
    </row>
    <row r="9" spans="1:9" ht="13">
      <c r="A9" s="57" t="s">
        <v>41</v>
      </c>
      <c r="B9" s="57" t="s">
        <v>231</v>
      </c>
      <c r="C9" s="315" t="s">
        <v>24</v>
      </c>
      <c r="D9" s="57" t="s">
        <v>113</v>
      </c>
      <c r="E9" s="57" t="s">
        <v>332</v>
      </c>
      <c r="F9" s="57" t="s">
        <v>113</v>
      </c>
      <c r="G9" s="267" t="s">
        <v>116</v>
      </c>
      <c r="H9" s="57" t="s">
        <v>116</v>
      </c>
      <c r="I9" s="22"/>
    </row>
    <row r="10" spans="1:9" s="1" customFormat="1" ht="12.5">
      <c r="A10" s="20"/>
      <c r="B10" s="20" t="s">
        <v>55</v>
      </c>
      <c r="C10" s="312" t="s">
        <v>56</v>
      </c>
      <c r="D10" s="20" t="s">
        <v>62</v>
      </c>
      <c r="E10" s="20" t="s">
        <v>57</v>
      </c>
      <c r="F10" s="20" t="s">
        <v>58</v>
      </c>
      <c r="G10" s="313" t="s">
        <v>59</v>
      </c>
      <c r="H10" s="20" t="s">
        <v>60</v>
      </c>
      <c r="I10" s="314"/>
    </row>
    <row r="11" spans="1:9" s="1" customFormat="1" ht="12.5">
      <c r="A11" s="20"/>
      <c r="B11" s="20"/>
      <c r="C11" s="312"/>
      <c r="D11" s="20"/>
      <c r="E11" s="20"/>
      <c r="F11" s="313"/>
      <c r="G11" s="20"/>
      <c r="H11" s="314"/>
      <c r="I11" s="20"/>
    </row>
    <row r="12" spans="1:14" ht="12.5">
      <c r="A12" s="2">
        <v>1</v>
      </c>
      <c r="B12" s="762" t="s">
        <v>677</v>
      </c>
      <c r="C12" s="295">
        <v>206500</v>
      </c>
      <c r="D12" s="729">
        <v>44379</v>
      </c>
      <c r="E12" s="728" t="s">
        <v>511</v>
      </c>
      <c r="F12" s="495">
        <v>44248</v>
      </c>
      <c r="G12" s="37">
        <f>D12-F12</f>
        <v>131</v>
      </c>
      <c r="H12" s="687">
        <f>IF(ISERR(G12*C12),"",G12*C12)</f>
        <v>27051500</v>
      </c>
      <c r="J12" s="730" t="s">
        <v>513</v>
      </c>
      <c r="L12" s="263"/>
      <c r="M12" s="263"/>
      <c r="N12" s="263"/>
    </row>
    <row r="13" spans="1:14" ht="12.5">
      <c r="A13" s="2">
        <f>A12+1</f>
        <v>2</v>
      </c>
      <c r="B13" s="762" t="s">
        <v>678</v>
      </c>
      <c r="C13" s="295">
        <v>6500</v>
      </c>
      <c r="D13" s="729">
        <v>44461</v>
      </c>
      <c r="E13" s="728" t="s">
        <v>511</v>
      </c>
      <c r="F13" s="495">
        <v>44309</v>
      </c>
      <c r="G13" s="37">
        <f t="shared" si="0" ref="G13:G21">D13-F13</f>
        <v>152</v>
      </c>
      <c r="H13" s="688">
        <f t="shared" si="1" ref="H13:H21">IF(ISERR(G13*C13),"",G13*C13)</f>
        <v>988000</v>
      </c>
      <c r="J13" s="730" t="s">
        <v>513</v>
      </c>
      <c r="L13" s="263"/>
      <c r="M13" s="263"/>
      <c r="N13" s="263"/>
    </row>
    <row r="14" spans="1:14" ht="12.5">
      <c r="A14" s="2">
        <f t="shared" si="2" ref="A14:A25">A13+1</f>
        <v>3</v>
      </c>
      <c r="B14" s="762" t="s">
        <v>679</v>
      </c>
      <c r="C14" s="295">
        <v>200</v>
      </c>
      <c r="D14" s="729">
        <v>44335</v>
      </c>
      <c r="E14" s="728" t="s">
        <v>321</v>
      </c>
      <c r="F14" s="495">
        <v>44368</v>
      </c>
      <c r="G14" s="37">
        <f t="shared" si="0"/>
        <v>-33</v>
      </c>
      <c r="H14" s="688">
        <f t="shared" si="1"/>
        <v>-6600</v>
      </c>
      <c r="J14" s="730" t="s">
        <v>513</v>
      </c>
      <c r="L14" s="263"/>
      <c r="M14" s="263"/>
      <c r="N14" s="263"/>
    </row>
    <row r="15" spans="1:14" ht="12.5">
      <c r="A15" s="2">
        <f t="shared" si="2"/>
        <v>4</v>
      </c>
      <c r="B15" s="762" t="s">
        <v>680</v>
      </c>
      <c r="C15" s="295">
        <v>6500</v>
      </c>
      <c r="D15" s="729">
        <v>44268</v>
      </c>
      <c r="E15" s="728" t="s">
        <v>511</v>
      </c>
      <c r="F15" s="495">
        <v>44118</v>
      </c>
      <c r="G15" s="37">
        <f t="shared" si="0"/>
        <v>150</v>
      </c>
      <c r="H15" s="688">
        <f t="shared" si="1"/>
        <v>975000</v>
      </c>
      <c r="J15" s="730" t="s">
        <v>513</v>
      </c>
      <c r="L15" s="263"/>
      <c r="M15" s="263"/>
      <c r="N15" s="263"/>
    </row>
    <row r="16" spans="1:14" ht="12.5">
      <c r="A16" s="2">
        <f t="shared" si="2"/>
        <v>5</v>
      </c>
      <c r="B16" s="762" t="s">
        <v>681</v>
      </c>
      <c r="C16" s="295">
        <v>4308.25</v>
      </c>
      <c r="D16" s="729">
        <v>44059</v>
      </c>
      <c r="E16" s="728" t="s">
        <v>511</v>
      </c>
      <c r="F16" s="495">
        <v>44174</v>
      </c>
      <c r="G16" s="37">
        <f t="shared" si="0"/>
        <v>-115</v>
      </c>
      <c r="H16" s="688">
        <f t="shared" si="1"/>
        <v>-495448.75</v>
      </c>
      <c r="J16" s="730" t="s">
        <v>513</v>
      </c>
      <c r="L16" s="263"/>
      <c r="M16" s="263"/>
      <c r="N16" s="263"/>
    </row>
    <row r="17" spans="1:14" ht="12.5">
      <c r="A17" s="2">
        <f t="shared" si="2"/>
        <v>6</v>
      </c>
      <c r="B17" s="762" t="s">
        <v>682</v>
      </c>
      <c r="C17" s="295">
        <v>14000</v>
      </c>
      <c r="D17" s="729">
        <v>44150.5</v>
      </c>
      <c r="E17" s="728" t="s">
        <v>511</v>
      </c>
      <c r="F17" s="495">
        <v>44393</v>
      </c>
      <c r="G17" s="37">
        <f t="shared" si="0"/>
        <v>-242.5</v>
      </c>
      <c r="H17" s="688">
        <f t="shared" si="1"/>
        <v>-3395000</v>
      </c>
      <c r="J17" s="730" t="s">
        <v>513</v>
      </c>
      <c r="L17" s="263"/>
      <c r="M17" s="263"/>
      <c r="N17" s="263"/>
    </row>
    <row r="18" spans="1:14" ht="12.5">
      <c r="A18" s="2">
        <f t="shared" si="2"/>
        <v>7</v>
      </c>
      <c r="B18" s="803" t="s">
        <v>683</v>
      </c>
      <c r="C18" s="769">
        <v>0</v>
      </c>
      <c r="D18" s="804" t="s">
        <v>499</v>
      </c>
      <c r="E18" s="805" t="s">
        <v>511</v>
      </c>
      <c r="F18" s="771">
        <v>44093</v>
      </c>
      <c r="G18" s="772">
        <v>0</v>
      </c>
      <c r="H18" s="806">
        <f t="shared" si="1"/>
        <v>0</v>
      </c>
      <c r="I18" s="742"/>
      <c r="J18" s="807" t="s">
        <v>513</v>
      </c>
      <c r="K18" s="674" t="s">
        <v>921</v>
      </c>
      <c r="L18" s="263"/>
      <c r="M18" s="263"/>
      <c r="N18" s="263"/>
    </row>
    <row r="19" spans="1:14" ht="12.5">
      <c r="A19" s="2">
        <f t="shared" si="2"/>
        <v>8</v>
      </c>
      <c r="B19" s="762" t="s">
        <v>684</v>
      </c>
      <c r="C19" s="295">
        <v>8027.5500000000002</v>
      </c>
      <c r="D19" s="729">
        <v>44332</v>
      </c>
      <c r="E19" s="728" t="s">
        <v>511</v>
      </c>
      <c r="F19" s="495">
        <v>44389</v>
      </c>
      <c r="G19" s="37">
        <f t="shared" si="0"/>
        <v>-57</v>
      </c>
      <c r="H19" s="688">
        <f t="shared" si="1"/>
        <v>-457570.35000000003</v>
      </c>
      <c r="J19" s="730" t="s">
        <v>513</v>
      </c>
      <c r="L19" s="263"/>
      <c r="M19" s="263"/>
      <c r="N19" s="263"/>
    </row>
    <row r="20" spans="1:14" ht="12.5">
      <c r="A20" s="2">
        <f t="shared" si="2"/>
        <v>9</v>
      </c>
      <c r="B20" s="762" t="s">
        <v>685</v>
      </c>
      <c r="C20" s="295">
        <v>6700</v>
      </c>
      <c r="D20" s="729">
        <v>44269</v>
      </c>
      <c r="E20" s="728" t="s">
        <v>511</v>
      </c>
      <c r="F20" s="495">
        <v>44118</v>
      </c>
      <c r="G20" s="37">
        <f t="shared" si="0"/>
        <v>151</v>
      </c>
      <c r="H20" s="688">
        <f t="shared" si="1"/>
        <v>1011700</v>
      </c>
      <c r="J20" s="730" t="s">
        <v>513</v>
      </c>
      <c r="L20" s="263"/>
      <c r="M20" s="263"/>
      <c r="N20" s="263"/>
    </row>
    <row r="21" spans="1:14" ht="12.5">
      <c r="A21" s="2">
        <f t="shared" si="2"/>
        <v>10</v>
      </c>
      <c r="B21" s="762" t="s">
        <v>686</v>
      </c>
      <c r="C21" s="763">
        <v>7104.4499999999998</v>
      </c>
      <c r="D21" s="729">
        <v>44089.5</v>
      </c>
      <c r="E21" s="728" t="s">
        <v>511</v>
      </c>
      <c r="F21" s="495">
        <v>44127</v>
      </c>
      <c r="G21" s="397">
        <f t="shared" si="0"/>
        <v>-37.5</v>
      </c>
      <c r="H21" s="689">
        <f t="shared" si="1"/>
        <v>-266416.875</v>
      </c>
      <c r="J21" s="730" t="s">
        <v>513</v>
      </c>
      <c r="L21" s="263"/>
      <c r="M21" s="263"/>
      <c r="N21" s="263"/>
    </row>
    <row r="22" spans="1:14" ht="12.5">
      <c r="A22" s="2">
        <f t="shared" si="2"/>
        <v>11</v>
      </c>
      <c r="B22" s="2"/>
      <c r="C22" s="690"/>
      <c r="D22" s="495"/>
      <c r="E22" s="495"/>
      <c r="F22" s="495"/>
      <c r="G22" s="37"/>
      <c r="H22" s="687"/>
      <c r="J22" s="263"/>
      <c r="L22" s="263"/>
      <c r="M22" s="263"/>
      <c r="N22" s="263"/>
    </row>
    <row r="23" spans="1:8" ht="13" thickBot="1">
      <c r="A23" s="2">
        <f t="shared" si="2"/>
        <v>12</v>
      </c>
      <c r="C23" s="691">
        <f>SUM(C12:C21)</f>
        <v>259840.25</v>
      </c>
      <c r="G23" s="399">
        <f>+ROUND(H23/C23,2)</f>
        <v>97.769999999999996</v>
      </c>
      <c r="H23" s="362">
        <f>SUM(H12:H21)</f>
        <v>25405164.024999999</v>
      </c>
    </row>
    <row r="24" spans="1:7" ht="13" thickTop="1">
      <c r="A24" s="2">
        <f t="shared" si="2"/>
        <v>13</v>
      </c>
      <c r="G24" s="28"/>
    </row>
    <row r="25" spans="1:7" ht="12.5">
      <c r="A25" s="2">
        <f t="shared" si="2"/>
        <v>14</v>
      </c>
      <c r="B25" t="s">
        <v>256</v>
      </c>
      <c r="C25" s="293" t="s">
        <v>687</v>
      </c>
      <c r="G25" s="28"/>
    </row>
    <row r="26" spans="3:7" ht="12.5">
      <c r="C26"/>
      <c r="G26" s="28"/>
    </row>
    <row r="27" spans="2:7" ht="12.5">
      <c r="B27" s="808" t="s">
        <v>922</v>
      </c>
      <c r="C27" s="809"/>
      <c r="D27" s="768"/>
      <c r="E27" s="742"/>
      <c r="F27" s="768"/>
      <c r="G27" s="810"/>
    </row>
    <row r="28" spans="7:7" ht="12.5">
      <c r="G28" s="28"/>
    </row>
    <row r="29" spans="7:7" ht="12.5">
      <c r="G29" s="28"/>
    </row>
    <row r="30" spans="7:7" ht="12.5">
      <c r="G30" s="28"/>
    </row>
    <row r="31" spans="7:7" ht="12.5">
      <c r="G31" s="28"/>
    </row>
    <row r="32" spans="7:7" ht="12.5">
      <c r="G32" s="28"/>
    </row>
    <row r="33" spans="7:7" ht="12.5">
      <c r="G33" s="28"/>
    </row>
    <row r="34" spans="7:7" ht="12.5">
      <c r="G34" s="28"/>
    </row>
    <row r="35" spans="7:7" ht="12.5">
      <c r="G35" s="28"/>
    </row>
    <row r="36" spans="7:7" ht="12.5">
      <c r="G36" s="28"/>
    </row>
    <row r="37" spans="7:7" ht="12.5">
      <c r="G37" s="28"/>
    </row>
    <row r="38" spans="7:7" ht="12.5">
      <c r="G38" s="28"/>
    </row>
    <row r="39" spans="7:7" ht="12.5">
      <c r="G39" s="28"/>
    </row>
    <row r="40" spans="7:7" ht="12.5">
      <c r="G40" s="28"/>
    </row>
  </sheetData>
  <hyperlinks>
    <hyperlink ref="C25" r:id="rId1" display="3rd party O&amp;M - TRNDS sample 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3">
    <tabColor rgb="FF92D050"/>
  </sheetPr>
  <dimension ref="A1:J53"/>
  <sheetViews>
    <sheetView view="pageBreakPreview" zoomScaleNormal="100" zoomScaleSheetLayoutView="100" workbookViewId="0" topLeftCell="A16">
      <selection pane="topLeft" activeCell="A4" sqref="A4"/>
    </sheetView>
  </sheetViews>
  <sheetFormatPr defaultColWidth="8.90428571428571" defaultRowHeight="12.75"/>
  <cols>
    <col min="1" max="1" width="10.5714285714286" style="586" customWidth="1"/>
    <col min="2" max="2" width="13.5714285714286" style="586" customWidth="1"/>
    <col min="3" max="3" width="27.4285714285714" style="586" customWidth="1"/>
    <col min="4" max="4" width="16.5714285714286" style="586" customWidth="1"/>
    <col min="5" max="5" width="10.1428571428571" style="600" bestFit="1" customWidth="1"/>
    <col min="6" max="6" width="11.4285714285714" customWidth="1"/>
    <col min="7" max="7" width="11.5714285714286" customWidth="1"/>
    <col min="8" max="8" width="14.4285714285714" customWidth="1"/>
    <col min="9" max="9" width="12" customWidth="1"/>
    <col min="10" max="10" width="15.8571428571429" bestFit="1" customWidth="1"/>
    <col min="11" max="16384" width="8.85714285714286" style="586"/>
  </cols>
  <sheetData>
    <row r="1" spans="1:10" s="594" customFormat="1" ht="13">
      <c r="A1" s="181" t="s">
        <v>530</v>
      </c>
      <c r="E1" s="596"/>
      <c r="F1"/>
      <c r="G1"/>
      <c r="H1"/>
      <c r="I1"/>
      <c r="J1"/>
    </row>
    <row r="2" spans="1:10" s="594" customFormat="1" ht="13">
      <c r="A2" s="629" t="s">
        <v>419</v>
      </c>
      <c r="E2" s="596"/>
      <c r="F2"/>
      <c r="G2"/>
      <c r="H2"/>
      <c r="I2"/>
      <c r="J2"/>
    </row>
    <row r="3" spans="1:10" s="594" customFormat="1" ht="13">
      <c r="A3" s="629" t="s">
        <v>420</v>
      </c>
      <c r="D3" s="740"/>
      <c r="E3" s="741"/>
      <c r="F3" s="742"/>
      <c r="G3" s="742"/>
      <c r="H3" s="742"/>
      <c r="I3" s="742"/>
      <c r="J3" s="742"/>
    </row>
    <row r="4" spans="1:10" s="594" customFormat="1" ht="13">
      <c r="A4" s="817" t="s">
        <v>929</v>
      </c>
      <c r="E4" s="596"/>
      <c r="F4"/>
      <c r="G4"/>
      <c r="H4"/>
      <c r="I4"/>
      <c r="J4"/>
    </row>
    <row r="5" spans="1:10" s="594" customFormat="1" ht="13">
      <c r="A5" s="731" t="s">
        <v>524</v>
      </c>
      <c r="E5" s="596"/>
      <c r="F5"/>
      <c r="G5"/>
      <c r="H5"/>
      <c r="I5"/>
      <c r="J5"/>
    </row>
    <row r="6" spans="5:10" s="594" customFormat="1" ht="13">
      <c r="E6" s="596"/>
      <c r="F6" s="823" t="s">
        <v>450</v>
      </c>
      <c r="G6" s="823"/>
      <c r="H6"/>
      <c r="I6"/>
      <c r="J6"/>
    </row>
    <row r="7" spans="1:10" s="594" customFormat="1" ht="29.25" customHeight="1">
      <c r="A7" s="595" t="s">
        <v>45</v>
      </c>
      <c r="B7" s="595" t="s">
        <v>414</v>
      </c>
      <c r="C7" s="595" t="s">
        <v>421</v>
      </c>
      <c r="D7" s="595" t="s">
        <v>422</v>
      </c>
      <c r="E7" s="597" t="s">
        <v>413</v>
      </c>
      <c r="F7" s="620" t="s">
        <v>451</v>
      </c>
      <c r="G7" s="620" t="s">
        <v>452</v>
      </c>
      <c r="H7" s="620" t="s">
        <v>453</v>
      </c>
      <c r="I7" s="627" t="s">
        <v>457</v>
      </c>
      <c r="J7" s="620" t="s">
        <v>43</v>
      </c>
    </row>
    <row r="8" spans="2:10" s="587" customFormat="1" ht="12.5">
      <c r="B8" s="587" t="s">
        <v>55</v>
      </c>
      <c r="C8" s="587" t="s">
        <v>56</v>
      </c>
      <c r="D8" s="587" t="s">
        <v>62</v>
      </c>
      <c r="E8" s="598" t="s">
        <v>57</v>
      </c>
      <c r="F8" s="2" t="s">
        <v>58</v>
      </c>
      <c r="G8" s="2" t="s">
        <v>59</v>
      </c>
      <c r="H8" s="2" t="s">
        <v>60</v>
      </c>
      <c r="I8" s="2" t="s">
        <v>454</v>
      </c>
      <c r="J8" s="2" t="s">
        <v>455</v>
      </c>
    </row>
    <row r="9" spans="1:10" s="587" customFormat="1" ht="12.5">
      <c r="A9" s="587">
        <v>1</v>
      </c>
      <c r="B9" s="735">
        <v>44135</v>
      </c>
      <c r="C9" s="587" t="s">
        <v>516</v>
      </c>
      <c r="D9" s="732">
        <v>370124.61000000004</v>
      </c>
      <c r="E9" s="598">
        <f t="shared" si="0" ref="E9:E20">+D9/$D$22</f>
        <v>0.082410912390591784</v>
      </c>
      <c r="F9" s="618">
        <v>43831</v>
      </c>
      <c r="G9" s="618">
        <v>44196</v>
      </c>
      <c r="H9" s="621">
        <f>AVERAGE(F9:G9)</f>
        <v>44013.5</v>
      </c>
      <c r="I9" s="619">
        <f>+H9-B9</f>
        <v>-121.5</v>
      </c>
      <c r="J9" s="682">
        <f>+D9*I9</f>
        <v>-44970140.115000002</v>
      </c>
    </row>
    <row r="10" spans="1:10" s="587" customFormat="1" ht="12.5">
      <c r="A10" s="587">
        <v>2</v>
      </c>
      <c r="B10" s="735">
        <v>44165</v>
      </c>
      <c r="C10" s="587" t="s">
        <v>516</v>
      </c>
      <c r="D10" s="732">
        <v>372578.39000000001</v>
      </c>
      <c r="E10" s="598">
        <f t="shared" si="0"/>
        <v>0.082957264195206409</v>
      </c>
      <c r="F10" s="618">
        <v>43831</v>
      </c>
      <c r="G10" s="618">
        <v>44196</v>
      </c>
      <c r="H10" s="621">
        <f t="shared" si="1" ref="H10:H20">AVERAGE(F10:G10)</f>
        <v>44013.5</v>
      </c>
      <c r="I10" s="619">
        <f t="shared" si="2" ref="I10:I20">+H10-B10</f>
        <v>-151.5</v>
      </c>
      <c r="J10" s="682">
        <f t="shared" si="3" ref="J10:J20">+D10*I10</f>
        <v>-56445626.085000001</v>
      </c>
    </row>
    <row r="11" spans="1:10" s="587" customFormat="1" ht="12.5">
      <c r="A11" s="587">
        <v>3</v>
      </c>
      <c r="B11" s="735">
        <v>44196</v>
      </c>
      <c r="C11" s="587" t="s">
        <v>516</v>
      </c>
      <c r="D11" s="732">
        <v>413825.13</v>
      </c>
      <c r="E11" s="598">
        <f t="shared" si="0"/>
        <v>0.092141148175624563</v>
      </c>
      <c r="F11" s="618">
        <v>43831</v>
      </c>
      <c r="G11" s="618">
        <v>44196</v>
      </c>
      <c r="H11" s="621">
        <f t="shared" si="4" ref="H11:H12">AVERAGE(F11:G11)</f>
        <v>44013.5</v>
      </c>
      <c r="I11" s="619">
        <f t="shared" si="5" ref="I11:I12">+H11-B11</f>
        <v>-182.5</v>
      </c>
      <c r="J11" s="682">
        <f t="shared" si="6" ref="J11:J12">+D11*I11</f>
        <v>-75523086.224999994</v>
      </c>
    </row>
    <row r="12" spans="1:10" s="587" customFormat="1" ht="12.5">
      <c r="A12" s="587">
        <v>4</v>
      </c>
      <c r="B12" s="735">
        <v>44227</v>
      </c>
      <c r="C12" s="587" t="s">
        <v>516</v>
      </c>
      <c r="D12" s="732">
        <v>373043.72999999998</v>
      </c>
      <c r="E12" s="598">
        <f t="shared" si="0"/>
        <v>0.083060875500522838</v>
      </c>
      <c r="F12" s="618">
        <v>44197</v>
      </c>
      <c r="G12" s="618">
        <v>44561</v>
      </c>
      <c r="H12" s="621">
        <f t="shared" si="4"/>
        <v>44379</v>
      </c>
      <c r="I12" s="619">
        <f t="shared" si="5"/>
        <v>152</v>
      </c>
      <c r="J12" s="682">
        <f t="shared" si="6"/>
        <v>56702646.959999993</v>
      </c>
    </row>
    <row r="13" spans="1:10" s="587" customFormat="1" ht="12.5">
      <c r="A13" s="587">
        <v>5</v>
      </c>
      <c r="B13" s="735">
        <v>44255</v>
      </c>
      <c r="C13" s="587" t="s">
        <v>516</v>
      </c>
      <c r="D13" s="732">
        <v>372252.14999999997</v>
      </c>
      <c r="E13" s="598">
        <f t="shared" si="0"/>
        <v>0.082884624507566312</v>
      </c>
      <c r="F13" s="618">
        <v>44197</v>
      </c>
      <c r="G13" s="618">
        <v>44561</v>
      </c>
      <c r="H13" s="621">
        <f t="shared" si="1"/>
        <v>44379</v>
      </c>
      <c r="I13" s="619">
        <f t="shared" si="2"/>
        <v>124</v>
      </c>
      <c r="J13" s="682">
        <f t="shared" si="3"/>
        <v>46159266.599999994</v>
      </c>
    </row>
    <row r="14" spans="1:10" s="587" customFormat="1" ht="12.5">
      <c r="A14" s="587">
        <v>6</v>
      </c>
      <c r="B14" s="735">
        <v>44286</v>
      </c>
      <c r="C14" s="587" t="s">
        <v>516</v>
      </c>
      <c r="D14" s="732">
        <v>370321.51000000001</v>
      </c>
      <c r="E14" s="598">
        <f t="shared" si="0"/>
        <v>0.082454753594908628</v>
      </c>
      <c r="F14" s="618">
        <v>44197</v>
      </c>
      <c r="G14" s="618">
        <v>44561</v>
      </c>
      <c r="H14" s="621">
        <f t="shared" si="7" ref="H14">AVERAGE(F14:G14)</f>
        <v>44379</v>
      </c>
      <c r="I14" s="619">
        <f t="shared" si="8" ref="I14">+H14-B14</f>
        <v>93</v>
      </c>
      <c r="J14" s="682">
        <f t="shared" si="9" ref="J14">+D14*I14</f>
        <v>34439900.43</v>
      </c>
    </row>
    <row r="15" spans="1:10" s="587" customFormat="1" ht="12.5">
      <c r="A15" s="587">
        <v>7</v>
      </c>
      <c r="B15" s="735">
        <v>44316</v>
      </c>
      <c r="C15" s="587" t="s">
        <v>516</v>
      </c>
      <c r="D15" s="732">
        <v>367750.15000000002</v>
      </c>
      <c r="E15" s="598">
        <f t="shared" si="0"/>
        <v>0.081882221755740545</v>
      </c>
      <c r="F15" s="618">
        <v>44197</v>
      </c>
      <c r="G15" s="618">
        <v>44561</v>
      </c>
      <c r="H15" s="621">
        <f t="shared" si="1"/>
        <v>44379</v>
      </c>
      <c r="I15" s="619">
        <f t="shared" si="2"/>
        <v>63</v>
      </c>
      <c r="J15" s="682">
        <f t="shared" si="3"/>
        <v>23168259.450000003</v>
      </c>
    </row>
    <row r="16" spans="1:10" s="587" customFormat="1" ht="12.5">
      <c r="A16" s="587">
        <v>8</v>
      </c>
      <c r="B16" s="735">
        <v>44347</v>
      </c>
      <c r="C16" s="587" t="s">
        <v>516</v>
      </c>
      <c r="D16" s="732">
        <v>367750.15000000002</v>
      </c>
      <c r="E16" s="598">
        <f t="shared" si="0"/>
        <v>0.081882221755740545</v>
      </c>
      <c r="F16" s="618">
        <v>44197</v>
      </c>
      <c r="G16" s="618">
        <v>44561</v>
      </c>
      <c r="H16" s="621">
        <f t="shared" si="10" ref="H16">AVERAGE(F16:G16)</f>
        <v>44379</v>
      </c>
      <c r="I16" s="619">
        <f t="shared" si="11" ref="I16">+H16-B16</f>
        <v>32</v>
      </c>
      <c r="J16" s="682">
        <f t="shared" si="12" ref="J16">+D16*I16</f>
        <v>11768004.800000001</v>
      </c>
    </row>
    <row r="17" spans="1:10" s="587" customFormat="1" ht="12.5">
      <c r="A17" s="587">
        <v>9</v>
      </c>
      <c r="B17" s="735">
        <v>44377</v>
      </c>
      <c r="C17" s="587" t="s">
        <v>516</v>
      </c>
      <c r="D17" s="732">
        <v>368582.41999999998</v>
      </c>
      <c r="E17" s="598">
        <f t="shared" si="0"/>
        <v>0.082067532670503318</v>
      </c>
      <c r="F17" s="618">
        <v>44197</v>
      </c>
      <c r="G17" s="618">
        <v>44561</v>
      </c>
      <c r="H17" s="621">
        <f t="shared" si="1"/>
        <v>44379</v>
      </c>
      <c r="I17" s="619">
        <f t="shared" si="2"/>
        <v>2</v>
      </c>
      <c r="J17" s="682">
        <f t="shared" si="3"/>
        <v>737164.83999999997</v>
      </c>
    </row>
    <row r="18" spans="1:10" s="587" customFormat="1" ht="12.5">
      <c r="A18" s="587">
        <v>10</v>
      </c>
      <c r="B18" s="735">
        <v>44408</v>
      </c>
      <c r="C18" s="587" t="s">
        <v>516</v>
      </c>
      <c r="D18" s="732">
        <v>375660.67999999999</v>
      </c>
      <c r="E18" s="598">
        <f t="shared" si="0"/>
        <v>0.083643558281817923</v>
      </c>
      <c r="F18" s="618">
        <v>44197</v>
      </c>
      <c r="G18" s="618">
        <v>44561</v>
      </c>
      <c r="H18" s="621">
        <f t="shared" si="1"/>
        <v>44379</v>
      </c>
      <c r="I18" s="619">
        <f t="shared" si="2"/>
        <v>-29</v>
      </c>
      <c r="J18" s="682">
        <f t="shared" si="3"/>
        <v>-10894159.720000001</v>
      </c>
    </row>
    <row r="19" spans="1:10" s="587" customFormat="1" ht="12.5">
      <c r="A19" s="587">
        <v>11</v>
      </c>
      <c r="B19" s="735">
        <v>44439</v>
      </c>
      <c r="C19" s="587" t="s">
        <v>516</v>
      </c>
      <c r="D19" s="732">
        <v>369659.90999999997</v>
      </c>
      <c r="E19" s="598">
        <f t="shared" si="0"/>
        <v>0.082307443585888651</v>
      </c>
      <c r="F19" s="618">
        <v>44197</v>
      </c>
      <c r="G19" s="618">
        <v>44561</v>
      </c>
      <c r="H19" s="621">
        <f t="shared" si="1"/>
        <v>44379</v>
      </c>
      <c r="I19" s="619">
        <f t="shared" si="2"/>
        <v>-60</v>
      </c>
      <c r="J19" s="682">
        <f t="shared" si="3"/>
        <v>-22179594.599999998</v>
      </c>
    </row>
    <row r="20" spans="1:10" s="587" customFormat="1" ht="12.5">
      <c r="A20" s="587">
        <v>12</v>
      </c>
      <c r="B20" s="735">
        <v>44469</v>
      </c>
      <c r="C20" s="587" t="s">
        <v>516</v>
      </c>
      <c r="D20" s="733">
        <v>369659.90999999997</v>
      </c>
      <c r="E20" s="734">
        <f t="shared" si="0"/>
        <v>0.082307443585888651</v>
      </c>
      <c r="F20" s="753">
        <v>44197</v>
      </c>
      <c r="G20" s="753">
        <v>44561</v>
      </c>
      <c r="H20" s="754">
        <f t="shared" si="1"/>
        <v>44379</v>
      </c>
      <c r="I20" s="755">
        <f t="shared" si="2"/>
        <v>-90</v>
      </c>
      <c r="J20" s="736">
        <f t="shared" si="3"/>
        <v>-33269391.899999999</v>
      </c>
    </row>
    <row r="21" spans="1:10" s="587" customFormat="1" ht="12.5">
      <c r="A21" s="587">
        <v>17</v>
      </c>
      <c r="E21" s="598"/>
      <c r="F21" s="2"/>
      <c r="G21" s="2"/>
      <c r="H21" s="2"/>
      <c r="I21" s="2"/>
      <c r="J21" s="2"/>
    </row>
    <row r="22" spans="1:10" s="587" customFormat="1" ht="13" thickBot="1">
      <c r="A22" s="587">
        <v>18</v>
      </c>
      <c r="B22" s="674" t="s">
        <v>517</v>
      </c>
      <c r="D22" s="739">
        <f>SUM(D9:D21)</f>
        <v>4491208.7399999993</v>
      </c>
      <c r="E22" s="738">
        <f>SUM(E9:E21)</f>
        <v>1.0000000000000002</v>
      </c>
      <c r="F22" s="2"/>
      <c r="G22" s="2"/>
      <c r="H22" s="2"/>
      <c r="I22" s="2"/>
      <c r="J22" s="737">
        <f>SUM(J9:J21)</f>
        <v>-70306755.565000027</v>
      </c>
    </row>
    <row r="23" spans="1:10" s="587" customFormat="1" ht="13" thickTop="1">
      <c r="A23" s="587">
        <v>19</v>
      </c>
      <c r="B23" s="674" t="s">
        <v>519</v>
      </c>
      <c r="E23" s="598"/>
      <c r="F23" s="2"/>
      <c r="G23" s="2"/>
      <c r="H23" s="2"/>
      <c r="I23" s="743">
        <f>+J22/D22</f>
        <v>-15.65430591965762</v>
      </c>
      <c r="J23" s="2"/>
    </row>
    <row r="24" spans="1:10" s="587" customFormat="1" ht="12.5">
      <c r="A24" s="587">
        <v>20</v>
      </c>
      <c r="E24" s="598"/>
      <c r="F24" s="2"/>
      <c r="G24" s="2"/>
      <c r="H24" s="2"/>
      <c r="I24" s="2"/>
      <c r="J24" s="2"/>
    </row>
    <row r="25" spans="1:10" s="781" customFormat="1" ht="13">
      <c r="A25" s="779">
        <v>21</v>
      </c>
      <c r="B25" s="780" t="s">
        <v>925</v>
      </c>
      <c r="E25" s="782"/>
      <c r="F25" s="742"/>
      <c r="G25" s="742"/>
      <c r="H25" s="742"/>
      <c r="I25" s="742"/>
      <c r="J25" s="742"/>
    </row>
    <row r="26" spans="1:10" s="781" customFormat="1" ht="14.4" customHeight="1">
      <c r="A26" s="779">
        <v>22</v>
      </c>
      <c r="B26" s="786">
        <v>44301</v>
      </c>
      <c r="C26" s="786" t="s">
        <v>514</v>
      </c>
      <c r="D26" s="787">
        <v>7400000</v>
      </c>
      <c r="E26" s="788">
        <f>+D26/$D$31</f>
        <v>0.25</v>
      </c>
      <c r="F26" s="783">
        <v>44197</v>
      </c>
      <c r="G26" s="783">
        <v>44561</v>
      </c>
      <c r="H26" s="789">
        <f>AVERAGE(F26:G26)</f>
        <v>44379</v>
      </c>
      <c r="I26" s="784">
        <f>+H26-B26</f>
        <v>78</v>
      </c>
      <c r="J26" s="790">
        <f>+D26*I26</f>
        <v>577200000</v>
      </c>
    </row>
    <row r="27" spans="1:10" s="781" customFormat="1" ht="14.4" customHeight="1">
      <c r="A27" s="779">
        <v>23</v>
      </c>
      <c r="B27" s="786">
        <v>44392</v>
      </c>
      <c r="C27" s="786" t="s">
        <v>514</v>
      </c>
      <c r="D27" s="787">
        <v>7400000</v>
      </c>
      <c r="E27" s="788">
        <f>+D27/$D$31</f>
        <v>0.25</v>
      </c>
      <c r="F27" s="783">
        <v>44197</v>
      </c>
      <c r="G27" s="783">
        <v>44561</v>
      </c>
      <c r="H27" s="789">
        <f>AVERAGE(F27:G27)</f>
        <v>44379</v>
      </c>
      <c r="I27" s="784">
        <f>+H27-B27</f>
        <v>-13</v>
      </c>
      <c r="J27" s="790">
        <f>+D27*I27</f>
        <v>-96200000</v>
      </c>
    </row>
    <row r="28" spans="1:10" s="781" customFormat="1" ht="14.4" customHeight="1">
      <c r="A28" s="779">
        <v>24</v>
      </c>
      <c r="B28" s="786">
        <v>44484</v>
      </c>
      <c r="C28" s="786" t="s">
        <v>514</v>
      </c>
      <c r="D28" s="791">
        <v>7400000</v>
      </c>
      <c r="E28" s="788">
        <f>+D28/$D$31</f>
        <v>0.25</v>
      </c>
      <c r="F28" s="783">
        <v>44197</v>
      </c>
      <c r="G28" s="783">
        <v>44561</v>
      </c>
      <c r="H28" s="789">
        <f>AVERAGE(F28:G28)</f>
        <v>44379</v>
      </c>
      <c r="I28" s="784">
        <f>+H28-B28</f>
        <v>-105</v>
      </c>
      <c r="J28" s="790">
        <f>+D28*I28</f>
        <v>-777000000</v>
      </c>
    </row>
    <row r="29" spans="1:10" s="781" customFormat="1" ht="14.4" customHeight="1">
      <c r="A29" s="779">
        <v>25</v>
      </c>
      <c r="B29" s="786">
        <v>44576</v>
      </c>
      <c r="C29" s="786" t="s">
        <v>514</v>
      </c>
      <c r="D29" s="792">
        <v>7400000</v>
      </c>
      <c r="E29" s="788">
        <f>+D29/$D$31</f>
        <v>0.25</v>
      </c>
      <c r="F29" s="783">
        <v>44197</v>
      </c>
      <c r="G29" s="783">
        <v>44561</v>
      </c>
      <c r="H29" s="789">
        <f>AVERAGE(F29:G29)</f>
        <v>44379</v>
      </c>
      <c r="I29" s="784">
        <f>+H29-B29</f>
        <v>-197</v>
      </c>
      <c r="J29" s="793">
        <f>+D29*I29</f>
        <v>-1457800000</v>
      </c>
    </row>
    <row r="30" spans="1:10" s="781" customFormat="1" ht="14.4" customHeight="1">
      <c r="A30" s="779">
        <v>26</v>
      </c>
      <c r="B30" s="786"/>
      <c r="C30" s="786"/>
      <c r="D30" s="794"/>
      <c r="E30" s="795"/>
      <c r="F30" s="783"/>
      <c r="G30" s="783"/>
      <c r="H30" s="789"/>
      <c r="I30" s="784"/>
      <c r="J30" s="796"/>
    </row>
    <row r="31" spans="1:10" s="742" customFormat="1" ht="14.4" customHeight="1">
      <c r="A31" s="779">
        <v>27</v>
      </c>
      <c r="B31" s="785" t="s">
        <v>494</v>
      </c>
      <c r="D31" s="797">
        <f>SUM(D26:D30)</f>
        <v>29600000</v>
      </c>
      <c r="E31" s="798">
        <f>SUM(E26:E29)</f>
        <v>1</v>
      </c>
      <c r="F31" s="799"/>
      <c r="G31" s="799"/>
      <c r="H31" s="800"/>
      <c r="I31" s="801"/>
      <c r="J31" s="802">
        <f>SUM(J26:J30)</f>
        <v>-1753800000</v>
      </c>
    </row>
    <row r="32" spans="1:9" s="742" customFormat="1" ht="14.4" customHeight="1">
      <c r="A32" s="779">
        <v>28</v>
      </c>
      <c r="B32" s="785" t="s">
        <v>518</v>
      </c>
      <c r="C32" s="757"/>
      <c r="D32" s="783"/>
      <c r="E32" s="783"/>
      <c r="H32" s="783"/>
      <c r="I32" s="784">
        <f>+J31/D31</f>
        <v>-59.25</v>
      </c>
    </row>
    <row r="33" spans="1:9" s="742" customFormat="1" ht="14.4" customHeight="1">
      <c r="A33" s="779">
        <v>29</v>
      </c>
      <c r="B33" s="785"/>
      <c r="C33" s="757"/>
      <c r="D33" s="783"/>
      <c r="E33" s="783"/>
      <c r="H33" s="783"/>
      <c r="I33" s="784"/>
    </row>
    <row r="34" spans="1:9" s="0" customFormat="1" ht="14.4" customHeight="1">
      <c r="A34" s="779">
        <v>30</v>
      </c>
      <c r="B34" s="674"/>
      <c r="C34" s="71"/>
      <c r="D34" s="618"/>
      <c r="E34" s="618"/>
      <c r="H34" s="618"/>
      <c r="I34" s="619"/>
    </row>
    <row r="35" spans="1:10" s="0" customFormat="1" ht="14.4" customHeight="1" thickBot="1">
      <c r="A35" s="779">
        <v>31</v>
      </c>
      <c r="B35" s="674" t="s">
        <v>456</v>
      </c>
      <c r="C35" s="71"/>
      <c r="D35" s="737">
        <f>+D31+D22</f>
        <v>34091208.740000002</v>
      </c>
      <c r="E35" s="618"/>
      <c r="H35" s="618"/>
      <c r="I35" s="619"/>
      <c r="J35" s="366">
        <f>+J31+J22</f>
        <v>-1824106755.5650001</v>
      </c>
    </row>
    <row r="36" spans="1:9" s="0" customFormat="1" ht="14.4" customHeight="1" thickTop="1">
      <c r="A36" s="779">
        <v>32</v>
      </c>
      <c r="B36" s="674" t="s">
        <v>515</v>
      </c>
      <c r="C36" s="71"/>
      <c r="D36" s="618"/>
      <c r="E36" s="618"/>
      <c r="H36" s="618"/>
      <c r="I36" s="619">
        <f>+J35/D35</f>
        <v>-53.50666118871677</v>
      </c>
    </row>
    <row r="37" spans="1:9" s="0" customFormat="1" ht="14.4" customHeight="1">
      <c r="A37" s="779">
        <v>33</v>
      </c>
      <c r="B37" s="674"/>
      <c r="C37" s="71"/>
      <c r="D37" s="618"/>
      <c r="E37" s="618"/>
      <c r="H37" s="618"/>
      <c r="I37" s="619"/>
    </row>
    <row r="38" spans="1:9" ht="15" customHeight="1">
      <c r="A38" s="779">
        <v>34</v>
      </c>
      <c r="B38" s="586" t="s">
        <v>256</v>
      </c>
      <c r="C38" s="293" t="s">
        <v>459</v>
      </c>
      <c r="D38" s="590"/>
      <c r="I38" s="623"/>
    </row>
    <row r="39" spans="1:9" ht="12.5">
      <c r="A39" s="781"/>
      <c r="B39" s="589"/>
      <c r="C39" s="589"/>
      <c r="D39" s="590"/>
      <c r="E39" s="599"/>
      <c r="I39" s="623"/>
    </row>
    <row r="40" spans="1:10" ht="12.5">
      <c r="A40" s="781"/>
      <c r="B40" s="589"/>
      <c r="C40" s="589"/>
      <c r="D40" s="590"/>
      <c r="E40" s="599"/>
      <c r="H40" s="71"/>
      <c r="I40" s="623"/>
      <c r="J40" s="624"/>
    </row>
    <row r="41" spans="2:10" ht="12.5">
      <c r="B41" s="589"/>
      <c r="C41" s="589"/>
      <c r="D41" s="590"/>
      <c r="E41" s="599"/>
      <c r="H41" s="71"/>
      <c r="I41" s="623"/>
      <c r="J41" s="624"/>
    </row>
    <row r="42" spans="2:10" ht="12.5">
      <c r="B42" s="589"/>
      <c r="C42" s="589"/>
      <c r="D42" s="590"/>
      <c r="E42" s="599"/>
      <c r="H42" s="71"/>
      <c r="I42" s="625"/>
      <c r="J42" s="624"/>
    </row>
    <row r="43" spans="2:10" ht="12.5">
      <c r="B43" s="589"/>
      <c r="C43" s="589"/>
      <c r="D43" s="590"/>
      <c r="E43" s="599"/>
      <c r="H43" s="71"/>
      <c r="I43" s="625"/>
      <c r="J43" s="624"/>
    </row>
    <row r="44" spans="2:10" ht="12.5">
      <c r="B44" s="589"/>
      <c r="C44" s="589"/>
      <c r="D44" s="590"/>
      <c r="E44" s="599"/>
      <c r="H44" s="71"/>
      <c r="I44" s="625"/>
      <c r="J44" s="624"/>
    </row>
    <row r="45" spans="2:10" ht="12.5">
      <c r="B45" s="589"/>
      <c r="C45" s="589"/>
      <c r="D45" s="590"/>
      <c r="E45" s="599"/>
      <c r="H45" s="71"/>
      <c r="I45" s="625"/>
      <c r="J45" s="624"/>
    </row>
    <row r="46" spans="2:10" ht="12.5">
      <c r="B46" s="589"/>
      <c r="C46" s="589"/>
      <c r="D46" s="590"/>
      <c r="E46" s="599"/>
      <c r="H46" s="71"/>
      <c r="I46" s="625"/>
      <c r="J46" s="624"/>
    </row>
    <row r="47" spans="2:10" ht="12.5">
      <c r="B47" s="589"/>
      <c r="C47" s="589"/>
      <c r="D47" s="590"/>
      <c r="E47" s="599"/>
      <c r="H47" s="71"/>
      <c r="I47" s="625"/>
      <c r="J47" s="624"/>
    </row>
    <row r="48" spans="2:10" ht="12.5">
      <c r="B48" s="589"/>
      <c r="C48" s="589"/>
      <c r="D48" s="590"/>
      <c r="E48" s="599"/>
      <c r="H48" s="71"/>
      <c r="I48" s="625"/>
      <c r="J48" s="624"/>
    </row>
    <row r="49" spans="2:10" ht="12.5">
      <c r="B49" s="589"/>
      <c r="C49" s="589"/>
      <c r="D49" s="590"/>
      <c r="E49" s="599"/>
      <c r="H49" s="71"/>
      <c r="I49" s="625"/>
      <c r="J49" s="624"/>
    </row>
    <row r="50" spans="2:10" ht="12.5">
      <c r="B50" s="589"/>
      <c r="C50" s="589"/>
      <c r="D50" s="593"/>
      <c r="E50" s="599"/>
      <c r="H50" s="71"/>
      <c r="I50" s="625"/>
      <c r="J50" s="624"/>
    </row>
    <row r="51" spans="4:10" ht="12.5">
      <c r="D51" s="590"/>
      <c r="H51" s="71"/>
      <c r="I51" s="625"/>
      <c r="J51" s="624"/>
    </row>
    <row r="53" spans="4:4" ht="12.5">
      <c r="D53" s="591"/>
    </row>
  </sheetData>
  <mergeCells count="1">
    <mergeCell ref="F6:G6"/>
  </mergeCells>
  <hyperlinks>
    <hyperlink ref="C38" r:id="rId1" display="Pension and OPEB Funding.xlsx"/>
  </hyperlinks>
  <printOptions horizontalCentered="1"/>
  <pageMargins left="0.5" right="0.5" top="1.5" bottom="0.5" header="1" footer="0.5"/>
  <pageSetup fitToHeight="2" orientation="landscape" scale="69" r:id="rId2"/>
  <headerFooter alignWithMargins="0">
    <oddHeader>&amp;RWP/II-B-9/&amp;A
Page &amp;P of &amp;N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6">
    <tabColor rgb="FF92D050"/>
    <pageSetUpPr fitToPage="1"/>
  </sheetPr>
  <dimension ref="A1:J26"/>
  <sheetViews>
    <sheetView workbookViewId="0" topLeftCell="A4">
      <selection pane="topLeft" activeCell="A4" sqref="A4"/>
    </sheetView>
  </sheetViews>
  <sheetFormatPr defaultColWidth="8.90428571428571" defaultRowHeight="12.75"/>
  <cols>
    <col min="1" max="1" width="9.85714285714286" style="586" customWidth="1"/>
    <col min="2" max="2" width="13.5714285714286" style="586" customWidth="1"/>
    <col min="3" max="3" width="21.4285714285714" style="586" customWidth="1"/>
    <col min="4" max="4" width="13.8571428571429" style="586" customWidth="1"/>
    <col min="5" max="5" width="10.1428571428571" style="586" bestFit="1" customWidth="1"/>
    <col min="6" max="6" width="13.8571428571429" style="586" customWidth="1"/>
    <col min="7" max="7" width="12.8571428571429" style="586" customWidth="1"/>
    <col min="8" max="8" width="13" style="586" customWidth="1"/>
    <col min="9" max="9" width="11" style="586" customWidth="1"/>
    <col min="10" max="10" width="15.8571428571429" style="586" bestFit="1" customWidth="1"/>
    <col min="11" max="16384" width="8.85714285714286" style="586"/>
  </cols>
  <sheetData>
    <row r="1" spans="1:1" s="594" customFormat="1" ht="13">
      <c r="A1" s="181" t="s">
        <v>530</v>
      </c>
    </row>
    <row r="2" spans="1:1" s="594" customFormat="1" ht="13">
      <c r="A2" s="629" t="s">
        <v>419</v>
      </c>
    </row>
    <row r="3" spans="1:1" s="594" customFormat="1" ht="13">
      <c r="A3" s="629" t="s">
        <v>458</v>
      </c>
    </row>
    <row r="4" spans="1:1" s="594" customFormat="1" ht="13">
      <c r="A4" s="817" t="s">
        <v>929</v>
      </c>
    </row>
    <row r="5" spans="1:1" s="594" customFormat="1" ht="13">
      <c r="A5" s="731" t="s">
        <v>524</v>
      </c>
    </row>
    <row r="6" spans="6:7" s="594" customFormat="1" ht="13">
      <c r="F6" s="823" t="s">
        <v>450</v>
      </c>
      <c r="G6" s="823"/>
    </row>
    <row r="7" spans="1:10" s="594" customFormat="1" ht="29.25" customHeight="1">
      <c r="A7" s="595" t="s">
        <v>45</v>
      </c>
      <c r="B7" s="595" t="s">
        <v>414</v>
      </c>
      <c r="C7" s="595" t="s">
        <v>421</v>
      </c>
      <c r="D7" s="595" t="s">
        <v>422</v>
      </c>
      <c r="E7" s="595" t="s">
        <v>413</v>
      </c>
      <c r="F7" s="620" t="s">
        <v>451</v>
      </c>
      <c r="G7" s="620" t="s">
        <v>452</v>
      </c>
      <c r="H7" s="620" t="s">
        <v>453</v>
      </c>
      <c r="I7" s="627" t="s">
        <v>457</v>
      </c>
      <c r="J7" s="620" t="s">
        <v>43</v>
      </c>
    </row>
    <row r="8" spans="2:10" s="587" customFormat="1" ht="12.5">
      <c r="B8" s="587" t="s">
        <v>55</v>
      </c>
      <c r="C8" s="587" t="s">
        <v>56</v>
      </c>
      <c r="D8" s="587" t="s">
        <v>62</v>
      </c>
      <c r="E8" s="587" t="s">
        <v>57</v>
      </c>
      <c r="F8" s="2" t="s">
        <v>58</v>
      </c>
      <c r="G8" s="2" t="s">
        <v>59</v>
      </c>
      <c r="H8" s="2" t="s">
        <v>60</v>
      </c>
      <c r="I8" s="2" t="s">
        <v>454</v>
      </c>
      <c r="J8" s="2" t="s">
        <v>455</v>
      </c>
    </row>
    <row r="9" spans="6:10" ht="12.5">
      <c r="F9"/>
      <c r="G9"/>
      <c r="H9"/>
      <c r="I9"/>
      <c r="J9"/>
    </row>
    <row r="10" spans="1:10" ht="12.5">
      <c r="A10" s="587">
        <v>1</v>
      </c>
      <c r="B10" s="588">
        <v>44106</v>
      </c>
      <c r="C10" s="588" t="s">
        <v>506</v>
      </c>
      <c r="D10" s="649">
        <v>2847053</v>
      </c>
      <c r="E10" s="599">
        <f t="shared" si="0" ref="E10:E21">+D10/$D$22</f>
        <v>0.083437679778183574</v>
      </c>
      <c r="F10" s="618">
        <v>44105</v>
      </c>
      <c r="G10" s="626">
        <v>44135</v>
      </c>
      <c r="H10" s="621">
        <f>AVERAGE(F10:G10)</f>
        <v>44120</v>
      </c>
      <c r="I10" s="619">
        <f>+H10-B10</f>
        <v>14</v>
      </c>
      <c r="J10" s="622">
        <f>+D10*I10</f>
        <v>39858742</v>
      </c>
    </row>
    <row r="11" spans="1:10" ht="12.5">
      <c r="A11" s="587">
        <f>A10+1</f>
        <v>2</v>
      </c>
      <c r="B11" s="588">
        <v>44141</v>
      </c>
      <c r="C11" s="588" t="s">
        <v>506</v>
      </c>
      <c r="D11" s="649">
        <v>2847053</v>
      </c>
      <c r="E11" s="599">
        <f t="shared" si="0"/>
        <v>0.083437679778183574</v>
      </c>
      <c r="F11" s="618">
        <v>44136</v>
      </c>
      <c r="G11" s="626">
        <v>44165</v>
      </c>
      <c r="H11" s="621">
        <f>AVERAGE(F11:G11)</f>
        <v>44150.5</v>
      </c>
      <c r="I11" s="619">
        <f>+H11-B11</f>
        <v>9.5</v>
      </c>
      <c r="J11" s="622">
        <f>+D11*I11</f>
        <v>27047003.5</v>
      </c>
    </row>
    <row r="12" spans="1:10" ht="12.5">
      <c r="A12" s="587">
        <f t="shared" si="1" ref="A12:A25">A11+1</f>
        <v>3</v>
      </c>
      <c r="B12" s="588">
        <v>44169</v>
      </c>
      <c r="C12" s="588" t="s">
        <v>506</v>
      </c>
      <c r="D12" s="649">
        <v>2847053.0000000005</v>
      </c>
      <c r="E12" s="599">
        <f t="shared" si="0"/>
        <v>0.083437679778183588</v>
      </c>
      <c r="F12" s="618">
        <v>44166</v>
      </c>
      <c r="G12" s="626">
        <v>44196</v>
      </c>
      <c r="H12" s="621">
        <f t="shared" si="2" ref="H12:H21">AVERAGE(F12:G12)</f>
        <v>44181</v>
      </c>
      <c r="I12" s="619">
        <f t="shared" si="3" ref="I12:I21">+H12-B12</f>
        <v>12</v>
      </c>
      <c r="J12" s="622">
        <f t="shared" si="4" ref="J12:J21">+D12*I12</f>
        <v>34164636.000000007</v>
      </c>
    </row>
    <row r="13" spans="1:10" ht="12.5">
      <c r="A13" s="587">
        <f t="shared" si="1"/>
        <v>4</v>
      </c>
      <c r="B13" s="588">
        <v>44203</v>
      </c>
      <c r="C13" s="588" t="s">
        <v>506</v>
      </c>
      <c r="D13" s="649">
        <v>2847053</v>
      </c>
      <c r="E13" s="599">
        <f t="shared" si="0"/>
        <v>0.083437679778183574</v>
      </c>
      <c r="F13" s="618">
        <v>44197</v>
      </c>
      <c r="G13" s="626">
        <v>44227</v>
      </c>
      <c r="H13" s="621">
        <f t="shared" si="2"/>
        <v>44212</v>
      </c>
      <c r="I13" s="619">
        <f t="shared" si="3"/>
        <v>9</v>
      </c>
      <c r="J13" s="622">
        <f t="shared" si="4"/>
        <v>25623477</v>
      </c>
    </row>
    <row r="14" spans="1:10" ht="12.5">
      <c r="A14" s="587">
        <f t="shared" si="1"/>
        <v>5</v>
      </c>
      <c r="B14" s="588">
        <v>44231</v>
      </c>
      <c r="C14" s="588" t="s">
        <v>506</v>
      </c>
      <c r="D14" s="649">
        <v>2847053</v>
      </c>
      <c r="E14" s="599">
        <f t="shared" si="0"/>
        <v>0.083437679778183574</v>
      </c>
      <c r="F14" s="618">
        <v>44228</v>
      </c>
      <c r="G14" s="752">
        <v>44255</v>
      </c>
      <c r="H14" s="621">
        <f t="shared" si="2"/>
        <v>44241.5</v>
      </c>
      <c r="I14" s="619">
        <f t="shared" si="3"/>
        <v>10.5</v>
      </c>
      <c r="J14" s="622">
        <f t="shared" si="4"/>
        <v>29894056.5</v>
      </c>
    </row>
    <row r="15" spans="1:10" ht="12.5">
      <c r="A15" s="587">
        <f t="shared" si="1"/>
        <v>6</v>
      </c>
      <c r="B15" s="588">
        <v>44260</v>
      </c>
      <c r="C15" s="588" t="s">
        <v>506</v>
      </c>
      <c r="D15" s="649">
        <v>2847053</v>
      </c>
      <c r="E15" s="599">
        <f t="shared" si="0"/>
        <v>0.083437679778183574</v>
      </c>
      <c r="F15" s="618">
        <v>44256</v>
      </c>
      <c r="G15" s="626">
        <v>44286</v>
      </c>
      <c r="H15" s="621">
        <f t="shared" si="2"/>
        <v>44271</v>
      </c>
      <c r="I15" s="619">
        <f t="shared" si="3"/>
        <v>11</v>
      </c>
      <c r="J15" s="622">
        <f t="shared" si="4"/>
        <v>31317583</v>
      </c>
    </row>
    <row r="16" spans="1:10" ht="12.5">
      <c r="A16" s="587">
        <f t="shared" si="1"/>
        <v>7</v>
      </c>
      <c r="B16" s="588">
        <v>44293</v>
      </c>
      <c r="C16" s="588" t="s">
        <v>506</v>
      </c>
      <c r="D16" s="649">
        <v>2839932</v>
      </c>
      <c r="E16" s="599">
        <f t="shared" si="0"/>
        <v>0.083228986888483084</v>
      </c>
      <c r="F16" s="618">
        <v>44287</v>
      </c>
      <c r="G16" s="626">
        <v>44316</v>
      </c>
      <c r="H16" s="621">
        <f t="shared" si="2"/>
        <v>44301.5</v>
      </c>
      <c r="I16" s="619">
        <f t="shared" si="3"/>
        <v>8.5</v>
      </c>
      <c r="J16" s="622">
        <f t="shared" si="4"/>
        <v>24139422</v>
      </c>
    </row>
    <row r="17" spans="1:10" ht="12.5">
      <c r="A17" s="587">
        <f t="shared" si="1"/>
        <v>8</v>
      </c>
      <c r="B17" s="588">
        <v>44322</v>
      </c>
      <c r="C17" s="588" t="s">
        <v>506</v>
      </c>
      <c r="D17" s="649">
        <v>2839932</v>
      </c>
      <c r="E17" s="599">
        <f t="shared" si="0"/>
        <v>0.083228986888483084</v>
      </c>
      <c r="F17" s="618">
        <v>44317</v>
      </c>
      <c r="G17" s="626">
        <v>44347</v>
      </c>
      <c r="H17" s="621">
        <f t="shared" si="2"/>
        <v>44332</v>
      </c>
      <c r="I17" s="619">
        <f t="shared" si="3"/>
        <v>10</v>
      </c>
      <c r="J17" s="622">
        <f t="shared" si="4"/>
        <v>28399320</v>
      </c>
    </row>
    <row r="18" spans="1:10" ht="12.5">
      <c r="A18" s="587">
        <f t="shared" si="1"/>
        <v>9</v>
      </c>
      <c r="B18" s="588">
        <v>44351</v>
      </c>
      <c r="C18" s="588" t="s">
        <v>506</v>
      </c>
      <c r="D18" s="649">
        <v>2839932</v>
      </c>
      <c r="E18" s="599">
        <f t="shared" si="0"/>
        <v>0.083228986888483084</v>
      </c>
      <c r="F18" s="618">
        <v>44348</v>
      </c>
      <c r="G18" s="626">
        <v>44377</v>
      </c>
      <c r="H18" s="621">
        <f t="shared" si="2"/>
        <v>44362.5</v>
      </c>
      <c r="I18" s="619">
        <f t="shared" si="3"/>
        <v>11.5</v>
      </c>
      <c r="J18" s="622">
        <f t="shared" si="4"/>
        <v>32659218</v>
      </c>
    </row>
    <row r="19" spans="1:10" ht="12.5">
      <c r="A19" s="587">
        <f t="shared" si="1"/>
        <v>10</v>
      </c>
      <c r="B19" s="588">
        <v>44383</v>
      </c>
      <c r="C19" s="588" t="s">
        <v>506</v>
      </c>
      <c r="D19" s="649">
        <v>2839932</v>
      </c>
      <c r="E19" s="599">
        <f t="shared" si="0"/>
        <v>0.083228986888483084</v>
      </c>
      <c r="F19" s="618">
        <v>44378</v>
      </c>
      <c r="G19" s="626">
        <v>44408</v>
      </c>
      <c r="H19" s="621">
        <f t="shared" si="2"/>
        <v>44393</v>
      </c>
      <c r="I19" s="619">
        <f t="shared" si="3"/>
        <v>10</v>
      </c>
      <c r="J19" s="622">
        <f t="shared" si="4"/>
        <v>28399320</v>
      </c>
    </row>
    <row r="20" spans="1:10" ht="12.5">
      <c r="A20" s="587">
        <f t="shared" si="1"/>
        <v>11</v>
      </c>
      <c r="B20" s="588">
        <v>44414</v>
      </c>
      <c r="C20" s="588" t="s">
        <v>506</v>
      </c>
      <c r="D20" s="649">
        <v>2839932</v>
      </c>
      <c r="E20" s="599">
        <f t="shared" si="0"/>
        <v>0.083228986888483084</v>
      </c>
      <c r="F20" s="618">
        <v>44409</v>
      </c>
      <c r="G20" s="626">
        <v>44439</v>
      </c>
      <c r="H20" s="621">
        <f t="shared" si="2"/>
        <v>44424</v>
      </c>
      <c r="I20" s="619">
        <f t="shared" si="3"/>
        <v>10</v>
      </c>
      <c r="J20" s="622">
        <f t="shared" si="4"/>
        <v>28399320</v>
      </c>
    </row>
    <row r="21" spans="1:10" ht="12.5">
      <c r="A21" s="587">
        <f t="shared" si="1"/>
        <v>12</v>
      </c>
      <c r="B21" s="588">
        <v>44442</v>
      </c>
      <c r="C21" s="588" t="s">
        <v>506</v>
      </c>
      <c r="D21" s="650">
        <v>2839932</v>
      </c>
      <c r="E21" s="683">
        <f t="shared" si="0"/>
        <v>0.083228986888483084</v>
      </c>
      <c r="F21" s="618">
        <v>44440</v>
      </c>
      <c r="G21" s="626">
        <v>44469</v>
      </c>
      <c r="H21" s="621">
        <f t="shared" si="2"/>
        <v>44454.5</v>
      </c>
      <c r="I21" s="619">
        <f t="shared" si="3"/>
        <v>12.5</v>
      </c>
      <c r="J21" s="651">
        <f t="shared" si="4"/>
        <v>35499150</v>
      </c>
    </row>
    <row r="22" spans="1:10" ht="29.25" customHeight="1">
      <c r="A22" s="587">
        <f>A21+1</f>
        <v>13</v>
      </c>
      <c r="B22" t="s">
        <v>456</v>
      </c>
      <c r="C22"/>
      <c r="D22" s="631">
        <f>SUM(D10:D21)</f>
        <v>34121910</v>
      </c>
      <c r="E22" s="632">
        <f>SUM(E10:E21)</f>
        <v>1.0000000000000002</v>
      </c>
      <c r="F22" s="1"/>
      <c r="G22" s="1"/>
      <c r="H22" s="1"/>
      <c r="I22" s="46"/>
      <c r="J22" s="631">
        <f>SUM(J10:J21)</f>
        <v>365401248</v>
      </c>
    </row>
    <row r="23" spans="1:10" ht="29.25" customHeight="1">
      <c r="A23" s="587">
        <f t="shared" si="1"/>
        <v>14</v>
      </c>
      <c r="B23" s="674" t="s">
        <v>509</v>
      </c>
      <c r="C23"/>
      <c r="D23" s="616"/>
      <c r="E23" s="617"/>
      <c r="F23"/>
      <c r="G23"/>
      <c r="H23"/>
      <c r="I23" s="28">
        <f>+J22/D22</f>
        <v>10.708698545890309</v>
      </c>
      <c r="J23" s="616"/>
    </row>
    <row r="24" spans="1:9" ht="15" customHeight="1">
      <c r="A24" s="587">
        <f t="shared" si="1"/>
        <v>15</v>
      </c>
      <c r="D24" s="590"/>
      <c r="I24" s="592"/>
    </row>
    <row r="25" spans="1:9" ht="15" customHeight="1">
      <c r="A25" s="587">
        <f t="shared" si="1"/>
        <v>16</v>
      </c>
      <c r="B25" s="586" t="s">
        <v>256</v>
      </c>
      <c r="C25" s="293" t="s">
        <v>459</v>
      </c>
      <c r="D25" s="590"/>
      <c r="I25" s="592"/>
    </row>
    <row r="26" spans="4:9" ht="15" customHeight="1">
      <c r="D26" s="590"/>
      <c r="I26" s="592"/>
    </row>
  </sheetData>
  <mergeCells count="1">
    <mergeCell ref="F6:G6"/>
  </mergeCells>
  <hyperlinks>
    <hyperlink ref="C25" r:id="rId1" display="Pension and OPEB Funding.xlsx"/>
  </hyperlinks>
  <printOptions horizontalCentered="1"/>
  <pageMargins left="0.5" right="0.5" top="1.5" bottom="0.5" header="1" footer="0.5"/>
  <pageSetup orientation="landscape" scale="96" r:id="rId2"/>
  <headerFooter alignWithMargins="0">
    <oddHeader>&amp;RWP/II-B-9/&amp;A
Page &amp;P of &amp;N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8">
    <tabColor rgb="FF92D050"/>
    <pageSetUpPr fitToPage="1"/>
  </sheetPr>
  <dimension ref="A1:I26"/>
  <sheetViews>
    <sheetView showGridLines="0" workbookViewId="0" topLeftCell="A1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27.8571428571429" style="1" customWidth="1"/>
    <col min="3" max="3" width="18" style="1" bestFit="1" customWidth="1"/>
    <col min="4" max="4" width="11.8571428571429" style="1" customWidth="1"/>
    <col min="5" max="5" width="13.8571428571429" style="1" customWidth="1"/>
    <col min="6" max="6" width="12.4285714285714" style="1" customWidth="1"/>
    <col min="7" max="7" width="9.14285714285714" style="1"/>
    <col min="8" max="8" width="26" style="1" bestFit="1" customWidth="1"/>
    <col min="9" max="9" width="10.1428571428571" style="1" bestFit="1" customWidth="1"/>
    <col min="10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6" s="42" customFormat="1" ht="13">
      <c r="A3" s="824" t="s">
        <v>277</v>
      </c>
      <c r="B3" s="824"/>
      <c r="C3" s="824"/>
      <c r="D3" s="824"/>
      <c r="E3" s="824"/>
      <c r="F3" s="824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4"/>
      <c r="C5" s="181"/>
      <c r="D5" s="181"/>
      <c r="E5" s="181"/>
    </row>
    <row r="6" spans="2:2" ht="12.5">
      <c r="B6" s="31"/>
    </row>
    <row r="7" spans="1:6" ht="13">
      <c r="A7" s="26"/>
      <c r="B7" s="193"/>
      <c r="C7" s="22"/>
      <c r="D7" s="22"/>
      <c r="E7" s="22" t="s">
        <v>110</v>
      </c>
      <c r="F7" s="22"/>
    </row>
    <row r="8" spans="1:6" ht="13">
      <c r="A8" s="6" t="s">
        <v>40</v>
      </c>
      <c r="B8" s="194" t="s">
        <v>488</v>
      </c>
      <c r="C8" s="6"/>
      <c r="D8" s="22" t="s">
        <v>46</v>
      </c>
      <c r="E8" s="6" t="s">
        <v>111</v>
      </c>
      <c r="F8" s="6" t="s">
        <v>112</v>
      </c>
    </row>
    <row r="9" spans="1:6" ht="13">
      <c r="A9" s="57" t="s">
        <v>41</v>
      </c>
      <c r="B9" s="195" t="s">
        <v>265</v>
      </c>
      <c r="C9" s="57" t="s">
        <v>114</v>
      </c>
      <c r="D9" s="195" t="s">
        <v>116</v>
      </c>
      <c r="E9" s="57" t="s">
        <v>115</v>
      </c>
      <c r="F9" s="57" t="s">
        <v>116</v>
      </c>
    </row>
    <row r="10" spans="2:6" ht="12.5">
      <c r="B10" s="196" t="s">
        <v>55</v>
      </c>
      <c r="C10" s="8" t="s">
        <v>56</v>
      </c>
      <c r="D10" s="8" t="s">
        <v>62</v>
      </c>
      <c r="E10" s="8" t="s">
        <v>57</v>
      </c>
      <c r="F10" s="8" t="s">
        <v>58</v>
      </c>
    </row>
    <row r="11" spans="2:6" ht="12.5">
      <c r="B11" s="196"/>
      <c r="C11" s="8"/>
      <c r="D11" s="8"/>
      <c r="E11" s="8"/>
      <c r="F11" s="8"/>
    </row>
    <row r="12" spans="1:9" ht="12.5">
      <c r="A12" s="3">
        <v>1</v>
      </c>
      <c r="B12" s="560">
        <v>44180</v>
      </c>
      <c r="C12" s="442">
        <f>DATE(2020,1,1)+(Year/2)</f>
        <v>44013.5</v>
      </c>
      <c r="D12" s="240">
        <f>C12-B12</f>
        <v>-166.5</v>
      </c>
      <c r="E12" s="238">
        <v>0.25</v>
      </c>
      <c r="F12" s="374">
        <f>D12*E12</f>
        <v>-41.625</v>
      </c>
      <c r="H12" s="294"/>
      <c r="I12" s="14"/>
    </row>
    <row r="13" spans="1:6" ht="12.5">
      <c r="A13" s="3">
        <f>A12+1</f>
        <v>2</v>
      </c>
      <c r="B13" s="560"/>
      <c r="C13" s="443"/>
      <c r="D13" s="240"/>
      <c r="E13" s="239"/>
      <c r="F13" s="374"/>
    </row>
    <row r="14" spans="1:9" ht="12.5">
      <c r="A14" s="3">
        <f t="shared" si="0" ref="A14:A24">A13+1</f>
        <v>3</v>
      </c>
      <c r="B14" s="560">
        <v>44301</v>
      </c>
      <c r="C14" s="442">
        <f>DATE(2021,1,1)+(Year/2)</f>
        <v>44379.5</v>
      </c>
      <c r="D14" s="240">
        <f>C14-B14</f>
        <v>78.5</v>
      </c>
      <c r="E14" s="238">
        <v>0.25</v>
      </c>
      <c r="F14" s="374">
        <f>D14*E14</f>
        <v>19.625</v>
      </c>
      <c r="H14" s="294"/>
      <c r="I14" s="14"/>
    </row>
    <row r="15" spans="1:6" ht="12.5">
      <c r="A15" s="3">
        <f t="shared" si="0"/>
        <v>4</v>
      </c>
      <c r="B15" s="560"/>
      <c r="C15" s="443"/>
      <c r="D15" s="240"/>
      <c r="E15" s="239"/>
      <c r="F15" s="374"/>
    </row>
    <row r="16" spans="1:9" ht="12.5">
      <c r="A16" s="3">
        <f t="shared" si="0"/>
        <v>5</v>
      </c>
      <c r="B16" s="560">
        <v>44362</v>
      </c>
      <c r="C16" s="442">
        <f>+C14</f>
        <v>44379.5</v>
      </c>
      <c r="D16" s="240">
        <f>C16-B16</f>
        <v>17.5</v>
      </c>
      <c r="E16" s="238">
        <v>0.25</v>
      </c>
      <c r="F16" s="374">
        <f>D16*E16</f>
        <v>4.375</v>
      </c>
      <c r="H16" s="294"/>
      <c r="I16" s="14"/>
    </row>
    <row r="17" spans="1:6" ht="12.5">
      <c r="A17" s="3">
        <f t="shared" si="0"/>
        <v>6</v>
      </c>
      <c r="B17" s="560"/>
      <c r="C17" s="442"/>
      <c r="D17" s="240"/>
      <c r="E17" s="239"/>
      <c r="F17" s="374"/>
    </row>
    <row r="18" spans="1:9" ht="12.5">
      <c r="A18" s="3">
        <f t="shared" si="0"/>
        <v>7</v>
      </c>
      <c r="B18" s="560">
        <v>44454</v>
      </c>
      <c r="C18" s="442">
        <f>C16</f>
        <v>44379.5</v>
      </c>
      <c r="D18" s="240">
        <f>C18-B18</f>
        <v>-74.5</v>
      </c>
      <c r="E18" s="238">
        <v>0.25</v>
      </c>
      <c r="F18" s="375">
        <f>D18*E18</f>
        <v>-18.625</v>
      </c>
      <c r="H18" s="294"/>
      <c r="I18" s="14"/>
    </row>
    <row r="19" spans="1:6" ht="12.5">
      <c r="A19" s="3">
        <f t="shared" si="0"/>
        <v>8</v>
      </c>
      <c r="D19" s="84"/>
      <c r="F19" s="374"/>
    </row>
    <row r="20" spans="1:6" ht="13" thickBot="1">
      <c r="A20" s="3">
        <f t="shared" si="0"/>
        <v>9</v>
      </c>
      <c r="B20" s="3" t="s">
        <v>26</v>
      </c>
      <c r="D20" s="84"/>
      <c r="F20" s="376">
        <f>ROUND(SUM(F12:F18),2)</f>
        <v>-36.25</v>
      </c>
    </row>
    <row r="21" spans="1:6" ht="13" thickTop="1">
      <c r="A21" s="3">
        <f t="shared" si="0"/>
        <v>10</v>
      </c>
      <c r="F21" s="84"/>
    </row>
    <row r="22" spans="1:4" ht="12.5">
      <c r="A22" s="3">
        <f t="shared" si="0"/>
        <v>11</v>
      </c>
      <c r="B22" s="61"/>
      <c r="C22" s="14"/>
      <c r="D22" s="4"/>
    </row>
    <row r="23" spans="1:1" ht="12.5">
      <c r="A23" s="3">
        <f t="shared" si="0"/>
        <v>12</v>
      </c>
    </row>
    <row r="24" spans="1:3" ht="12.5">
      <c r="A24" s="3">
        <f t="shared" si="0"/>
        <v>13</v>
      </c>
      <c r="B24" s="9" t="s">
        <v>417</v>
      </c>
      <c r="C24" s="293" t="s">
        <v>418</v>
      </c>
    </row>
    <row r="25" spans="2:3" ht="15.5">
      <c r="B25" s="59"/>
      <c r="C25" s="60"/>
    </row>
    <row r="26" spans="3:3" ht="15.5">
      <c r="C26" s="291"/>
    </row>
  </sheetData>
  <mergeCells count="1">
    <mergeCell ref="A3:F3"/>
  </mergeCells>
  <hyperlinks>
    <hyperlink ref="C24" r:id="rId1" display="FIT Payment Dates.pdf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9">
    <tabColor rgb="FF92D050"/>
    <pageSetUpPr fitToPage="1"/>
  </sheetPr>
  <dimension ref="A1:I20"/>
  <sheetViews>
    <sheetView showGridLines="0" workbookViewId="0" topLeftCell="A4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32.4285714285714" style="1" customWidth="1"/>
    <col min="3" max="3" width="17.1428571428571" style="1" customWidth="1"/>
    <col min="4" max="4" width="11" style="1" customWidth="1"/>
    <col min="5" max="5" width="21.4285714285714" style="1" customWidth="1"/>
    <col min="6" max="6" width="20" style="1" customWidth="1"/>
    <col min="7" max="7" width="2" style="1" customWidth="1"/>
    <col min="8" max="9" width="9.57142857142857" style="1" bestFit="1" customWidth="1"/>
    <col min="10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5" s="42" customFormat="1" ht="13">
      <c r="A3" s="181" t="s">
        <v>282</v>
      </c>
      <c r="B3" s="181"/>
      <c r="C3" s="181"/>
      <c r="D3" s="181"/>
      <c r="E3" s="181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1"/>
      <c r="C5" s="181"/>
      <c r="D5" s="181"/>
      <c r="E5" s="181"/>
    </row>
    <row r="6" spans="1:3" ht="12.5">
      <c r="A6" s="31"/>
      <c r="B6" s="31"/>
      <c r="C6" s="31"/>
    </row>
    <row r="7" spans="1:6" ht="13">
      <c r="A7" s="188"/>
      <c r="B7" s="192"/>
      <c r="C7" s="193"/>
      <c r="D7" s="22"/>
      <c r="E7" s="22" t="s">
        <v>112</v>
      </c>
      <c r="F7" s="26"/>
    </row>
    <row r="8" spans="1:5" ht="13">
      <c r="A8" s="194" t="s">
        <v>40</v>
      </c>
      <c r="B8" s="58"/>
      <c r="C8" s="194"/>
      <c r="D8" s="6" t="s">
        <v>46</v>
      </c>
      <c r="E8" s="6" t="s">
        <v>86</v>
      </c>
    </row>
    <row r="9" spans="1:6" ht="13">
      <c r="A9" s="195" t="s">
        <v>41</v>
      </c>
      <c r="B9" s="195" t="s">
        <v>23</v>
      </c>
      <c r="C9" s="195" t="s">
        <v>24</v>
      </c>
      <c r="D9" s="57" t="s">
        <v>116</v>
      </c>
      <c r="E9" s="57" t="s">
        <v>116</v>
      </c>
      <c r="F9" s="57" t="s">
        <v>25</v>
      </c>
    </row>
    <row r="10" spans="1:6" ht="12.5">
      <c r="A10" s="31"/>
      <c r="B10" s="196" t="s">
        <v>55</v>
      </c>
      <c r="C10" s="196" t="s">
        <v>56</v>
      </c>
      <c r="D10" s="8" t="s">
        <v>62</v>
      </c>
      <c r="E10" s="8" t="s">
        <v>57</v>
      </c>
      <c r="F10" s="8" t="s">
        <v>58</v>
      </c>
    </row>
    <row r="11" spans="1:6" ht="12.5">
      <c r="A11" s="31"/>
      <c r="B11" s="196"/>
      <c r="C11" s="196"/>
      <c r="D11" s="8"/>
      <c r="E11" s="8"/>
      <c r="F11" s="8"/>
    </row>
    <row r="12" spans="1:7" ht="12.5">
      <c r="A12" s="91">
        <v>1</v>
      </c>
      <c r="B12" s="31" t="s">
        <v>122</v>
      </c>
      <c r="C12" s="377">
        <f>'8-1'!C104</f>
        <v>34752384.059999995</v>
      </c>
      <c r="D12" s="633">
        <f>'8-1'!E104</f>
        <v>-12.1</v>
      </c>
      <c r="E12" s="378">
        <f>'8-1'!F104</f>
        <v>-420503847.12599993</v>
      </c>
      <c r="F12" s="187" t="s">
        <v>384</v>
      </c>
      <c r="G12" s="11"/>
    </row>
    <row r="13" spans="1:7" ht="12.5">
      <c r="A13" s="91">
        <f>A12+1</f>
        <v>2</v>
      </c>
      <c r="B13" s="31"/>
      <c r="C13" s="279"/>
      <c r="D13" s="172"/>
      <c r="E13" s="279"/>
      <c r="F13" s="18"/>
      <c r="G13" s="11"/>
    </row>
    <row r="14" spans="1:9" ht="12.5">
      <c r="A14" s="91">
        <f>A13+1</f>
        <v>3</v>
      </c>
      <c r="B14" s="31" t="s">
        <v>96</v>
      </c>
      <c r="C14" s="280">
        <f>'8-2'!E96</f>
        <v>646617.87000000011</v>
      </c>
      <c r="D14" s="634">
        <f>+'8-2'!K96</f>
        <v>12.26</v>
      </c>
      <c r="E14" s="582">
        <f>+'8-2'!L96</f>
        <v>7926162.584999999</v>
      </c>
      <c r="F14" s="187" t="s">
        <v>385</v>
      </c>
      <c r="G14" s="11"/>
      <c r="H14" s="50"/>
      <c r="I14" s="50"/>
    </row>
    <row r="15" spans="1:9" ht="12.5">
      <c r="A15" s="91">
        <f>A14+1</f>
        <v>4</v>
      </c>
      <c r="B15" s="31"/>
      <c r="C15" s="279"/>
      <c r="D15" s="172"/>
      <c r="E15" s="279"/>
      <c r="F15" s="18"/>
      <c r="G15" s="11"/>
      <c r="H15" s="50"/>
      <c r="I15" s="50"/>
    </row>
    <row r="16" spans="1:9" ht="13" thickBot="1">
      <c r="A16" s="91">
        <f>A15+1</f>
        <v>5</v>
      </c>
      <c r="B16" s="31" t="s">
        <v>287</v>
      </c>
      <c r="C16" s="379">
        <f>SUM(C12:C14)</f>
        <v>35399001.929999992</v>
      </c>
      <c r="D16" s="635">
        <f>ROUND(E16/C16,2)</f>
        <v>-11.66</v>
      </c>
      <c r="E16" s="379">
        <f>SUM(E12:E14)</f>
        <v>-412577684.54099995</v>
      </c>
      <c r="F16" s="18"/>
      <c r="G16" s="11"/>
      <c r="H16" s="50"/>
      <c r="I16" s="50"/>
    </row>
    <row r="17" spans="1:9" ht="13" thickTop="1">
      <c r="A17" s="91"/>
      <c r="B17" s="31"/>
      <c r="C17" s="278"/>
      <c r="D17" s="4"/>
      <c r="E17" s="278"/>
      <c r="F17" s="18"/>
      <c r="G17" s="11"/>
      <c r="H17" s="50"/>
      <c r="I17" s="50"/>
    </row>
    <row r="18" spans="1:4" ht="12.5">
      <c r="A18" s="3"/>
      <c r="C18" s="15"/>
      <c r="D18" s="4"/>
    </row>
    <row r="19" spans="1:8" ht="12.5">
      <c r="A19" s="3"/>
      <c r="C19" s="15"/>
      <c r="E19" s="15"/>
      <c r="H19" s="17"/>
    </row>
    <row r="20" spans="1:1" ht="12.5">
      <c r="A20" s="3"/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2">
    <tabColor rgb="FF92D050"/>
    <pageSetUpPr fitToPage="1"/>
  </sheetPr>
  <dimension ref="A1:G106"/>
  <sheetViews>
    <sheetView showGridLines="0" workbookViewId="0" topLeftCell="A1">
      <selection pane="topLeft" activeCell="A4" sqref="A4"/>
    </sheetView>
  </sheetViews>
  <sheetFormatPr defaultColWidth="9.09428571428571" defaultRowHeight="12.75"/>
  <cols>
    <col min="1" max="1" width="5.57142857142857" style="3" customWidth="1"/>
    <col min="2" max="2" width="29.4285714285714" style="1" customWidth="1"/>
    <col min="3" max="3" width="16.8571428571429" style="1" customWidth="1"/>
    <col min="4" max="4" width="12.1428571428571" style="1" customWidth="1"/>
    <col min="5" max="5" width="12.5714285714286" style="1" bestFit="1" customWidth="1"/>
    <col min="6" max="6" width="18.5714285714286" style="1" bestFit="1" customWidth="1"/>
    <col min="7" max="16384" width="9.14285714285714" style="1"/>
  </cols>
  <sheetData>
    <row r="1" spans="1:6" s="42" customFormat="1" ht="13">
      <c r="A1" s="181" t="s">
        <v>530</v>
      </c>
      <c r="B1" s="181"/>
      <c r="C1" s="181"/>
      <c r="D1" s="181"/>
      <c r="E1" s="181"/>
      <c r="F1" s="301"/>
    </row>
    <row r="2" spans="1:6" s="42" customFormat="1" ht="13">
      <c r="A2" s="181" t="str">
        <f>' '!A2</f>
        <v>ONCOR ELECTRIC DELIVERY COMPANY LLC</v>
      </c>
      <c r="B2" s="181"/>
      <c r="C2" s="181"/>
      <c r="D2" s="181"/>
      <c r="E2" s="181"/>
      <c r="F2" s="301"/>
    </row>
    <row r="3" spans="1:6" s="42" customFormat="1" ht="13">
      <c r="A3" s="824" t="s">
        <v>280</v>
      </c>
      <c r="B3" s="824"/>
      <c r="C3" s="824"/>
      <c r="D3" s="824"/>
      <c r="E3" s="824"/>
      <c r="F3" s="824"/>
    </row>
    <row r="4" spans="1:6" s="42" customFormat="1" ht="13">
      <c r="A4" s="817" t="s">
        <v>929</v>
      </c>
      <c r="B4" s="181"/>
      <c r="C4" s="181"/>
      <c r="D4" s="181"/>
      <c r="E4" s="181"/>
      <c r="F4" s="301"/>
    </row>
    <row r="5" spans="1:6" s="42" customFormat="1" ht="13">
      <c r="A5" s="181" t="s">
        <v>524</v>
      </c>
      <c r="B5" s="181"/>
      <c r="C5" s="181"/>
      <c r="D5" s="181"/>
      <c r="E5" s="181"/>
      <c r="F5" s="301"/>
    </row>
    <row r="6" spans="1:6" ht="12.5">
      <c r="A6" s="16"/>
      <c r="B6" s="16"/>
      <c r="C6" s="16"/>
      <c r="D6" s="16"/>
      <c r="E6" s="16"/>
      <c r="F6" s="16"/>
    </row>
    <row r="7" spans="1:7" ht="13">
      <c r="A7" s="22" t="s">
        <v>40</v>
      </c>
      <c r="B7" s="22" t="s">
        <v>39</v>
      </c>
      <c r="C7" s="22" t="s">
        <v>87</v>
      </c>
      <c r="D7" s="22" t="s">
        <v>88</v>
      </c>
      <c r="E7" s="25"/>
      <c r="F7" s="27" t="s">
        <v>112</v>
      </c>
      <c r="G7" s="15"/>
    </row>
    <row r="8" spans="1:7" ht="13">
      <c r="A8" s="57" t="s">
        <v>41</v>
      </c>
      <c r="B8" s="57" t="s">
        <v>89</v>
      </c>
      <c r="C8" s="57" t="s">
        <v>24</v>
      </c>
      <c r="D8" s="57" t="s">
        <v>113</v>
      </c>
      <c r="E8" s="62" t="s">
        <v>46</v>
      </c>
      <c r="F8" s="63" t="s">
        <v>90</v>
      </c>
      <c r="G8" s="15"/>
    </row>
    <row r="9" spans="2:7" ht="12.5">
      <c r="B9" s="8" t="s">
        <v>55</v>
      </c>
      <c r="C9" s="8" t="s">
        <v>56</v>
      </c>
      <c r="D9" s="8" t="s">
        <v>62</v>
      </c>
      <c r="E9" s="8" t="s">
        <v>57</v>
      </c>
      <c r="F9" s="8" t="s">
        <v>58</v>
      </c>
      <c r="G9" s="15"/>
    </row>
    <row r="10" spans="2:7" ht="12.5">
      <c r="B10" s="8"/>
      <c r="C10" s="8"/>
      <c r="D10" s="8"/>
      <c r="E10" s="8"/>
      <c r="F10" s="8"/>
      <c r="G10" s="15"/>
    </row>
    <row r="11" spans="1:7" ht="12.5">
      <c r="A11" s="3">
        <v>1</v>
      </c>
      <c r="B11" s="444">
        <v>44112</v>
      </c>
      <c r="C11" s="179">
        <v>44810.410000000003</v>
      </c>
      <c r="D11" s="444">
        <v>44112</v>
      </c>
      <c r="E11" s="380">
        <f>IF(C11=0,0,-(D11-B11))</f>
        <v>0</v>
      </c>
      <c r="F11" s="75">
        <f>C11*E11</f>
        <v>0</v>
      </c>
      <c r="G11" s="15"/>
    </row>
    <row r="12" spans="1:7" ht="12.5">
      <c r="A12" s="3">
        <f>A11+1</f>
        <v>2</v>
      </c>
      <c r="B12" s="444">
        <v>44117</v>
      </c>
      <c r="C12" s="179">
        <v>-5.0099999999999998</v>
      </c>
      <c r="D12" s="444">
        <v>44117</v>
      </c>
      <c r="E12" s="380">
        <f t="shared" si="0" ref="E12:E75">IF(C12=0,0,-(D12-B12))</f>
        <v>0</v>
      </c>
      <c r="F12" s="29">
        <f t="shared" si="1" ref="F12:F75">C12*E12</f>
        <v>0</v>
      </c>
      <c r="G12" s="15"/>
    </row>
    <row r="13" spans="1:7" ht="12.5">
      <c r="A13" s="3">
        <f t="shared" si="2" ref="A13:A76">A12+1</f>
        <v>3</v>
      </c>
      <c r="B13" s="444">
        <v>44126</v>
      </c>
      <c r="C13" s="179">
        <v>44575.839999999997</v>
      </c>
      <c r="D13" s="444">
        <v>44126</v>
      </c>
      <c r="E13" s="380">
        <f t="shared" si="0"/>
        <v>0</v>
      </c>
      <c r="F13" s="29">
        <f t="shared" si="1"/>
        <v>0</v>
      </c>
      <c r="G13" s="15"/>
    </row>
    <row r="14" spans="1:7" ht="12.5">
      <c r="A14" s="3">
        <f t="shared" si="2"/>
        <v>4</v>
      </c>
      <c r="B14" s="444">
        <v>44118</v>
      </c>
      <c r="C14" s="179">
        <v>166224.01999999999</v>
      </c>
      <c r="D14" s="444">
        <v>44118</v>
      </c>
      <c r="E14" s="380">
        <f t="shared" si="0"/>
        <v>0</v>
      </c>
      <c r="F14" s="29">
        <f t="shared" si="1"/>
        <v>0</v>
      </c>
      <c r="G14" s="15"/>
    </row>
    <row r="15" spans="1:7" ht="12.5">
      <c r="A15" s="3">
        <f t="shared" si="2"/>
        <v>5</v>
      </c>
      <c r="B15" s="444">
        <v>44125</v>
      </c>
      <c r="C15" s="179">
        <v>172.37000000000001</v>
      </c>
      <c r="D15" s="444">
        <v>44125</v>
      </c>
      <c r="E15" s="380">
        <f t="shared" si="0"/>
        <v>0</v>
      </c>
      <c r="F15" s="29">
        <f t="shared" si="1"/>
        <v>0</v>
      </c>
      <c r="G15" s="15"/>
    </row>
    <row r="16" spans="1:7" ht="12.5">
      <c r="A16" s="3">
        <f t="shared" si="2"/>
        <v>6</v>
      </c>
      <c r="B16" s="444">
        <v>44132</v>
      </c>
      <c r="C16" s="179">
        <v>6479.5500000000002</v>
      </c>
      <c r="D16" s="444">
        <v>44132</v>
      </c>
      <c r="E16" s="380">
        <f t="shared" si="0"/>
        <v>0</v>
      </c>
      <c r="F16" s="29">
        <f t="shared" si="1"/>
        <v>0</v>
      </c>
      <c r="G16" s="15"/>
    </row>
    <row r="17" spans="1:7" ht="12.5">
      <c r="A17" s="3">
        <f t="shared" si="2"/>
        <v>7</v>
      </c>
      <c r="B17" s="444">
        <v>44133</v>
      </c>
      <c r="C17" s="179">
        <v>162027.34</v>
      </c>
      <c r="D17" s="444">
        <v>44133</v>
      </c>
      <c r="E17" s="380">
        <f t="shared" si="0"/>
        <v>0</v>
      </c>
      <c r="F17" s="29">
        <f t="shared" si="1"/>
        <v>0</v>
      </c>
      <c r="G17" s="15"/>
    </row>
    <row r="18" spans="1:7" ht="12.5">
      <c r="A18" s="3">
        <f t="shared" si="2"/>
        <v>8</v>
      </c>
      <c r="B18" s="444">
        <v>44140</v>
      </c>
      <c r="C18" s="179">
        <v>50040.029999999999</v>
      </c>
      <c r="D18" s="444">
        <v>44140</v>
      </c>
      <c r="E18" s="380">
        <f t="shared" si="0"/>
        <v>0</v>
      </c>
      <c r="F18" s="29">
        <f t="shared" si="1"/>
        <v>0</v>
      </c>
      <c r="G18" s="15"/>
    </row>
    <row r="19" spans="1:7" ht="12.5">
      <c r="A19" s="3">
        <f t="shared" si="2"/>
        <v>9</v>
      </c>
      <c r="B19" s="444">
        <v>44147</v>
      </c>
      <c r="C19" s="179">
        <v>168585.54999999999</v>
      </c>
      <c r="D19" s="444">
        <v>44147</v>
      </c>
      <c r="E19" s="380">
        <f t="shared" si="0"/>
        <v>0</v>
      </c>
      <c r="F19" s="29">
        <f t="shared" si="1"/>
        <v>0</v>
      </c>
      <c r="G19" s="15"/>
    </row>
    <row r="20" spans="1:7" ht="12.5">
      <c r="A20" s="3">
        <f t="shared" si="2"/>
        <v>10</v>
      </c>
      <c r="B20" s="444">
        <v>44153</v>
      </c>
      <c r="C20" s="179">
        <v>699.47000000000003</v>
      </c>
      <c r="D20" s="444">
        <v>44153</v>
      </c>
      <c r="E20" s="380">
        <f t="shared" si="0"/>
        <v>0</v>
      </c>
      <c r="F20" s="29">
        <f t="shared" si="1"/>
        <v>0</v>
      </c>
      <c r="G20" s="15"/>
    </row>
    <row r="21" spans="1:7" ht="12.5">
      <c r="A21" s="3">
        <f t="shared" si="2"/>
        <v>11</v>
      </c>
      <c r="B21" s="444">
        <v>44154</v>
      </c>
      <c r="C21" s="179">
        <v>44737.360000000001</v>
      </c>
      <c r="D21" s="444">
        <v>44154</v>
      </c>
      <c r="E21" s="380">
        <f t="shared" si="0"/>
        <v>0</v>
      </c>
      <c r="F21" s="29">
        <f t="shared" si="1"/>
        <v>0</v>
      </c>
      <c r="G21" s="15"/>
    </row>
    <row r="22" spans="1:7" ht="12.5">
      <c r="A22" s="3">
        <f t="shared" si="2"/>
        <v>12</v>
      </c>
      <c r="B22" s="444">
        <v>44160</v>
      </c>
      <c r="C22" s="179">
        <v>159413.51000000001</v>
      </c>
      <c r="D22" s="444">
        <v>44160</v>
      </c>
      <c r="E22" s="380">
        <f t="shared" si="0"/>
        <v>0</v>
      </c>
      <c r="F22" s="29">
        <f t="shared" si="1"/>
        <v>0</v>
      </c>
      <c r="G22" s="15"/>
    </row>
    <row r="23" spans="1:7" ht="12.5">
      <c r="A23" s="3">
        <f t="shared" si="2"/>
        <v>13</v>
      </c>
      <c r="B23" s="444">
        <v>44168</v>
      </c>
      <c r="C23" s="179">
        <v>47510.529999999999</v>
      </c>
      <c r="D23" s="444">
        <v>44168</v>
      </c>
      <c r="E23" s="380">
        <f t="shared" si="0"/>
        <v>0</v>
      </c>
      <c r="F23" s="29">
        <f t="shared" si="1"/>
        <v>0</v>
      </c>
      <c r="G23" s="15"/>
    </row>
    <row r="24" spans="1:7" ht="12.5">
      <c r="A24" s="3">
        <f t="shared" si="2"/>
        <v>14</v>
      </c>
      <c r="B24" s="444">
        <v>44182</v>
      </c>
      <c r="C24" s="179">
        <v>47124.589999999997</v>
      </c>
      <c r="D24" s="444">
        <v>44182</v>
      </c>
      <c r="E24" s="380">
        <f t="shared" si="0"/>
        <v>0</v>
      </c>
      <c r="F24" s="29">
        <f t="shared" si="1"/>
        <v>0</v>
      </c>
      <c r="G24" s="15"/>
    </row>
    <row r="25" spans="1:7" ht="12.5">
      <c r="A25" s="3">
        <f t="shared" si="2"/>
        <v>15</v>
      </c>
      <c r="B25" s="444">
        <v>44179</v>
      </c>
      <c r="C25" s="179">
        <v>177873.84</v>
      </c>
      <c r="D25" s="444">
        <v>44179</v>
      </c>
      <c r="E25" s="380">
        <f t="shared" si="0"/>
        <v>0</v>
      </c>
      <c r="F25" s="29">
        <f t="shared" si="1"/>
        <v>0</v>
      </c>
      <c r="G25" s="15"/>
    </row>
    <row r="26" spans="1:7" ht="12.5">
      <c r="A26" s="3">
        <f t="shared" si="2"/>
        <v>16</v>
      </c>
      <c r="B26" s="444">
        <v>44188</v>
      </c>
      <c r="C26" s="179">
        <v>236.86000000000001</v>
      </c>
      <c r="D26" s="444">
        <v>44188</v>
      </c>
      <c r="E26" s="380">
        <f t="shared" si="0"/>
        <v>0</v>
      </c>
      <c r="F26" s="29">
        <f t="shared" si="1"/>
        <v>0</v>
      </c>
      <c r="G26" s="15"/>
    </row>
    <row r="27" spans="1:7" ht="12.5">
      <c r="A27" s="3">
        <f t="shared" si="2"/>
        <v>17</v>
      </c>
      <c r="B27" s="444">
        <v>44189</v>
      </c>
      <c r="C27" s="179">
        <v>3565.9400000000001</v>
      </c>
      <c r="D27" s="444">
        <v>44189</v>
      </c>
      <c r="E27" s="380">
        <f t="shared" si="0"/>
        <v>0</v>
      </c>
      <c r="F27" s="29">
        <f t="shared" si="1"/>
        <v>0</v>
      </c>
      <c r="G27" s="15"/>
    </row>
    <row r="28" spans="1:7" ht="12.5">
      <c r="A28" s="3">
        <f t="shared" si="2"/>
        <v>18</v>
      </c>
      <c r="B28" s="444">
        <v>44193</v>
      </c>
      <c r="C28" s="179">
        <v>354.36000000000001</v>
      </c>
      <c r="D28" s="444">
        <v>44193</v>
      </c>
      <c r="E28" s="380">
        <f t="shared" si="0"/>
        <v>0</v>
      </c>
      <c r="F28" s="29">
        <f t="shared" si="1"/>
        <v>0</v>
      </c>
      <c r="G28" s="15"/>
    </row>
    <row r="29" spans="1:7" ht="12.5">
      <c r="A29" s="3">
        <f t="shared" si="2"/>
        <v>19</v>
      </c>
      <c r="B29" s="444">
        <v>44195</v>
      </c>
      <c r="C29" s="179">
        <v>232952.57000000001</v>
      </c>
      <c r="D29" s="444">
        <v>44195</v>
      </c>
      <c r="E29" s="380">
        <f t="shared" si="0"/>
        <v>0</v>
      </c>
      <c r="F29" s="29">
        <f t="shared" si="1"/>
        <v>0</v>
      </c>
      <c r="G29" s="15"/>
    </row>
    <row r="30" spans="1:7" ht="12.5">
      <c r="A30" s="3">
        <f t="shared" si="2"/>
        <v>20</v>
      </c>
      <c r="B30" s="444">
        <v>44203</v>
      </c>
      <c r="C30" s="179">
        <v>664.01999999999998</v>
      </c>
      <c r="D30" s="444">
        <v>44203</v>
      </c>
      <c r="E30" s="380">
        <f t="shared" si="0"/>
        <v>0</v>
      </c>
      <c r="F30" s="29">
        <f t="shared" si="1"/>
        <v>0</v>
      </c>
      <c r="G30" s="15"/>
    </row>
    <row r="31" spans="1:7" ht="12.5">
      <c r="A31" s="3">
        <f t="shared" si="2"/>
        <v>21</v>
      </c>
      <c r="B31" s="444">
        <v>44207</v>
      </c>
      <c r="C31" s="179">
        <v>909.38</v>
      </c>
      <c r="D31" s="444">
        <v>44207</v>
      </c>
      <c r="E31" s="380">
        <f t="shared" si="0"/>
        <v>0</v>
      </c>
      <c r="F31" s="29">
        <f t="shared" si="1"/>
        <v>0</v>
      </c>
      <c r="G31" s="15"/>
    </row>
    <row r="32" spans="1:7" ht="12.5">
      <c r="A32" s="3">
        <f t="shared" si="2"/>
        <v>22</v>
      </c>
      <c r="B32" s="444">
        <v>44210</v>
      </c>
      <c r="C32" s="179">
        <v>273750.97999999998</v>
      </c>
      <c r="D32" s="444">
        <v>44210</v>
      </c>
      <c r="E32" s="380">
        <f t="shared" si="0"/>
        <v>0</v>
      </c>
      <c r="F32" s="29">
        <f t="shared" si="1"/>
        <v>0</v>
      </c>
      <c r="G32" s="15"/>
    </row>
    <row r="33" spans="1:7" ht="12.5">
      <c r="A33" s="3">
        <f t="shared" si="2"/>
        <v>23</v>
      </c>
      <c r="B33" s="444">
        <v>44210</v>
      </c>
      <c r="C33" s="179">
        <v>877399.82000000007</v>
      </c>
      <c r="D33" s="444">
        <v>44210</v>
      </c>
      <c r="E33" s="380">
        <f t="shared" si="0"/>
        <v>0</v>
      </c>
      <c r="F33" s="29">
        <f t="shared" si="1"/>
        <v>0</v>
      </c>
      <c r="G33" s="15"/>
    </row>
    <row r="34" spans="1:7" ht="12.5">
      <c r="A34" s="3">
        <f t="shared" si="2"/>
        <v>24</v>
      </c>
      <c r="B34" s="444">
        <v>44216</v>
      </c>
      <c r="C34" s="179">
        <v>118.08999999999999</v>
      </c>
      <c r="D34" s="444">
        <v>44216</v>
      </c>
      <c r="E34" s="380">
        <f t="shared" si="0"/>
        <v>0</v>
      </c>
      <c r="F34" s="29">
        <f t="shared" si="1"/>
        <v>0</v>
      </c>
      <c r="G34" s="15"/>
    </row>
    <row r="35" spans="1:7" ht="12.5">
      <c r="A35" s="3">
        <f t="shared" si="2"/>
        <v>25</v>
      </c>
      <c r="B35" s="444">
        <v>44223</v>
      </c>
      <c r="C35" s="179">
        <v>11815.719999999999</v>
      </c>
      <c r="D35" s="444">
        <v>44223</v>
      </c>
      <c r="E35" s="380">
        <f t="shared" si="0"/>
        <v>0</v>
      </c>
      <c r="F35" s="29">
        <f t="shared" si="1"/>
        <v>0</v>
      </c>
      <c r="G35" s="15"/>
    </row>
    <row r="36" spans="1:7" ht="12.5">
      <c r="A36" s="3">
        <f t="shared" si="2"/>
        <v>26</v>
      </c>
      <c r="B36" s="444">
        <v>44224</v>
      </c>
      <c r="C36" s="179">
        <v>1228824.75</v>
      </c>
      <c r="D36" s="444">
        <v>44224</v>
      </c>
      <c r="E36" s="380">
        <f t="shared" si="0"/>
        <v>0</v>
      </c>
      <c r="F36" s="29">
        <f t="shared" si="1"/>
        <v>0</v>
      </c>
      <c r="G36" s="15"/>
    </row>
    <row r="37" spans="1:7" ht="12.5">
      <c r="A37" s="3">
        <f t="shared" si="2"/>
        <v>27</v>
      </c>
      <c r="B37" s="444">
        <v>44238</v>
      </c>
      <c r="C37" s="179">
        <v>1088414.8900000001</v>
      </c>
      <c r="D37" s="444">
        <v>44238</v>
      </c>
      <c r="E37" s="380">
        <f t="shared" si="0"/>
        <v>0</v>
      </c>
      <c r="F37" s="29">
        <f t="shared" si="1"/>
        <v>0</v>
      </c>
      <c r="G37" s="15"/>
    </row>
    <row r="38" spans="1:7" ht="12.5">
      <c r="A38" s="3">
        <f t="shared" si="2"/>
        <v>28</v>
      </c>
      <c r="B38" s="444">
        <v>44243</v>
      </c>
      <c r="C38" s="179">
        <v>23665.600000000002</v>
      </c>
      <c r="D38" s="444">
        <v>44243</v>
      </c>
      <c r="E38" s="380">
        <f t="shared" si="0"/>
        <v>0</v>
      </c>
      <c r="F38" s="29">
        <f t="shared" si="1"/>
        <v>0</v>
      </c>
      <c r="G38" s="15"/>
    </row>
    <row r="39" spans="1:7" ht="12.5">
      <c r="A39" s="3">
        <f t="shared" si="2"/>
        <v>29</v>
      </c>
      <c r="B39" s="444">
        <v>44244</v>
      </c>
      <c r="C39" s="179">
        <v>526.49000000000001</v>
      </c>
      <c r="D39" s="444">
        <v>44244</v>
      </c>
      <c r="E39" s="380">
        <f t="shared" si="0"/>
        <v>0</v>
      </c>
      <c r="F39" s="29">
        <f t="shared" si="1"/>
        <v>0</v>
      </c>
      <c r="G39" s="15"/>
    </row>
    <row r="40" spans="1:7" ht="12.5">
      <c r="A40" s="3">
        <f t="shared" si="2"/>
        <v>30</v>
      </c>
      <c r="B40" s="444">
        <v>44246</v>
      </c>
      <c r="C40" s="179">
        <v>66991.410000000003</v>
      </c>
      <c r="D40" s="444">
        <v>44246</v>
      </c>
      <c r="E40" s="380">
        <f t="shared" si="0"/>
        <v>0</v>
      </c>
      <c r="F40" s="29">
        <f t="shared" si="1"/>
        <v>0</v>
      </c>
      <c r="G40" s="15"/>
    </row>
    <row r="41" spans="1:7" ht="12.5">
      <c r="A41" s="3">
        <f t="shared" si="2"/>
        <v>31</v>
      </c>
      <c r="B41" s="444">
        <v>44252</v>
      </c>
      <c r="C41" s="179">
        <v>1444445</v>
      </c>
      <c r="D41" s="444">
        <v>44252</v>
      </c>
      <c r="E41" s="380">
        <f t="shared" si="0"/>
        <v>0</v>
      </c>
      <c r="F41" s="29">
        <f t="shared" si="1"/>
        <v>0</v>
      </c>
      <c r="G41" s="15"/>
    </row>
    <row r="42" spans="1:7" ht="12.5">
      <c r="A42" s="3">
        <f t="shared" si="2"/>
        <v>32</v>
      </c>
      <c r="B42" s="444">
        <v>44256</v>
      </c>
      <c r="C42" s="179">
        <v>325.13</v>
      </c>
      <c r="D42" s="444">
        <v>44256</v>
      </c>
      <c r="E42" s="380">
        <f t="shared" si="0"/>
        <v>0</v>
      </c>
      <c r="F42" s="29">
        <f t="shared" si="1"/>
        <v>0</v>
      </c>
      <c r="G42" s="15"/>
    </row>
    <row r="43" spans="1:7" ht="12.5">
      <c r="A43" s="3">
        <f t="shared" si="2"/>
        <v>33</v>
      </c>
      <c r="B43" s="444">
        <v>44266</v>
      </c>
      <c r="C43" s="179">
        <v>272902.35999999999</v>
      </c>
      <c r="D43" s="444">
        <v>44266</v>
      </c>
      <c r="E43" s="380">
        <f t="shared" si="0"/>
        <v>0</v>
      </c>
      <c r="F43" s="29">
        <f t="shared" si="1"/>
        <v>0</v>
      </c>
      <c r="G43" s="15"/>
    </row>
    <row r="44" spans="1:7" ht="12.5">
      <c r="A44" s="3">
        <f t="shared" si="2"/>
        <v>34</v>
      </c>
      <c r="B44" s="444">
        <v>44260</v>
      </c>
      <c r="C44" s="179">
        <v>3346623.73</v>
      </c>
      <c r="D44" s="444">
        <v>44260</v>
      </c>
      <c r="E44" s="380">
        <f t="shared" si="0"/>
        <v>0</v>
      </c>
      <c r="F44" s="29">
        <f t="shared" si="1"/>
        <v>0</v>
      </c>
      <c r="G44" s="15"/>
    </row>
    <row r="45" spans="1:7" ht="12.5">
      <c r="A45" s="3">
        <f t="shared" si="2"/>
        <v>35</v>
      </c>
      <c r="B45" s="444">
        <v>44267</v>
      </c>
      <c r="C45" s="179">
        <v>1053876.02</v>
      </c>
      <c r="D45" s="444">
        <v>44267</v>
      </c>
      <c r="E45" s="380">
        <f t="shared" si="0"/>
        <v>0</v>
      </c>
      <c r="F45" s="29">
        <f t="shared" si="1"/>
        <v>0</v>
      </c>
      <c r="G45" s="15"/>
    </row>
    <row r="46" spans="1:7" ht="12.5">
      <c r="A46" s="3">
        <f t="shared" si="2"/>
        <v>36</v>
      </c>
      <c r="B46" s="444">
        <v>44270</v>
      </c>
      <c r="C46" s="179">
        <v>9896.75</v>
      </c>
      <c r="D46" s="444">
        <v>44270</v>
      </c>
      <c r="E46" s="380">
        <f t="shared" si="0"/>
        <v>0</v>
      </c>
      <c r="F46" s="29">
        <f t="shared" si="1"/>
        <v>0</v>
      </c>
      <c r="G46" s="15"/>
    </row>
    <row r="47" spans="1:7" ht="12.5">
      <c r="A47" s="3">
        <f t="shared" si="2"/>
        <v>37</v>
      </c>
      <c r="B47" s="444">
        <v>44272</v>
      </c>
      <c r="C47" s="179">
        <v>10947.82</v>
      </c>
      <c r="D47" s="444">
        <v>44272</v>
      </c>
      <c r="E47" s="380">
        <f t="shared" si="0"/>
        <v>0</v>
      </c>
      <c r="F47" s="29">
        <f t="shared" si="1"/>
        <v>0</v>
      </c>
      <c r="G47" s="15"/>
    </row>
    <row r="48" spans="1:7" ht="12.5">
      <c r="A48" s="3">
        <f t="shared" si="2"/>
        <v>38</v>
      </c>
      <c r="B48" s="444">
        <v>44274</v>
      </c>
      <c r="C48" s="179">
        <v>100369.31000000001</v>
      </c>
      <c r="D48" s="444">
        <v>44274</v>
      </c>
      <c r="E48" s="380">
        <f t="shared" si="0"/>
        <v>0</v>
      </c>
      <c r="F48" s="29">
        <f t="shared" si="1"/>
        <v>0</v>
      </c>
      <c r="G48" s="15"/>
    </row>
    <row r="49" spans="1:7" ht="12.5">
      <c r="A49" s="3">
        <f t="shared" si="2"/>
        <v>39</v>
      </c>
      <c r="B49" s="444">
        <v>44277</v>
      </c>
      <c r="C49" s="179">
        <v>923.30999999999995</v>
      </c>
      <c r="D49" s="444">
        <v>44277</v>
      </c>
      <c r="E49" s="380">
        <f t="shared" si="0"/>
        <v>0</v>
      </c>
      <c r="F49" s="29">
        <f t="shared" si="1"/>
        <v>0</v>
      </c>
      <c r="G49" s="15"/>
    </row>
    <row r="50" spans="1:7" ht="12.5">
      <c r="A50" s="3">
        <f t="shared" si="2"/>
        <v>40</v>
      </c>
      <c r="B50" s="444">
        <v>44280</v>
      </c>
      <c r="C50" s="179">
        <v>263261.92999999999</v>
      </c>
      <c r="D50" s="444">
        <v>44280</v>
      </c>
      <c r="E50" s="380">
        <f t="shared" si="0"/>
        <v>0</v>
      </c>
      <c r="F50" s="29">
        <f t="shared" si="1"/>
        <v>0</v>
      </c>
      <c r="G50" s="15"/>
    </row>
    <row r="51" spans="1:7" ht="12.5">
      <c r="A51" s="3">
        <f t="shared" si="2"/>
        <v>41</v>
      </c>
      <c r="B51" s="444">
        <v>44285</v>
      </c>
      <c r="C51" s="179">
        <v>996793.91000000003</v>
      </c>
      <c r="D51" s="444">
        <v>44285</v>
      </c>
      <c r="E51" s="380">
        <f t="shared" si="0"/>
        <v>0</v>
      </c>
      <c r="F51" s="29">
        <f t="shared" si="1"/>
        <v>0</v>
      </c>
      <c r="G51" s="15"/>
    </row>
    <row r="52" spans="1:7" ht="12.5">
      <c r="A52" s="3">
        <f t="shared" si="2"/>
        <v>42</v>
      </c>
      <c r="B52" s="444">
        <v>44286</v>
      </c>
      <c r="C52" s="179">
        <v>6627.9700000000003</v>
      </c>
      <c r="D52" s="444">
        <v>44286</v>
      </c>
      <c r="E52" s="380">
        <f t="shared" si="0"/>
        <v>0</v>
      </c>
      <c r="F52" s="29">
        <f t="shared" si="1"/>
        <v>0</v>
      </c>
      <c r="G52" s="15"/>
    </row>
    <row r="53" spans="1:7" ht="12.5">
      <c r="A53" s="3">
        <f t="shared" si="2"/>
        <v>43</v>
      </c>
      <c r="B53" s="444">
        <v>44291</v>
      </c>
      <c r="C53" s="179">
        <v>192.13</v>
      </c>
      <c r="D53" s="444">
        <v>44291</v>
      </c>
      <c r="E53" s="380">
        <f t="shared" si="0"/>
        <v>0</v>
      </c>
      <c r="F53" s="29">
        <f t="shared" si="1"/>
        <v>0</v>
      </c>
      <c r="G53" s="15"/>
    </row>
    <row r="54" spans="1:7" ht="12.5">
      <c r="A54" s="3">
        <f t="shared" si="2"/>
        <v>44</v>
      </c>
      <c r="B54" s="444">
        <v>44294</v>
      </c>
      <c r="C54" s="179">
        <v>254304.55000000002</v>
      </c>
      <c r="D54" s="444">
        <v>44294</v>
      </c>
      <c r="E54" s="380">
        <f t="shared" si="0"/>
        <v>0</v>
      </c>
      <c r="F54" s="29">
        <f t="shared" si="1"/>
        <v>0</v>
      </c>
      <c r="G54" s="15"/>
    </row>
    <row r="55" spans="1:7" ht="12.5">
      <c r="A55" s="3">
        <f t="shared" si="2"/>
        <v>45</v>
      </c>
      <c r="B55" s="444">
        <v>44295</v>
      </c>
      <c r="C55" s="179">
        <v>909.45999999999992</v>
      </c>
      <c r="D55" s="444">
        <v>44295</v>
      </c>
      <c r="E55" s="380">
        <f t="shared" si="0"/>
        <v>0</v>
      </c>
      <c r="F55" s="29">
        <f t="shared" si="1"/>
        <v>0</v>
      </c>
      <c r="G55" s="15"/>
    </row>
    <row r="56" spans="1:7" ht="12.5">
      <c r="A56" s="3">
        <f t="shared" si="2"/>
        <v>46</v>
      </c>
      <c r="B56" s="444">
        <v>44299</v>
      </c>
      <c r="C56" s="179">
        <v>2831.3800000000001</v>
      </c>
      <c r="D56" s="444">
        <v>44299</v>
      </c>
      <c r="E56" s="380">
        <f t="shared" si="0"/>
        <v>0</v>
      </c>
      <c r="F56" s="29">
        <f t="shared" si="1"/>
        <v>0</v>
      </c>
      <c r="G56" s="15"/>
    </row>
    <row r="57" spans="1:7" ht="12.5">
      <c r="A57" s="3">
        <f t="shared" si="2"/>
        <v>47</v>
      </c>
      <c r="B57" s="444">
        <v>44300</v>
      </c>
      <c r="C57" s="179">
        <v>841241.67000000004</v>
      </c>
      <c r="D57" s="444">
        <v>44300</v>
      </c>
      <c r="E57" s="380">
        <f t="shared" si="0"/>
        <v>0</v>
      </c>
      <c r="F57" s="29">
        <f t="shared" si="1"/>
        <v>0</v>
      </c>
      <c r="G57" s="15"/>
    </row>
    <row r="58" spans="1:7" ht="12.5">
      <c r="A58" s="3">
        <f t="shared" si="2"/>
        <v>48</v>
      </c>
      <c r="B58" s="444">
        <v>44301</v>
      </c>
      <c r="C58" s="179">
        <v>253.52999999999997</v>
      </c>
      <c r="D58" s="444">
        <v>44301</v>
      </c>
      <c r="E58" s="380">
        <f t="shared" si="0"/>
        <v>0</v>
      </c>
      <c r="F58" s="29">
        <f t="shared" si="1"/>
        <v>0</v>
      </c>
      <c r="G58" s="15"/>
    </row>
    <row r="59" spans="1:7" ht="12.5">
      <c r="A59" s="3">
        <f t="shared" si="2"/>
        <v>49</v>
      </c>
      <c r="B59" s="444">
        <v>44302</v>
      </c>
      <c r="C59" s="179">
        <v>1516.3600000000001</v>
      </c>
      <c r="D59" s="444">
        <v>44302</v>
      </c>
      <c r="E59" s="380">
        <f t="shared" si="0"/>
        <v>0</v>
      </c>
      <c r="F59" s="29">
        <f t="shared" si="1"/>
        <v>0</v>
      </c>
      <c r="G59" s="15"/>
    </row>
    <row r="60" spans="1:7" ht="12.5">
      <c r="A60" s="3">
        <f t="shared" si="2"/>
        <v>50</v>
      </c>
      <c r="B60" s="444">
        <v>44308</v>
      </c>
      <c r="C60" s="179">
        <v>257818.75</v>
      </c>
      <c r="D60" s="444">
        <v>44308</v>
      </c>
      <c r="E60" s="380">
        <f t="shared" si="0"/>
        <v>0</v>
      </c>
      <c r="F60" s="29">
        <f t="shared" si="1"/>
        <v>0</v>
      </c>
      <c r="G60" s="15"/>
    </row>
    <row r="61" spans="1:7" ht="12.5">
      <c r="A61" s="3">
        <f t="shared" si="2"/>
        <v>51</v>
      </c>
      <c r="B61" s="444">
        <v>44312</v>
      </c>
      <c r="C61" s="179">
        <v>1602.7000000000001</v>
      </c>
      <c r="D61" s="444">
        <v>44312</v>
      </c>
      <c r="E61" s="380">
        <f t="shared" si="0"/>
        <v>0</v>
      </c>
      <c r="F61" s="29">
        <f t="shared" si="1"/>
        <v>0</v>
      </c>
      <c r="G61" s="15"/>
    </row>
    <row r="62" spans="1:7" ht="12.5">
      <c r="A62" s="3">
        <f t="shared" si="2"/>
        <v>52</v>
      </c>
      <c r="B62" s="444">
        <v>44315</v>
      </c>
      <c r="C62" s="179">
        <v>822728.41999999993</v>
      </c>
      <c r="D62" s="444">
        <v>44315</v>
      </c>
      <c r="E62" s="380">
        <f t="shared" si="0"/>
        <v>0</v>
      </c>
      <c r="F62" s="29">
        <f t="shared" si="1"/>
        <v>0</v>
      </c>
      <c r="G62" s="15"/>
    </row>
    <row r="63" spans="1:7" ht="12.5">
      <c r="A63" s="3">
        <f t="shared" si="2"/>
        <v>53</v>
      </c>
      <c r="B63" s="444">
        <v>44327</v>
      </c>
      <c r="C63" s="179">
        <v>6207.8199999999997</v>
      </c>
      <c r="D63" s="444">
        <v>44327</v>
      </c>
      <c r="E63" s="380">
        <f t="shared" si="0"/>
        <v>0</v>
      </c>
      <c r="F63" s="29">
        <f t="shared" si="1"/>
        <v>0</v>
      </c>
      <c r="G63" s="15"/>
    </row>
    <row r="64" spans="1:7" ht="12.5">
      <c r="A64" s="3">
        <f t="shared" si="2"/>
        <v>54</v>
      </c>
      <c r="B64" s="444">
        <v>44322</v>
      </c>
      <c r="C64" s="179">
        <v>264714.91999999998</v>
      </c>
      <c r="D64" s="444">
        <v>44322</v>
      </c>
      <c r="E64" s="380">
        <f t="shared" si="0"/>
        <v>0</v>
      </c>
      <c r="F64" s="29">
        <f t="shared" si="1"/>
        <v>0</v>
      </c>
      <c r="G64" s="15"/>
    </row>
    <row r="65" spans="1:7" ht="12.5">
      <c r="A65" s="3">
        <f t="shared" si="2"/>
        <v>55</v>
      </c>
      <c r="B65" s="444">
        <v>44329</v>
      </c>
      <c r="C65" s="179">
        <v>846607.8899999999</v>
      </c>
      <c r="D65" s="444">
        <v>44329</v>
      </c>
      <c r="E65" s="380">
        <f t="shared" si="0"/>
        <v>0</v>
      </c>
      <c r="F65" s="29">
        <f t="shared" si="1"/>
        <v>0</v>
      </c>
      <c r="G65" s="15"/>
    </row>
    <row r="66" spans="1:7" ht="12.5">
      <c r="A66" s="3">
        <f t="shared" si="2"/>
        <v>56</v>
      </c>
      <c r="B66" s="444">
        <v>44330</v>
      </c>
      <c r="C66" s="179">
        <v>909.35000000000002</v>
      </c>
      <c r="D66" s="444">
        <v>44330</v>
      </c>
      <c r="E66" s="380">
        <f t="shared" si="0"/>
        <v>0</v>
      </c>
      <c r="F66" s="29">
        <f t="shared" si="1"/>
        <v>0</v>
      </c>
      <c r="G66" s="15"/>
    </row>
    <row r="67" spans="1:7" ht="12.5">
      <c r="A67" s="3">
        <f t="shared" si="2"/>
        <v>57</v>
      </c>
      <c r="B67" s="444">
        <v>44336</v>
      </c>
      <c r="C67" s="179">
        <v>298522.66999999998</v>
      </c>
      <c r="D67" s="444">
        <v>44336</v>
      </c>
      <c r="E67" s="380">
        <f t="shared" si="0"/>
        <v>0</v>
      </c>
      <c r="F67" s="29">
        <f t="shared" si="1"/>
        <v>0</v>
      </c>
      <c r="G67" s="15"/>
    </row>
    <row r="68" spans="1:7" ht="12.5">
      <c r="A68" s="3">
        <f t="shared" si="2"/>
        <v>58</v>
      </c>
      <c r="B68" s="444">
        <v>44340</v>
      </c>
      <c r="C68" s="179">
        <v>1489.5799999999999</v>
      </c>
      <c r="D68" s="444">
        <v>44340</v>
      </c>
      <c r="E68" s="380">
        <f t="shared" si="0"/>
        <v>0</v>
      </c>
      <c r="F68" s="29">
        <f t="shared" si="1"/>
        <v>0</v>
      </c>
      <c r="G68" s="15"/>
    </row>
    <row r="69" spans="1:7" ht="12.5">
      <c r="A69" s="3">
        <f t="shared" si="2"/>
        <v>59</v>
      </c>
      <c r="B69" s="444">
        <v>44343</v>
      </c>
      <c r="C69" s="179">
        <v>843441.48999999999</v>
      </c>
      <c r="D69" s="444">
        <v>44343</v>
      </c>
      <c r="E69" s="380">
        <f t="shared" si="0"/>
        <v>0</v>
      </c>
      <c r="F69" s="29">
        <f t="shared" si="1"/>
        <v>0</v>
      </c>
      <c r="G69" s="15"/>
    </row>
    <row r="70" spans="1:7" ht="12.5">
      <c r="A70" s="3">
        <f t="shared" si="2"/>
        <v>60</v>
      </c>
      <c r="B70" s="444">
        <v>44350</v>
      </c>
      <c r="C70" s="179">
        <v>293328.85999999999</v>
      </c>
      <c r="D70" s="444">
        <v>44350</v>
      </c>
      <c r="E70" s="380">
        <f t="shared" si="0"/>
        <v>0</v>
      </c>
      <c r="F70" s="29">
        <f t="shared" si="1"/>
        <v>0</v>
      </c>
      <c r="G70" s="15"/>
    </row>
    <row r="71" spans="1:7" ht="12.5">
      <c r="A71" s="3">
        <f t="shared" si="2"/>
        <v>61</v>
      </c>
      <c r="B71" s="444">
        <v>44364</v>
      </c>
      <c r="C71" s="179">
        <v>306839.79999999999</v>
      </c>
      <c r="D71" s="444">
        <v>44364</v>
      </c>
      <c r="E71" s="380">
        <f t="shared" si="0"/>
        <v>0</v>
      </c>
      <c r="F71" s="29">
        <f t="shared" si="1"/>
        <v>0</v>
      </c>
      <c r="G71" s="15"/>
    </row>
    <row r="72" spans="1:7" ht="12.5">
      <c r="A72" s="3">
        <f t="shared" si="2"/>
        <v>62</v>
      </c>
      <c r="B72" s="444">
        <v>44356</v>
      </c>
      <c r="C72" s="179">
        <v>183.60000000000002</v>
      </c>
      <c r="D72" s="444">
        <v>44356</v>
      </c>
      <c r="E72" s="380">
        <f t="shared" si="0"/>
        <v>0</v>
      </c>
      <c r="F72" s="29">
        <f t="shared" si="1"/>
        <v>0</v>
      </c>
      <c r="G72" s="15"/>
    </row>
    <row r="73" spans="1:7" ht="12.5">
      <c r="A73" s="3">
        <f t="shared" si="2"/>
        <v>63</v>
      </c>
      <c r="B73" s="444">
        <v>44361</v>
      </c>
      <c r="C73" s="179">
        <v>865824.30999999994</v>
      </c>
      <c r="D73" s="444">
        <v>44361</v>
      </c>
      <c r="E73" s="380">
        <f t="shared" si="0"/>
        <v>0</v>
      </c>
      <c r="F73" s="29">
        <f t="shared" si="1"/>
        <v>0</v>
      </c>
      <c r="G73" s="15"/>
    </row>
    <row r="74" spans="1:7" ht="12.5">
      <c r="A74" s="3">
        <f t="shared" si="2"/>
        <v>64</v>
      </c>
      <c r="B74" s="444">
        <v>44372</v>
      </c>
      <c r="C74" s="179">
        <v>4556.0500000000002</v>
      </c>
      <c r="D74" s="444">
        <v>44372</v>
      </c>
      <c r="E74" s="380">
        <f t="shared" si="0"/>
        <v>0</v>
      </c>
      <c r="F74" s="29">
        <f t="shared" si="1"/>
        <v>0</v>
      </c>
      <c r="G74" s="15"/>
    </row>
    <row r="75" spans="1:7" ht="12.5">
      <c r="A75" s="3">
        <f t="shared" si="2"/>
        <v>65</v>
      </c>
      <c r="B75" s="444">
        <v>44376</v>
      </c>
      <c r="C75" s="179">
        <v>855883.88</v>
      </c>
      <c r="D75" s="444">
        <v>44376</v>
      </c>
      <c r="E75" s="380">
        <f t="shared" si="0"/>
        <v>0</v>
      </c>
      <c r="F75" s="29">
        <f t="shared" si="1"/>
        <v>0</v>
      </c>
      <c r="G75" s="15"/>
    </row>
    <row r="76" spans="1:7" ht="12.5">
      <c r="A76" s="3">
        <f t="shared" si="2"/>
        <v>66</v>
      </c>
      <c r="B76" s="444">
        <v>44378</v>
      </c>
      <c r="C76" s="179">
        <v>276760.22999999998</v>
      </c>
      <c r="D76" s="444">
        <v>44378</v>
      </c>
      <c r="E76" s="380">
        <f t="shared" si="3" ref="E76:E94">IF(C76=0,0,-(D76-B76))</f>
        <v>0</v>
      </c>
      <c r="F76" s="29">
        <f t="shared" si="4" ref="F76:F94">C76*E76</f>
        <v>0</v>
      </c>
      <c r="G76" s="15"/>
    </row>
    <row r="77" spans="1:7" ht="12.5">
      <c r="A77" s="3">
        <f t="shared" si="5" ref="A77:A106">A76+1</f>
        <v>67</v>
      </c>
      <c r="B77" s="444">
        <v>44384</v>
      </c>
      <c r="C77" s="179">
        <v>1334.51</v>
      </c>
      <c r="D77" s="444">
        <v>44384</v>
      </c>
      <c r="E77" s="380">
        <f t="shared" si="3"/>
        <v>0</v>
      </c>
      <c r="F77" s="29">
        <f t="shared" si="4"/>
        <v>0</v>
      </c>
      <c r="G77" s="15"/>
    </row>
    <row r="78" spans="1:7" ht="12.5">
      <c r="A78" s="3">
        <f t="shared" si="5"/>
        <v>68</v>
      </c>
      <c r="B78" s="444">
        <v>44390</v>
      </c>
      <c r="C78" s="179">
        <v>399.39999999999998</v>
      </c>
      <c r="D78" s="444">
        <v>44390</v>
      </c>
      <c r="E78" s="380">
        <f t="shared" si="3"/>
        <v>0</v>
      </c>
      <c r="F78" s="29">
        <f t="shared" si="4"/>
        <v>0</v>
      </c>
      <c r="G78" s="15"/>
    </row>
    <row r="79" spans="1:7" ht="12.5">
      <c r="A79" s="3">
        <f t="shared" si="5"/>
        <v>69</v>
      </c>
      <c r="B79" s="444">
        <v>44391</v>
      </c>
      <c r="C79" s="179">
        <v>855077.81999999995</v>
      </c>
      <c r="D79" s="444">
        <v>44391</v>
      </c>
      <c r="E79" s="380">
        <f t="shared" si="3"/>
        <v>0</v>
      </c>
      <c r="F79" s="29">
        <f t="shared" si="4"/>
        <v>0</v>
      </c>
      <c r="G79" s="15"/>
    </row>
    <row r="80" spans="1:7" ht="12.5">
      <c r="A80" s="3">
        <f t="shared" si="5"/>
        <v>70</v>
      </c>
      <c r="B80" s="444">
        <v>44392</v>
      </c>
      <c r="C80" s="179">
        <v>289860.71999999997</v>
      </c>
      <c r="D80" s="444">
        <v>44392</v>
      </c>
      <c r="E80" s="380">
        <f t="shared" si="3"/>
        <v>0</v>
      </c>
      <c r="F80" s="29">
        <f t="shared" si="4"/>
        <v>0</v>
      </c>
      <c r="G80" s="15"/>
    </row>
    <row r="81" spans="1:7" ht="12.5">
      <c r="A81" s="3">
        <f t="shared" si="5"/>
        <v>71</v>
      </c>
      <c r="B81" s="444">
        <v>44393</v>
      </c>
      <c r="C81" s="179">
        <v>4026.73</v>
      </c>
      <c r="D81" s="444">
        <v>44393</v>
      </c>
      <c r="E81" s="380">
        <f t="shared" si="3"/>
        <v>0</v>
      </c>
      <c r="F81" s="29">
        <f t="shared" si="4"/>
        <v>0</v>
      </c>
      <c r="G81" s="15"/>
    </row>
    <row r="82" spans="1:7" ht="12.5">
      <c r="A82" s="3">
        <f t="shared" si="5"/>
        <v>72</v>
      </c>
      <c r="B82" s="444">
        <v>44400</v>
      </c>
      <c r="C82" s="179">
        <v>456.99000000000001</v>
      </c>
      <c r="D82" s="444">
        <v>44400</v>
      </c>
      <c r="E82" s="380">
        <f t="shared" si="3"/>
        <v>0</v>
      </c>
      <c r="F82" s="29">
        <f t="shared" si="4"/>
        <v>0</v>
      </c>
      <c r="G82" s="15"/>
    </row>
    <row r="83" spans="1:7" ht="12.5">
      <c r="A83" s="3">
        <f t="shared" si="5"/>
        <v>73</v>
      </c>
      <c r="B83" s="444">
        <v>44406</v>
      </c>
      <c r="C83" s="179">
        <v>1130637.3400000001</v>
      </c>
      <c r="D83" s="444">
        <v>44406</v>
      </c>
      <c r="E83" s="380">
        <f t="shared" si="3"/>
        <v>0</v>
      </c>
      <c r="F83" s="29">
        <f t="shared" si="4"/>
        <v>0</v>
      </c>
      <c r="G83" s="15"/>
    </row>
    <row r="84" spans="1:7" ht="12.5">
      <c r="A84" s="3">
        <f t="shared" si="5"/>
        <v>74</v>
      </c>
      <c r="B84" s="444">
        <v>44407</v>
      </c>
      <c r="C84" s="179">
        <v>345.54000000000002</v>
      </c>
      <c r="D84" s="444">
        <v>44407</v>
      </c>
      <c r="E84" s="380">
        <f t="shared" si="3"/>
        <v>0</v>
      </c>
      <c r="F84" s="29">
        <f t="shared" si="4"/>
        <v>0</v>
      </c>
      <c r="G84" s="15"/>
    </row>
    <row r="85" spans="1:7" ht="12.5">
      <c r="A85" s="3">
        <f t="shared" si="5"/>
        <v>75</v>
      </c>
      <c r="B85" s="444">
        <v>44420</v>
      </c>
      <c r="C85" s="179">
        <v>1110057.6000000001</v>
      </c>
      <c r="D85" s="444">
        <v>44420</v>
      </c>
      <c r="E85" s="380">
        <f t="shared" si="3"/>
        <v>0</v>
      </c>
      <c r="F85" s="29">
        <f t="shared" si="4"/>
        <v>0</v>
      </c>
      <c r="G85" s="15"/>
    </row>
    <row r="86" spans="1:7" ht="12.5">
      <c r="A86" s="3">
        <f t="shared" si="5"/>
        <v>76</v>
      </c>
      <c r="B86" s="444">
        <v>44427</v>
      </c>
      <c r="C86" s="179">
        <v>945.94999999999993</v>
      </c>
      <c r="D86" s="444">
        <v>44427</v>
      </c>
      <c r="E86" s="380">
        <f t="shared" si="3"/>
        <v>0</v>
      </c>
      <c r="F86" s="29">
        <f t="shared" si="4"/>
        <v>0</v>
      </c>
      <c r="G86" s="15"/>
    </row>
    <row r="87" spans="1:7" ht="12.5">
      <c r="A87" s="3">
        <f t="shared" si="5"/>
        <v>77</v>
      </c>
      <c r="B87" s="444">
        <v>44434</v>
      </c>
      <c r="C87" s="179">
        <v>286288.54000000004</v>
      </c>
      <c r="D87" s="444">
        <v>44434</v>
      </c>
      <c r="E87" s="380">
        <f t="shared" si="3"/>
        <v>0</v>
      </c>
      <c r="F87" s="29">
        <f t="shared" si="4"/>
        <v>0</v>
      </c>
      <c r="G87" s="15"/>
    </row>
    <row r="88" spans="1:7" ht="12.5">
      <c r="A88" s="3">
        <f t="shared" si="5"/>
        <v>78</v>
      </c>
      <c r="B88" s="444">
        <v>44438</v>
      </c>
      <c r="C88" s="179">
        <v>943373.93000000005</v>
      </c>
      <c r="D88" s="444">
        <v>44438</v>
      </c>
      <c r="E88" s="380">
        <f t="shared" si="3"/>
        <v>0</v>
      </c>
      <c r="F88" s="29">
        <f t="shared" si="4"/>
        <v>0</v>
      </c>
      <c r="G88" s="15"/>
    </row>
    <row r="89" spans="1:7" ht="12.5">
      <c r="A89" s="3">
        <f t="shared" si="5"/>
        <v>79</v>
      </c>
      <c r="B89" s="444">
        <v>44447</v>
      </c>
      <c r="C89" s="179">
        <v>900.09000000000003</v>
      </c>
      <c r="D89" s="444">
        <v>44447</v>
      </c>
      <c r="E89" s="380">
        <f t="shared" si="3"/>
        <v>0</v>
      </c>
      <c r="F89" s="29">
        <f t="shared" si="4"/>
        <v>0</v>
      </c>
      <c r="G89" s="15"/>
    </row>
    <row r="90" spans="1:7" ht="12.5">
      <c r="A90" s="3">
        <f t="shared" si="5"/>
        <v>80</v>
      </c>
      <c r="B90" s="444">
        <v>44448</v>
      </c>
      <c r="C90" s="179">
        <v>252404.24000000002</v>
      </c>
      <c r="D90" s="444">
        <v>44448</v>
      </c>
      <c r="E90" s="380">
        <f t="shared" si="3"/>
        <v>0</v>
      </c>
      <c r="F90" s="29">
        <f t="shared" si="4"/>
        <v>0</v>
      </c>
      <c r="G90" s="15"/>
    </row>
    <row r="91" spans="1:7" ht="12.5">
      <c r="A91" s="3">
        <f t="shared" si="5"/>
        <v>81</v>
      </c>
      <c r="B91" s="444">
        <v>44453</v>
      </c>
      <c r="C91" s="179">
        <v>775920.6100000001</v>
      </c>
      <c r="D91" s="444">
        <v>44453</v>
      </c>
      <c r="E91" s="380">
        <f t="shared" si="3"/>
        <v>0</v>
      </c>
      <c r="F91" s="29">
        <f t="shared" si="4"/>
        <v>0</v>
      </c>
      <c r="G91" s="15"/>
    </row>
    <row r="92" spans="1:7" ht="12.5">
      <c r="A92" s="3">
        <f t="shared" si="5"/>
        <v>82</v>
      </c>
      <c r="B92" s="444">
        <v>44459</v>
      </c>
      <c r="C92" s="179">
        <v>2035.55</v>
      </c>
      <c r="D92" s="444">
        <v>44459</v>
      </c>
      <c r="E92" s="380">
        <f t="shared" si="3"/>
        <v>0</v>
      </c>
      <c r="F92" s="29">
        <f t="shared" si="4"/>
        <v>0</v>
      </c>
      <c r="G92" s="15"/>
    </row>
    <row r="93" spans="1:7" ht="12.5">
      <c r="A93" s="3">
        <f t="shared" si="5"/>
        <v>83</v>
      </c>
      <c r="B93" s="444">
        <v>44462</v>
      </c>
      <c r="C93" s="179">
        <v>248219.80000000002</v>
      </c>
      <c r="D93" s="444">
        <v>44462</v>
      </c>
      <c r="E93" s="380">
        <f t="shared" si="3"/>
        <v>0</v>
      </c>
      <c r="F93" s="29">
        <f t="shared" si="4"/>
        <v>0</v>
      </c>
      <c r="G93" s="15"/>
    </row>
    <row r="94" spans="1:7" ht="12.5">
      <c r="A94" s="3">
        <f t="shared" si="5"/>
        <v>84</v>
      </c>
      <c r="B94" s="444">
        <v>44468</v>
      </c>
      <c r="C94" s="179">
        <v>750744.05999999994</v>
      </c>
      <c r="D94" s="444">
        <v>44468</v>
      </c>
      <c r="E94" s="380">
        <f t="shared" si="3"/>
        <v>0</v>
      </c>
      <c r="F94" s="29">
        <f t="shared" si="4"/>
        <v>0</v>
      </c>
      <c r="G94" s="15"/>
    </row>
    <row r="95" spans="1:6" ht="12.5">
      <c r="A95" s="3">
        <f t="shared" si="5"/>
        <v>85</v>
      </c>
      <c r="B95" s="444"/>
      <c r="C95" s="411"/>
      <c r="D95" s="444"/>
      <c r="E95" s="420"/>
      <c r="F95" s="393"/>
    </row>
    <row r="96" spans="1:6" ht="12.5">
      <c r="A96" s="3">
        <f t="shared" si="5"/>
        <v>86</v>
      </c>
      <c r="B96" s="16" t="s">
        <v>4</v>
      </c>
      <c r="C96" s="580">
        <f>SUM(C11:C95)</f>
        <v>26139152.339999996</v>
      </c>
      <c r="D96" s="26"/>
      <c r="E96" s="383">
        <f>ROUND(F96/C96,2)</f>
        <v>0</v>
      </c>
      <c r="F96" s="580">
        <f>SUM(F11:F95)</f>
        <v>0</v>
      </c>
    </row>
    <row r="97" spans="1:6" ht="12.5">
      <c r="A97" s="3">
        <f t="shared" si="5"/>
        <v>87</v>
      </c>
      <c r="C97" s="75"/>
      <c r="E97" s="4"/>
      <c r="F97" s="75"/>
    </row>
    <row r="98" spans="1:6" ht="12.5">
      <c r="A98" s="3">
        <f t="shared" si="5"/>
        <v>88</v>
      </c>
      <c r="B98" s="1" t="s">
        <v>386</v>
      </c>
      <c r="C98" s="389">
        <f>'8-1-2'!C51</f>
        <v>8613231.7200000007</v>
      </c>
      <c r="E98" s="383">
        <f>ROUND(F98/C98,2)</f>
        <v>0</v>
      </c>
      <c r="F98" s="389">
        <f>'8-1-2'!F51</f>
        <v>0</v>
      </c>
    </row>
    <row r="99" spans="1:6" ht="12.5">
      <c r="A99" s="3">
        <f t="shared" si="5"/>
        <v>89</v>
      </c>
      <c r="C99" s="75"/>
      <c r="E99" s="384"/>
      <c r="F99" s="381"/>
    </row>
    <row r="100" spans="1:6" ht="13" thickBot="1">
      <c r="A100" s="3">
        <f t="shared" si="5"/>
        <v>90</v>
      </c>
      <c r="B100" s="1" t="s">
        <v>268</v>
      </c>
      <c r="C100" s="351">
        <f>C96+C98</f>
        <v>34752384.059999995</v>
      </c>
      <c r="E100" s="388">
        <f>ROUND(F100/C100,2)</f>
        <v>0</v>
      </c>
      <c r="F100" s="351">
        <f>F96+F98</f>
        <v>0</v>
      </c>
    </row>
    <row r="101" spans="1:6" ht="13" thickTop="1">
      <c r="A101" s="3">
        <f t="shared" si="5"/>
        <v>91</v>
      </c>
      <c r="C101" s="75"/>
      <c r="E101" s="384"/>
      <c r="F101" s="381"/>
    </row>
    <row r="102" spans="1:6" ht="12.5">
      <c r="A102" s="3">
        <f t="shared" si="5"/>
        <v>92</v>
      </c>
      <c r="B102" s="1" t="s">
        <v>264</v>
      </c>
      <c r="C102" s="75"/>
      <c r="E102" s="385">
        <f>ROUND(+'2'!F35,2)</f>
        <v>-12.1</v>
      </c>
      <c r="F102" s="382" t="s">
        <v>197</v>
      </c>
    </row>
    <row r="103" spans="1:6" ht="12.5">
      <c r="A103" s="3">
        <f t="shared" si="5"/>
        <v>93</v>
      </c>
      <c r="C103" s="75"/>
      <c r="E103" s="384"/>
      <c r="F103" s="75"/>
    </row>
    <row r="104" spans="1:6" ht="13" thickBot="1">
      <c r="A104" s="3">
        <f t="shared" si="5"/>
        <v>94</v>
      </c>
      <c r="B104" s="1" t="s">
        <v>255</v>
      </c>
      <c r="C104" s="351">
        <f>C100</f>
        <v>34752384.059999995</v>
      </c>
      <c r="E104" s="386">
        <f>E100+E102</f>
        <v>-12.1</v>
      </c>
      <c r="F104" s="351">
        <f>C104*E104</f>
        <v>-420503847.12599993</v>
      </c>
    </row>
    <row r="105" spans="1:1" ht="13" thickTop="1">
      <c r="A105" s="3">
        <f t="shared" si="5"/>
        <v>95</v>
      </c>
    </row>
    <row r="106" spans="1:3" ht="12.5">
      <c r="A106" s="3">
        <f t="shared" si="5"/>
        <v>96</v>
      </c>
      <c r="B106" s="1" t="s">
        <v>256</v>
      </c>
      <c r="C106" s="293" t="s">
        <v>480</v>
      </c>
    </row>
  </sheetData>
  <mergeCells count="1">
    <mergeCell ref="A3:F3"/>
  </mergeCells>
  <hyperlinks>
    <hyperlink ref="C106" r:id="rId1" display="Tax Other Than Income - Payroll Taxes.xlsx"/>
  </hyperlinks>
  <printOptions horizontalCentered="1"/>
  <pageMargins left="0.5" right="0.5" top="1.5" bottom="0.5" header="1" footer="0.5"/>
  <pageSetup fitToHeight="5" orientation="landscape" r:id="rId2"/>
  <headerFooter alignWithMargins="0">
    <oddHeader>&amp;RWP/II-B-9/&amp;A
Page &amp;P of &amp;N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0">
    <tabColor rgb="FF92D050"/>
    <pageSetUpPr fitToPage="1"/>
  </sheetPr>
  <dimension ref="A1:I106"/>
  <sheetViews>
    <sheetView showGridLines="0" workbookViewId="0" topLeftCell="A1">
      <selection pane="topLeft" activeCell="A4" sqref="A4"/>
    </sheetView>
  </sheetViews>
  <sheetFormatPr defaultColWidth="9.09428571428571" defaultRowHeight="12.75"/>
  <cols>
    <col min="1" max="1" width="5.57142857142857" style="3" customWidth="1"/>
    <col min="2" max="2" width="17.5714285714286" style="1" customWidth="1"/>
    <col min="3" max="3" width="16.8571428571429" style="1" customWidth="1"/>
    <col min="4" max="4" width="10.5714285714286" style="1" customWidth="1"/>
    <col min="5" max="5" width="12.5714285714286" style="1" bestFit="1" customWidth="1"/>
    <col min="6" max="6" width="18.5714285714286" style="1" bestFit="1" customWidth="1"/>
    <col min="7" max="16384" width="9.14285714285714" style="1"/>
  </cols>
  <sheetData>
    <row r="1" spans="1:6" s="42" customFormat="1" ht="13">
      <c r="A1" s="181" t="s">
        <v>530</v>
      </c>
      <c r="B1" s="181"/>
      <c r="C1" s="181"/>
      <c r="D1" s="181"/>
      <c r="E1" s="181"/>
      <c r="F1" s="301"/>
    </row>
    <row r="2" spans="1:6" s="42" customFormat="1" ht="13">
      <c r="A2" s="181" t="str">
        <f>' '!A2</f>
        <v>ONCOR ELECTRIC DELIVERY COMPANY LLC</v>
      </c>
      <c r="B2" s="181"/>
      <c r="C2" s="181"/>
      <c r="D2" s="181"/>
      <c r="E2" s="181"/>
      <c r="F2" s="301"/>
    </row>
    <row r="3" spans="1:6" s="42" customFormat="1" ht="13">
      <c r="A3" s="824" t="s">
        <v>279</v>
      </c>
      <c r="B3" s="824"/>
      <c r="C3" s="824"/>
      <c r="D3" s="824"/>
      <c r="E3" s="824"/>
      <c r="F3" s="824"/>
    </row>
    <row r="4" spans="1:6" s="42" customFormat="1" ht="13">
      <c r="A4" s="817" t="s">
        <v>929</v>
      </c>
      <c r="B4" s="181"/>
      <c r="C4" s="181"/>
      <c r="D4" s="181"/>
      <c r="E4" s="181"/>
      <c r="F4" s="301"/>
    </row>
    <row r="5" spans="1:6" s="42" customFormat="1" ht="13">
      <c r="A5" s="181" t="s">
        <v>524</v>
      </c>
      <c r="B5" s="181"/>
      <c r="C5" s="181"/>
      <c r="D5" s="181"/>
      <c r="E5" s="181"/>
      <c r="F5" s="301"/>
    </row>
    <row r="6" spans="1:6" ht="12.5">
      <c r="A6" s="16"/>
      <c r="B6" s="16"/>
      <c r="C6" s="16"/>
      <c r="D6" s="16"/>
      <c r="E6" s="16"/>
      <c r="F6" s="16"/>
    </row>
    <row r="7" spans="1:6" ht="13">
      <c r="A7" s="22" t="s">
        <v>40</v>
      </c>
      <c r="B7" s="22" t="s">
        <v>39</v>
      </c>
      <c r="C7" s="22" t="s">
        <v>87</v>
      </c>
      <c r="D7" s="22" t="s">
        <v>88</v>
      </c>
      <c r="E7" s="25"/>
      <c r="F7" s="27" t="s">
        <v>112</v>
      </c>
    </row>
    <row r="8" spans="1:6" ht="13">
      <c r="A8" s="57" t="s">
        <v>41</v>
      </c>
      <c r="B8" s="57" t="s">
        <v>89</v>
      </c>
      <c r="C8" s="57" t="s">
        <v>24</v>
      </c>
      <c r="D8" s="57" t="s">
        <v>113</v>
      </c>
      <c r="E8" s="62" t="s">
        <v>46</v>
      </c>
      <c r="F8" s="63" t="s">
        <v>90</v>
      </c>
    </row>
    <row r="9" spans="2:7" ht="12.5">
      <c r="B9" s="8" t="s">
        <v>55</v>
      </c>
      <c r="C9" s="8" t="s">
        <v>56</v>
      </c>
      <c r="D9" s="8" t="s">
        <v>62</v>
      </c>
      <c r="E9" s="8" t="s">
        <v>57</v>
      </c>
      <c r="F9" s="8" t="s">
        <v>58</v>
      </c>
      <c r="G9" s="15"/>
    </row>
    <row r="10" spans="2:7" ht="12.5">
      <c r="B10" s="8"/>
      <c r="C10" s="8"/>
      <c r="D10" s="8"/>
      <c r="E10" s="8"/>
      <c r="F10" s="8"/>
      <c r="G10" s="15"/>
    </row>
    <row r="11" spans="1:7" ht="12.5">
      <c r="A11" s="3">
        <v>1</v>
      </c>
      <c r="B11" s="444">
        <v>44118</v>
      </c>
      <c r="C11" s="179">
        <v>75621.649999999994</v>
      </c>
      <c r="D11" s="444">
        <v>44118</v>
      </c>
      <c r="E11" s="380">
        <f>IF(C11=0,0,-(D11-B11))</f>
        <v>0</v>
      </c>
      <c r="F11" s="75">
        <f>C11*E11</f>
        <v>0</v>
      </c>
      <c r="G11" s="15"/>
    </row>
    <row r="12" spans="1:7" ht="12.5">
      <c r="A12" s="3">
        <f>A11+1</f>
        <v>2</v>
      </c>
      <c r="B12" s="444">
        <v>44133</v>
      </c>
      <c r="C12" s="179">
        <v>82258.679999999993</v>
      </c>
      <c r="D12" s="444">
        <v>44133</v>
      </c>
      <c r="E12" s="380">
        <f t="shared" si="0" ref="E12:E43">IF(C12=0,0,-(D12-B12))</f>
        <v>0</v>
      </c>
      <c r="F12" s="29">
        <f t="shared" si="1" ref="F12:F43">C12*E12</f>
        <v>0</v>
      </c>
      <c r="G12" s="15"/>
    </row>
    <row r="13" spans="1:9" ht="13">
      <c r="A13" s="3">
        <f t="shared" si="2" ref="A13:A52">A12+1</f>
        <v>3</v>
      </c>
      <c r="B13" s="444">
        <v>44147</v>
      </c>
      <c r="C13" s="179">
        <v>76920.320000000007</v>
      </c>
      <c r="D13" s="444">
        <v>44147</v>
      </c>
      <c r="E13" s="380">
        <f t="shared" si="0"/>
        <v>0</v>
      </c>
      <c r="F13" s="29">
        <f t="shared" si="1"/>
        <v>0</v>
      </c>
      <c r="G13" s="15"/>
      <c r="I13" s="5"/>
    </row>
    <row r="14" spans="1:7" ht="12.5">
      <c r="A14" s="3">
        <f t="shared" si="2"/>
        <v>4</v>
      </c>
      <c r="B14" s="444">
        <v>44160</v>
      </c>
      <c r="C14" s="179">
        <v>71148.25</v>
      </c>
      <c r="D14" s="444">
        <v>44160</v>
      </c>
      <c r="E14" s="380">
        <f t="shared" si="0"/>
        <v>0</v>
      </c>
      <c r="F14" s="29">
        <f t="shared" si="1"/>
        <v>0</v>
      </c>
      <c r="G14" s="15"/>
    </row>
    <row r="15" spans="1:7" ht="12.5">
      <c r="A15" s="3">
        <f t="shared" si="2"/>
        <v>5</v>
      </c>
      <c r="B15" s="444">
        <v>44179</v>
      </c>
      <c r="C15" s="179">
        <v>84028.910000000003</v>
      </c>
      <c r="D15" s="444">
        <v>44179</v>
      </c>
      <c r="E15" s="380">
        <f t="shared" si="0"/>
        <v>0</v>
      </c>
      <c r="F15" s="29">
        <f t="shared" si="1"/>
        <v>0</v>
      </c>
      <c r="G15" s="15"/>
    </row>
    <row r="16" spans="1:7" ht="12.5">
      <c r="A16" s="3">
        <f t="shared" si="2"/>
        <v>6</v>
      </c>
      <c r="B16" s="444">
        <v>44189</v>
      </c>
      <c r="C16" s="179">
        <v>288.49000000000001</v>
      </c>
      <c r="D16" s="444">
        <v>44189</v>
      </c>
      <c r="E16" s="380">
        <f t="shared" si="0"/>
        <v>0</v>
      </c>
      <c r="F16" s="29">
        <f t="shared" si="1"/>
        <v>0</v>
      </c>
      <c r="G16" s="15"/>
    </row>
    <row r="17" spans="1:7" ht="12.5">
      <c r="A17" s="3">
        <f t="shared" si="2"/>
        <v>7</v>
      </c>
      <c r="B17" s="444">
        <v>44195</v>
      </c>
      <c r="C17" s="179">
        <v>79980.800000000003</v>
      </c>
      <c r="D17" s="444">
        <v>44195</v>
      </c>
      <c r="E17" s="380">
        <f t="shared" si="0"/>
        <v>0</v>
      </c>
      <c r="F17" s="29">
        <f t="shared" si="1"/>
        <v>0</v>
      </c>
      <c r="G17" s="15"/>
    </row>
    <row r="18" spans="1:7" ht="12.5">
      <c r="A18" s="3">
        <f t="shared" si="2"/>
        <v>8</v>
      </c>
      <c r="B18" s="444">
        <v>44210</v>
      </c>
      <c r="C18" s="179">
        <v>360210.60999999999</v>
      </c>
      <c r="D18" s="444">
        <v>44210</v>
      </c>
      <c r="E18" s="380">
        <f t="shared" si="0"/>
        <v>0</v>
      </c>
      <c r="F18" s="29">
        <f t="shared" si="1"/>
        <v>0</v>
      </c>
      <c r="G18" s="15"/>
    </row>
    <row r="19" spans="1:7" ht="12.5">
      <c r="A19" s="3">
        <f t="shared" si="2"/>
        <v>9</v>
      </c>
      <c r="B19" s="444">
        <v>44223</v>
      </c>
      <c r="C19" s="179">
        <v>1266.04</v>
      </c>
      <c r="D19" s="444">
        <v>44223</v>
      </c>
      <c r="E19" s="380">
        <f t="shared" si="0"/>
        <v>0</v>
      </c>
      <c r="F19" s="29">
        <f t="shared" si="1"/>
        <v>0</v>
      </c>
      <c r="G19" s="15"/>
    </row>
    <row r="20" spans="1:7" ht="12.5">
      <c r="A20" s="3">
        <f t="shared" si="2"/>
        <v>10</v>
      </c>
      <c r="B20" s="444">
        <v>44224</v>
      </c>
      <c r="C20" s="179">
        <v>358754.23999999999</v>
      </c>
      <c r="D20" s="444">
        <v>44224</v>
      </c>
      <c r="E20" s="380">
        <f t="shared" si="0"/>
        <v>0</v>
      </c>
      <c r="F20" s="29">
        <f t="shared" si="1"/>
        <v>0</v>
      </c>
      <c r="G20" s="15"/>
    </row>
    <row r="21" spans="1:7" ht="12.5">
      <c r="A21" s="3">
        <f t="shared" si="2"/>
        <v>11</v>
      </c>
      <c r="B21" s="444">
        <v>44238</v>
      </c>
      <c r="C21" s="179">
        <v>355074.31999999995</v>
      </c>
      <c r="D21" s="444">
        <v>44238</v>
      </c>
      <c r="E21" s="380">
        <f t="shared" si="0"/>
        <v>0</v>
      </c>
      <c r="F21" s="29">
        <f t="shared" si="1"/>
        <v>0</v>
      </c>
      <c r="G21" s="15"/>
    </row>
    <row r="22" spans="1:7" ht="12.5">
      <c r="A22" s="3">
        <f t="shared" si="2"/>
        <v>12</v>
      </c>
      <c r="B22" s="444">
        <v>44243</v>
      </c>
      <c r="C22" s="179">
        <v>37302.419999999998</v>
      </c>
      <c r="D22" s="444">
        <v>44243</v>
      </c>
      <c r="E22" s="380">
        <f t="shared" si="0"/>
        <v>0</v>
      </c>
      <c r="F22" s="29">
        <f t="shared" si="1"/>
        <v>0</v>
      </c>
      <c r="G22" s="15"/>
    </row>
    <row r="23" spans="1:7" ht="12.5">
      <c r="A23" s="3">
        <f t="shared" si="2"/>
        <v>13</v>
      </c>
      <c r="B23" s="444">
        <v>44244</v>
      </c>
      <c r="C23" s="179">
        <v>174.69</v>
      </c>
      <c r="D23" s="444">
        <v>44244</v>
      </c>
      <c r="E23" s="380">
        <f t="shared" si="0"/>
        <v>0</v>
      </c>
      <c r="F23" s="29">
        <f t="shared" si="1"/>
        <v>0</v>
      </c>
      <c r="G23" s="15"/>
    </row>
    <row r="24" spans="1:7" ht="12.5">
      <c r="A24" s="3">
        <f t="shared" si="2"/>
        <v>14</v>
      </c>
      <c r="B24" s="444">
        <v>44246</v>
      </c>
      <c r="C24" s="179">
        <v>15381.450000000001</v>
      </c>
      <c r="D24" s="444">
        <v>44246</v>
      </c>
      <c r="E24" s="380">
        <f t="shared" si="0"/>
        <v>0</v>
      </c>
      <c r="F24" s="29">
        <f t="shared" si="1"/>
        <v>0</v>
      </c>
      <c r="G24" s="15"/>
    </row>
    <row r="25" spans="1:7" ht="12.5">
      <c r="A25" s="3">
        <f t="shared" si="2"/>
        <v>15</v>
      </c>
      <c r="B25" s="444">
        <v>44252</v>
      </c>
      <c r="C25" s="179">
        <v>386126.33999999997</v>
      </c>
      <c r="D25" s="444">
        <v>44252</v>
      </c>
      <c r="E25" s="380">
        <f t="shared" si="0"/>
        <v>0</v>
      </c>
      <c r="F25" s="29">
        <f t="shared" si="1"/>
        <v>0</v>
      </c>
      <c r="G25" s="15"/>
    </row>
    <row r="26" spans="1:7" ht="12.5">
      <c r="A26" s="3">
        <f t="shared" si="2"/>
        <v>16</v>
      </c>
      <c r="B26" s="444">
        <v>44260</v>
      </c>
      <c r="C26" s="179">
        <v>1059998.48</v>
      </c>
      <c r="D26" s="444">
        <v>44260</v>
      </c>
      <c r="E26" s="380">
        <f t="shared" si="0"/>
        <v>0</v>
      </c>
      <c r="F26" s="29">
        <f t="shared" si="1"/>
        <v>0</v>
      </c>
      <c r="G26" s="15"/>
    </row>
    <row r="27" spans="1:7" ht="12.5">
      <c r="A27" s="3">
        <f t="shared" si="2"/>
        <v>17</v>
      </c>
      <c r="B27" s="444">
        <v>44267</v>
      </c>
      <c r="C27" s="179">
        <v>428887.02999999997</v>
      </c>
      <c r="D27" s="444">
        <v>44267</v>
      </c>
      <c r="E27" s="380">
        <f t="shared" si="0"/>
        <v>0</v>
      </c>
      <c r="F27" s="29">
        <f t="shared" si="1"/>
        <v>0</v>
      </c>
      <c r="G27" s="15"/>
    </row>
    <row r="28" spans="1:7" ht="12.5">
      <c r="A28" s="3">
        <f t="shared" si="2"/>
        <v>18</v>
      </c>
      <c r="B28" s="444">
        <v>44274</v>
      </c>
      <c r="C28" s="179">
        <v>16468.360000000001</v>
      </c>
      <c r="D28" s="444">
        <v>44274</v>
      </c>
      <c r="E28" s="380">
        <f t="shared" si="0"/>
        <v>0</v>
      </c>
      <c r="F28" s="29">
        <f t="shared" si="1"/>
        <v>0</v>
      </c>
      <c r="G28" s="15"/>
    </row>
    <row r="29" spans="1:7" ht="12.5">
      <c r="A29" s="3">
        <f t="shared" si="2"/>
        <v>19</v>
      </c>
      <c r="B29" s="444">
        <v>44285</v>
      </c>
      <c r="C29" s="179">
        <v>420336.42999999999</v>
      </c>
      <c r="D29" s="444">
        <v>44285</v>
      </c>
      <c r="E29" s="380">
        <f t="shared" si="0"/>
        <v>0</v>
      </c>
      <c r="F29" s="29">
        <f t="shared" si="1"/>
        <v>0</v>
      </c>
      <c r="G29" s="15"/>
    </row>
    <row r="30" spans="1:7" ht="12.5">
      <c r="A30" s="3">
        <f t="shared" si="2"/>
        <v>20</v>
      </c>
      <c r="B30" s="444">
        <v>44286</v>
      </c>
      <c r="C30" s="179">
        <v>3311.7600000000002</v>
      </c>
      <c r="D30" s="444">
        <v>44286</v>
      </c>
      <c r="E30" s="380">
        <f t="shared" si="0"/>
        <v>0</v>
      </c>
      <c r="F30" s="29">
        <f t="shared" si="1"/>
        <v>0</v>
      </c>
      <c r="G30" s="15"/>
    </row>
    <row r="31" spans="1:7" ht="12.5">
      <c r="A31" s="3">
        <f t="shared" si="2"/>
        <v>21</v>
      </c>
      <c r="B31" s="444">
        <v>44293</v>
      </c>
      <c r="C31" s="179">
        <v>94.700000000000003</v>
      </c>
      <c r="D31" s="444">
        <v>44293</v>
      </c>
      <c r="E31" s="380">
        <f t="shared" si="0"/>
        <v>0</v>
      </c>
      <c r="F31" s="29">
        <f t="shared" si="1"/>
        <v>0</v>
      </c>
      <c r="G31" s="15"/>
    </row>
    <row r="32" spans="1:7" ht="12.5">
      <c r="A32" s="3">
        <f t="shared" si="2"/>
        <v>22</v>
      </c>
      <c r="B32" s="444">
        <v>44300</v>
      </c>
      <c r="C32" s="179">
        <v>406251.20999999996</v>
      </c>
      <c r="D32" s="444">
        <v>44300</v>
      </c>
      <c r="E32" s="380">
        <f t="shared" si="0"/>
        <v>0</v>
      </c>
      <c r="F32" s="29">
        <f t="shared" si="1"/>
        <v>0</v>
      </c>
      <c r="G32" s="15"/>
    </row>
    <row r="33" spans="1:7" ht="12.5">
      <c r="A33" s="3">
        <f t="shared" si="2"/>
        <v>23</v>
      </c>
      <c r="B33" s="444">
        <v>44312</v>
      </c>
      <c r="C33" s="179">
        <v>470.48000000000002</v>
      </c>
      <c r="D33" s="444">
        <v>44312</v>
      </c>
      <c r="E33" s="380">
        <f t="shared" si="0"/>
        <v>0</v>
      </c>
      <c r="F33" s="29">
        <f t="shared" si="1"/>
        <v>0</v>
      </c>
      <c r="G33" s="15"/>
    </row>
    <row r="34" spans="1:7" ht="12.5">
      <c r="A34" s="3">
        <f t="shared" si="2"/>
        <v>24</v>
      </c>
      <c r="B34" s="444">
        <v>44315</v>
      </c>
      <c r="C34" s="179">
        <v>393865.87</v>
      </c>
      <c r="D34" s="444">
        <v>44315</v>
      </c>
      <c r="E34" s="380">
        <f t="shared" si="0"/>
        <v>0</v>
      </c>
      <c r="F34" s="29">
        <f t="shared" si="1"/>
        <v>0</v>
      </c>
      <c r="G34" s="15"/>
    </row>
    <row r="35" spans="1:7" ht="12.5">
      <c r="A35" s="3">
        <f t="shared" si="2"/>
        <v>25</v>
      </c>
      <c r="B35" s="444">
        <v>44327</v>
      </c>
      <c r="C35" s="179">
        <v>7615.3500000000004</v>
      </c>
      <c r="D35" s="444">
        <v>44327</v>
      </c>
      <c r="E35" s="380">
        <f t="shared" si="0"/>
        <v>0</v>
      </c>
      <c r="F35" s="29">
        <f t="shared" si="1"/>
        <v>0</v>
      </c>
      <c r="G35" s="15"/>
    </row>
    <row r="36" spans="1:7" ht="12.5">
      <c r="A36" s="3">
        <f t="shared" si="2"/>
        <v>26</v>
      </c>
      <c r="B36" s="444">
        <v>44329</v>
      </c>
      <c r="C36" s="179">
        <v>398319.87</v>
      </c>
      <c r="D36" s="444">
        <v>44329</v>
      </c>
      <c r="E36" s="380">
        <f t="shared" si="0"/>
        <v>0</v>
      </c>
      <c r="F36" s="29">
        <f t="shared" si="1"/>
        <v>0</v>
      </c>
      <c r="G36" s="15"/>
    </row>
    <row r="37" spans="1:7" ht="12.5">
      <c r="A37" s="3">
        <f t="shared" si="2"/>
        <v>27</v>
      </c>
      <c r="B37" s="444">
        <v>44336</v>
      </c>
      <c r="C37" s="179">
        <v>3486.6300000000001</v>
      </c>
      <c r="D37" s="444">
        <v>44336</v>
      </c>
      <c r="E37" s="380">
        <f t="shared" si="0"/>
        <v>0</v>
      </c>
      <c r="F37" s="29">
        <f t="shared" si="1"/>
        <v>0</v>
      </c>
      <c r="G37" s="15"/>
    </row>
    <row r="38" spans="1:7" ht="12.5">
      <c r="A38" s="3">
        <f t="shared" si="2"/>
        <v>28</v>
      </c>
      <c r="B38" s="444">
        <v>44340</v>
      </c>
      <c r="C38" s="179">
        <v>591.09000000000003</v>
      </c>
      <c r="D38" s="444">
        <v>44340</v>
      </c>
      <c r="E38" s="380">
        <f t="shared" si="0"/>
        <v>0</v>
      </c>
      <c r="F38" s="29">
        <f t="shared" si="1"/>
        <v>0</v>
      </c>
      <c r="G38" s="15"/>
    </row>
    <row r="39" spans="1:7" ht="12.5">
      <c r="A39" s="3">
        <f t="shared" si="2"/>
        <v>29</v>
      </c>
      <c r="B39" s="444">
        <v>44343</v>
      </c>
      <c r="C39" s="179">
        <v>413319.90000000002</v>
      </c>
      <c r="D39" s="444">
        <v>44343</v>
      </c>
      <c r="E39" s="380">
        <f t="shared" si="0"/>
        <v>0</v>
      </c>
      <c r="F39" s="29">
        <f t="shared" si="1"/>
        <v>0</v>
      </c>
      <c r="G39" s="15"/>
    </row>
    <row r="40" spans="1:7" ht="12.5">
      <c r="A40" s="3">
        <f t="shared" si="2"/>
        <v>30</v>
      </c>
      <c r="B40" s="444">
        <v>44361</v>
      </c>
      <c r="C40" s="179">
        <v>412182.87</v>
      </c>
      <c r="D40" s="444">
        <v>44361</v>
      </c>
      <c r="E40" s="380">
        <f t="shared" si="0"/>
        <v>0</v>
      </c>
      <c r="F40" s="29">
        <f t="shared" si="1"/>
        <v>0</v>
      </c>
      <c r="G40" s="15"/>
    </row>
    <row r="41" spans="1:7" ht="12.5">
      <c r="A41" s="3">
        <f t="shared" si="2"/>
        <v>31</v>
      </c>
      <c r="B41" s="444">
        <v>44376</v>
      </c>
      <c r="C41" s="179">
        <v>394706.36000000004</v>
      </c>
      <c r="D41" s="444">
        <v>44376</v>
      </c>
      <c r="E41" s="380">
        <f t="shared" si="0"/>
        <v>0</v>
      </c>
      <c r="F41" s="29">
        <f t="shared" si="1"/>
        <v>0</v>
      </c>
      <c r="G41" s="15"/>
    </row>
    <row r="42" spans="1:7" ht="12.5">
      <c r="A42" s="3">
        <f t="shared" si="2"/>
        <v>32</v>
      </c>
      <c r="B42" s="444">
        <v>44384</v>
      </c>
      <c r="C42" s="179">
        <v>2635.1899999999996</v>
      </c>
      <c r="D42" s="444">
        <v>44384</v>
      </c>
      <c r="E42" s="380">
        <f t="shared" si="0"/>
        <v>0</v>
      </c>
      <c r="F42" s="29">
        <f t="shared" si="1"/>
        <v>0</v>
      </c>
      <c r="G42" s="15"/>
    </row>
    <row r="43" spans="1:7" ht="12.5">
      <c r="A43" s="3">
        <f t="shared" si="3" ref="A43:A53">A42+1</f>
        <v>33</v>
      </c>
      <c r="B43" s="444">
        <v>44391</v>
      </c>
      <c r="C43" s="179">
        <v>384518.72000000003</v>
      </c>
      <c r="D43" s="444">
        <v>44391</v>
      </c>
      <c r="E43" s="380">
        <f t="shared" si="0"/>
        <v>0</v>
      </c>
      <c r="F43" s="29">
        <f t="shared" si="1"/>
        <v>0</v>
      </c>
      <c r="G43" s="15"/>
    </row>
    <row r="44" spans="1:7" ht="12.5">
      <c r="A44" s="3">
        <f t="shared" si="2"/>
        <v>34</v>
      </c>
      <c r="B44" s="444">
        <v>44406</v>
      </c>
      <c r="C44" s="179">
        <v>375620.5</v>
      </c>
      <c r="D44" s="444">
        <v>44406</v>
      </c>
      <c r="E44" s="380">
        <f t="shared" si="4" ref="E44:E49">IF(C44=0,0,-(D44-B44))</f>
        <v>0</v>
      </c>
      <c r="F44" s="29">
        <f t="shared" si="5" ref="F44:F49">C44*E44</f>
        <v>0</v>
      </c>
      <c r="G44" s="15"/>
    </row>
    <row r="45" spans="1:7" ht="12.5">
      <c r="A45" s="3">
        <f t="shared" si="3"/>
        <v>35</v>
      </c>
      <c r="B45" s="444">
        <v>44420</v>
      </c>
      <c r="C45" s="179">
        <v>378085.95000000001</v>
      </c>
      <c r="D45" s="444">
        <v>44420</v>
      </c>
      <c r="E45" s="380">
        <f t="shared" si="4"/>
        <v>0</v>
      </c>
      <c r="F45" s="29">
        <f t="shared" si="5"/>
        <v>0</v>
      </c>
      <c r="G45" s="15"/>
    </row>
    <row r="46" spans="1:7" ht="12.5">
      <c r="A46" s="3">
        <f t="shared" si="2"/>
        <v>36</v>
      </c>
      <c r="B46" s="444">
        <v>44427</v>
      </c>
      <c r="C46" s="179">
        <v>1752.23</v>
      </c>
      <c r="D46" s="444">
        <v>44427</v>
      </c>
      <c r="E46" s="380">
        <f t="shared" si="4"/>
        <v>0</v>
      </c>
      <c r="F46" s="29">
        <f t="shared" si="5"/>
        <v>0</v>
      </c>
      <c r="G46" s="15"/>
    </row>
    <row r="47" spans="1:7" ht="12.5">
      <c r="A47" s="3">
        <f t="shared" si="3"/>
        <v>37</v>
      </c>
      <c r="B47" s="444">
        <v>44438</v>
      </c>
      <c r="C47" s="179">
        <v>406284.76000000001</v>
      </c>
      <c r="D47" s="444">
        <v>44438</v>
      </c>
      <c r="E47" s="380">
        <f t="shared" si="4"/>
        <v>0</v>
      </c>
      <c r="F47" s="29">
        <f t="shared" si="5"/>
        <v>0</v>
      </c>
      <c r="G47" s="15"/>
    </row>
    <row r="48" spans="1:7" ht="12.5">
      <c r="A48" s="3">
        <f t="shared" si="2"/>
        <v>38</v>
      </c>
      <c r="B48" s="444">
        <v>44453</v>
      </c>
      <c r="C48" s="179">
        <v>353650.42000000004</v>
      </c>
      <c r="D48" s="444">
        <v>44453</v>
      </c>
      <c r="E48" s="380">
        <f t="shared" si="4"/>
        <v>0</v>
      </c>
      <c r="F48" s="29">
        <f t="shared" si="5"/>
        <v>0</v>
      </c>
      <c r="G48" s="15"/>
    </row>
    <row r="49" spans="1:7" ht="12.5">
      <c r="A49" s="3">
        <f t="shared" si="3"/>
        <v>39</v>
      </c>
      <c r="B49" s="444">
        <v>44468</v>
      </c>
      <c r="C49" s="179">
        <v>366240.34999999998</v>
      </c>
      <c r="D49" s="444">
        <v>44468</v>
      </c>
      <c r="E49" s="380">
        <f t="shared" si="4"/>
        <v>0</v>
      </c>
      <c r="F49" s="29">
        <f t="shared" si="5"/>
        <v>0</v>
      </c>
      <c r="G49" s="15"/>
    </row>
    <row r="50" spans="1:7" ht="12.5">
      <c r="A50" s="3">
        <f t="shared" si="2"/>
        <v>40</v>
      </c>
      <c r="B50" s="444"/>
      <c r="C50" s="248"/>
      <c r="D50" s="444"/>
      <c r="E50" s="380"/>
      <c r="F50" s="29"/>
      <c r="G50" s="15"/>
    </row>
    <row r="51" spans="1:7" ht="13" thickBot="1">
      <c r="A51" s="3">
        <f t="shared" si="3"/>
        <v>41</v>
      </c>
      <c r="B51" s="3" t="s">
        <v>26</v>
      </c>
      <c r="C51" s="390">
        <f>SUM(C11:C50)</f>
        <v>8613231.7200000007</v>
      </c>
      <c r="E51" s="391">
        <f>ROUND(F51/C51,2)</f>
        <v>0</v>
      </c>
      <c r="F51" s="390">
        <f>SUM(F11:F50)</f>
        <v>0</v>
      </c>
      <c r="G51" s="15"/>
    </row>
    <row r="52" spans="1:7" ht="13" thickTop="1">
      <c r="A52" s="3">
        <f t="shared" si="2"/>
        <v>42</v>
      </c>
      <c r="E52" s="64"/>
      <c r="G52" s="15"/>
    </row>
    <row r="53" spans="1:7" ht="12.5">
      <c r="A53" s="3">
        <f t="shared" si="3"/>
        <v>43</v>
      </c>
      <c r="B53" s="1" t="s">
        <v>256</v>
      </c>
      <c r="C53" s="293" t="s">
        <v>479</v>
      </c>
      <c r="E53" s="64"/>
      <c r="F53" s="65"/>
      <c r="G53" s="15"/>
    </row>
    <row r="54" spans="7:7" ht="12.5">
      <c r="G54" s="15"/>
    </row>
    <row r="55" spans="6:7" ht="12.5">
      <c r="F55" s="18"/>
      <c r="G55" s="15"/>
    </row>
    <row r="56" spans="7:7" ht="12.5">
      <c r="G56" s="15"/>
    </row>
    <row r="57" spans="3:7" ht="12.5">
      <c r="C57" s="43"/>
      <c r="F57" s="43"/>
      <c r="G57" s="15"/>
    </row>
    <row r="58" spans="7:7" ht="12.5">
      <c r="G58" s="15"/>
    </row>
    <row r="59" spans="7:7" ht="12.5">
      <c r="G59" s="15"/>
    </row>
    <row r="60" spans="1:7" ht="13">
      <c r="A60" s="200"/>
      <c r="B60" s="16"/>
      <c r="C60" s="16"/>
      <c r="D60" s="16"/>
      <c r="E60" s="16"/>
      <c r="F60" s="16"/>
      <c r="G60" s="15"/>
    </row>
    <row r="61" s="22" customFormat="1" ht="13"/>
    <row r="62" s="22" customFormat="1" ht="13"/>
    <row r="63" s="22" customFormat="1" ht="13"/>
    <row r="64" spans="2:7" ht="12.5">
      <c r="B64" s="8"/>
      <c r="C64" s="8"/>
      <c r="D64" s="8"/>
      <c r="E64" s="8"/>
      <c r="F64" s="8"/>
      <c r="G64" s="15"/>
    </row>
    <row r="65" spans="1:7" ht="13">
      <c r="A65" s="200"/>
      <c r="B65" s="8"/>
      <c r="C65" s="8"/>
      <c r="D65" s="8"/>
      <c r="E65" s="8"/>
      <c r="F65" s="8"/>
      <c r="G65" s="15"/>
    </row>
    <row r="66" spans="2:7" ht="12.5">
      <c r="B66" s="8"/>
      <c r="C66" s="8"/>
      <c r="D66" s="8"/>
      <c r="E66" s="8"/>
      <c r="F66" s="8"/>
      <c r="G66" s="15"/>
    </row>
    <row r="67" spans="2:7" ht="12.5">
      <c r="B67" s="175"/>
      <c r="C67" s="174"/>
      <c r="D67" s="175"/>
      <c r="E67" s="64"/>
      <c r="F67" s="15"/>
      <c r="G67" s="15"/>
    </row>
    <row r="68" spans="2:7" ht="12.5">
      <c r="B68" s="175"/>
      <c r="C68" s="174"/>
      <c r="D68" s="175"/>
      <c r="E68" s="64"/>
      <c r="F68" s="4"/>
      <c r="G68" s="15"/>
    </row>
    <row r="69" spans="2:7" ht="12.5">
      <c r="B69" s="175"/>
      <c r="C69" s="174"/>
      <c r="D69" s="175"/>
      <c r="E69" s="64"/>
      <c r="F69" s="4"/>
      <c r="G69" s="15"/>
    </row>
    <row r="70" spans="2:7" ht="12.5">
      <c r="B70" s="175"/>
      <c r="C70" s="174"/>
      <c r="D70" s="175"/>
      <c r="E70" s="64"/>
      <c r="F70" s="4"/>
      <c r="G70" s="15"/>
    </row>
    <row r="71" spans="2:7" ht="12.5">
      <c r="B71" s="175"/>
      <c r="C71" s="174"/>
      <c r="D71" s="175"/>
      <c r="E71" s="64"/>
      <c r="F71" s="4"/>
      <c r="G71" s="15"/>
    </row>
    <row r="72" spans="2:7" ht="12.5">
      <c r="B72" s="175"/>
      <c r="C72" s="174"/>
      <c r="D72" s="175"/>
      <c r="E72" s="64"/>
      <c r="F72" s="4"/>
      <c r="G72" s="15"/>
    </row>
    <row r="73" spans="2:7" ht="12.5">
      <c r="B73" s="175"/>
      <c r="C73" s="174"/>
      <c r="D73" s="175"/>
      <c r="E73" s="64"/>
      <c r="F73" s="4"/>
      <c r="G73" s="15"/>
    </row>
    <row r="74" spans="2:7" ht="12.5">
      <c r="B74" s="175"/>
      <c r="C74" s="174"/>
      <c r="D74" s="175"/>
      <c r="E74" s="64"/>
      <c r="F74" s="4"/>
      <c r="G74" s="15"/>
    </row>
    <row r="75" spans="2:7" ht="12.5">
      <c r="B75" s="175"/>
      <c r="C75" s="174"/>
      <c r="D75" s="175"/>
      <c r="E75" s="64"/>
      <c r="F75" s="4"/>
      <c r="G75" s="15"/>
    </row>
    <row r="76" spans="2:7" ht="12.5">
      <c r="B76" s="175"/>
      <c r="C76" s="174"/>
      <c r="D76" s="175"/>
      <c r="E76" s="64"/>
      <c r="F76" s="4"/>
      <c r="G76" s="15"/>
    </row>
    <row r="77" spans="2:7" ht="12.5">
      <c r="B77" s="175"/>
      <c r="C77" s="174"/>
      <c r="D77" s="175"/>
      <c r="E77" s="64"/>
      <c r="F77" s="4"/>
      <c r="G77" s="15"/>
    </row>
    <row r="78" spans="2:7" ht="12.5">
      <c r="B78" s="175"/>
      <c r="C78" s="174"/>
      <c r="D78" s="175"/>
      <c r="E78" s="64"/>
      <c r="F78" s="4"/>
      <c r="G78" s="15"/>
    </row>
    <row r="79" spans="2:7" ht="12.5">
      <c r="B79" s="175"/>
      <c r="C79" s="174"/>
      <c r="D79" s="175"/>
      <c r="E79" s="64"/>
      <c r="F79" s="4"/>
      <c r="G79" s="15"/>
    </row>
    <row r="80" spans="2:7" ht="12.5">
      <c r="B80" s="175"/>
      <c r="C80" s="174"/>
      <c r="D80" s="175"/>
      <c r="E80" s="64"/>
      <c r="F80" s="4"/>
      <c r="G80" s="15"/>
    </row>
    <row r="81" spans="2:7" ht="12.5">
      <c r="B81" s="175"/>
      <c r="C81" s="174"/>
      <c r="D81" s="175"/>
      <c r="E81" s="64"/>
      <c r="F81" s="4"/>
      <c r="G81" s="15"/>
    </row>
    <row r="82" spans="2:6" ht="12.5">
      <c r="B82" s="175"/>
      <c r="C82" s="174"/>
      <c r="D82" s="175"/>
      <c r="E82" s="64"/>
      <c r="F82" s="4"/>
    </row>
    <row r="83" spans="2:6" ht="12.5">
      <c r="B83" s="175"/>
      <c r="C83" s="174"/>
      <c r="D83" s="175"/>
      <c r="E83" s="64"/>
      <c r="F83" s="4"/>
    </row>
    <row r="84" spans="2:6" ht="12.5">
      <c r="B84" s="175"/>
      <c r="C84" s="174"/>
      <c r="D84" s="175"/>
      <c r="E84" s="64"/>
      <c r="F84" s="4"/>
    </row>
    <row r="85" spans="2:6" ht="12.5">
      <c r="B85" s="175"/>
      <c r="C85" s="174"/>
      <c r="D85" s="175"/>
      <c r="E85" s="64"/>
      <c r="F85" s="4"/>
    </row>
    <row r="86" spans="2:6" ht="12.5">
      <c r="B86" s="175"/>
      <c r="C86" s="174"/>
      <c r="D86" s="175"/>
      <c r="E86" s="64"/>
      <c r="F86" s="4"/>
    </row>
    <row r="87" spans="2:6" ht="12.5">
      <c r="B87" s="175"/>
      <c r="C87" s="174"/>
      <c r="D87" s="175"/>
      <c r="E87" s="64"/>
      <c r="F87" s="4"/>
    </row>
    <row r="88" spans="2:6" ht="12.5">
      <c r="B88" s="175"/>
      <c r="C88" s="174"/>
      <c r="D88" s="175"/>
      <c r="E88" s="64"/>
      <c r="F88" s="4"/>
    </row>
    <row r="89" spans="2:6" ht="12.5">
      <c r="B89" s="175"/>
      <c r="C89" s="174"/>
      <c r="D89" s="175"/>
      <c r="E89" s="64"/>
      <c r="F89" s="4"/>
    </row>
    <row r="90" spans="2:6" ht="12.5">
      <c r="B90" s="175"/>
      <c r="C90" s="174"/>
      <c r="D90" s="175"/>
      <c r="E90" s="64"/>
      <c r="F90" s="4"/>
    </row>
    <row r="91" spans="2:6" ht="12.5">
      <c r="B91" s="175"/>
      <c r="C91" s="174"/>
      <c r="D91" s="175"/>
      <c r="E91" s="64"/>
      <c r="F91" s="4"/>
    </row>
    <row r="92" spans="2:6" ht="12.5">
      <c r="B92" s="175"/>
      <c r="C92" s="174"/>
      <c r="D92" s="175"/>
      <c r="E92" s="64"/>
      <c r="F92" s="4"/>
    </row>
    <row r="93" spans="2:6" ht="12.5">
      <c r="B93" s="175"/>
      <c r="C93" s="174"/>
      <c r="D93" s="175"/>
      <c r="E93" s="64"/>
      <c r="F93" s="4"/>
    </row>
    <row r="94" spans="2:6" ht="12.5">
      <c r="B94" s="175"/>
      <c r="C94" s="174"/>
      <c r="D94" s="175"/>
      <c r="E94" s="64"/>
      <c r="F94" s="4"/>
    </row>
    <row r="95" spans="2:6" ht="12.5">
      <c r="B95" s="175"/>
      <c r="C95" s="174"/>
      <c r="D95" s="175"/>
      <c r="E95" s="64"/>
      <c r="F95" s="4"/>
    </row>
    <row r="96" spans="2:6" ht="12.5">
      <c r="B96" s="175"/>
      <c r="C96" s="174"/>
      <c r="D96" s="175"/>
      <c r="E96" s="64"/>
      <c r="F96" s="4"/>
    </row>
    <row r="97" spans="2:6" ht="12.5">
      <c r="B97" s="175"/>
      <c r="C97" s="174"/>
      <c r="D97" s="175"/>
      <c r="E97" s="64"/>
      <c r="F97" s="4"/>
    </row>
    <row r="98" spans="2:6" ht="12.5">
      <c r="B98" s="175"/>
      <c r="C98" s="174"/>
      <c r="D98" s="175"/>
      <c r="E98" s="64"/>
      <c r="F98" s="4"/>
    </row>
    <row r="99" spans="2:6" ht="12.5">
      <c r="B99" s="175"/>
      <c r="C99" s="174"/>
      <c r="D99" s="175"/>
      <c r="E99" s="64"/>
      <c r="F99" s="4"/>
    </row>
    <row r="100" spans="2:6" ht="12.5">
      <c r="B100" s="175"/>
      <c r="C100" s="174"/>
      <c r="D100" s="175"/>
      <c r="E100" s="64"/>
      <c r="F100" s="4"/>
    </row>
    <row r="101" spans="2:6" ht="12.5">
      <c r="B101" s="175"/>
      <c r="C101" s="174"/>
      <c r="D101" s="175"/>
      <c r="E101" s="64"/>
      <c r="F101" s="4"/>
    </row>
    <row r="102" spans="2:6" ht="12.5">
      <c r="B102" s="175"/>
      <c r="C102" s="174"/>
      <c r="D102" s="175"/>
      <c r="E102" s="64"/>
      <c r="F102" s="4"/>
    </row>
    <row r="103" spans="2:6" ht="12.5">
      <c r="B103" s="175"/>
      <c r="C103" s="174"/>
      <c r="D103" s="175"/>
      <c r="E103" s="64"/>
      <c r="F103" s="4"/>
    </row>
    <row r="104" spans="2:6" ht="12.5">
      <c r="B104" s="175"/>
      <c r="C104" s="174"/>
      <c r="D104" s="175"/>
      <c r="E104" s="64"/>
      <c r="F104" s="4"/>
    </row>
    <row r="105" spans="2:6" ht="12.5">
      <c r="B105" s="175"/>
      <c r="C105" s="174"/>
      <c r="D105" s="175"/>
      <c r="E105" s="64"/>
      <c r="F105" s="4"/>
    </row>
    <row r="106" spans="2:6" ht="12.5">
      <c r="B106" s="175"/>
      <c r="C106" s="174"/>
      <c r="D106" s="175"/>
      <c r="E106" s="64"/>
      <c r="F106" s="4"/>
    </row>
  </sheetData>
  <mergeCells count="1">
    <mergeCell ref="A3:F3"/>
  </mergeCells>
  <hyperlinks>
    <hyperlink ref="C53" r:id="rId1" display="Taxes Other Than Income - Payroll Taxes.xlsx"/>
  </hyperlinks>
  <printOptions horizontalCentered="1"/>
  <pageMargins left="0.5" right="0.5" top="1.5" bottom="0.5" header="1" footer="0.5"/>
  <pageSetup fitToHeight="2" orientation="landscape" r:id="rId2"/>
  <headerFooter alignWithMargins="0">
    <oddHeader>&amp;RWP/II-B-9/&amp;A
Page &amp;P of &amp;N</oddHeader>
  </headerFooter>
  <rowBreaks count="1" manualBreakCount="1">
    <brk id="58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7">
    <tabColor rgb="FF92D050"/>
  </sheetPr>
  <dimension ref="A1:L101"/>
  <sheetViews>
    <sheetView showGridLines="0" tabSelected="1" workbookViewId="0" topLeftCell="A4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11.8571428571429" style="1" customWidth="1"/>
    <col min="3" max="5" width="12.8571428571429" style="1" customWidth="1"/>
    <col min="6" max="10" width="11.8571428571429" style="1" customWidth="1"/>
    <col min="11" max="11" width="12.5714285714286" style="1" customWidth="1"/>
    <col min="12" max="12" width="14.8571428571429" style="1" customWidth="1"/>
    <col min="13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12" s="42" customFormat="1" ht="13">
      <c r="A3" s="396" t="s">
        <v>278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1"/>
      <c r="C5" s="181"/>
      <c r="D5" s="181"/>
      <c r="E5" s="181"/>
    </row>
    <row r="7" spans="1:12" ht="13">
      <c r="A7" s="22" t="s">
        <v>40</v>
      </c>
      <c r="B7" s="22" t="s">
        <v>39</v>
      </c>
      <c r="C7" s="22" t="s">
        <v>91</v>
      </c>
      <c r="D7" s="22" t="s">
        <v>92</v>
      </c>
      <c r="E7" s="22" t="s">
        <v>26</v>
      </c>
      <c r="F7" s="22" t="s">
        <v>88</v>
      </c>
      <c r="G7" s="823" t="s">
        <v>487</v>
      </c>
      <c r="H7" s="823"/>
      <c r="I7" s="823"/>
      <c r="J7" s="22"/>
      <c r="K7" s="25"/>
      <c r="L7" s="27" t="s">
        <v>112</v>
      </c>
    </row>
    <row r="8" spans="1:12" ht="13">
      <c r="A8" s="57" t="s">
        <v>41</v>
      </c>
      <c r="B8" s="57" t="s">
        <v>89</v>
      </c>
      <c r="C8" s="57" t="s">
        <v>24</v>
      </c>
      <c r="D8" s="57" t="s">
        <v>24</v>
      </c>
      <c r="E8" s="57" t="s">
        <v>24</v>
      </c>
      <c r="F8" s="57" t="s">
        <v>113</v>
      </c>
      <c r="G8" s="664" t="s">
        <v>451</v>
      </c>
      <c r="H8" s="664" t="s">
        <v>452</v>
      </c>
      <c r="I8" s="664" t="s">
        <v>18</v>
      </c>
      <c r="J8" s="664" t="s">
        <v>265</v>
      </c>
      <c r="K8" s="673" t="s">
        <v>46</v>
      </c>
      <c r="L8" s="63" t="s">
        <v>90</v>
      </c>
    </row>
    <row r="9" spans="2:12" ht="12.5">
      <c r="B9" s="8" t="s">
        <v>55</v>
      </c>
      <c r="C9" s="8" t="s">
        <v>56</v>
      </c>
      <c r="D9" s="8" t="s">
        <v>62</v>
      </c>
      <c r="E9" s="8" t="s">
        <v>57</v>
      </c>
      <c r="F9" s="8" t="s">
        <v>58</v>
      </c>
      <c r="G9" s="677" t="s">
        <v>59</v>
      </c>
      <c r="H9" s="677" t="s">
        <v>60</v>
      </c>
      <c r="I9" s="677" t="s">
        <v>63</v>
      </c>
      <c r="J9" s="677" t="s">
        <v>64</v>
      </c>
      <c r="K9" s="677" t="s">
        <v>485</v>
      </c>
      <c r="L9" s="677" t="s">
        <v>486</v>
      </c>
    </row>
    <row r="10" spans="2:12" ht="12.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2.5">
      <c r="A11" s="3">
        <v>1</v>
      </c>
      <c r="B11" s="636">
        <v>44112</v>
      </c>
      <c r="C11" s="637">
        <v>69.469999999999999</v>
      </c>
      <c r="D11" s="637">
        <v>85.490000000000009</v>
      </c>
      <c r="E11" s="637">
        <f>D11+C11</f>
        <v>154.96000000000001</v>
      </c>
      <c r="F11" s="636">
        <v>44112</v>
      </c>
      <c r="G11" s="636">
        <v>43831</v>
      </c>
      <c r="H11" s="636">
        <v>44196</v>
      </c>
      <c r="I11" s="636">
        <f>+(G11+H11)/2</f>
        <v>44013.5</v>
      </c>
      <c r="J11" s="636">
        <v>44227</v>
      </c>
      <c r="K11" s="29">
        <f>I11-J11</f>
        <v>-213.5</v>
      </c>
      <c r="L11" s="75">
        <f t="shared" si="0" ref="L11:L42">E11*K11</f>
        <v>-33083.959999999999</v>
      </c>
    </row>
    <row r="12" spans="1:12" ht="12.5">
      <c r="A12" s="3">
        <f>A11+1</f>
        <v>2</v>
      </c>
      <c r="B12" s="636">
        <v>44117</v>
      </c>
      <c r="C12" s="637">
        <v>-0.02</v>
      </c>
      <c r="D12" s="637">
        <v>-0.11000000000000001</v>
      </c>
      <c r="E12" s="637">
        <f t="shared" si="1" ref="E12:E69">D12+C12</f>
        <v>-0.13</v>
      </c>
      <c r="F12" s="636">
        <v>44117</v>
      </c>
      <c r="G12" s="636">
        <v>43831</v>
      </c>
      <c r="H12" s="636">
        <v>44196</v>
      </c>
      <c r="I12" s="636">
        <f t="shared" si="2" ref="I12:I24">+(G12+H12)/2</f>
        <v>44013.5</v>
      </c>
      <c r="J12" s="636">
        <v>44227</v>
      </c>
      <c r="K12" s="29">
        <f t="shared" si="3" ref="K12:K69">I12-J12</f>
        <v>-213.5</v>
      </c>
      <c r="L12" s="29">
        <f t="shared" si="0"/>
        <v>27.755000000000003</v>
      </c>
    </row>
    <row r="13" spans="1:12" ht="12.5">
      <c r="A13" s="3">
        <f t="shared" si="4" ref="A13:A96">A12+1</f>
        <v>3</v>
      </c>
      <c r="B13" s="636">
        <v>44126</v>
      </c>
      <c r="C13" s="637">
        <v>64.939999999999998</v>
      </c>
      <c r="D13" s="637">
        <v>79.209999999999994</v>
      </c>
      <c r="E13" s="637">
        <f t="shared" si="1"/>
        <v>144.14999999999998</v>
      </c>
      <c r="F13" s="636">
        <v>44126</v>
      </c>
      <c r="G13" s="636">
        <v>43831</v>
      </c>
      <c r="H13" s="636">
        <v>44196</v>
      </c>
      <c r="I13" s="636">
        <f t="shared" si="2"/>
        <v>44013.5</v>
      </c>
      <c r="J13" s="636">
        <v>44227</v>
      </c>
      <c r="K13" s="29">
        <f t="shared" si="3"/>
        <v>-213.5</v>
      </c>
      <c r="L13" s="29">
        <f t="shared" si="0"/>
        <v>-30776.024999999994</v>
      </c>
    </row>
    <row r="14" spans="1:12" ht="12.5">
      <c r="A14" s="3">
        <f t="shared" si="4"/>
        <v>4</v>
      </c>
      <c r="B14" s="636">
        <v>44118</v>
      </c>
      <c r="C14" s="637">
        <v>0</v>
      </c>
      <c r="D14" s="637">
        <v>1195.55</v>
      </c>
      <c r="E14" s="637">
        <f t="shared" si="1"/>
        <v>1195.55</v>
      </c>
      <c r="F14" s="636">
        <v>44118</v>
      </c>
      <c r="G14" s="636">
        <v>43831</v>
      </c>
      <c r="H14" s="636">
        <v>44196</v>
      </c>
      <c r="I14" s="636">
        <f t="shared" si="2"/>
        <v>44013.5</v>
      </c>
      <c r="J14" s="636">
        <v>44227</v>
      </c>
      <c r="K14" s="29">
        <f t="shared" si="3"/>
        <v>-213.5</v>
      </c>
      <c r="L14" s="29">
        <f t="shared" si="0"/>
        <v>-255249.92499999999</v>
      </c>
    </row>
    <row r="15" spans="1:12" ht="12.5">
      <c r="A15" s="3">
        <f t="shared" si="4"/>
        <v>5</v>
      </c>
      <c r="B15" s="636">
        <v>44125</v>
      </c>
      <c r="C15" s="637">
        <v>20.280000000000001</v>
      </c>
      <c r="D15" s="637">
        <v>27.530000000000001</v>
      </c>
      <c r="E15" s="637">
        <f t="shared" si="1"/>
        <v>47.810000000000002</v>
      </c>
      <c r="F15" s="636">
        <v>44125</v>
      </c>
      <c r="G15" s="636">
        <v>43831</v>
      </c>
      <c r="H15" s="636">
        <v>44196</v>
      </c>
      <c r="I15" s="636">
        <f t="shared" si="2"/>
        <v>44013.5</v>
      </c>
      <c r="J15" s="636">
        <v>44227</v>
      </c>
      <c r="K15" s="29">
        <f t="shared" si="3"/>
        <v>-213.5</v>
      </c>
      <c r="L15" s="29">
        <f t="shared" si="0"/>
        <v>-10207.435000000001</v>
      </c>
    </row>
    <row r="16" spans="1:12" ht="12.5">
      <c r="A16" s="3">
        <f t="shared" si="4"/>
        <v>6</v>
      </c>
      <c r="B16" s="636">
        <v>44133</v>
      </c>
      <c r="C16" s="637">
        <v>630.11000000000001</v>
      </c>
      <c r="D16" s="637">
        <v>829.29000000000008</v>
      </c>
      <c r="E16" s="637">
        <f t="shared" si="1"/>
        <v>1459.4000000000001</v>
      </c>
      <c r="F16" s="636">
        <v>44133</v>
      </c>
      <c r="G16" s="636">
        <v>43831</v>
      </c>
      <c r="H16" s="636">
        <v>44196</v>
      </c>
      <c r="I16" s="636">
        <f t="shared" si="2"/>
        <v>44013.5</v>
      </c>
      <c r="J16" s="636">
        <v>44227</v>
      </c>
      <c r="K16" s="29">
        <f t="shared" si="3"/>
        <v>-213.5</v>
      </c>
      <c r="L16" s="29">
        <f t="shared" si="0"/>
        <v>-311581.90000000002</v>
      </c>
    </row>
    <row r="17" spans="1:12" ht="12.5">
      <c r="A17" s="3">
        <f t="shared" si="4"/>
        <v>7</v>
      </c>
      <c r="B17" s="636">
        <v>44140</v>
      </c>
      <c r="C17" s="637">
        <v>21.710000000000001</v>
      </c>
      <c r="D17" s="637">
        <v>47.840000000000003</v>
      </c>
      <c r="E17" s="637">
        <f t="shared" si="1"/>
        <v>69.550000000000011</v>
      </c>
      <c r="F17" s="636">
        <v>44140</v>
      </c>
      <c r="G17" s="636">
        <v>43831</v>
      </c>
      <c r="H17" s="636">
        <v>44196</v>
      </c>
      <c r="I17" s="636">
        <f t="shared" si="2"/>
        <v>44013.5</v>
      </c>
      <c r="J17" s="636">
        <v>44227</v>
      </c>
      <c r="K17" s="29">
        <f t="shared" si="3"/>
        <v>-213.5</v>
      </c>
      <c r="L17" s="29">
        <f t="shared" si="0"/>
        <v>-14848.925000000003</v>
      </c>
    </row>
    <row r="18" spans="1:12" ht="12.5">
      <c r="A18" s="3">
        <f t="shared" si="4"/>
        <v>8</v>
      </c>
      <c r="B18" s="636">
        <v>44147</v>
      </c>
      <c r="C18" s="637">
        <v>570.69000000000005</v>
      </c>
      <c r="D18" s="637">
        <v>826.93000000000006</v>
      </c>
      <c r="E18" s="637">
        <f t="shared" si="1"/>
        <v>1397.6200000000001</v>
      </c>
      <c r="F18" s="636">
        <v>44147</v>
      </c>
      <c r="G18" s="636">
        <v>43831</v>
      </c>
      <c r="H18" s="636">
        <v>44196</v>
      </c>
      <c r="I18" s="636">
        <f t="shared" si="2"/>
        <v>44013.5</v>
      </c>
      <c r="J18" s="636">
        <v>44227</v>
      </c>
      <c r="K18" s="29">
        <f t="shared" si="3"/>
        <v>-213.5</v>
      </c>
      <c r="L18" s="29">
        <f t="shared" si="0"/>
        <v>-298391.87000000005</v>
      </c>
    </row>
    <row r="19" spans="1:12" ht="12.5">
      <c r="A19" s="3">
        <f t="shared" si="4"/>
        <v>9</v>
      </c>
      <c r="B19" s="636">
        <v>44153</v>
      </c>
      <c r="C19" s="637">
        <v>22.059999999999999</v>
      </c>
      <c r="D19" s="637">
        <v>29.510000000000002</v>
      </c>
      <c r="E19" s="637">
        <f t="shared" si="1"/>
        <v>51.57</v>
      </c>
      <c r="F19" s="636">
        <v>44153</v>
      </c>
      <c r="G19" s="636">
        <v>43831</v>
      </c>
      <c r="H19" s="636">
        <v>44196</v>
      </c>
      <c r="I19" s="636">
        <f t="shared" si="2"/>
        <v>44013.5</v>
      </c>
      <c r="J19" s="636">
        <v>44227</v>
      </c>
      <c r="K19" s="29">
        <f t="shared" si="3"/>
        <v>-213.5</v>
      </c>
      <c r="L19" s="29">
        <f t="shared" si="0"/>
        <v>-11010.195</v>
      </c>
    </row>
    <row r="20" spans="1:12" ht="12.5">
      <c r="A20" s="3">
        <f t="shared" si="4"/>
        <v>10</v>
      </c>
      <c r="B20" s="636">
        <v>44154</v>
      </c>
      <c r="C20" s="637">
        <v>16.530000000000001</v>
      </c>
      <c r="D20" s="637">
        <v>30.75</v>
      </c>
      <c r="E20" s="637">
        <f t="shared" si="1"/>
        <v>47.280000000000001</v>
      </c>
      <c r="F20" s="636">
        <v>44154</v>
      </c>
      <c r="G20" s="636">
        <v>43831</v>
      </c>
      <c r="H20" s="636">
        <v>44196</v>
      </c>
      <c r="I20" s="636">
        <f t="shared" si="2"/>
        <v>44013.5</v>
      </c>
      <c r="J20" s="636">
        <v>44227</v>
      </c>
      <c r="K20" s="29">
        <f t="shared" si="3"/>
        <v>-213.5</v>
      </c>
      <c r="L20" s="29">
        <f t="shared" si="0"/>
        <v>-10094.280000000001</v>
      </c>
    </row>
    <row r="21" spans="1:12" ht="12.5">
      <c r="A21" s="3">
        <f t="shared" si="4"/>
        <v>11</v>
      </c>
      <c r="B21" s="636">
        <v>44118</v>
      </c>
      <c r="C21" s="637">
        <v>488.72000000000003</v>
      </c>
      <c r="D21" s="637">
        <v>-488.72000000000003</v>
      </c>
      <c r="E21" s="637">
        <f t="shared" si="1"/>
        <v>0</v>
      </c>
      <c r="F21" s="636">
        <v>44118</v>
      </c>
      <c r="G21" s="636">
        <v>43831</v>
      </c>
      <c r="H21" s="636">
        <v>44196</v>
      </c>
      <c r="I21" s="636">
        <f t="shared" si="2"/>
        <v>44013.5</v>
      </c>
      <c r="J21" s="636">
        <v>44227</v>
      </c>
      <c r="K21" s="29">
        <f t="shared" si="3"/>
        <v>-213.5</v>
      </c>
      <c r="L21" s="29">
        <f t="shared" si="0"/>
        <v>0</v>
      </c>
    </row>
    <row r="22" spans="1:12" ht="12.5">
      <c r="A22" s="3">
        <f t="shared" si="4"/>
        <v>12</v>
      </c>
      <c r="B22" s="636">
        <v>44160</v>
      </c>
      <c r="C22" s="637">
        <v>654.37</v>
      </c>
      <c r="D22" s="637">
        <v>841.95000000000005</v>
      </c>
      <c r="E22" s="637">
        <f t="shared" si="1"/>
        <v>1496.3200000000002</v>
      </c>
      <c r="F22" s="636">
        <v>44160</v>
      </c>
      <c r="G22" s="636">
        <v>43831</v>
      </c>
      <c r="H22" s="636">
        <v>44196</v>
      </c>
      <c r="I22" s="636">
        <f t="shared" si="2"/>
        <v>44013.5</v>
      </c>
      <c r="J22" s="636">
        <v>44227</v>
      </c>
      <c r="K22" s="29">
        <f t="shared" si="3"/>
        <v>-213.5</v>
      </c>
      <c r="L22" s="29">
        <f t="shared" si="0"/>
        <v>-319464.32000000001</v>
      </c>
    </row>
    <row r="23" spans="1:12" ht="12.5">
      <c r="A23" s="3">
        <f t="shared" si="4"/>
        <v>13</v>
      </c>
      <c r="B23" s="636">
        <v>44168</v>
      </c>
      <c r="C23" s="637">
        <v>34.329999999999998</v>
      </c>
      <c r="D23" s="637">
        <v>39.049999999999997</v>
      </c>
      <c r="E23" s="637">
        <f t="shared" si="1"/>
        <v>73.379999999999995</v>
      </c>
      <c r="F23" s="636">
        <v>44168</v>
      </c>
      <c r="G23" s="636">
        <v>43831</v>
      </c>
      <c r="H23" s="636">
        <v>44196</v>
      </c>
      <c r="I23" s="636">
        <f t="shared" si="2"/>
        <v>44013.5</v>
      </c>
      <c r="J23" s="636">
        <v>44227</v>
      </c>
      <c r="K23" s="29">
        <f t="shared" si="3"/>
        <v>-213.5</v>
      </c>
      <c r="L23" s="29">
        <f t="shared" si="0"/>
        <v>-15666.629999999999</v>
      </c>
    </row>
    <row r="24" spans="1:12" ht="12.5">
      <c r="A24" s="3">
        <f t="shared" si="4"/>
        <v>14</v>
      </c>
      <c r="B24" s="636">
        <v>44182</v>
      </c>
      <c r="C24" s="637">
        <v>36.960000000000001</v>
      </c>
      <c r="D24" s="637">
        <v>42.609999999999999</v>
      </c>
      <c r="E24" s="637">
        <f t="shared" si="1"/>
        <v>79.569999999999993</v>
      </c>
      <c r="F24" s="636">
        <v>44182</v>
      </c>
      <c r="G24" s="636">
        <v>43831</v>
      </c>
      <c r="H24" s="636">
        <v>44196</v>
      </c>
      <c r="I24" s="636">
        <f t="shared" si="2"/>
        <v>44013.5</v>
      </c>
      <c r="J24" s="636">
        <v>44227</v>
      </c>
      <c r="K24" s="29">
        <f t="shared" si="3"/>
        <v>-213.5</v>
      </c>
      <c r="L24" s="29">
        <f t="shared" si="0"/>
        <v>-16988.195</v>
      </c>
    </row>
    <row r="25" spans="1:12" ht="12.5">
      <c r="A25" s="3">
        <f t="shared" si="4"/>
        <v>15</v>
      </c>
      <c r="B25" s="636">
        <v>44179</v>
      </c>
      <c r="C25" s="637">
        <v>514.97000000000003</v>
      </c>
      <c r="D25" s="637">
        <v>869.53999999999996</v>
      </c>
      <c r="E25" s="637">
        <f t="shared" si="1"/>
        <v>1384.51</v>
      </c>
      <c r="F25" s="636">
        <v>44179</v>
      </c>
      <c r="G25" s="636">
        <v>43831</v>
      </c>
      <c r="H25" s="636">
        <v>44196</v>
      </c>
      <c r="I25" s="636">
        <f t="shared" si="5" ref="I25:I69">+(G25+H25)/2</f>
        <v>44013.5</v>
      </c>
      <c r="J25" s="636">
        <v>44227</v>
      </c>
      <c r="K25" s="29">
        <f t="shared" si="3"/>
        <v>-213.5</v>
      </c>
      <c r="L25" s="29">
        <f t="shared" si="0"/>
        <v>-295592.88500000001</v>
      </c>
    </row>
    <row r="26" spans="1:12" ht="12.5">
      <c r="A26" s="3">
        <f t="shared" si="4"/>
        <v>16</v>
      </c>
      <c r="B26" s="636">
        <v>44188</v>
      </c>
      <c r="C26" s="637">
        <v>7.96</v>
      </c>
      <c r="D26" s="637">
        <v>8.7599999999999998</v>
      </c>
      <c r="E26" s="637">
        <f t="shared" si="1"/>
        <v>16.719999999999999</v>
      </c>
      <c r="F26" s="636">
        <v>44188</v>
      </c>
      <c r="G26" s="636">
        <v>43831</v>
      </c>
      <c r="H26" s="636">
        <v>44196</v>
      </c>
      <c r="I26" s="636">
        <f t="shared" si="5"/>
        <v>44013.5</v>
      </c>
      <c r="J26" s="636">
        <v>44227</v>
      </c>
      <c r="K26" s="29">
        <f t="shared" si="3"/>
        <v>-213.5</v>
      </c>
      <c r="L26" s="29">
        <f t="shared" si="0"/>
        <v>-3569.7199999999998</v>
      </c>
    </row>
    <row r="27" spans="1:12" ht="12.5">
      <c r="A27" s="3">
        <f t="shared" si="4"/>
        <v>17</v>
      </c>
      <c r="B27" s="636">
        <v>44189</v>
      </c>
      <c r="C27" s="637">
        <v>80.359999999999999</v>
      </c>
      <c r="D27" s="637">
        <v>210.20999999999998</v>
      </c>
      <c r="E27" s="637">
        <f t="shared" si="1"/>
        <v>290.56999999999999</v>
      </c>
      <c r="F27" s="636">
        <v>44189</v>
      </c>
      <c r="G27" s="636">
        <v>43831</v>
      </c>
      <c r="H27" s="636">
        <v>44196</v>
      </c>
      <c r="I27" s="636">
        <f t="shared" si="5"/>
        <v>44013.5</v>
      </c>
      <c r="J27" s="636">
        <v>44227</v>
      </c>
      <c r="K27" s="29">
        <f t="shared" si="3"/>
        <v>-213.5</v>
      </c>
      <c r="L27" s="29">
        <f t="shared" si="0"/>
        <v>-62036.695</v>
      </c>
    </row>
    <row r="28" spans="1:12" ht="12.5">
      <c r="A28" s="3">
        <f t="shared" si="4"/>
        <v>18</v>
      </c>
      <c r="B28" s="636">
        <v>44193</v>
      </c>
      <c r="C28" s="637">
        <v>84</v>
      </c>
      <c r="D28" s="637">
        <v>118.8</v>
      </c>
      <c r="E28" s="637">
        <f t="shared" si="1"/>
        <v>202.80000000000001</v>
      </c>
      <c r="F28" s="636">
        <v>44193</v>
      </c>
      <c r="G28" s="636">
        <v>43831</v>
      </c>
      <c r="H28" s="636">
        <v>44196</v>
      </c>
      <c r="I28" s="636">
        <f t="shared" si="5"/>
        <v>44013.5</v>
      </c>
      <c r="J28" s="636">
        <v>44227</v>
      </c>
      <c r="K28" s="29">
        <f t="shared" si="3"/>
        <v>-213.5</v>
      </c>
      <c r="L28" s="29">
        <f t="shared" si="0"/>
        <v>-43297.800000000003</v>
      </c>
    </row>
    <row r="29" spans="1:12" ht="12.5">
      <c r="A29" s="3">
        <f t="shared" si="4"/>
        <v>19</v>
      </c>
      <c r="B29" s="636">
        <v>44195</v>
      </c>
      <c r="C29" s="637">
        <v>377.68000000000001</v>
      </c>
      <c r="D29" s="637">
        <v>564.26999999999998</v>
      </c>
      <c r="E29" s="637">
        <f t="shared" si="1"/>
        <v>941.95000000000005</v>
      </c>
      <c r="F29" s="636">
        <v>44195</v>
      </c>
      <c r="G29" s="636">
        <v>43831</v>
      </c>
      <c r="H29" s="636">
        <v>44196</v>
      </c>
      <c r="I29" s="636">
        <f t="shared" si="5"/>
        <v>44013.5</v>
      </c>
      <c r="J29" s="636">
        <v>44227</v>
      </c>
      <c r="K29" s="29">
        <f t="shared" si="3"/>
        <v>-213.5</v>
      </c>
      <c r="L29" s="29">
        <f t="shared" si="0"/>
        <v>-201106.32500000001</v>
      </c>
    </row>
    <row r="30" spans="1:12" ht="12.5">
      <c r="A30" s="3">
        <f t="shared" si="4"/>
        <v>20</v>
      </c>
      <c r="B30" s="636">
        <v>44203</v>
      </c>
      <c r="C30" s="637">
        <v>52.020000000000003</v>
      </c>
      <c r="D30" s="637">
        <v>58.140000000000001</v>
      </c>
      <c r="E30" s="637">
        <f t="shared" si="1"/>
        <v>110.16</v>
      </c>
      <c r="F30" s="636">
        <v>44203</v>
      </c>
      <c r="G30" s="636">
        <v>44197</v>
      </c>
      <c r="H30" s="636">
        <v>44561</v>
      </c>
      <c r="I30" s="636">
        <f t="shared" si="5"/>
        <v>44379</v>
      </c>
      <c r="J30" s="636">
        <v>44316</v>
      </c>
      <c r="K30" s="29">
        <f t="shared" si="3"/>
        <v>63</v>
      </c>
      <c r="L30" s="29">
        <f t="shared" si="0"/>
        <v>6940.0799999999999</v>
      </c>
    </row>
    <row r="31" spans="1:12" ht="12.5">
      <c r="A31" s="3">
        <f t="shared" si="4"/>
        <v>21</v>
      </c>
      <c r="B31" s="636">
        <v>44207</v>
      </c>
      <c r="C31" s="637">
        <v>71.310000000000002</v>
      </c>
      <c r="D31" s="637">
        <v>78.439999999999998</v>
      </c>
      <c r="E31" s="637">
        <f t="shared" si="1"/>
        <v>149.75</v>
      </c>
      <c r="F31" s="636">
        <v>44207</v>
      </c>
      <c r="G31" s="636">
        <v>44197</v>
      </c>
      <c r="H31" s="636">
        <v>44561</v>
      </c>
      <c r="I31" s="636">
        <f t="shared" si="5"/>
        <v>44379</v>
      </c>
      <c r="J31" s="636">
        <v>44316</v>
      </c>
      <c r="K31" s="29">
        <f t="shared" si="3"/>
        <v>63</v>
      </c>
      <c r="L31" s="29">
        <f t="shared" si="0"/>
        <v>9434.25</v>
      </c>
    </row>
    <row r="32" spans="1:12" ht="12.5">
      <c r="A32" s="3">
        <f t="shared" si="4"/>
        <v>22</v>
      </c>
      <c r="B32" s="636">
        <v>44210</v>
      </c>
      <c r="C32" s="637">
        <v>19767.799999999999</v>
      </c>
      <c r="D32" s="637">
        <v>23806.919999999998</v>
      </c>
      <c r="E32" s="637">
        <f t="shared" si="1"/>
        <v>43574.720000000001</v>
      </c>
      <c r="F32" s="636">
        <v>44210</v>
      </c>
      <c r="G32" s="636">
        <v>44197</v>
      </c>
      <c r="H32" s="636">
        <v>44561</v>
      </c>
      <c r="I32" s="636">
        <f t="shared" si="5"/>
        <v>44379</v>
      </c>
      <c r="J32" s="636">
        <v>44316</v>
      </c>
      <c r="K32" s="29">
        <f t="shared" si="3"/>
        <v>63</v>
      </c>
      <c r="L32" s="29">
        <f t="shared" si="0"/>
        <v>2745207.3599999999</v>
      </c>
    </row>
    <row r="33" spans="1:12" ht="12.5">
      <c r="A33" s="3">
        <f t="shared" si="4"/>
        <v>23</v>
      </c>
      <c r="B33" s="636">
        <v>44210</v>
      </c>
      <c r="C33" s="637">
        <v>64356.220000000001</v>
      </c>
      <c r="D33" s="637">
        <v>75831.130000000005</v>
      </c>
      <c r="E33" s="637">
        <f t="shared" si="1"/>
        <v>140187.35000000001</v>
      </c>
      <c r="F33" s="636">
        <v>44210</v>
      </c>
      <c r="G33" s="636">
        <v>44197</v>
      </c>
      <c r="H33" s="636">
        <v>44561</v>
      </c>
      <c r="I33" s="636">
        <f t="shared" si="5"/>
        <v>44379</v>
      </c>
      <c r="J33" s="636">
        <v>44316</v>
      </c>
      <c r="K33" s="29">
        <f t="shared" si="3"/>
        <v>63</v>
      </c>
      <c r="L33" s="29">
        <f t="shared" si="0"/>
        <v>8831803.0500000007</v>
      </c>
    </row>
    <row r="34" spans="1:12" ht="12.5">
      <c r="A34" s="3">
        <f t="shared" si="4"/>
        <v>24</v>
      </c>
      <c r="B34" s="636">
        <v>44216</v>
      </c>
      <c r="C34" s="637">
        <v>27.23</v>
      </c>
      <c r="D34" s="637">
        <v>31.510000000000002</v>
      </c>
      <c r="E34" s="637">
        <f t="shared" si="1"/>
        <v>58.740000000000002</v>
      </c>
      <c r="F34" s="636">
        <v>44216</v>
      </c>
      <c r="G34" s="636">
        <v>44197</v>
      </c>
      <c r="H34" s="636">
        <v>44561</v>
      </c>
      <c r="I34" s="636">
        <f t="shared" si="5"/>
        <v>44379</v>
      </c>
      <c r="J34" s="636">
        <v>44316</v>
      </c>
      <c r="K34" s="29">
        <f t="shared" si="3"/>
        <v>63</v>
      </c>
      <c r="L34" s="29">
        <f t="shared" si="0"/>
        <v>3700.6200000000003</v>
      </c>
    </row>
    <row r="35" spans="1:12" ht="12.5">
      <c r="A35" s="3">
        <f t="shared" si="4"/>
        <v>25</v>
      </c>
      <c r="B35" s="636">
        <v>44223</v>
      </c>
      <c r="C35" s="637">
        <v>926.70000000000005</v>
      </c>
      <c r="D35" s="637">
        <v>1019.3699999999999</v>
      </c>
      <c r="E35" s="637">
        <f t="shared" si="1"/>
        <v>1946.0699999999999</v>
      </c>
      <c r="F35" s="636">
        <v>44223</v>
      </c>
      <c r="G35" s="636">
        <v>44197</v>
      </c>
      <c r="H35" s="636">
        <v>44561</v>
      </c>
      <c r="I35" s="636">
        <f t="shared" si="5"/>
        <v>44379</v>
      </c>
      <c r="J35" s="636">
        <v>44316</v>
      </c>
      <c r="K35" s="29">
        <f t="shared" si="3"/>
        <v>63</v>
      </c>
      <c r="L35" s="29">
        <f t="shared" si="0"/>
        <v>122602.40999999999</v>
      </c>
    </row>
    <row r="36" spans="1:12" ht="12.5">
      <c r="A36" s="3">
        <f t="shared" si="4"/>
        <v>26</v>
      </c>
      <c r="B36" s="636">
        <v>44224</v>
      </c>
      <c r="C36" s="637">
        <v>46651.389999999999</v>
      </c>
      <c r="D36" s="637">
        <v>72519.790000000008</v>
      </c>
      <c r="E36" s="637">
        <f t="shared" si="1"/>
        <v>119171.18000000001</v>
      </c>
      <c r="F36" s="636">
        <v>44224</v>
      </c>
      <c r="G36" s="636">
        <v>44197</v>
      </c>
      <c r="H36" s="636">
        <v>44561</v>
      </c>
      <c r="I36" s="636">
        <f t="shared" si="5"/>
        <v>44379</v>
      </c>
      <c r="J36" s="636">
        <v>44316</v>
      </c>
      <c r="K36" s="29">
        <f t="shared" si="3"/>
        <v>63</v>
      </c>
      <c r="L36" s="29">
        <f t="shared" si="0"/>
        <v>7507784.3400000008</v>
      </c>
    </row>
    <row r="37" spans="1:12" ht="12.5">
      <c r="A37" s="3">
        <f t="shared" si="4"/>
        <v>27</v>
      </c>
      <c r="B37" s="636">
        <v>44238</v>
      </c>
      <c r="C37" s="637">
        <v>8626.4599999999991</v>
      </c>
      <c r="D37" s="637">
        <v>20673.259999999998</v>
      </c>
      <c r="E37" s="637">
        <f t="shared" si="1"/>
        <v>29299.719999999998</v>
      </c>
      <c r="F37" s="636">
        <v>44238</v>
      </c>
      <c r="G37" s="636">
        <v>44197</v>
      </c>
      <c r="H37" s="636">
        <v>44561</v>
      </c>
      <c r="I37" s="636">
        <f t="shared" si="5"/>
        <v>44379</v>
      </c>
      <c r="J37" s="636">
        <v>44316</v>
      </c>
      <c r="K37" s="29">
        <f t="shared" si="3"/>
        <v>63</v>
      </c>
      <c r="L37" s="29">
        <f t="shared" si="0"/>
        <v>1845882.3599999999</v>
      </c>
    </row>
    <row r="38" spans="1:12" ht="12.5">
      <c r="A38" s="3">
        <f t="shared" si="4"/>
        <v>28</v>
      </c>
      <c r="B38" s="636">
        <v>44243</v>
      </c>
      <c r="C38" s="637">
        <v>77.390000000000001</v>
      </c>
      <c r="D38" s="637">
        <v>201.00999999999999</v>
      </c>
      <c r="E38" s="637">
        <f t="shared" si="1"/>
        <v>278.39999999999998</v>
      </c>
      <c r="F38" s="636">
        <v>44243</v>
      </c>
      <c r="G38" s="636">
        <v>44197</v>
      </c>
      <c r="H38" s="636">
        <v>44561</v>
      </c>
      <c r="I38" s="636">
        <f t="shared" si="5"/>
        <v>44379</v>
      </c>
      <c r="J38" s="636">
        <v>44316</v>
      </c>
      <c r="K38" s="29">
        <f t="shared" si="3"/>
        <v>63</v>
      </c>
      <c r="L38" s="29">
        <f t="shared" si="0"/>
        <v>17539.199999999997</v>
      </c>
    </row>
    <row r="39" spans="1:12" ht="12.5">
      <c r="A39" s="3">
        <f t="shared" si="4"/>
        <v>29</v>
      </c>
      <c r="B39" s="636">
        <v>44244</v>
      </c>
      <c r="C39" s="637">
        <v>41.280000000000001</v>
      </c>
      <c r="D39" s="637">
        <v>45.43</v>
      </c>
      <c r="E39" s="637">
        <f t="shared" si="1"/>
        <v>86.710000000000008</v>
      </c>
      <c r="F39" s="636">
        <v>44244</v>
      </c>
      <c r="G39" s="636">
        <v>44197</v>
      </c>
      <c r="H39" s="636">
        <v>44561</v>
      </c>
      <c r="I39" s="636">
        <f t="shared" si="5"/>
        <v>44379</v>
      </c>
      <c r="J39" s="636">
        <v>44316</v>
      </c>
      <c r="K39" s="29">
        <f t="shared" si="3"/>
        <v>63</v>
      </c>
      <c r="L39" s="29">
        <f t="shared" si="0"/>
        <v>5462.7300000000005</v>
      </c>
    </row>
    <row r="40" spans="1:12" ht="12.5">
      <c r="A40" s="3">
        <f t="shared" si="4"/>
        <v>30</v>
      </c>
      <c r="B40" s="636">
        <v>44246</v>
      </c>
      <c r="C40" s="637">
        <v>51.189999999999998</v>
      </c>
      <c r="D40" s="637">
        <v>72.52000000000001</v>
      </c>
      <c r="E40" s="637">
        <f t="shared" si="1"/>
        <v>123.71000000000001</v>
      </c>
      <c r="F40" s="636">
        <v>44246</v>
      </c>
      <c r="G40" s="636">
        <v>44197</v>
      </c>
      <c r="H40" s="636">
        <v>44561</v>
      </c>
      <c r="I40" s="636">
        <f t="shared" si="5"/>
        <v>44379</v>
      </c>
      <c r="J40" s="636">
        <v>44316</v>
      </c>
      <c r="K40" s="29">
        <f t="shared" si="3"/>
        <v>63</v>
      </c>
      <c r="L40" s="29">
        <f t="shared" si="0"/>
        <v>7793.7300000000005</v>
      </c>
    </row>
    <row r="41" spans="1:12" ht="12.5">
      <c r="A41" s="3">
        <f t="shared" si="4"/>
        <v>31</v>
      </c>
      <c r="B41" s="636">
        <v>44252</v>
      </c>
      <c r="C41" s="637">
        <v>1728.48</v>
      </c>
      <c r="D41" s="637">
        <v>5658.1099999999997</v>
      </c>
      <c r="E41" s="637">
        <f t="shared" si="1"/>
        <v>7386.5900000000001</v>
      </c>
      <c r="F41" s="636">
        <v>44252</v>
      </c>
      <c r="G41" s="636">
        <v>44197</v>
      </c>
      <c r="H41" s="636">
        <v>44561</v>
      </c>
      <c r="I41" s="636">
        <f t="shared" si="5"/>
        <v>44379</v>
      </c>
      <c r="J41" s="636">
        <v>44316</v>
      </c>
      <c r="K41" s="29">
        <f t="shared" si="3"/>
        <v>63</v>
      </c>
      <c r="L41" s="29">
        <f t="shared" si="0"/>
        <v>465355.16999999998</v>
      </c>
    </row>
    <row r="42" spans="1:12" ht="12.5">
      <c r="A42" s="3">
        <f t="shared" si="4"/>
        <v>32</v>
      </c>
      <c r="B42" s="636">
        <v>44256</v>
      </c>
      <c r="C42" s="637">
        <v>25.5</v>
      </c>
      <c r="D42" s="637">
        <v>28.050000000000001</v>
      </c>
      <c r="E42" s="637">
        <f t="shared" si="1"/>
        <v>53.549999999999997</v>
      </c>
      <c r="F42" s="636">
        <v>44256</v>
      </c>
      <c r="G42" s="636">
        <v>44197</v>
      </c>
      <c r="H42" s="636">
        <v>44561</v>
      </c>
      <c r="I42" s="636">
        <f t="shared" si="5"/>
        <v>44379</v>
      </c>
      <c r="J42" s="636">
        <v>44316</v>
      </c>
      <c r="K42" s="29">
        <f t="shared" si="3"/>
        <v>63</v>
      </c>
      <c r="L42" s="29">
        <f t="shared" si="0"/>
        <v>3373.6499999999996</v>
      </c>
    </row>
    <row r="43" spans="1:12" ht="12.5">
      <c r="A43" s="3">
        <f t="shared" si="4"/>
        <v>33</v>
      </c>
      <c r="B43" s="636">
        <v>44266</v>
      </c>
      <c r="C43" s="637">
        <v>34.189999999999998</v>
      </c>
      <c r="D43" s="637">
        <v>91.980000000000004</v>
      </c>
      <c r="E43" s="637">
        <f t="shared" si="1"/>
        <v>126.17</v>
      </c>
      <c r="F43" s="636">
        <v>44266</v>
      </c>
      <c r="G43" s="636">
        <v>44197</v>
      </c>
      <c r="H43" s="636">
        <v>44561</v>
      </c>
      <c r="I43" s="636">
        <f t="shared" si="5"/>
        <v>44379</v>
      </c>
      <c r="J43" s="636">
        <v>44316</v>
      </c>
      <c r="K43" s="29">
        <f t="shared" si="3"/>
        <v>63</v>
      </c>
      <c r="L43" s="29">
        <f t="shared" si="6" ref="L43:L69">E43*K43</f>
        <v>7948.71</v>
      </c>
    </row>
    <row r="44" spans="1:12" ht="12.5">
      <c r="A44" s="3">
        <f t="shared" si="4"/>
        <v>34</v>
      </c>
      <c r="B44" s="636">
        <v>44260</v>
      </c>
      <c r="C44" s="637">
        <v>83.790000000000006</v>
      </c>
      <c r="D44" s="637">
        <v>689.12</v>
      </c>
      <c r="E44" s="637">
        <f t="shared" si="1"/>
        <v>772.90999999999997</v>
      </c>
      <c r="F44" s="636">
        <v>44260</v>
      </c>
      <c r="G44" s="636">
        <v>44197</v>
      </c>
      <c r="H44" s="636">
        <v>44561</v>
      </c>
      <c r="I44" s="636">
        <f t="shared" si="5"/>
        <v>44379</v>
      </c>
      <c r="J44" s="636">
        <v>44316</v>
      </c>
      <c r="K44" s="29">
        <f t="shared" si="3"/>
        <v>63</v>
      </c>
      <c r="L44" s="29">
        <f t="shared" si="6"/>
        <v>48693.329999999994</v>
      </c>
    </row>
    <row r="45" spans="1:12" ht="12.5">
      <c r="A45" s="3">
        <f t="shared" si="4"/>
        <v>35</v>
      </c>
      <c r="B45" s="636">
        <v>44267</v>
      </c>
      <c r="C45" s="637">
        <v>341.75999999999999</v>
      </c>
      <c r="D45" s="637">
        <v>651.05999999999995</v>
      </c>
      <c r="E45" s="637">
        <f t="shared" si="1"/>
        <v>992.81999999999994</v>
      </c>
      <c r="F45" s="636">
        <v>44267</v>
      </c>
      <c r="G45" s="636">
        <v>44197</v>
      </c>
      <c r="H45" s="636">
        <v>44561</v>
      </c>
      <c r="I45" s="636">
        <f t="shared" si="5"/>
        <v>44379</v>
      </c>
      <c r="J45" s="636">
        <v>44316</v>
      </c>
      <c r="K45" s="29">
        <f t="shared" si="3"/>
        <v>63</v>
      </c>
      <c r="L45" s="29">
        <f t="shared" si="6"/>
        <v>62547.659999999996</v>
      </c>
    </row>
    <row r="46" spans="1:12" ht="12.5">
      <c r="A46" s="3">
        <f t="shared" si="4"/>
        <v>36</v>
      </c>
      <c r="B46" s="636">
        <v>44270</v>
      </c>
      <c r="C46" s="637">
        <v>40.270000000000003</v>
      </c>
      <c r="D46" s="637">
        <v>44.260000000000005</v>
      </c>
      <c r="E46" s="637">
        <f t="shared" si="1"/>
        <v>84.530000000000001</v>
      </c>
      <c r="F46" s="636">
        <v>44270</v>
      </c>
      <c r="G46" s="636">
        <v>44197</v>
      </c>
      <c r="H46" s="636">
        <v>44561</v>
      </c>
      <c r="I46" s="636">
        <f t="shared" si="5"/>
        <v>44379</v>
      </c>
      <c r="J46" s="636">
        <v>44316</v>
      </c>
      <c r="K46" s="29">
        <f t="shared" si="3"/>
        <v>63</v>
      </c>
      <c r="L46" s="29">
        <f t="shared" si="6"/>
        <v>5325.3900000000003</v>
      </c>
    </row>
    <row r="47" spans="1:12" ht="12.5">
      <c r="A47" s="3">
        <f t="shared" si="4"/>
        <v>37</v>
      </c>
      <c r="B47" s="636">
        <v>44272</v>
      </c>
      <c r="C47" s="637">
        <v>3.52</v>
      </c>
      <c r="D47" s="637">
        <v>3.8799999999999999</v>
      </c>
      <c r="E47" s="637">
        <f t="shared" si="1"/>
        <v>7.4000000000000004</v>
      </c>
      <c r="F47" s="636">
        <v>44272</v>
      </c>
      <c r="G47" s="636">
        <v>44197</v>
      </c>
      <c r="H47" s="636">
        <v>44561</v>
      </c>
      <c r="I47" s="636">
        <f t="shared" si="5"/>
        <v>44379</v>
      </c>
      <c r="J47" s="636">
        <v>44316</v>
      </c>
      <c r="K47" s="29">
        <f t="shared" si="3"/>
        <v>63</v>
      </c>
      <c r="L47" s="29">
        <f t="shared" si="6"/>
        <v>466.20000000000005</v>
      </c>
    </row>
    <row r="48" spans="1:12" ht="12.5">
      <c r="A48" s="3">
        <f t="shared" si="4"/>
        <v>38</v>
      </c>
      <c r="B48" s="636">
        <v>44274</v>
      </c>
      <c r="C48" s="637">
        <v>2807.79</v>
      </c>
      <c r="D48" s="637">
        <v>3375.2400000000002</v>
      </c>
      <c r="E48" s="637">
        <f t="shared" si="1"/>
        <v>6183.0300000000007</v>
      </c>
      <c r="F48" s="636">
        <v>44274</v>
      </c>
      <c r="G48" s="636">
        <v>44197</v>
      </c>
      <c r="H48" s="636">
        <v>44561</v>
      </c>
      <c r="I48" s="636">
        <f t="shared" si="5"/>
        <v>44379</v>
      </c>
      <c r="J48" s="636">
        <v>44316</v>
      </c>
      <c r="K48" s="29">
        <f t="shared" si="3"/>
        <v>63</v>
      </c>
      <c r="L48" s="29">
        <f t="shared" si="6"/>
        <v>389530.89000000001</v>
      </c>
    </row>
    <row r="49" spans="1:12" ht="12.5">
      <c r="A49" s="3">
        <f t="shared" si="4"/>
        <v>39</v>
      </c>
      <c r="B49" s="636">
        <v>44280</v>
      </c>
      <c r="C49" s="637">
        <v>12.08</v>
      </c>
      <c r="D49" s="637">
        <v>28.719999999999999</v>
      </c>
      <c r="E49" s="637">
        <f t="shared" si="1"/>
        <v>40.799999999999997</v>
      </c>
      <c r="F49" s="636">
        <v>44280</v>
      </c>
      <c r="G49" s="636">
        <v>44197</v>
      </c>
      <c r="H49" s="636">
        <v>44561</v>
      </c>
      <c r="I49" s="636">
        <f t="shared" si="5"/>
        <v>44379</v>
      </c>
      <c r="J49" s="636">
        <v>44316</v>
      </c>
      <c r="K49" s="29">
        <f t="shared" si="3"/>
        <v>63</v>
      </c>
      <c r="L49" s="29">
        <f t="shared" si="6"/>
        <v>2570.3999999999996</v>
      </c>
    </row>
    <row r="50" spans="1:12" ht="12.5">
      <c r="A50" s="3">
        <f t="shared" si="4"/>
        <v>40</v>
      </c>
      <c r="B50" s="636">
        <v>44285</v>
      </c>
      <c r="C50" s="637">
        <v>368.63</v>
      </c>
      <c r="D50" s="637">
        <v>-10933.58</v>
      </c>
      <c r="E50" s="637">
        <f t="shared" si="1"/>
        <v>-10564.950000000001</v>
      </c>
      <c r="F50" s="636">
        <v>44285</v>
      </c>
      <c r="G50" s="636">
        <v>44197</v>
      </c>
      <c r="H50" s="636">
        <v>44561</v>
      </c>
      <c r="I50" s="636">
        <f t="shared" si="5"/>
        <v>44379</v>
      </c>
      <c r="J50" s="636">
        <v>44316</v>
      </c>
      <c r="K50" s="29">
        <f t="shared" si="3"/>
        <v>63</v>
      </c>
      <c r="L50" s="29">
        <f t="shared" si="6"/>
        <v>-665591.85000000009</v>
      </c>
    </row>
    <row r="51" spans="1:12" ht="12.5">
      <c r="A51" s="3">
        <f t="shared" si="4"/>
        <v>41</v>
      </c>
      <c r="B51" s="636">
        <v>44286</v>
      </c>
      <c r="C51" s="637">
        <v>0.67000000000000004</v>
      </c>
      <c r="D51" s="637">
        <v>11510.650000000002</v>
      </c>
      <c r="E51" s="637">
        <f t="shared" si="1"/>
        <v>11511.320000000002</v>
      </c>
      <c r="F51" s="636">
        <v>44286</v>
      </c>
      <c r="G51" s="636">
        <v>44197</v>
      </c>
      <c r="H51" s="636">
        <v>44561</v>
      </c>
      <c r="I51" s="636">
        <f t="shared" si="5"/>
        <v>44379</v>
      </c>
      <c r="J51" s="636">
        <v>44316</v>
      </c>
      <c r="K51" s="29">
        <f t="shared" si="3"/>
        <v>63</v>
      </c>
      <c r="L51" s="29">
        <f t="shared" si="6"/>
        <v>725213.16000000015</v>
      </c>
    </row>
    <row r="52" spans="1:12" ht="12.5">
      <c r="A52" s="3">
        <f t="shared" si="4"/>
        <v>42</v>
      </c>
      <c r="B52" s="636">
        <v>44294</v>
      </c>
      <c r="C52" s="637">
        <v>17.449999999999999</v>
      </c>
      <c r="D52" s="637">
        <v>24.979999999999997</v>
      </c>
      <c r="E52" s="637">
        <f t="shared" si="1"/>
        <v>42.429999999999993</v>
      </c>
      <c r="F52" s="636">
        <v>44294</v>
      </c>
      <c r="G52" s="636">
        <v>44197</v>
      </c>
      <c r="H52" s="636">
        <v>44561</v>
      </c>
      <c r="I52" s="636">
        <f t="shared" si="5"/>
        <v>44379</v>
      </c>
      <c r="J52" s="636">
        <v>44408</v>
      </c>
      <c r="K52" s="29">
        <f t="shared" si="3"/>
        <v>-29</v>
      </c>
      <c r="L52" s="29">
        <f t="shared" si="6"/>
        <v>-1230.4699999999998</v>
      </c>
    </row>
    <row r="53" spans="1:12" ht="12.5">
      <c r="A53" s="3">
        <f t="shared" si="4"/>
        <v>43</v>
      </c>
      <c r="B53" s="636">
        <v>44295</v>
      </c>
      <c r="C53" s="637">
        <v>40.219999999999999</v>
      </c>
      <c r="D53" s="637">
        <v>40.900000000000006</v>
      </c>
      <c r="E53" s="637">
        <f t="shared" si="1"/>
        <v>81.120000000000005</v>
      </c>
      <c r="F53" s="636">
        <v>44295</v>
      </c>
      <c r="G53" s="636">
        <v>44197</v>
      </c>
      <c r="H53" s="636">
        <v>44561</v>
      </c>
      <c r="I53" s="636">
        <f t="shared" si="5"/>
        <v>44379</v>
      </c>
      <c r="J53" s="636">
        <v>44408</v>
      </c>
      <c r="K53" s="29">
        <f t="shared" si="3"/>
        <v>-29</v>
      </c>
      <c r="L53" s="29">
        <f t="shared" si="6"/>
        <v>-2352.48</v>
      </c>
    </row>
    <row r="54" spans="1:12" ht="12.5">
      <c r="A54" s="3">
        <f t="shared" si="4"/>
        <v>44</v>
      </c>
      <c r="B54" s="636">
        <v>44299</v>
      </c>
      <c r="C54" s="637">
        <v>0</v>
      </c>
      <c r="D54" s="637">
        <v>0.040000000000000001</v>
      </c>
      <c r="E54" s="637">
        <f t="shared" si="1"/>
        <v>0.040000000000000001</v>
      </c>
      <c r="F54" s="636">
        <v>44299</v>
      </c>
      <c r="G54" s="636">
        <v>44197</v>
      </c>
      <c r="H54" s="636">
        <v>44561</v>
      </c>
      <c r="I54" s="636">
        <f t="shared" si="5"/>
        <v>44379</v>
      </c>
      <c r="J54" s="636">
        <v>44408</v>
      </c>
      <c r="K54" s="29">
        <f t="shared" si="3"/>
        <v>-29</v>
      </c>
      <c r="L54" s="29">
        <f t="shared" si="6"/>
        <v>-1.1599999999999999</v>
      </c>
    </row>
    <row r="55" spans="1:12" ht="12.5">
      <c r="A55" s="3">
        <f t="shared" si="4"/>
        <v>45</v>
      </c>
      <c r="B55" s="636">
        <v>44300</v>
      </c>
      <c r="C55" s="637">
        <v>421.56</v>
      </c>
      <c r="D55" s="637">
        <v>534.79999999999995</v>
      </c>
      <c r="E55" s="637">
        <f t="shared" si="1"/>
        <v>956.3599999999999</v>
      </c>
      <c r="F55" s="636">
        <v>44300</v>
      </c>
      <c r="G55" s="636">
        <v>44197</v>
      </c>
      <c r="H55" s="636">
        <v>44561</v>
      </c>
      <c r="I55" s="636">
        <f t="shared" si="5"/>
        <v>44379</v>
      </c>
      <c r="J55" s="636">
        <v>44408</v>
      </c>
      <c r="K55" s="29">
        <f t="shared" si="3"/>
        <v>-29</v>
      </c>
      <c r="L55" s="29">
        <f t="shared" si="6"/>
        <v>-27734.439999999999</v>
      </c>
    </row>
    <row r="56" spans="1:12" ht="12.5">
      <c r="A56" s="3">
        <f t="shared" si="4"/>
        <v>46</v>
      </c>
      <c r="B56" s="636">
        <v>44302</v>
      </c>
      <c r="C56" s="637">
        <v>0</v>
      </c>
      <c r="D56" s="637">
        <v>0.38</v>
      </c>
      <c r="E56" s="637">
        <f t="shared" si="1"/>
        <v>0.38</v>
      </c>
      <c r="F56" s="636">
        <v>44302</v>
      </c>
      <c r="G56" s="636">
        <v>44197</v>
      </c>
      <c r="H56" s="636">
        <v>44561</v>
      </c>
      <c r="I56" s="636">
        <f t="shared" si="5"/>
        <v>44379</v>
      </c>
      <c r="J56" s="636">
        <v>44408</v>
      </c>
      <c r="K56" s="29">
        <f t="shared" si="3"/>
        <v>-29</v>
      </c>
      <c r="L56" s="29">
        <f t="shared" si="6"/>
        <v>-11.02</v>
      </c>
    </row>
    <row r="57" spans="1:12" ht="12.5">
      <c r="A57" s="3">
        <f t="shared" si="4"/>
        <v>47</v>
      </c>
      <c r="B57" s="636">
        <v>44308</v>
      </c>
      <c r="C57" s="637">
        <v>32.539999999999999</v>
      </c>
      <c r="D57" s="637">
        <v>39.300000000000004</v>
      </c>
      <c r="E57" s="637">
        <f t="shared" si="1"/>
        <v>71.840000000000003</v>
      </c>
      <c r="F57" s="636">
        <v>44308</v>
      </c>
      <c r="G57" s="636">
        <v>44197</v>
      </c>
      <c r="H57" s="636">
        <v>44561</v>
      </c>
      <c r="I57" s="636">
        <f t="shared" si="5"/>
        <v>44379</v>
      </c>
      <c r="J57" s="636">
        <v>44408</v>
      </c>
      <c r="K57" s="29">
        <f t="shared" si="3"/>
        <v>-29</v>
      </c>
      <c r="L57" s="29">
        <f t="shared" si="6"/>
        <v>-2083.3600000000001</v>
      </c>
    </row>
    <row r="58" spans="1:12" ht="12.5">
      <c r="A58" s="3">
        <f t="shared" si="4"/>
        <v>48</v>
      </c>
      <c r="B58" s="636">
        <v>44312</v>
      </c>
      <c r="C58" s="637">
        <v>116.7</v>
      </c>
      <c r="D58" s="637">
        <v>122.41999999999999</v>
      </c>
      <c r="E58" s="637">
        <f t="shared" si="1"/>
        <v>239.12000000000001</v>
      </c>
      <c r="F58" s="636">
        <v>44312</v>
      </c>
      <c r="G58" s="636">
        <v>44197</v>
      </c>
      <c r="H58" s="636">
        <v>44561</v>
      </c>
      <c r="I58" s="636">
        <f t="shared" si="5"/>
        <v>44379</v>
      </c>
      <c r="J58" s="636">
        <v>44408</v>
      </c>
      <c r="K58" s="29">
        <f t="shared" si="3"/>
        <v>-29</v>
      </c>
      <c r="L58" s="29">
        <f t="shared" si="6"/>
        <v>-6934.4800000000005</v>
      </c>
    </row>
    <row r="59" spans="1:12" ht="12.5">
      <c r="A59" s="3">
        <f t="shared" si="4"/>
        <v>49</v>
      </c>
      <c r="B59" s="636">
        <v>44315</v>
      </c>
      <c r="C59" s="637">
        <v>293.80000000000001</v>
      </c>
      <c r="D59" s="637">
        <v>454.59999999999997</v>
      </c>
      <c r="E59" s="637">
        <f t="shared" si="1"/>
        <v>748.39999999999998</v>
      </c>
      <c r="F59" s="636">
        <v>44315</v>
      </c>
      <c r="G59" s="636">
        <v>44197</v>
      </c>
      <c r="H59" s="636">
        <v>44561</v>
      </c>
      <c r="I59" s="636">
        <f t="shared" si="5"/>
        <v>44379</v>
      </c>
      <c r="J59" s="636">
        <v>44408</v>
      </c>
      <c r="K59" s="29">
        <f t="shared" si="3"/>
        <v>-29</v>
      </c>
      <c r="L59" s="29">
        <f t="shared" si="6"/>
        <v>-21703.599999999999</v>
      </c>
    </row>
    <row r="60" spans="1:12" ht="12.5">
      <c r="A60" s="3">
        <f t="shared" si="4"/>
        <v>50</v>
      </c>
      <c r="B60" s="636">
        <v>44327</v>
      </c>
      <c r="C60" s="637">
        <v>0</v>
      </c>
      <c r="D60" s="637">
        <v>2.73</v>
      </c>
      <c r="E60" s="637">
        <f t="shared" si="1"/>
        <v>2.73</v>
      </c>
      <c r="F60" s="636">
        <v>44327</v>
      </c>
      <c r="G60" s="636">
        <v>44197</v>
      </c>
      <c r="H60" s="636">
        <v>44561</v>
      </c>
      <c r="I60" s="636">
        <f t="shared" si="5"/>
        <v>44379</v>
      </c>
      <c r="J60" s="636">
        <v>44408</v>
      </c>
      <c r="K60" s="29">
        <f t="shared" si="3"/>
        <v>-29</v>
      </c>
      <c r="L60" s="29">
        <f t="shared" si="6"/>
        <v>-79.170000000000002</v>
      </c>
    </row>
    <row r="61" spans="1:12" ht="12.5">
      <c r="A61" s="3">
        <f t="shared" si="4"/>
        <v>51</v>
      </c>
      <c r="B61" s="636">
        <v>44322</v>
      </c>
      <c r="C61" s="637">
        <v>45.340000000000003</v>
      </c>
      <c r="D61" s="637">
        <v>59.039999999999999</v>
      </c>
      <c r="E61" s="637">
        <f t="shared" si="1"/>
        <v>104.38</v>
      </c>
      <c r="F61" s="636">
        <v>44322</v>
      </c>
      <c r="G61" s="636">
        <v>44197</v>
      </c>
      <c r="H61" s="636">
        <v>44561</v>
      </c>
      <c r="I61" s="636">
        <f t="shared" si="5"/>
        <v>44379</v>
      </c>
      <c r="J61" s="636">
        <v>44408</v>
      </c>
      <c r="K61" s="29">
        <f t="shared" si="3"/>
        <v>-29</v>
      </c>
      <c r="L61" s="29">
        <f t="shared" si="6"/>
        <v>-3027.02</v>
      </c>
    </row>
    <row r="62" spans="1:12" ht="12.5">
      <c r="A62" s="3">
        <f t="shared" si="4"/>
        <v>52</v>
      </c>
      <c r="B62" s="636">
        <v>44329</v>
      </c>
      <c r="C62" s="637">
        <v>423.01999999999998</v>
      </c>
      <c r="D62" s="637">
        <v>526.33000000000004</v>
      </c>
      <c r="E62" s="637">
        <f t="shared" si="1"/>
        <v>949.35000000000002</v>
      </c>
      <c r="F62" s="636">
        <v>44329</v>
      </c>
      <c r="G62" s="636">
        <v>44197</v>
      </c>
      <c r="H62" s="636">
        <v>44561</v>
      </c>
      <c r="I62" s="636">
        <f t="shared" si="5"/>
        <v>44379</v>
      </c>
      <c r="J62" s="636">
        <v>44408</v>
      </c>
      <c r="K62" s="29">
        <f t="shared" si="3"/>
        <v>-29</v>
      </c>
      <c r="L62" s="29">
        <f t="shared" si="6"/>
        <v>-27531.150000000001</v>
      </c>
    </row>
    <row r="63" spans="1:12" ht="12.5">
      <c r="A63" s="3">
        <f t="shared" si="4"/>
        <v>53</v>
      </c>
      <c r="B63" s="636">
        <v>44330</v>
      </c>
      <c r="C63" s="637">
        <v>38.909999999999997</v>
      </c>
      <c r="D63" s="637">
        <v>40.900000000000006</v>
      </c>
      <c r="E63" s="637">
        <f t="shared" si="1"/>
        <v>79.810000000000002</v>
      </c>
      <c r="F63" s="636">
        <v>44330</v>
      </c>
      <c r="G63" s="636">
        <v>44197</v>
      </c>
      <c r="H63" s="636">
        <v>44561</v>
      </c>
      <c r="I63" s="636">
        <f t="shared" si="5"/>
        <v>44379</v>
      </c>
      <c r="J63" s="636">
        <v>44408</v>
      </c>
      <c r="K63" s="29">
        <f t="shared" si="3"/>
        <v>-29</v>
      </c>
      <c r="L63" s="29">
        <f t="shared" si="6"/>
        <v>-2314.4900000000002</v>
      </c>
    </row>
    <row r="64" spans="1:12" ht="12.5">
      <c r="A64" s="3">
        <f t="shared" si="4"/>
        <v>54</v>
      </c>
      <c r="B64" s="636">
        <v>44336</v>
      </c>
      <c r="C64" s="637">
        <v>26.809999999999999</v>
      </c>
      <c r="D64" s="637">
        <v>28.23</v>
      </c>
      <c r="E64" s="637">
        <f t="shared" si="1"/>
        <v>55.039999999999999</v>
      </c>
      <c r="F64" s="636">
        <v>44336</v>
      </c>
      <c r="G64" s="636">
        <v>44197</v>
      </c>
      <c r="H64" s="636">
        <v>44561</v>
      </c>
      <c r="I64" s="636">
        <f t="shared" si="5"/>
        <v>44379</v>
      </c>
      <c r="J64" s="636">
        <v>44408</v>
      </c>
      <c r="K64" s="29">
        <f t="shared" si="3"/>
        <v>-29</v>
      </c>
      <c r="L64" s="29">
        <f t="shared" si="6"/>
        <v>-1596.1600000000001</v>
      </c>
    </row>
    <row r="65" spans="1:12" ht="12.5">
      <c r="A65" s="3">
        <f t="shared" si="4"/>
        <v>55</v>
      </c>
      <c r="B65" s="636">
        <v>44340</v>
      </c>
      <c r="C65" s="637">
        <v>3</v>
      </c>
      <c r="D65" s="637">
        <v>3.0499999999999998</v>
      </c>
      <c r="E65" s="637">
        <f t="shared" si="1"/>
        <v>6.0499999999999998</v>
      </c>
      <c r="F65" s="636">
        <v>44340</v>
      </c>
      <c r="G65" s="636">
        <v>44197</v>
      </c>
      <c r="H65" s="636">
        <v>44561</v>
      </c>
      <c r="I65" s="636">
        <f t="shared" si="5"/>
        <v>44379</v>
      </c>
      <c r="J65" s="636">
        <v>44408</v>
      </c>
      <c r="K65" s="29">
        <f t="shared" si="3"/>
        <v>-29</v>
      </c>
      <c r="L65" s="29">
        <f t="shared" si="6"/>
        <v>-175.44999999999999</v>
      </c>
    </row>
    <row r="66" spans="1:12" ht="12.5">
      <c r="A66" s="3">
        <f t="shared" si="4"/>
        <v>56</v>
      </c>
      <c r="B66" s="636">
        <v>44343</v>
      </c>
      <c r="C66" s="637">
        <v>569.23000000000002</v>
      </c>
      <c r="D66" s="637">
        <v>711.13999999999999</v>
      </c>
      <c r="E66" s="637">
        <f t="shared" si="1"/>
        <v>1280.3699999999999</v>
      </c>
      <c r="F66" s="636">
        <v>44343</v>
      </c>
      <c r="G66" s="636">
        <v>44197</v>
      </c>
      <c r="H66" s="636">
        <v>44561</v>
      </c>
      <c r="I66" s="636">
        <f t="shared" si="5"/>
        <v>44379</v>
      </c>
      <c r="J66" s="636">
        <v>44408</v>
      </c>
      <c r="K66" s="29">
        <f t="shared" si="3"/>
        <v>-29</v>
      </c>
      <c r="L66" s="29">
        <f t="shared" si="6"/>
        <v>-37130.729999999996</v>
      </c>
    </row>
    <row r="67" spans="1:12" ht="12.5">
      <c r="A67" s="3">
        <f t="shared" si="4"/>
        <v>57</v>
      </c>
      <c r="B67" s="636">
        <v>44350</v>
      </c>
      <c r="C67" s="637">
        <v>67.909999999999997</v>
      </c>
      <c r="D67" s="637">
        <v>91.219999999999999</v>
      </c>
      <c r="E67" s="637">
        <f t="shared" si="1"/>
        <v>159.13</v>
      </c>
      <c r="F67" s="636">
        <v>44350</v>
      </c>
      <c r="G67" s="636">
        <v>44197</v>
      </c>
      <c r="H67" s="636">
        <v>44561</v>
      </c>
      <c r="I67" s="636">
        <f t="shared" si="5"/>
        <v>44379</v>
      </c>
      <c r="J67" s="636">
        <v>44408</v>
      </c>
      <c r="K67" s="29">
        <f t="shared" si="3"/>
        <v>-29</v>
      </c>
      <c r="L67" s="29">
        <f t="shared" si="6"/>
        <v>-4614.7699999999995</v>
      </c>
    </row>
    <row r="68" spans="1:12" ht="12.5">
      <c r="A68" s="3">
        <f t="shared" si="4"/>
        <v>58</v>
      </c>
      <c r="B68" s="636">
        <v>44364</v>
      </c>
      <c r="C68" s="637">
        <v>81.900000000000006</v>
      </c>
      <c r="D68" s="637">
        <v>91.72999999999999</v>
      </c>
      <c r="E68" s="637">
        <f t="shared" si="1"/>
        <v>173.63</v>
      </c>
      <c r="F68" s="636">
        <v>44364</v>
      </c>
      <c r="G68" s="636">
        <v>44197</v>
      </c>
      <c r="H68" s="636">
        <v>44561</v>
      </c>
      <c r="I68" s="636">
        <f t="shared" si="5"/>
        <v>44379</v>
      </c>
      <c r="J68" s="636">
        <v>44408</v>
      </c>
      <c r="K68" s="29">
        <f t="shared" si="3"/>
        <v>-29</v>
      </c>
      <c r="L68" s="29">
        <f t="shared" si="6"/>
        <v>-5035.2699999999995</v>
      </c>
    </row>
    <row r="69" spans="1:12" ht="12.5">
      <c r="A69" s="3">
        <f t="shared" si="4"/>
        <v>59</v>
      </c>
      <c r="B69" s="636">
        <v>44356</v>
      </c>
      <c r="C69" s="637">
        <v>14.4</v>
      </c>
      <c r="D69" s="637">
        <v>14.640000000000001</v>
      </c>
      <c r="E69" s="637">
        <f t="shared" si="1"/>
        <v>29.039999999999999</v>
      </c>
      <c r="F69" s="636">
        <v>44356</v>
      </c>
      <c r="G69" s="636">
        <v>44197</v>
      </c>
      <c r="H69" s="636">
        <v>44561</v>
      </c>
      <c r="I69" s="636">
        <f t="shared" si="5"/>
        <v>44379</v>
      </c>
      <c r="J69" s="636">
        <v>44408</v>
      </c>
      <c r="K69" s="29">
        <f t="shared" si="3"/>
        <v>-29</v>
      </c>
      <c r="L69" s="29">
        <f t="shared" si="6"/>
        <v>-842.15999999999997</v>
      </c>
    </row>
    <row r="70" spans="1:12" ht="12.5">
      <c r="A70" s="3">
        <f t="shared" si="4"/>
        <v>60</v>
      </c>
      <c r="B70" s="636">
        <v>44361</v>
      </c>
      <c r="C70" s="637">
        <v>834.47000000000003</v>
      </c>
      <c r="D70" s="637">
        <v>973.05999999999995</v>
      </c>
      <c r="E70" s="637">
        <f t="shared" si="7" ref="E70:E77">D70+C70</f>
        <v>1807.53</v>
      </c>
      <c r="F70" s="636">
        <v>44361</v>
      </c>
      <c r="G70" s="636">
        <v>44197</v>
      </c>
      <c r="H70" s="636">
        <v>44561</v>
      </c>
      <c r="I70" s="636">
        <f t="shared" si="8" ref="I70:I77">+(G70+H70)/2</f>
        <v>44379</v>
      </c>
      <c r="J70" s="636">
        <v>44408</v>
      </c>
      <c r="K70" s="29">
        <f t="shared" si="9" ref="K70:K77">I70-J70</f>
        <v>-29</v>
      </c>
      <c r="L70" s="29">
        <f t="shared" si="10" ref="L70:L77">E70*K70</f>
        <v>-52418.370000000003</v>
      </c>
    </row>
    <row r="71" spans="1:12" ht="12.5">
      <c r="A71" s="3">
        <f t="shared" si="4"/>
        <v>61</v>
      </c>
      <c r="B71" s="636">
        <v>44376</v>
      </c>
      <c r="C71" s="637">
        <v>840.04999999999995</v>
      </c>
      <c r="D71" s="637">
        <v>1026.4400000000001</v>
      </c>
      <c r="E71" s="637">
        <f t="shared" si="7"/>
        <v>1866.49</v>
      </c>
      <c r="F71" s="636">
        <v>44376</v>
      </c>
      <c r="G71" s="636">
        <v>44197</v>
      </c>
      <c r="H71" s="636">
        <v>44561</v>
      </c>
      <c r="I71" s="636">
        <f t="shared" si="8"/>
        <v>44379</v>
      </c>
      <c r="J71" s="636">
        <v>44408</v>
      </c>
      <c r="K71" s="29">
        <f t="shared" si="9"/>
        <v>-29</v>
      </c>
      <c r="L71" s="29">
        <f t="shared" si="10"/>
        <v>-54128.209999999999</v>
      </c>
    </row>
    <row r="72" spans="1:12" ht="12.5">
      <c r="A72" s="3">
        <f t="shared" si="4"/>
        <v>62</v>
      </c>
      <c r="B72" s="636">
        <v>44378</v>
      </c>
      <c r="C72" s="637">
        <v>124.5</v>
      </c>
      <c r="D72" s="637">
        <v>149.34</v>
      </c>
      <c r="E72" s="637">
        <f t="shared" si="7"/>
        <v>273.84000000000003</v>
      </c>
      <c r="F72" s="636">
        <v>44378</v>
      </c>
      <c r="G72" s="636">
        <v>44197</v>
      </c>
      <c r="H72" s="636">
        <v>44561</v>
      </c>
      <c r="I72" s="636">
        <f t="shared" si="8"/>
        <v>44379</v>
      </c>
      <c r="J72" s="636">
        <v>44500</v>
      </c>
      <c r="K72" s="29">
        <f t="shared" si="9"/>
        <v>-121</v>
      </c>
      <c r="L72" s="29">
        <f t="shared" si="10"/>
        <v>-33134.640000000007</v>
      </c>
    </row>
    <row r="73" spans="1:12" ht="12.5">
      <c r="A73" s="3">
        <f t="shared" si="4"/>
        <v>63</v>
      </c>
      <c r="B73" s="636">
        <v>44391</v>
      </c>
      <c r="C73" s="637">
        <v>883.07000000000005</v>
      </c>
      <c r="D73" s="637">
        <v>1172.96</v>
      </c>
      <c r="E73" s="637">
        <f t="shared" si="7"/>
        <v>2056.0300000000002</v>
      </c>
      <c r="F73" s="636">
        <v>44391</v>
      </c>
      <c r="G73" s="636">
        <v>44197</v>
      </c>
      <c r="H73" s="636">
        <v>44561</v>
      </c>
      <c r="I73" s="636">
        <f t="shared" si="8"/>
        <v>44379</v>
      </c>
      <c r="J73" s="636">
        <v>44500</v>
      </c>
      <c r="K73" s="29">
        <f t="shared" si="9"/>
        <v>-121</v>
      </c>
      <c r="L73" s="29">
        <f t="shared" si="10"/>
        <v>-248779.63000000003</v>
      </c>
    </row>
    <row r="74" spans="1:12" ht="12.5">
      <c r="A74" s="3">
        <f t="shared" si="4"/>
        <v>64</v>
      </c>
      <c r="B74" s="636">
        <v>44392</v>
      </c>
      <c r="C74" s="637">
        <v>145.15000000000001</v>
      </c>
      <c r="D74" s="637">
        <v>209.47</v>
      </c>
      <c r="E74" s="637">
        <f t="shared" si="7"/>
        <v>354.62</v>
      </c>
      <c r="F74" s="636">
        <v>44392</v>
      </c>
      <c r="G74" s="636">
        <v>44197</v>
      </c>
      <c r="H74" s="636">
        <v>44561</v>
      </c>
      <c r="I74" s="636">
        <f t="shared" si="8"/>
        <v>44379</v>
      </c>
      <c r="J74" s="636">
        <v>44500</v>
      </c>
      <c r="K74" s="29">
        <f t="shared" si="9"/>
        <v>-121</v>
      </c>
      <c r="L74" s="29">
        <f t="shared" si="10"/>
        <v>-42909.020000000004</v>
      </c>
    </row>
    <row r="75" spans="1:12" ht="12.5">
      <c r="A75" s="3">
        <f t="shared" si="4"/>
        <v>65</v>
      </c>
      <c r="B75" s="636">
        <v>44393</v>
      </c>
      <c r="C75" s="637">
        <v>65.459999999999994</v>
      </c>
      <c r="D75" s="637">
        <v>84.590000000000003</v>
      </c>
      <c r="E75" s="637">
        <f t="shared" si="7"/>
        <v>150.05000000000001</v>
      </c>
      <c r="F75" s="636">
        <v>44393</v>
      </c>
      <c r="G75" s="636">
        <v>44197</v>
      </c>
      <c r="H75" s="636">
        <v>44561</v>
      </c>
      <c r="I75" s="636">
        <f t="shared" si="8"/>
        <v>44379</v>
      </c>
      <c r="J75" s="636">
        <v>44500</v>
      </c>
      <c r="K75" s="29">
        <f t="shared" si="9"/>
        <v>-121</v>
      </c>
      <c r="L75" s="29">
        <f t="shared" si="10"/>
        <v>-18156.050000000003</v>
      </c>
    </row>
    <row r="76" spans="1:12" ht="12.5">
      <c r="A76" s="3">
        <f t="shared" si="4"/>
        <v>66</v>
      </c>
      <c r="B76" s="636">
        <v>44400</v>
      </c>
      <c r="C76" s="637">
        <v>35.840000000000003</v>
      </c>
      <c r="D76" s="637">
        <v>36.439999999999998</v>
      </c>
      <c r="E76" s="637">
        <f t="shared" si="7"/>
        <v>72.280000000000001</v>
      </c>
      <c r="F76" s="636">
        <v>44400</v>
      </c>
      <c r="G76" s="636">
        <v>44197</v>
      </c>
      <c r="H76" s="636">
        <v>44561</v>
      </c>
      <c r="I76" s="636">
        <f t="shared" si="8"/>
        <v>44379</v>
      </c>
      <c r="J76" s="636">
        <v>44500</v>
      </c>
      <c r="K76" s="29">
        <f t="shared" si="9"/>
        <v>-121</v>
      </c>
      <c r="L76" s="29">
        <f t="shared" si="10"/>
        <v>-8745.880000000001</v>
      </c>
    </row>
    <row r="77" spans="1:12" ht="12.5">
      <c r="A77" s="3">
        <f t="shared" si="4"/>
        <v>67</v>
      </c>
      <c r="B77" s="636">
        <v>44405</v>
      </c>
      <c r="C77" s="637">
        <v>0</v>
      </c>
      <c r="D77" s="637">
        <v>12347.76</v>
      </c>
      <c r="E77" s="637">
        <f t="shared" si="7"/>
        <v>12347.76</v>
      </c>
      <c r="F77" s="636">
        <v>44405</v>
      </c>
      <c r="G77" s="636">
        <v>44197</v>
      </c>
      <c r="H77" s="636">
        <v>44561</v>
      </c>
      <c r="I77" s="636">
        <f t="shared" si="8"/>
        <v>44379</v>
      </c>
      <c r="J77" s="636">
        <v>44500</v>
      </c>
      <c r="K77" s="29">
        <f t="shared" si="9"/>
        <v>-121</v>
      </c>
      <c r="L77" s="29">
        <f t="shared" si="10"/>
        <v>-1494078.96</v>
      </c>
    </row>
    <row r="78" spans="1:12" ht="12.5">
      <c r="A78" s="3">
        <f t="shared" si="4"/>
        <v>68</v>
      </c>
      <c r="B78" s="636">
        <v>44406</v>
      </c>
      <c r="C78" s="637">
        <v>828.61000000000001</v>
      </c>
      <c r="D78" s="637">
        <v>1077.53</v>
      </c>
      <c r="E78" s="637">
        <f t="shared" si="11" ref="E78:E88">D78+C78</f>
        <v>1906.1399999999999</v>
      </c>
      <c r="F78" s="636">
        <v>44406</v>
      </c>
      <c r="G78" s="636">
        <v>44197</v>
      </c>
      <c r="H78" s="636">
        <v>44561</v>
      </c>
      <c r="I78" s="636">
        <f t="shared" si="12" ref="I78:I88">+(G78+H78)/2</f>
        <v>44379</v>
      </c>
      <c r="J78" s="636">
        <v>44500</v>
      </c>
      <c r="K78" s="29">
        <f t="shared" si="13" ref="K78:K88">I78-J78</f>
        <v>-121</v>
      </c>
      <c r="L78" s="29">
        <f t="shared" si="14" ref="L78:L88">E78*K78</f>
        <v>-230642.93999999997</v>
      </c>
    </row>
    <row r="79" spans="1:12" ht="12.5">
      <c r="A79" s="3">
        <f t="shared" si="4"/>
        <v>69</v>
      </c>
      <c r="B79" s="636">
        <v>44420</v>
      </c>
      <c r="C79" s="637">
        <v>500.01999999999998</v>
      </c>
      <c r="D79" s="637">
        <v>17389.809999999998</v>
      </c>
      <c r="E79" s="637">
        <f t="shared" si="11"/>
        <v>17889.829999999998</v>
      </c>
      <c r="F79" s="636">
        <v>44420</v>
      </c>
      <c r="G79" s="636">
        <v>44197</v>
      </c>
      <c r="H79" s="636">
        <v>44561</v>
      </c>
      <c r="I79" s="636">
        <f t="shared" si="12"/>
        <v>44379</v>
      </c>
      <c r="J79" s="636">
        <v>44500</v>
      </c>
      <c r="K79" s="29">
        <f t="shared" si="13"/>
        <v>-121</v>
      </c>
      <c r="L79" s="29">
        <f t="shared" si="14"/>
        <v>-2164669.4299999997</v>
      </c>
    </row>
    <row r="80" spans="1:12" ht="12.5">
      <c r="A80" s="3">
        <f t="shared" si="4"/>
        <v>70</v>
      </c>
      <c r="B80" s="636">
        <v>44427</v>
      </c>
      <c r="C80" s="637">
        <v>27.91</v>
      </c>
      <c r="D80" s="637">
        <v>36.730000000000004</v>
      </c>
      <c r="E80" s="637">
        <f t="shared" si="11"/>
        <v>64.640000000000001</v>
      </c>
      <c r="F80" s="636">
        <v>44427</v>
      </c>
      <c r="G80" s="636">
        <v>44197</v>
      </c>
      <c r="H80" s="636">
        <v>44561</v>
      </c>
      <c r="I80" s="636">
        <f t="shared" si="12"/>
        <v>44379</v>
      </c>
      <c r="J80" s="636">
        <v>44500</v>
      </c>
      <c r="K80" s="29">
        <f t="shared" si="13"/>
        <v>-121</v>
      </c>
      <c r="L80" s="29">
        <f t="shared" si="14"/>
        <v>-7821.4400000000005</v>
      </c>
    </row>
    <row r="81" spans="1:12" ht="12.5">
      <c r="A81" s="3">
        <f t="shared" si="4"/>
        <v>71</v>
      </c>
      <c r="B81" s="636">
        <v>44434</v>
      </c>
      <c r="C81" s="637">
        <v>110.05</v>
      </c>
      <c r="D81" s="637">
        <v>-1834.2000000000001</v>
      </c>
      <c r="E81" s="637">
        <f t="shared" si="11"/>
        <v>-1724.1500000000001</v>
      </c>
      <c r="F81" s="636">
        <v>44434</v>
      </c>
      <c r="G81" s="636">
        <v>44197</v>
      </c>
      <c r="H81" s="636">
        <v>44561</v>
      </c>
      <c r="I81" s="636">
        <f t="shared" si="12"/>
        <v>44379</v>
      </c>
      <c r="J81" s="636">
        <v>44500</v>
      </c>
      <c r="K81" s="29">
        <f t="shared" si="13"/>
        <v>-121</v>
      </c>
      <c r="L81" s="29">
        <f t="shared" si="14"/>
        <v>208622.15000000002</v>
      </c>
    </row>
    <row r="82" spans="1:12" ht="12.5">
      <c r="A82" s="3">
        <f t="shared" si="4"/>
        <v>72</v>
      </c>
      <c r="B82" s="636">
        <v>44438</v>
      </c>
      <c r="C82" s="637">
        <v>68447.289999999994</v>
      </c>
      <c r="D82" s="637">
        <v>2540.0900000000001</v>
      </c>
      <c r="E82" s="637">
        <f t="shared" si="11"/>
        <v>70987.37999999999</v>
      </c>
      <c r="F82" s="636">
        <v>44438</v>
      </c>
      <c r="G82" s="636">
        <v>44197</v>
      </c>
      <c r="H82" s="636">
        <v>44561</v>
      </c>
      <c r="I82" s="636">
        <f t="shared" si="12"/>
        <v>44379</v>
      </c>
      <c r="J82" s="636">
        <v>44500</v>
      </c>
      <c r="K82" s="29">
        <f t="shared" si="13"/>
        <v>-121</v>
      </c>
      <c r="L82" s="29">
        <f t="shared" si="14"/>
        <v>-8589472.9799999986</v>
      </c>
    </row>
    <row r="83" spans="1:12" ht="12.5">
      <c r="A83" s="3">
        <f t="shared" si="4"/>
        <v>73</v>
      </c>
      <c r="B83" s="636">
        <v>44447</v>
      </c>
      <c r="C83" s="637">
        <v>23.539999999999999</v>
      </c>
      <c r="D83" s="637">
        <v>27.699999999999999</v>
      </c>
      <c r="E83" s="637">
        <f t="shared" si="11"/>
        <v>51.239999999999995</v>
      </c>
      <c r="F83" s="636">
        <v>44447</v>
      </c>
      <c r="G83" s="636">
        <v>44197</v>
      </c>
      <c r="H83" s="636">
        <v>44561</v>
      </c>
      <c r="I83" s="636">
        <f t="shared" si="12"/>
        <v>44379</v>
      </c>
      <c r="J83" s="636">
        <v>44500</v>
      </c>
      <c r="K83" s="29">
        <f t="shared" si="13"/>
        <v>-121</v>
      </c>
      <c r="L83" s="29">
        <f t="shared" si="14"/>
        <v>-6200.0399999999991</v>
      </c>
    </row>
    <row r="84" spans="1:12" ht="12.5">
      <c r="A84" s="3">
        <f t="shared" si="4"/>
        <v>74</v>
      </c>
      <c r="B84" s="636">
        <v>44448</v>
      </c>
      <c r="C84" s="637">
        <v>94.010000000000005</v>
      </c>
      <c r="D84" s="637">
        <v>105.92000000000002</v>
      </c>
      <c r="E84" s="637">
        <f t="shared" si="11"/>
        <v>199.93000000000001</v>
      </c>
      <c r="F84" s="636">
        <v>44448</v>
      </c>
      <c r="G84" s="636">
        <v>44197</v>
      </c>
      <c r="H84" s="636">
        <v>44561</v>
      </c>
      <c r="I84" s="636">
        <f t="shared" si="12"/>
        <v>44379</v>
      </c>
      <c r="J84" s="636">
        <v>44500</v>
      </c>
      <c r="K84" s="29">
        <f t="shared" si="13"/>
        <v>-121</v>
      </c>
      <c r="L84" s="29">
        <f t="shared" si="14"/>
        <v>-24191.530000000002</v>
      </c>
    </row>
    <row r="85" spans="1:12" ht="12.5">
      <c r="A85" s="3">
        <f t="shared" si="4"/>
        <v>75</v>
      </c>
      <c r="B85" s="636">
        <v>44453</v>
      </c>
      <c r="C85" s="637">
        <v>0</v>
      </c>
      <c r="D85" s="637">
        <v>9631.9200000000001</v>
      </c>
      <c r="E85" s="637">
        <f t="shared" si="11"/>
        <v>9631.9200000000001</v>
      </c>
      <c r="F85" s="636">
        <v>44453</v>
      </c>
      <c r="G85" s="636">
        <v>44197</v>
      </c>
      <c r="H85" s="636">
        <v>44561</v>
      </c>
      <c r="I85" s="636">
        <f t="shared" si="12"/>
        <v>44379</v>
      </c>
      <c r="J85" s="636">
        <v>44500</v>
      </c>
      <c r="K85" s="29">
        <f t="shared" si="13"/>
        <v>-121</v>
      </c>
      <c r="L85" s="29">
        <f t="shared" si="14"/>
        <v>-1165462.3200000001</v>
      </c>
    </row>
    <row r="86" spans="1:12" ht="12.5">
      <c r="A86" s="3">
        <f t="shared" si="4"/>
        <v>76</v>
      </c>
      <c r="B86" s="636">
        <v>44461</v>
      </c>
      <c r="C86" s="637">
        <v>0</v>
      </c>
      <c r="D86" s="637">
        <v>412.74000000000001</v>
      </c>
      <c r="E86" s="637">
        <f t="shared" si="11"/>
        <v>412.74000000000001</v>
      </c>
      <c r="F86" s="636">
        <v>44461</v>
      </c>
      <c r="G86" s="636">
        <v>44197</v>
      </c>
      <c r="H86" s="636">
        <v>44561</v>
      </c>
      <c r="I86" s="636">
        <f t="shared" si="12"/>
        <v>44379</v>
      </c>
      <c r="J86" s="636">
        <v>44500</v>
      </c>
      <c r="K86" s="29">
        <f t="shared" si="13"/>
        <v>-121</v>
      </c>
      <c r="L86" s="29">
        <f t="shared" si="14"/>
        <v>-49941.540000000001</v>
      </c>
    </row>
    <row r="87" spans="1:12" ht="12.5">
      <c r="A87" s="3">
        <f t="shared" si="4"/>
        <v>77</v>
      </c>
      <c r="B87" s="636">
        <v>44462</v>
      </c>
      <c r="C87" s="637">
        <v>163.16</v>
      </c>
      <c r="D87" s="637">
        <v>212.31</v>
      </c>
      <c r="E87" s="637">
        <f t="shared" si="11"/>
        <v>375.47000000000003</v>
      </c>
      <c r="F87" s="636">
        <v>44462</v>
      </c>
      <c r="G87" s="636">
        <v>44197</v>
      </c>
      <c r="H87" s="636">
        <v>44561</v>
      </c>
      <c r="I87" s="636">
        <f t="shared" si="12"/>
        <v>44379</v>
      </c>
      <c r="J87" s="636">
        <v>44500</v>
      </c>
      <c r="K87" s="29">
        <f t="shared" si="13"/>
        <v>-121</v>
      </c>
      <c r="L87" s="29">
        <f t="shared" si="14"/>
        <v>-45431.870000000003</v>
      </c>
    </row>
    <row r="88" spans="1:12" ht="12.5">
      <c r="A88" s="3">
        <f t="shared" si="4"/>
        <v>78</v>
      </c>
      <c r="B88" s="636">
        <v>44468</v>
      </c>
      <c r="C88" s="637">
        <v>494.04000000000002</v>
      </c>
      <c r="D88" s="637">
        <v>652.05000000000007</v>
      </c>
      <c r="E88" s="637">
        <f t="shared" si="11"/>
        <v>1146.0900000000002</v>
      </c>
      <c r="F88" s="636">
        <v>44468</v>
      </c>
      <c r="G88" s="636">
        <v>44197</v>
      </c>
      <c r="H88" s="636">
        <v>44561</v>
      </c>
      <c r="I88" s="636">
        <f t="shared" si="12"/>
        <v>44379</v>
      </c>
      <c r="J88" s="636">
        <v>44500</v>
      </c>
      <c r="K88" s="29">
        <f t="shared" si="13"/>
        <v>-121</v>
      </c>
      <c r="L88" s="29">
        <f t="shared" si="14"/>
        <v>-138676.89000000001</v>
      </c>
    </row>
    <row r="89" spans="1:12" ht="12.5">
      <c r="A89" s="3">
        <f t="shared" si="4"/>
        <v>79</v>
      </c>
      <c r="B89" s="445"/>
      <c r="C89" s="392"/>
      <c r="D89" s="392"/>
      <c r="E89" s="392"/>
      <c r="F89" s="445"/>
      <c r="G89" s="445"/>
      <c r="H89" s="445"/>
      <c r="I89" s="445"/>
      <c r="J89" s="445"/>
      <c r="K89" s="29"/>
      <c r="L89" s="29"/>
    </row>
    <row r="90" spans="1:12" ht="13" thickBot="1">
      <c r="A90" s="3">
        <f t="shared" si="4"/>
        <v>80</v>
      </c>
      <c r="B90" s="680" t="s">
        <v>493</v>
      </c>
      <c r="C90" s="390">
        <f>SUM(C11:C89)</f>
        <v>225600.74999999997</v>
      </c>
      <c r="D90" s="390">
        <f>SUM(D11:D89)</f>
        <v>259882.56000000006</v>
      </c>
      <c r="E90" s="390">
        <f>SUM(E11:E89)</f>
        <v>485483.31000000006</v>
      </c>
      <c r="F90" s="66"/>
      <c r="G90" s="66"/>
      <c r="H90" s="66"/>
      <c r="I90" s="66"/>
      <c r="J90" s="66"/>
      <c r="K90" s="394">
        <f>ROUND(L90/E90,2)</f>
        <v>12.17</v>
      </c>
      <c r="L90" s="390">
        <f>SUM(L11:L89)</f>
        <v>5906006.5399999982</v>
      </c>
    </row>
    <row r="91" spans="1:12" ht="13" thickTop="1">
      <c r="A91" s="3">
        <f t="shared" si="4"/>
        <v>81</v>
      </c>
      <c r="B91" s="680"/>
      <c r="C91" s="387"/>
      <c r="D91" s="387"/>
      <c r="E91" s="387"/>
      <c r="F91" s="66"/>
      <c r="G91" s="66"/>
      <c r="H91" s="66"/>
      <c r="I91" s="66"/>
      <c r="J91" s="66"/>
      <c r="K91" s="681"/>
      <c r="L91" s="387"/>
    </row>
    <row r="92" spans="1:12" ht="12.5">
      <c r="A92" s="3">
        <f t="shared" si="4"/>
        <v>82</v>
      </c>
      <c r="C92" s="387"/>
      <c r="D92" s="387"/>
      <c r="E92" s="387"/>
      <c r="F92" s="66"/>
      <c r="G92" s="66"/>
      <c r="H92" s="66"/>
      <c r="I92" s="66"/>
      <c r="J92" s="66"/>
      <c r="K92" s="276"/>
      <c r="L92" s="393"/>
    </row>
    <row r="93" spans="1:12" ht="12.5">
      <c r="A93" s="3">
        <f t="shared" si="4"/>
        <v>83</v>
      </c>
      <c r="B93" s="1" t="s">
        <v>386</v>
      </c>
      <c r="C93" s="75"/>
      <c r="D93" s="75"/>
      <c r="E93" s="389">
        <f>+'8-2-1'!E46</f>
        <v>161134.56</v>
      </c>
      <c r="K93" s="383">
        <f>ROUND(L93/E93,2)</f>
        <v>12.539999999999999</v>
      </c>
      <c r="L93" s="389">
        <f>+'8-2-1'!L46</f>
        <v>2020156.0450000004</v>
      </c>
    </row>
    <row r="94" spans="1:12" ht="12.5">
      <c r="A94" s="3">
        <f t="shared" si="4"/>
        <v>84</v>
      </c>
      <c r="C94" s="75"/>
      <c r="D94" s="75"/>
      <c r="E94" s="393"/>
      <c r="K94" s="388"/>
      <c r="L94" s="393"/>
    </row>
    <row r="95" spans="1:12" ht="12.5">
      <c r="A95" s="3">
        <f t="shared" si="4"/>
        <v>85</v>
      </c>
      <c r="C95" s="387"/>
      <c r="D95" s="387"/>
      <c r="E95" s="75"/>
      <c r="K95" s="384"/>
      <c r="L95" s="381"/>
    </row>
    <row r="96" spans="1:12" ht="13" thickBot="1">
      <c r="A96" s="3">
        <f t="shared" si="4"/>
        <v>86</v>
      </c>
      <c r="B96" s="1" t="s">
        <v>268</v>
      </c>
      <c r="C96" s="227"/>
      <c r="D96" s="227"/>
      <c r="E96" s="351">
        <f>+E93+E90</f>
        <v>646617.87000000011</v>
      </c>
      <c r="K96" s="386">
        <f>ROUND(L96/E96,2)</f>
        <v>12.26</v>
      </c>
      <c r="L96" s="351">
        <f>+L93+L90</f>
        <v>7926162.584999999</v>
      </c>
    </row>
    <row r="97" spans="1:12" ht="13" thickTop="1">
      <c r="A97" s="3">
        <f t="shared" si="15" ref="A97:A99">A96+1</f>
        <v>87</v>
      </c>
      <c r="C97" s="227"/>
      <c r="D97" s="227"/>
      <c r="E97" s="387"/>
      <c r="K97" s="388"/>
      <c r="L97" s="387"/>
    </row>
    <row r="98" spans="1:12" ht="12.5">
      <c r="A98" s="3">
        <f t="shared" si="15"/>
        <v>88</v>
      </c>
      <c r="C98" s="75"/>
      <c r="D98" s="75"/>
      <c r="E98" s="75"/>
      <c r="K98" s="384"/>
      <c r="L98" s="381"/>
    </row>
    <row r="99" spans="1:3" ht="12.5">
      <c r="A99" s="3">
        <f t="shared" si="15"/>
        <v>89</v>
      </c>
      <c r="B99" s="1" t="s">
        <v>256</v>
      </c>
      <c r="C99" s="293" t="s">
        <v>480</v>
      </c>
    </row>
    <row r="100" spans="1:1" ht="12.5">
      <c r="A100" s="686" t="s">
        <v>499</v>
      </c>
    </row>
    <row r="101" spans="1:1" ht="12.5">
      <c r="A101" s="686" t="s">
        <v>499</v>
      </c>
    </row>
  </sheetData>
  <mergeCells count="1">
    <mergeCell ref="G7:I7"/>
  </mergeCells>
  <hyperlinks>
    <hyperlink ref="C99" r:id="rId1" display="Tax Other Than Income - Payroll Taxes.xlsx"/>
  </hyperlinks>
  <printOptions horizontalCentered="1"/>
  <pageMargins left="0.5" right="0.5" top="1.5" bottom="0.5" header="1" footer="0.5"/>
  <pageSetup fitToHeight="5" orientation="landscape" scale="83" r:id="rId2"/>
  <headerFooter alignWithMargins="0">
    <oddHeader>&amp;RWP/II-B-9/&amp;A
Page &amp;P of &amp;N</oddHeader>
  </headerFooter>
  <rowBreaks count="2" manualBreakCount="2">
    <brk id="35" max="16383" man="1"/>
    <brk id="66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1">
    <tabColor rgb="FF92D050"/>
  </sheetPr>
  <dimension ref="A1:L49"/>
  <sheetViews>
    <sheetView showGridLines="0" zoomScaleSheetLayoutView="100" workbookViewId="0" topLeftCell="A1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11" width="11.8571428571429" style="1" customWidth="1"/>
    <col min="12" max="12" width="14.8571428571429" style="1" customWidth="1"/>
    <col min="13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12" s="42" customFormat="1" ht="13">
      <c r="A3" s="396" t="s">
        <v>281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1"/>
      <c r="C5" s="181"/>
      <c r="D5" s="181"/>
      <c r="E5" s="181"/>
    </row>
    <row r="7" spans="1:12" ht="13">
      <c r="A7" s="22" t="s">
        <v>40</v>
      </c>
      <c r="B7" s="22" t="s">
        <v>39</v>
      </c>
      <c r="C7" s="22" t="s">
        <v>91</v>
      </c>
      <c r="D7" s="22" t="s">
        <v>92</v>
      </c>
      <c r="E7" s="22" t="s">
        <v>26</v>
      </c>
      <c r="F7" s="22" t="s">
        <v>88</v>
      </c>
      <c r="G7" s="823" t="s">
        <v>487</v>
      </c>
      <c r="H7" s="823"/>
      <c r="I7" s="823"/>
      <c r="J7" s="22"/>
      <c r="K7" s="25"/>
      <c r="L7" s="27" t="s">
        <v>112</v>
      </c>
    </row>
    <row r="8" spans="1:12" ht="13">
      <c r="A8" s="57" t="s">
        <v>41</v>
      </c>
      <c r="B8" s="57" t="s">
        <v>89</v>
      </c>
      <c r="C8" s="57" t="s">
        <v>24</v>
      </c>
      <c r="D8" s="57" t="s">
        <v>24</v>
      </c>
      <c r="E8" s="57" t="s">
        <v>24</v>
      </c>
      <c r="F8" s="57" t="s">
        <v>113</v>
      </c>
      <c r="G8" s="673" t="s">
        <v>451</v>
      </c>
      <c r="H8" s="673" t="s">
        <v>452</v>
      </c>
      <c r="I8" s="673" t="s">
        <v>18</v>
      </c>
      <c r="J8" s="673" t="s">
        <v>265</v>
      </c>
      <c r="K8" s="673" t="s">
        <v>46</v>
      </c>
      <c r="L8" s="63" t="s">
        <v>90</v>
      </c>
    </row>
    <row r="9" spans="2:12" ht="12.5">
      <c r="B9" s="8" t="s">
        <v>55</v>
      </c>
      <c r="C9" s="8" t="s">
        <v>56</v>
      </c>
      <c r="D9" s="8" t="s">
        <v>62</v>
      </c>
      <c r="E9" s="8" t="s">
        <v>57</v>
      </c>
      <c r="F9" s="8" t="s">
        <v>58</v>
      </c>
      <c r="G9" s="677" t="s">
        <v>59</v>
      </c>
      <c r="H9" s="677" t="s">
        <v>60</v>
      </c>
      <c r="I9" s="677" t="s">
        <v>63</v>
      </c>
      <c r="J9" s="677" t="s">
        <v>64</v>
      </c>
      <c r="K9" s="677" t="s">
        <v>485</v>
      </c>
      <c r="L9" s="677" t="s">
        <v>486</v>
      </c>
    </row>
    <row r="10" spans="2:12" ht="12.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2.5">
      <c r="A11" s="3">
        <v>1</v>
      </c>
      <c r="B11" s="636">
        <v>44118</v>
      </c>
      <c r="C11" s="637">
        <v>0</v>
      </c>
      <c r="D11" s="637">
        <v>268.79000000000002</v>
      </c>
      <c r="E11" s="637">
        <f>D11+C11</f>
        <v>268.79000000000002</v>
      </c>
      <c r="F11" s="636">
        <v>44118</v>
      </c>
      <c r="G11" s="636">
        <v>43831</v>
      </c>
      <c r="H11" s="636">
        <v>44196</v>
      </c>
      <c r="I11" s="636">
        <f>+(G11+H11)/2</f>
        <v>44013.5</v>
      </c>
      <c r="J11" s="636">
        <v>44227</v>
      </c>
      <c r="K11" s="29">
        <f>+I11-J11</f>
        <v>-213.5</v>
      </c>
      <c r="L11" s="75">
        <f>E11*K11</f>
        <v>-57386.665000000001</v>
      </c>
    </row>
    <row r="12" spans="1:12" ht="12.5">
      <c r="A12" s="3">
        <f>A11+1</f>
        <v>2</v>
      </c>
      <c r="B12" s="636">
        <v>44133</v>
      </c>
      <c r="C12" s="637">
        <v>123.84</v>
      </c>
      <c r="D12" s="637">
        <v>155.75999999999999</v>
      </c>
      <c r="E12" s="665">
        <f t="shared" si="0" ref="E12:E35">D12+C12</f>
        <v>279.60000000000002</v>
      </c>
      <c r="F12" s="636">
        <v>44133</v>
      </c>
      <c r="G12" s="636">
        <v>43831</v>
      </c>
      <c r="H12" s="636">
        <v>44196</v>
      </c>
      <c r="I12" s="636">
        <f t="shared" si="1" ref="I12:I35">+(G12+H12)/2</f>
        <v>44013.5</v>
      </c>
      <c r="J12" s="636">
        <v>44227</v>
      </c>
      <c r="K12" s="29">
        <f t="shared" si="2" ref="K12:K35">+I12-J12</f>
        <v>-213.5</v>
      </c>
      <c r="L12" s="29">
        <f>E12*K12</f>
        <v>-59694.600000000006</v>
      </c>
    </row>
    <row r="13" spans="1:12" ht="12.5">
      <c r="A13" s="3">
        <f t="shared" si="3" ref="A13:A49">A12+1</f>
        <v>3</v>
      </c>
      <c r="B13" s="636">
        <v>44147</v>
      </c>
      <c r="C13" s="637">
        <v>124.12000000000001</v>
      </c>
      <c r="D13" s="637">
        <v>180.31</v>
      </c>
      <c r="E13" s="665">
        <f t="shared" si="0"/>
        <v>304.43000000000001</v>
      </c>
      <c r="F13" s="636">
        <v>44147</v>
      </c>
      <c r="G13" s="636">
        <v>43831</v>
      </c>
      <c r="H13" s="636">
        <v>44196</v>
      </c>
      <c r="I13" s="636">
        <f t="shared" si="1"/>
        <v>44013.5</v>
      </c>
      <c r="J13" s="636">
        <v>44227</v>
      </c>
      <c r="K13" s="29">
        <f t="shared" si="2"/>
        <v>-213.5</v>
      </c>
      <c r="L13" s="29">
        <f t="shared" si="4" ref="L13:L33">E13*K13</f>
        <v>-64995.805</v>
      </c>
    </row>
    <row r="14" spans="1:12" ht="12.5">
      <c r="A14" s="3">
        <f t="shared" si="3"/>
        <v>4</v>
      </c>
      <c r="B14" s="636">
        <v>44118</v>
      </c>
      <c r="C14" s="637">
        <v>83.909999999999997</v>
      </c>
      <c r="D14" s="637">
        <v>-83.909999999999997</v>
      </c>
      <c r="E14" s="665">
        <f t="shared" si="0"/>
        <v>0</v>
      </c>
      <c r="F14" s="636">
        <v>44118</v>
      </c>
      <c r="G14" s="636">
        <v>43831</v>
      </c>
      <c r="H14" s="636">
        <v>44196</v>
      </c>
      <c r="I14" s="636">
        <f t="shared" si="1"/>
        <v>44013.5</v>
      </c>
      <c r="J14" s="636">
        <v>44227</v>
      </c>
      <c r="K14" s="29">
        <f t="shared" si="2"/>
        <v>-213.5</v>
      </c>
      <c r="L14" s="29">
        <f t="shared" si="4"/>
        <v>0</v>
      </c>
    </row>
    <row r="15" spans="1:12" ht="12.5">
      <c r="A15" s="3">
        <f t="shared" si="3"/>
        <v>5</v>
      </c>
      <c r="B15" s="636">
        <v>44160</v>
      </c>
      <c r="C15" s="637">
        <v>118.52</v>
      </c>
      <c r="D15" s="637">
        <v>164.06999999999999</v>
      </c>
      <c r="E15" s="665">
        <f t="shared" si="0"/>
        <v>282.58999999999997</v>
      </c>
      <c r="F15" s="636">
        <v>44160</v>
      </c>
      <c r="G15" s="636">
        <v>43831</v>
      </c>
      <c r="H15" s="636">
        <v>44196</v>
      </c>
      <c r="I15" s="636">
        <f t="shared" si="1"/>
        <v>44013.5</v>
      </c>
      <c r="J15" s="636">
        <v>44227</v>
      </c>
      <c r="K15" s="29">
        <f t="shared" si="2"/>
        <v>-213.5</v>
      </c>
      <c r="L15" s="29">
        <f t="shared" si="4"/>
        <v>-60332.964999999997</v>
      </c>
    </row>
    <row r="16" spans="1:12" ht="12.5">
      <c r="A16" s="3">
        <f t="shared" si="3"/>
        <v>6</v>
      </c>
      <c r="B16" s="636">
        <v>44179</v>
      </c>
      <c r="C16" s="637">
        <v>114.2</v>
      </c>
      <c r="D16" s="637">
        <v>162.38</v>
      </c>
      <c r="E16" s="665">
        <f t="shared" si="0"/>
        <v>276.57999999999998</v>
      </c>
      <c r="F16" s="636">
        <v>44179</v>
      </c>
      <c r="G16" s="636">
        <v>43831</v>
      </c>
      <c r="H16" s="636">
        <v>44196</v>
      </c>
      <c r="I16" s="636">
        <f t="shared" si="1"/>
        <v>44013.5</v>
      </c>
      <c r="J16" s="636">
        <v>44227</v>
      </c>
      <c r="K16" s="29">
        <f t="shared" si="2"/>
        <v>-213.5</v>
      </c>
      <c r="L16" s="29">
        <f t="shared" si="4"/>
        <v>-59049.829999999994</v>
      </c>
    </row>
    <row r="17" spans="1:12" ht="12.5">
      <c r="A17" s="3">
        <f t="shared" si="3"/>
        <v>7</v>
      </c>
      <c r="B17" s="636">
        <v>44189</v>
      </c>
      <c r="C17" s="637">
        <v>0.40999999999999998</v>
      </c>
      <c r="D17" s="637">
        <v>0.45000000000000001</v>
      </c>
      <c r="E17" s="665">
        <f t="shared" si="0"/>
        <v>0.85999999999999999</v>
      </c>
      <c r="F17" s="636">
        <v>44189</v>
      </c>
      <c r="G17" s="636">
        <v>43831</v>
      </c>
      <c r="H17" s="636">
        <v>44196</v>
      </c>
      <c r="I17" s="636">
        <f t="shared" si="1"/>
        <v>44013.5</v>
      </c>
      <c r="J17" s="636">
        <v>44227</v>
      </c>
      <c r="K17" s="29">
        <f t="shared" si="2"/>
        <v>-213.5</v>
      </c>
      <c r="L17" s="29">
        <f t="shared" si="4"/>
        <v>-183.60999999999999</v>
      </c>
    </row>
    <row r="18" spans="1:12" ht="12.5">
      <c r="A18" s="3">
        <f t="shared" si="3"/>
        <v>8</v>
      </c>
      <c r="B18" s="636">
        <v>44195</v>
      </c>
      <c r="C18" s="637">
        <v>353.62</v>
      </c>
      <c r="D18" s="637">
        <v>429.89999999999998</v>
      </c>
      <c r="E18" s="665">
        <f t="shared" si="0"/>
        <v>783.51999999999998</v>
      </c>
      <c r="F18" s="636">
        <v>44195</v>
      </c>
      <c r="G18" s="636">
        <v>43831</v>
      </c>
      <c r="H18" s="636">
        <v>44196</v>
      </c>
      <c r="I18" s="636">
        <f t="shared" si="1"/>
        <v>44013.5</v>
      </c>
      <c r="J18" s="636">
        <v>44227</v>
      </c>
      <c r="K18" s="29">
        <f t="shared" si="2"/>
        <v>-213.5</v>
      </c>
      <c r="L18" s="29">
        <f t="shared" si="4"/>
        <v>-167281.51999999999</v>
      </c>
    </row>
    <row r="19" spans="1:12" ht="12.5">
      <c r="A19" s="3">
        <f t="shared" si="3"/>
        <v>9</v>
      </c>
      <c r="B19" s="636">
        <v>44210</v>
      </c>
      <c r="C19" s="637">
        <v>27298.150000000001</v>
      </c>
      <c r="D19" s="637">
        <v>31734.970000000001</v>
      </c>
      <c r="E19" s="665">
        <f t="shared" si="0"/>
        <v>59033.120000000003</v>
      </c>
      <c r="F19" s="636">
        <v>44210</v>
      </c>
      <c r="G19" s="636">
        <v>44197</v>
      </c>
      <c r="H19" s="636">
        <v>44561</v>
      </c>
      <c r="I19" s="636">
        <f t="shared" si="1"/>
        <v>44379</v>
      </c>
      <c r="J19" s="636">
        <v>44316</v>
      </c>
      <c r="K19" s="29">
        <f t="shared" si="2"/>
        <v>63</v>
      </c>
      <c r="L19" s="29">
        <f t="shared" si="4"/>
        <v>3719086.5600000001</v>
      </c>
    </row>
    <row r="20" spans="1:12" ht="12.5">
      <c r="A20" s="3">
        <f t="shared" si="3"/>
        <v>10</v>
      </c>
      <c r="B20" s="636">
        <v>44223</v>
      </c>
      <c r="C20" s="637">
        <v>99.299999999999997</v>
      </c>
      <c r="D20" s="637">
        <v>109.23</v>
      </c>
      <c r="E20" s="665">
        <f t="shared" si="0"/>
        <v>208.53</v>
      </c>
      <c r="F20" s="636">
        <v>44223</v>
      </c>
      <c r="G20" s="636">
        <v>44197</v>
      </c>
      <c r="H20" s="636">
        <v>44561</v>
      </c>
      <c r="I20" s="636">
        <f t="shared" si="1"/>
        <v>44379</v>
      </c>
      <c r="J20" s="636">
        <v>44316</v>
      </c>
      <c r="K20" s="29">
        <f t="shared" si="2"/>
        <v>63</v>
      </c>
      <c r="L20" s="29">
        <f t="shared" si="4"/>
        <v>13137.389999999999</v>
      </c>
    </row>
    <row r="21" spans="1:12" ht="12.5">
      <c r="A21" s="3">
        <f t="shared" si="3"/>
        <v>11</v>
      </c>
      <c r="B21" s="636">
        <v>44224</v>
      </c>
      <c r="C21" s="637">
        <v>16533.439999999999</v>
      </c>
      <c r="D21" s="637">
        <v>25897.700000000001</v>
      </c>
      <c r="E21" s="665">
        <f t="shared" si="0"/>
        <v>42431.139999999999</v>
      </c>
      <c r="F21" s="636">
        <v>44224</v>
      </c>
      <c r="G21" s="636">
        <v>44197</v>
      </c>
      <c r="H21" s="636">
        <v>44561</v>
      </c>
      <c r="I21" s="636">
        <f t="shared" si="1"/>
        <v>44379</v>
      </c>
      <c r="J21" s="636">
        <v>44316</v>
      </c>
      <c r="K21" s="29">
        <f t="shared" si="2"/>
        <v>63</v>
      </c>
      <c r="L21" s="29">
        <f t="shared" si="4"/>
        <v>2673161.8199999998</v>
      </c>
    </row>
    <row r="22" spans="1:12" ht="12.5">
      <c r="A22" s="3">
        <f t="shared" si="3"/>
        <v>12</v>
      </c>
      <c r="B22" s="636">
        <v>44238</v>
      </c>
      <c r="C22" s="637">
        <v>2081.3600000000001</v>
      </c>
      <c r="D22" s="637">
        <v>6228.8900000000003</v>
      </c>
      <c r="E22" s="665">
        <f t="shared" si="0"/>
        <v>8310.25</v>
      </c>
      <c r="F22" s="636">
        <v>44238</v>
      </c>
      <c r="G22" s="636">
        <v>44197</v>
      </c>
      <c r="H22" s="636">
        <v>44561</v>
      </c>
      <c r="I22" s="636">
        <f t="shared" si="1"/>
        <v>44379</v>
      </c>
      <c r="J22" s="636">
        <v>44316</v>
      </c>
      <c r="K22" s="29">
        <f t="shared" si="2"/>
        <v>63</v>
      </c>
      <c r="L22" s="29">
        <f t="shared" si="4"/>
        <v>523545.75</v>
      </c>
    </row>
    <row r="23" spans="1:12" ht="12.5">
      <c r="A23" s="3">
        <f t="shared" si="3"/>
        <v>13</v>
      </c>
      <c r="B23" s="636">
        <v>44243</v>
      </c>
      <c r="C23" s="637">
        <v>36.93</v>
      </c>
      <c r="D23" s="637">
        <v>220.31999999999999</v>
      </c>
      <c r="E23" s="665">
        <f t="shared" si="0"/>
        <v>257.25</v>
      </c>
      <c r="F23" s="636">
        <v>44243</v>
      </c>
      <c r="G23" s="636">
        <v>44197</v>
      </c>
      <c r="H23" s="636">
        <v>44561</v>
      </c>
      <c r="I23" s="636">
        <f t="shared" si="1"/>
        <v>44379</v>
      </c>
      <c r="J23" s="636">
        <v>44316</v>
      </c>
      <c r="K23" s="29">
        <f t="shared" si="2"/>
        <v>63</v>
      </c>
      <c r="L23" s="29">
        <f t="shared" si="4"/>
        <v>16206.75</v>
      </c>
    </row>
    <row r="24" spans="1:12" ht="12.5">
      <c r="A24" s="3">
        <f t="shared" si="3"/>
        <v>14</v>
      </c>
      <c r="B24" s="636">
        <v>44244</v>
      </c>
      <c r="C24" s="637">
        <v>13.720000000000001</v>
      </c>
      <c r="D24" s="637">
        <v>15.069999999999999</v>
      </c>
      <c r="E24" s="665">
        <f t="shared" si="0"/>
        <v>28.789999999999999</v>
      </c>
      <c r="F24" s="636">
        <v>44244</v>
      </c>
      <c r="G24" s="636">
        <v>44197</v>
      </c>
      <c r="H24" s="636">
        <v>44561</v>
      </c>
      <c r="I24" s="636">
        <f t="shared" si="1"/>
        <v>44379</v>
      </c>
      <c r="J24" s="636">
        <v>44316</v>
      </c>
      <c r="K24" s="29">
        <f t="shared" si="2"/>
        <v>63</v>
      </c>
      <c r="L24" s="29">
        <f t="shared" si="4"/>
        <v>1813.77</v>
      </c>
    </row>
    <row r="25" spans="1:12" ht="12.5">
      <c r="A25" s="3">
        <f t="shared" si="3"/>
        <v>15</v>
      </c>
      <c r="B25" s="636">
        <v>44252</v>
      </c>
      <c r="C25" s="637">
        <v>406.99000000000001</v>
      </c>
      <c r="D25" s="637">
        <v>1189.77</v>
      </c>
      <c r="E25" s="665">
        <f t="shared" si="0"/>
        <v>1596.76</v>
      </c>
      <c r="F25" s="636">
        <v>44252</v>
      </c>
      <c r="G25" s="636">
        <v>44197</v>
      </c>
      <c r="H25" s="636">
        <v>44561</v>
      </c>
      <c r="I25" s="636">
        <f t="shared" si="1"/>
        <v>44379</v>
      </c>
      <c r="J25" s="636">
        <v>44316</v>
      </c>
      <c r="K25" s="29">
        <f t="shared" si="2"/>
        <v>63</v>
      </c>
      <c r="L25" s="29">
        <f t="shared" si="4"/>
        <v>100595.88000000001</v>
      </c>
    </row>
    <row r="26" spans="1:12" ht="12.5">
      <c r="A26" s="3">
        <f t="shared" si="3"/>
        <v>16</v>
      </c>
      <c r="B26" s="636">
        <v>44260</v>
      </c>
      <c r="C26" s="637">
        <v>2.23</v>
      </c>
      <c r="D26" s="637">
        <v>227.83000000000001</v>
      </c>
      <c r="E26" s="665">
        <f t="shared" si="0"/>
        <v>230.06</v>
      </c>
      <c r="F26" s="636">
        <v>44260</v>
      </c>
      <c r="G26" s="636">
        <v>44197</v>
      </c>
      <c r="H26" s="636">
        <v>44561</v>
      </c>
      <c r="I26" s="636">
        <f t="shared" si="1"/>
        <v>44379</v>
      </c>
      <c r="J26" s="636">
        <v>44316</v>
      </c>
      <c r="K26" s="29">
        <f t="shared" si="2"/>
        <v>63</v>
      </c>
      <c r="L26" s="29">
        <f t="shared" si="4"/>
        <v>14493.780000000001</v>
      </c>
    </row>
    <row r="27" spans="1:12" ht="12.5">
      <c r="A27" s="3">
        <f t="shared" si="3"/>
        <v>17</v>
      </c>
      <c r="B27" s="636">
        <v>44267</v>
      </c>
      <c r="C27" s="637">
        <v>96.620000000000005</v>
      </c>
      <c r="D27" s="637">
        <v>130.5</v>
      </c>
      <c r="E27" s="665">
        <f t="shared" si="0"/>
        <v>227.12000000000001</v>
      </c>
      <c r="F27" s="636">
        <v>44267</v>
      </c>
      <c r="G27" s="636">
        <v>44197</v>
      </c>
      <c r="H27" s="636">
        <v>44561</v>
      </c>
      <c r="I27" s="636">
        <f t="shared" si="1"/>
        <v>44379</v>
      </c>
      <c r="J27" s="636">
        <v>44316</v>
      </c>
      <c r="K27" s="29">
        <f t="shared" si="2"/>
        <v>63</v>
      </c>
      <c r="L27" s="29">
        <f t="shared" si="4"/>
        <v>14308.56</v>
      </c>
    </row>
    <row r="28" spans="1:12" ht="12.5">
      <c r="A28" s="3">
        <f t="shared" si="3"/>
        <v>18</v>
      </c>
      <c r="B28" s="636">
        <v>44274</v>
      </c>
      <c r="C28" s="637">
        <v>0</v>
      </c>
      <c r="D28" s="637">
        <v>518.07999999999993</v>
      </c>
      <c r="E28" s="665">
        <f t="shared" si="0"/>
        <v>518.07999999999993</v>
      </c>
      <c r="F28" s="636">
        <v>44274</v>
      </c>
      <c r="G28" s="636">
        <v>44197</v>
      </c>
      <c r="H28" s="636">
        <v>44561</v>
      </c>
      <c r="I28" s="636">
        <f t="shared" si="1"/>
        <v>44379</v>
      </c>
      <c r="J28" s="636">
        <v>44316</v>
      </c>
      <c r="K28" s="29">
        <f t="shared" si="2"/>
        <v>63</v>
      </c>
      <c r="L28" s="29">
        <f t="shared" si="4"/>
        <v>32639.039999999994</v>
      </c>
    </row>
    <row r="29" spans="1:12" ht="12.5">
      <c r="A29" s="3">
        <f t="shared" si="3"/>
        <v>19</v>
      </c>
      <c r="B29" s="636">
        <v>44285</v>
      </c>
      <c r="C29" s="637">
        <v>93.829999999999998</v>
      </c>
      <c r="D29" s="637">
        <v>-4823.2300000000005</v>
      </c>
      <c r="E29" s="665">
        <f t="shared" si="0"/>
        <v>-4729.4000000000005</v>
      </c>
      <c r="F29" s="636">
        <v>44285</v>
      </c>
      <c r="G29" s="636">
        <v>44197</v>
      </c>
      <c r="H29" s="636">
        <v>44561</v>
      </c>
      <c r="I29" s="636">
        <f t="shared" si="1"/>
        <v>44379</v>
      </c>
      <c r="J29" s="636">
        <v>44316</v>
      </c>
      <c r="K29" s="29">
        <f t="shared" si="2"/>
        <v>63</v>
      </c>
      <c r="L29" s="29">
        <f t="shared" si="4"/>
        <v>-297952.20000000001</v>
      </c>
    </row>
    <row r="30" spans="1:12" ht="12.5">
      <c r="A30" s="3">
        <f t="shared" si="3"/>
        <v>20</v>
      </c>
      <c r="B30" s="636">
        <v>44286</v>
      </c>
      <c r="C30" s="637">
        <v>0.02</v>
      </c>
      <c r="D30" s="637">
        <v>4955.7799999999997</v>
      </c>
      <c r="E30" s="665">
        <f t="shared" si="0"/>
        <v>4955.8000000000002</v>
      </c>
      <c r="F30" s="636">
        <v>44286</v>
      </c>
      <c r="G30" s="636">
        <v>44197</v>
      </c>
      <c r="H30" s="636">
        <v>44561</v>
      </c>
      <c r="I30" s="636">
        <f t="shared" si="1"/>
        <v>44379</v>
      </c>
      <c r="J30" s="636">
        <v>44316</v>
      </c>
      <c r="K30" s="29">
        <f t="shared" si="2"/>
        <v>63</v>
      </c>
      <c r="L30" s="29">
        <f t="shared" si="4"/>
        <v>312215.40000000002</v>
      </c>
    </row>
    <row r="31" spans="1:12" ht="12.5">
      <c r="A31" s="3">
        <f t="shared" si="3"/>
        <v>21</v>
      </c>
      <c r="B31" s="636">
        <v>44300</v>
      </c>
      <c r="C31" s="637">
        <v>118.34999999999999</v>
      </c>
      <c r="D31" s="637">
        <v>127.61</v>
      </c>
      <c r="E31" s="665">
        <f t="shared" si="0"/>
        <v>245.95999999999998</v>
      </c>
      <c r="F31" s="636">
        <v>44300</v>
      </c>
      <c r="G31" s="636">
        <v>44197</v>
      </c>
      <c r="H31" s="636">
        <v>44561</v>
      </c>
      <c r="I31" s="636">
        <f t="shared" si="1"/>
        <v>44379</v>
      </c>
      <c r="J31" s="636">
        <v>44408</v>
      </c>
      <c r="K31" s="29">
        <f t="shared" si="2"/>
        <v>-29</v>
      </c>
      <c r="L31" s="29">
        <f t="shared" si="4"/>
        <v>-7132.8399999999992</v>
      </c>
    </row>
    <row r="32" spans="1:12" ht="12.5">
      <c r="A32" s="3">
        <f t="shared" si="3"/>
        <v>22</v>
      </c>
      <c r="B32" s="636">
        <v>44312</v>
      </c>
      <c r="C32" s="637">
        <v>31.5</v>
      </c>
      <c r="D32" s="637">
        <v>32.030000000000001</v>
      </c>
      <c r="E32" s="665">
        <f t="shared" si="0"/>
        <v>63.530000000000001</v>
      </c>
      <c r="F32" s="636">
        <v>44312</v>
      </c>
      <c r="G32" s="636">
        <v>44197</v>
      </c>
      <c r="H32" s="636">
        <v>44561</v>
      </c>
      <c r="I32" s="636">
        <f t="shared" si="1"/>
        <v>44379</v>
      </c>
      <c r="J32" s="636">
        <v>44408</v>
      </c>
      <c r="K32" s="29">
        <f t="shared" si="2"/>
        <v>-29</v>
      </c>
      <c r="L32" s="29">
        <f t="shared" si="4"/>
        <v>-1842.3700000000001</v>
      </c>
    </row>
    <row r="33" spans="1:12" ht="12.5">
      <c r="A33" s="3">
        <f t="shared" si="3"/>
        <v>23</v>
      </c>
      <c r="B33" s="636">
        <v>44315</v>
      </c>
      <c r="C33" s="637">
        <v>143.44</v>
      </c>
      <c r="D33" s="637">
        <v>208.97999999999999</v>
      </c>
      <c r="E33" s="665">
        <f t="shared" si="0"/>
        <v>352.41999999999996</v>
      </c>
      <c r="F33" s="636">
        <v>44315</v>
      </c>
      <c r="G33" s="636">
        <v>44197</v>
      </c>
      <c r="H33" s="636">
        <v>44561</v>
      </c>
      <c r="I33" s="636">
        <f t="shared" si="1"/>
        <v>44379</v>
      </c>
      <c r="J33" s="636">
        <v>44408</v>
      </c>
      <c r="K33" s="29">
        <f t="shared" si="2"/>
        <v>-29</v>
      </c>
      <c r="L33" s="29">
        <f t="shared" si="4"/>
        <v>-10220.179999999999</v>
      </c>
    </row>
    <row r="34" spans="1:12" ht="12.5">
      <c r="A34" s="3">
        <f t="shared" si="3"/>
        <v>24</v>
      </c>
      <c r="B34" s="636">
        <v>44327</v>
      </c>
      <c r="C34" s="637">
        <v>0</v>
      </c>
      <c r="D34" s="637">
        <v>0.80000000000000004</v>
      </c>
      <c r="E34" s="665">
        <f t="shared" si="0"/>
        <v>0.80000000000000004</v>
      </c>
      <c r="F34" s="636">
        <v>44327</v>
      </c>
      <c r="G34" s="636">
        <v>44197</v>
      </c>
      <c r="H34" s="636">
        <v>44561</v>
      </c>
      <c r="I34" s="636">
        <f t="shared" si="1"/>
        <v>44379</v>
      </c>
      <c r="J34" s="636">
        <v>44408</v>
      </c>
      <c r="K34" s="29">
        <f t="shared" si="2"/>
        <v>-29</v>
      </c>
      <c r="L34" s="29">
        <f>E34*K34</f>
        <v>-23.200000000000003</v>
      </c>
    </row>
    <row r="35" spans="1:12" ht="12.5">
      <c r="A35" s="3">
        <f t="shared" si="3"/>
        <v>25</v>
      </c>
      <c r="B35" s="636">
        <v>44329</v>
      </c>
      <c r="C35" s="637">
        <v>256.20999999999998</v>
      </c>
      <c r="D35" s="637">
        <v>283.63</v>
      </c>
      <c r="E35" s="665">
        <f t="shared" si="0"/>
        <v>539.83999999999992</v>
      </c>
      <c r="F35" s="636">
        <v>44329</v>
      </c>
      <c r="G35" s="636">
        <v>44197</v>
      </c>
      <c r="H35" s="636">
        <v>44561</v>
      </c>
      <c r="I35" s="636">
        <f t="shared" si="1"/>
        <v>44379</v>
      </c>
      <c r="J35" s="636">
        <v>44408</v>
      </c>
      <c r="K35" s="29">
        <f t="shared" si="2"/>
        <v>-29</v>
      </c>
      <c r="L35" s="29">
        <f>E35*K35</f>
        <v>-15655.359999999997</v>
      </c>
    </row>
    <row r="36" spans="1:12" ht="12.5">
      <c r="A36" s="3">
        <f t="shared" si="3"/>
        <v>26</v>
      </c>
      <c r="B36" s="636">
        <v>44343</v>
      </c>
      <c r="C36" s="637">
        <v>794.92999999999995</v>
      </c>
      <c r="D36" s="637">
        <v>854.27999999999997</v>
      </c>
      <c r="E36" s="665">
        <f t="shared" si="5" ref="E36:E41">D36+C36</f>
        <v>1649.21</v>
      </c>
      <c r="F36" s="636">
        <v>44343</v>
      </c>
      <c r="G36" s="636">
        <v>44197</v>
      </c>
      <c r="H36" s="636">
        <v>44561</v>
      </c>
      <c r="I36" s="636">
        <f t="shared" si="6" ref="I36:I41">+(G36+H36)/2</f>
        <v>44379</v>
      </c>
      <c r="J36" s="636">
        <v>44408</v>
      </c>
      <c r="K36" s="29">
        <f t="shared" si="7" ref="K36:K41">+I36-J36</f>
        <v>-29</v>
      </c>
      <c r="L36" s="29">
        <f t="shared" si="8" ref="L36:L41">E36*K36</f>
        <v>-47827.090000000004</v>
      </c>
    </row>
    <row r="37" spans="1:12" ht="12.5">
      <c r="A37" s="3">
        <f t="shared" si="3"/>
        <v>27</v>
      </c>
      <c r="B37" s="636">
        <v>44361</v>
      </c>
      <c r="C37" s="637">
        <v>977.73000000000002</v>
      </c>
      <c r="D37" s="637">
        <v>1134.0799999999999</v>
      </c>
      <c r="E37" s="665">
        <f t="shared" si="5"/>
        <v>2111.8099999999999</v>
      </c>
      <c r="F37" s="636">
        <v>44361</v>
      </c>
      <c r="G37" s="636">
        <v>44197</v>
      </c>
      <c r="H37" s="636">
        <v>44561</v>
      </c>
      <c r="I37" s="636">
        <f t="shared" si="6"/>
        <v>44379</v>
      </c>
      <c r="J37" s="636">
        <v>44408</v>
      </c>
      <c r="K37" s="29">
        <f t="shared" si="7"/>
        <v>-29</v>
      </c>
      <c r="L37" s="29">
        <f t="shared" si="8"/>
        <v>-61242.489999999998</v>
      </c>
    </row>
    <row r="38" spans="1:12" ht="12.5">
      <c r="A38" s="3">
        <f t="shared" si="3"/>
        <v>28</v>
      </c>
      <c r="B38" s="636">
        <v>44376</v>
      </c>
      <c r="C38" s="637">
        <v>637.63</v>
      </c>
      <c r="D38" s="637">
        <v>925.27999999999997</v>
      </c>
      <c r="E38" s="665">
        <f t="shared" si="5"/>
        <v>1562.9099999999999</v>
      </c>
      <c r="F38" s="636">
        <v>44376</v>
      </c>
      <c r="G38" s="636">
        <v>44197</v>
      </c>
      <c r="H38" s="636">
        <v>44561</v>
      </c>
      <c r="I38" s="636">
        <f t="shared" si="6"/>
        <v>44379</v>
      </c>
      <c r="J38" s="636">
        <v>44408</v>
      </c>
      <c r="K38" s="29">
        <f t="shared" si="7"/>
        <v>-29</v>
      </c>
      <c r="L38" s="29">
        <f t="shared" si="8"/>
        <v>-45324.389999999999</v>
      </c>
    </row>
    <row r="39" spans="1:12" ht="12.5">
      <c r="A39" s="3">
        <f t="shared" si="3"/>
        <v>29</v>
      </c>
      <c r="B39" s="636">
        <v>44384</v>
      </c>
      <c r="C39" s="637">
        <v>3.6000000000000001</v>
      </c>
      <c r="D39" s="637">
        <v>3.6600000000000001</v>
      </c>
      <c r="E39" s="665">
        <f t="shared" si="5"/>
        <v>7.2599999999999998</v>
      </c>
      <c r="F39" s="636">
        <v>44384</v>
      </c>
      <c r="G39" s="636">
        <v>44197</v>
      </c>
      <c r="H39" s="636">
        <v>44561</v>
      </c>
      <c r="I39" s="636">
        <f t="shared" si="6"/>
        <v>44379</v>
      </c>
      <c r="J39" s="440">
        <v>44500</v>
      </c>
      <c r="K39" s="29">
        <f t="shared" si="7"/>
        <v>-121</v>
      </c>
      <c r="L39" s="29">
        <f t="shared" si="8"/>
        <v>-878.45999999999992</v>
      </c>
    </row>
    <row r="40" spans="1:12" ht="12.5">
      <c r="A40" s="3">
        <f t="shared" si="3"/>
        <v>30</v>
      </c>
      <c r="B40" s="636">
        <v>44391</v>
      </c>
      <c r="C40" s="637">
        <v>277.50999999999999</v>
      </c>
      <c r="D40" s="637">
        <v>567.82999999999993</v>
      </c>
      <c r="E40" s="665">
        <f t="shared" si="5"/>
        <v>845.33999999999992</v>
      </c>
      <c r="F40" s="636">
        <v>44391</v>
      </c>
      <c r="G40" s="636">
        <v>44197</v>
      </c>
      <c r="H40" s="636">
        <v>44561</v>
      </c>
      <c r="I40" s="636">
        <f t="shared" si="6"/>
        <v>44379</v>
      </c>
      <c r="J40" s="440">
        <v>44500</v>
      </c>
      <c r="K40" s="29">
        <f t="shared" si="7"/>
        <v>-121</v>
      </c>
      <c r="L40" s="29">
        <f t="shared" si="8"/>
        <v>-102286.13999999999</v>
      </c>
    </row>
    <row r="41" spans="1:12" ht="12.5">
      <c r="A41" s="3">
        <f t="shared" si="3"/>
        <v>31</v>
      </c>
      <c r="B41" s="636">
        <v>44406</v>
      </c>
      <c r="C41" s="637">
        <v>142.59</v>
      </c>
      <c r="D41" s="637">
        <v>283.81</v>
      </c>
      <c r="E41" s="665">
        <f t="shared" si="5"/>
        <v>426.39999999999998</v>
      </c>
      <c r="F41" s="636">
        <v>44406</v>
      </c>
      <c r="G41" s="636">
        <v>44197</v>
      </c>
      <c r="H41" s="636">
        <v>44561</v>
      </c>
      <c r="I41" s="636">
        <f t="shared" si="6"/>
        <v>44379</v>
      </c>
      <c r="J41" s="440">
        <v>44500</v>
      </c>
      <c r="K41" s="29">
        <f t="shared" si="7"/>
        <v>-121</v>
      </c>
      <c r="L41" s="29">
        <f t="shared" si="8"/>
        <v>-51594.399999999994</v>
      </c>
    </row>
    <row r="42" spans="1:12" ht="12.5">
      <c r="A42" s="3">
        <f t="shared" si="3"/>
        <v>32</v>
      </c>
      <c r="B42" s="636">
        <v>44420</v>
      </c>
      <c r="C42" s="637">
        <v>63.25</v>
      </c>
      <c r="D42" s="637">
        <v>4730.3299999999999</v>
      </c>
      <c r="E42" s="665">
        <f>D42+C42</f>
        <v>4793.5799999999999</v>
      </c>
      <c r="F42" s="636">
        <v>44420</v>
      </c>
      <c r="G42" s="636">
        <v>44197</v>
      </c>
      <c r="H42" s="636">
        <v>44561</v>
      </c>
      <c r="I42" s="636">
        <f>+(G42+H42)/2</f>
        <v>44379</v>
      </c>
      <c r="J42" s="440">
        <v>44500</v>
      </c>
      <c r="K42" s="29">
        <f>+I42-J42</f>
        <v>-121</v>
      </c>
      <c r="L42" s="29">
        <f>E42*K42</f>
        <v>-580023.17999999993</v>
      </c>
    </row>
    <row r="43" spans="1:12" ht="12.5">
      <c r="A43" s="3">
        <f t="shared" si="3"/>
        <v>33</v>
      </c>
      <c r="B43" s="636">
        <v>44438</v>
      </c>
      <c r="C43" s="637">
        <v>30573.990000000002</v>
      </c>
      <c r="D43" s="637">
        <v>88.170000000000002</v>
      </c>
      <c r="E43" s="665">
        <f>D43+C43</f>
        <v>30662.16</v>
      </c>
      <c r="F43" s="636">
        <v>44438</v>
      </c>
      <c r="G43" s="636">
        <v>44197</v>
      </c>
      <c r="H43" s="636">
        <v>44561</v>
      </c>
      <c r="I43" s="636">
        <f>+(G43+H43)/2</f>
        <v>44379</v>
      </c>
      <c r="J43" s="440">
        <v>44500</v>
      </c>
      <c r="K43" s="29">
        <f>+I43-J43</f>
        <v>-121</v>
      </c>
      <c r="L43" s="29">
        <f>E43*K43</f>
        <v>-3710121.3599999999</v>
      </c>
    </row>
    <row r="44" spans="1:12" ht="12.5">
      <c r="A44" s="3">
        <f t="shared" si="3"/>
        <v>34</v>
      </c>
      <c r="B44" s="636">
        <v>44453</v>
      </c>
      <c r="C44" s="637">
        <v>0</v>
      </c>
      <c r="D44" s="637">
        <v>2535.4000000000001</v>
      </c>
      <c r="E44" s="665">
        <f t="shared" si="9" ref="E44:E45">D44+C44</f>
        <v>2535.4000000000001</v>
      </c>
      <c r="F44" s="636">
        <v>44453</v>
      </c>
      <c r="G44" s="636">
        <v>44197</v>
      </c>
      <c r="H44" s="636">
        <v>44561</v>
      </c>
      <c r="I44" s="636">
        <f t="shared" si="10" ref="I44:I45">+(G44+H44)/2</f>
        <v>44379</v>
      </c>
      <c r="J44" s="440">
        <v>44500</v>
      </c>
      <c r="K44" s="29">
        <f t="shared" si="11" ref="K44:K45">+I44-J44</f>
        <v>-121</v>
      </c>
      <c r="L44" s="29">
        <f t="shared" si="12" ref="L44:L45">E44*K44</f>
        <v>-306783.40000000002</v>
      </c>
    </row>
    <row r="45" spans="1:12" ht="12.5">
      <c r="A45" s="3">
        <f t="shared" si="3"/>
        <v>35</v>
      </c>
      <c r="B45" s="636">
        <v>44468</v>
      </c>
      <c r="C45" s="637">
        <v>31.420000000000002</v>
      </c>
      <c r="D45" s="637">
        <v>42.649999999999999</v>
      </c>
      <c r="E45" s="665">
        <f t="shared" si="9"/>
        <v>74.069999999999993</v>
      </c>
      <c r="F45" s="636">
        <v>44468</v>
      </c>
      <c r="G45" s="636">
        <v>44197</v>
      </c>
      <c r="H45" s="636">
        <v>44561</v>
      </c>
      <c r="I45" s="636">
        <f t="shared" si="10"/>
        <v>44379</v>
      </c>
      <c r="J45" s="440">
        <v>44500</v>
      </c>
      <c r="K45" s="29">
        <f t="shared" si="11"/>
        <v>-121</v>
      </c>
      <c r="L45" s="29">
        <f t="shared" si="12"/>
        <v>-8962.4699999999993</v>
      </c>
    </row>
    <row r="46" spans="1:12" ht="13" thickBot="1">
      <c r="A46" s="3">
        <f t="shared" si="3"/>
        <v>36</v>
      </c>
      <c r="B46" s="3" t="s">
        <v>26</v>
      </c>
      <c r="C46" s="390">
        <f>SUM(C11:C45)</f>
        <v>81633.360000000001</v>
      </c>
      <c r="D46" s="390">
        <f>SUM(D11:D45)</f>
        <v>79501.200000000012</v>
      </c>
      <c r="E46" s="390">
        <f>SUM(E11:E45)</f>
        <v>161134.56</v>
      </c>
      <c r="F46" s="61"/>
      <c r="G46" s="61"/>
      <c r="H46" s="61"/>
      <c r="I46" s="61"/>
      <c r="J46" s="61"/>
      <c r="K46" s="394">
        <f>ROUND(L46/E46,2)</f>
        <v>12.539999999999999</v>
      </c>
      <c r="L46" s="390">
        <f>SUM(L11:L43)</f>
        <v>2020156.0450000004</v>
      </c>
    </row>
    <row r="47" spans="1:1" ht="13" thickTop="1">
      <c r="A47" s="3">
        <f t="shared" si="3"/>
        <v>37</v>
      </c>
    </row>
    <row r="48" spans="1:1" ht="12.5">
      <c r="A48" s="3">
        <f t="shared" si="3"/>
        <v>38</v>
      </c>
    </row>
    <row r="49" spans="1:3" ht="12.5">
      <c r="A49" s="3">
        <f t="shared" si="3"/>
        <v>39</v>
      </c>
      <c r="B49" s="1" t="s">
        <v>256</v>
      </c>
      <c r="C49" s="293" t="s">
        <v>480</v>
      </c>
    </row>
  </sheetData>
  <mergeCells count="1">
    <mergeCell ref="G7:I7"/>
  </mergeCells>
  <hyperlinks>
    <hyperlink ref="C49" r:id="rId1" display="Tax Other Than Income - Payroll Taxes.xlsx"/>
  </hyperlinks>
  <printOptions horizontalCentered="1"/>
  <pageMargins left="0.5" right="0.5" top="1.5" bottom="0.5" header="1" footer="0.5"/>
  <pageSetup fitToHeight="2" orientation="landscape" scale="91" r:id="rId2"/>
  <headerFooter alignWithMargins="0">
    <oddHeader>&amp;RWP/II-B-9/&amp;A
Page &amp;P of &amp;N</oddHeader>
  </headerFooter>
  <rowBreaks count="1" manualBreakCount="1">
    <brk id="33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4">
    <tabColor rgb="FF92D050"/>
    <pageSetUpPr fitToPage="1"/>
  </sheetPr>
  <dimension ref="A1:I26"/>
  <sheetViews>
    <sheetView showGridLines="0" workbookViewId="0" topLeftCell="A1">
      <selection pane="topLeft" activeCell="A4" sqref="A4"/>
    </sheetView>
  </sheetViews>
  <sheetFormatPr defaultRowHeight="12.75"/>
  <cols>
    <col min="1" max="1" width="5.57142857142857" customWidth="1"/>
    <col min="2" max="2" width="12.4285714285714" customWidth="1"/>
    <col min="3" max="3" width="15.4285714285714" bestFit="1" customWidth="1"/>
    <col min="4" max="4" width="11.4285714285714" bestFit="1" customWidth="1"/>
    <col min="5" max="5" width="21.8571428571429" customWidth="1"/>
    <col min="6" max="6" width="17.5714285714286" bestFit="1" customWidth="1"/>
    <col min="9" max="9" width="21.4285714285714" bestFit="1" customWidth="1"/>
  </cols>
  <sheetData>
    <row r="1" spans="1:3" s="295" customFormat="1" ht="13">
      <c r="A1" s="181" t="s">
        <v>530</v>
      </c>
      <c r="B1" s="181"/>
      <c r="C1" s="181"/>
    </row>
    <row r="2" spans="1:3" s="295" customFormat="1" ht="13">
      <c r="A2" s="181" t="str">
        <f>' '!A2</f>
        <v>ONCOR ELECTRIC DELIVERY COMPANY LLC</v>
      </c>
      <c r="B2" s="181"/>
      <c r="C2" s="181"/>
    </row>
    <row r="3" spans="1:6" s="295" customFormat="1" ht="13">
      <c r="A3" s="181" t="s">
        <v>350</v>
      </c>
      <c r="B3" s="181"/>
      <c r="C3" s="181"/>
      <c r="D3" s="181"/>
      <c r="E3" s="181"/>
      <c r="F3" s="181"/>
    </row>
    <row r="4" spans="1:3" s="295" customFormat="1" ht="13">
      <c r="A4" s="817" t="s">
        <v>929</v>
      </c>
      <c r="B4" s="181"/>
      <c r="C4" s="181"/>
    </row>
    <row r="5" spans="1:3" s="295" customFormat="1" ht="13">
      <c r="A5" s="181" t="s">
        <v>524</v>
      </c>
      <c r="B5" s="181"/>
      <c r="C5" s="181"/>
    </row>
    <row r="7" spans="1:6" ht="26">
      <c r="A7" s="32" t="s">
        <v>45</v>
      </c>
      <c r="B7" s="32" t="s">
        <v>61</v>
      </c>
      <c r="C7" s="32" t="s">
        <v>105</v>
      </c>
      <c r="D7" s="32" t="s">
        <v>106</v>
      </c>
      <c r="E7" s="32" t="s">
        <v>265</v>
      </c>
      <c r="F7" s="32" t="s">
        <v>49</v>
      </c>
    </row>
    <row r="8" spans="1:6" ht="13">
      <c r="A8" s="38"/>
      <c r="B8" s="40" t="s">
        <v>55</v>
      </c>
      <c r="C8" s="40" t="s">
        <v>56</v>
      </c>
      <c r="D8" s="40" t="s">
        <v>62</v>
      </c>
      <c r="E8" s="40" t="s">
        <v>57</v>
      </c>
      <c r="F8" s="40" t="s">
        <v>58</v>
      </c>
    </row>
    <row r="9" spans="1:6" ht="12.5">
      <c r="A9" s="1"/>
      <c r="B9" s="1"/>
      <c r="C9" s="1"/>
      <c r="D9" s="1"/>
      <c r="E9" s="1"/>
      <c r="F9" s="23"/>
    </row>
    <row r="10" spans="1:9" ht="12.5">
      <c r="A10" s="3">
        <v>1</v>
      </c>
      <c r="B10" s="24">
        <v>44105</v>
      </c>
      <c r="C10" s="439">
        <v>44135</v>
      </c>
      <c r="D10" s="440">
        <f t="shared" si="0" ref="D10:D21">IF(C10=0,"",DATE(YEAR(C10),MONTH(C10),1)+INT(DAY(DATE(YEAR(C10),MONTH(C10)+1,1)-1)/2))-1</f>
        <v>44119</v>
      </c>
      <c r="E10" s="722">
        <v>43966</v>
      </c>
      <c r="F10" s="371">
        <f t="shared" si="1" ref="F10:F21">D10-E10</f>
        <v>153</v>
      </c>
      <c r="I10" s="476"/>
    </row>
    <row r="11" spans="1:6" ht="12.5">
      <c r="A11" s="3">
        <v>2</v>
      </c>
      <c r="B11" s="24">
        <f>B10+31</f>
        <v>44136</v>
      </c>
      <c r="C11" s="439">
        <v>44165</v>
      </c>
      <c r="D11" s="440">
        <f t="shared" si="0"/>
        <v>44150</v>
      </c>
      <c r="E11" s="722">
        <v>43966</v>
      </c>
      <c r="F11" s="371">
        <f t="shared" si="1"/>
        <v>184</v>
      </c>
    </row>
    <row r="12" spans="1:9" ht="12.5">
      <c r="A12" s="3">
        <v>3</v>
      </c>
      <c r="B12" s="24">
        <f>B11+30</f>
        <v>44166</v>
      </c>
      <c r="C12" s="439">
        <v>44196</v>
      </c>
      <c r="D12" s="440">
        <f t="shared" si="0"/>
        <v>44180</v>
      </c>
      <c r="E12" s="722">
        <v>43966</v>
      </c>
      <c r="F12" s="371">
        <f t="shared" si="1"/>
        <v>214</v>
      </c>
      <c r="I12" s="476"/>
    </row>
    <row r="13" spans="1:6" ht="12.5">
      <c r="A13" s="3">
        <v>4</v>
      </c>
      <c r="B13" s="24">
        <f>B12+31</f>
        <v>44197</v>
      </c>
      <c r="C13" s="439">
        <v>44227</v>
      </c>
      <c r="D13" s="440">
        <f t="shared" si="0"/>
        <v>44211</v>
      </c>
      <c r="E13" s="722">
        <v>44330</v>
      </c>
      <c r="F13" s="371">
        <f t="shared" si="1"/>
        <v>-119</v>
      </c>
    </row>
    <row r="14" spans="1:6" ht="12.5">
      <c r="A14" s="3">
        <v>5</v>
      </c>
      <c r="B14" s="24">
        <f>B13+31</f>
        <v>44228</v>
      </c>
      <c r="C14" s="721">
        <v>44255</v>
      </c>
      <c r="D14" s="440">
        <f t="shared" si="0"/>
        <v>44241</v>
      </c>
      <c r="E14" s="722">
        <v>44330</v>
      </c>
      <c r="F14" s="371">
        <f t="shared" si="1"/>
        <v>-89</v>
      </c>
    </row>
    <row r="15" spans="1:6" ht="12.5">
      <c r="A15" s="3">
        <v>6</v>
      </c>
      <c r="B15" s="24">
        <f>B14+29</f>
        <v>44257</v>
      </c>
      <c r="C15" s="439">
        <v>44286</v>
      </c>
      <c r="D15" s="440">
        <f t="shared" si="0"/>
        <v>44270</v>
      </c>
      <c r="E15" s="722">
        <v>44330</v>
      </c>
      <c r="F15" s="371">
        <f t="shared" si="1"/>
        <v>-60</v>
      </c>
    </row>
    <row r="16" spans="1:6" ht="12.5">
      <c r="A16" s="3">
        <v>7</v>
      </c>
      <c r="B16" s="24">
        <f>B15+31</f>
        <v>44288</v>
      </c>
      <c r="C16" s="439">
        <v>44316</v>
      </c>
      <c r="D16" s="440">
        <f t="shared" si="0"/>
        <v>44301</v>
      </c>
      <c r="E16" s="722">
        <v>44330</v>
      </c>
      <c r="F16" s="371">
        <f t="shared" si="1"/>
        <v>-29</v>
      </c>
    </row>
    <row r="17" spans="1:6" ht="12.5">
      <c r="A17" s="3">
        <v>8</v>
      </c>
      <c r="B17" s="24">
        <f>B16+30</f>
        <v>44318</v>
      </c>
      <c r="C17" s="439">
        <v>44347</v>
      </c>
      <c r="D17" s="440">
        <f t="shared" si="0"/>
        <v>44331</v>
      </c>
      <c r="E17" s="722">
        <v>44330</v>
      </c>
      <c r="F17" s="371">
        <f t="shared" si="1"/>
        <v>1</v>
      </c>
    </row>
    <row r="18" spans="1:6" ht="12.5">
      <c r="A18" s="3">
        <v>9</v>
      </c>
      <c r="B18" s="24">
        <f>B17+31</f>
        <v>44349</v>
      </c>
      <c r="C18" s="439">
        <v>44377</v>
      </c>
      <c r="D18" s="440">
        <f t="shared" si="0"/>
        <v>44362</v>
      </c>
      <c r="E18" s="722">
        <v>44330</v>
      </c>
      <c r="F18" s="371">
        <f t="shared" si="1"/>
        <v>32</v>
      </c>
    </row>
    <row r="19" spans="1:6" ht="12.5">
      <c r="A19" s="3">
        <v>10</v>
      </c>
      <c r="B19" s="24">
        <f>B18+30</f>
        <v>44379</v>
      </c>
      <c r="C19" s="439">
        <v>44408</v>
      </c>
      <c r="D19" s="440">
        <f t="shared" si="0"/>
        <v>44392</v>
      </c>
      <c r="E19" s="722">
        <v>44330</v>
      </c>
      <c r="F19" s="371">
        <f t="shared" si="1"/>
        <v>62</v>
      </c>
    </row>
    <row r="20" spans="1:6" ht="12.5">
      <c r="A20" s="3">
        <v>11</v>
      </c>
      <c r="B20" s="24">
        <f>B19+31</f>
        <v>44410</v>
      </c>
      <c r="C20" s="439">
        <v>44439</v>
      </c>
      <c r="D20" s="440">
        <f t="shared" si="0"/>
        <v>44423</v>
      </c>
      <c r="E20" s="722">
        <v>44330</v>
      </c>
      <c r="F20" s="371">
        <f t="shared" si="1"/>
        <v>93</v>
      </c>
    </row>
    <row r="21" spans="1:6" ht="12.5">
      <c r="A21" s="3">
        <v>12</v>
      </c>
      <c r="B21" s="24">
        <f>B20+31</f>
        <v>44441</v>
      </c>
      <c r="C21" s="439">
        <v>44469</v>
      </c>
      <c r="D21" s="440">
        <f t="shared" si="0"/>
        <v>44454</v>
      </c>
      <c r="E21" s="722">
        <v>44330</v>
      </c>
      <c r="F21" s="372">
        <f t="shared" si="1"/>
        <v>124</v>
      </c>
    </row>
    <row r="22" spans="1:6" ht="12.5">
      <c r="A22" s="3">
        <v>13</v>
      </c>
      <c r="B22" s="1"/>
      <c r="C22" s="93"/>
      <c r="D22" s="3"/>
      <c r="E22" s="722"/>
      <c r="F22" s="1"/>
    </row>
    <row r="23" spans="1:6" ht="13" thickBot="1">
      <c r="A23" s="3">
        <v>14</v>
      </c>
      <c r="B23" s="3" t="s">
        <v>249</v>
      </c>
      <c r="C23" s="93"/>
      <c r="D23" s="1"/>
      <c r="E23" s="559"/>
      <c r="F23" s="373">
        <f>ROUND(AVERAGE(F10:F21),2)</f>
        <v>47.170000000000002</v>
      </c>
    </row>
    <row r="24" spans="5:5" ht="13" thickTop="1">
      <c r="E24" s="559"/>
    </row>
    <row r="25" spans="5:5" ht="12.5">
      <c r="E25" s="559"/>
    </row>
    <row r="26" spans="5:5" ht="12.5">
      <c r="E26" s="559"/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8">
    <tabColor rgb="FF92D050"/>
  </sheetPr>
  <dimension ref="A1:N53"/>
  <sheetViews>
    <sheetView zoomScaleSheetLayoutView="100" workbookViewId="0" topLeftCell="A22">
      <selection pane="topLeft" activeCell="A4" sqref="A4"/>
    </sheetView>
  </sheetViews>
  <sheetFormatPr defaultRowHeight="12.75"/>
  <cols>
    <col min="1" max="1" width="5.42857142857143" customWidth="1"/>
    <col min="2" max="2" width="19.4285714285714" customWidth="1"/>
    <col min="3" max="5" width="16.1428571428571" customWidth="1"/>
    <col min="6" max="6" width="17" style="176" customWidth="1"/>
    <col min="7" max="7" width="17.8571428571429" style="295" customWidth="1"/>
    <col min="8" max="8" width="22" style="230" customWidth="1"/>
    <col min="9" max="9" width="15" bestFit="1" customWidth="1"/>
    <col min="10" max="10" width="15" style="295" bestFit="1" customWidth="1"/>
    <col min="11" max="11" width="15" bestFit="1" customWidth="1"/>
    <col min="13" max="13" width="13.5714285714286" bestFit="1" customWidth="1"/>
  </cols>
  <sheetData>
    <row r="1" spans="1:8" s="295" customFormat="1" ht="13">
      <c r="A1" s="181" t="s">
        <v>530</v>
      </c>
      <c r="B1" s="181"/>
      <c r="C1" s="181"/>
      <c r="D1" s="181"/>
      <c r="E1" s="181"/>
      <c r="H1" s="338"/>
    </row>
    <row r="2" spans="1:8" s="295" customFormat="1" ht="13">
      <c r="A2" s="181" t="str">
        <f>' '!A2</f>
        <v>ONCOR ELECTRIC DELIVERY COMPANY LLC</v>
      </c>
      <c r="B2" s="181"/>
      <c r="C2" s="181"/>
      <c r="D2" s="181"/>
      <c r="E2" s="181"/>
      <c r="H2" s="338"/>
    </row>
    <row r="3" spans="1:8" s="295" customFormat="1" ht="13">
      <c r="A3" s="181" t="s">
        <v>923</v>
      </c>
      <c r="B3" s="181"/>
      <c r="C3" s="181"/>
      <c r="D3" s="181"/>
      <c r="E3" s="181"/>
      <c r="H3" s="338"/>
    </row>
    <row r="4" spans="1:8" s="295" customFormat="1" ht="13">
      <c r="A4" s="817" t="s">
        <v>929</v>
      </c>
      <c r="B4" s="181"/>
      <c r="C4" s="181"/>
      <c r="D4" s="181"/>
      <c r="E4" s="181"/>
      <c r="H4" s="338"/>
    </row>
    <row r="5" spans="1:8" s="295" customFormat="1" ht="13">
      <c r="A5" s="181" t="s">
        <v>524</v>
      </c>
      <c r="B5" s="181"/>
      <c r="C5" s="181"/>
      <c r="D5" s="181"/>
      <c r="E5" s="181"/>
      <c r="H5" s="338"/>
    </row>
    <row r="7" spans="1:8" ht="15.5">
      <c r="A7" s="22" t="s">
        <v>40</v>
      </c>
      <c r="B7" s="253"/>
      <c r="C7" s="177" t="s">
        <v>26</v>
      </c>
      <c r="D7" s="177" t="s">
        <v>303</v>
      </c>
      <c r="E7" s="177" t="s">
        <v>304</v>
      </c>
      <c r="F7" s="34"/>
      <c r="G7" s="296" t="s">
        <v>112</v>
      </c>
      <c r="H7" s="515"/>
    </row>
    <row r="8" spans="1:8" ht="13">
      <c r="A8" s="57" t="s">
        <v>41</v>
      </c>
      <c r="B8" s="272" t="s">
        <v>209</v>
      </c>
      <c r="C8" s="178" t="s">
        <v>24</v>
      </c>
      <c r="D8" s="178" t="s">
        <v>261</v>
      </c>
      <c r="E8" s="178" t="s">
        <v>305</v>
      </c>
      <c r="F8" s="57" t="s">
        <v>46</v>
      </c>
      <c r="G8" s="297" t="s">
        <v>90</v>
      </c>
      <c r="H8" s="515"/>
    </row>
    <row r="9" spans="1:8" ht="13">
      <c r="A9" s="22"/>
      <c r="B9" s="8" t="s">
        <v>55</v>
      </c>
      <c r="C9" s="8" t="s">
        <v>56</v>
      </c>
      <c r="D9" s="8" t="s">
        <v>62</v>
      </c>
      <c r="E9" s="298" t="s">
        <v>57</v>
      </c>
      <c r="F9" s="316" t="s">
        <v>58</v>
      </c>
      <c r="G9" s="317" t="s">
        <v>59</v>
      </c>
      <c r="H9" s="196"/>
    </row>
    <row r="10" spans="1:8" ht="13">
      <c r="A10" s="22"/>
      <c r="B10" s="8"/>
      <c r="C10" s="8"/>
      <c r="D10" s="8"/>
      <c r="E10" s="298"/>
      <c r="F10" s="316"/>
      <c r="G10" s="317"/>
      <c r="H10" s="196"/>
    </row>
    <row r="11" spans="1:14" ht="12.5">
      <c r="A11" s="2">
        <v>1</v>
      </c>
      <c r="B11" s="92" t="s">
        <v>933</v>
      </c>
      <c r="C11" s="92">
        <v>49842175.469999999</v>
      </c>
      <c r="D11" s="92">
        <v>33345380.280000001</v>
      </c>
      <c r="E11" s="92">
        <f>+C11-D11</f>
        <v>16496795.189999998</v>
      </c>
      <c r="F11" s="74">
        <v>-16.769754731373375</v>
      </c>
      <c r="G11" s="92">
        <f t="shared" si="0" ref="G11:G35">+F11*E11</f>
        <v>-276647209.19</v>
      </c>
      <c r="H11" s="338"/>
      <c r="I11" s="295"/>
      <c r="K11" s="94"/>
      <c r="M11" s="68"/>
      <c r="N11" s="477"/>
    </row>
    <row r="12" spans="1:14" ht="12.5">
      <c r="A12" s="2">
        <f t="shared" si="1" ref="A12:A53">1+A11</f>
        <v>2</v>
      </c>
      <c r="B12" s="92" t="s">
        <v>934</v>
      </c>
      <c r="C12" s="92">
        <v>30496676.760000002</v>
      </c>
      <c r="D12" s="92">
        <v>20379838.630000003</v>
      </c>
      <c r="E12" s="92">
        <f t="shared" si="2" ref="E12:E35">+C12-D12</f>
        <v>10116838.129999999</v>
      </c>
      <c r="F12" s="74">
        <v>-17.852791793655001</v>
      </c>
      <c r="G12" s="518">
        <f t="shared" si="0"/>
        <v>-180613804.74499998</v>
      </c>
      <c r="H12" s="338"/>
      <c r="I12" s="295"/>
      <c r="K12" s="94"/>
      <c r="M12" s="68"/>
      <c r="N12" s="477"/>
    </row>
    <row r="13" spans="1:14" ht="12.75" customHeight="1">
      <c r="A13" s="2">
        <f t="shared" si="1"/>
        <v>3</v>
      </c>
      <c r="B13" s="92" t="s">
        <v>935</v>
      </c>
      <c r="C13" s="92">
        <v>13798193.740000002</v>
      </c>
      <c r="D13" s="92">
        <v>13778617.760000002</v>
      </c>
      <c r="E13" s="92">
        <f t="shared" si="2"/>
        <v>19575.980000000447</v>
      </c>
      <c r="F13" s="74">
        <v>-299.20726344223885</v>
      </c>
      <c r="G13" s="518">
        <f t="shared" si="0"/>
        <v>-5857275.4050001325</v>
      </c>
      <c r="H13" s="338"/>
      <c r="I13" s="295"/>
      <c r="K13" s="94"/>
      <c r="M13" s="68"/>
      <c r="N13" s="477"/>
    </row>
    <row r="14" spans="1:14" ht="12.75" customHeight="1">
      <c r="A14" s="2">
        <f t="shared" si="1"/>
        <v>4</v>
      </c>
      <c r="B14" s="92" t="s">
        <v>936</v>
      </c>
      <c r="C14" s="92">
        <v>11202562.810000001</v>
      </c>
      <c r="D14" s="92">
        <v>11190843.460000001</v>
      </c>
      <c r="E14" s="92">
        <f t="shared" si="2"/>
        <v>11719.349999999628</v>
      </c>
      <c r="F14" s="74">
        <v>-300.78519969110909</v>
      </c>
      <c r="G14" s="518">
        <f t="shared" si="0"/>
        <v>-3525007.0299998871</v>
      </c>
      <c r="H14" s="338"/>
      <c r="I14" s="295"/>
      <c r="K14" s="94"/>
      <c r="M14" s="68"/>
      <c r="N14" s="477"/>
    </row>
    <row r="15" spans="1:14" ht="12.75" customHeight="1">
      <c r="A15" s="2">
        <f t="shared" si="1"/>
        <v>5</v>
      </c>
      <c r="B15" s="92" t="s">
        <v>937</v>
      </c>
      <c r="C15" s="92">
        <v>9184992.4200000018</v>
      </c>
      <c r="D15" s="92">
        <v>9168599.5900000017</v>
      </c>
      <c r="E15" s="92">
        <f t="shared" si="2"/>
        <v>16392.830000000075</v>
      </c>
      <c r="F15" s="74">
        <v>-302.28276783203387</v>
      </c>
      <c r="G15" s="518">
        <f t="shared" si="0"/>
        <v>-4955270.0250000227</v>
      </c>
      <c r="H15" s="338"/>
      <c r="I15" s="295"/>
      <c r="K15" s="94"/>
      <c r="M15" s="68"/>
      <c r="N15" s="477"/>
    </row>
    <row r="16" spans="1:14" ht="12.75" customHeight="1">
      <c r="A16" s="2">
        <f t="shared" si="1"/>
        <v>6</v>
      </c>
      <c r="B16" s="92" t="s">
        <v>938</v>
      </c>
      <c r="C16" s="92">
        <v>7802378.5099999998</v>
      </c>
      <c r="D16" s="92">
        <v>0</v>
      </c>
      <c r="E16" s="92">
        <f t="shared" si="2"/>
        <v>7802378.5099999998</v>
      </c>
      <c r="F16" s="74">
        <v>-91.23722238963768</v>
      </c>
      <c r="G16" s="518">
        <f t="shared" si="0"/>
        <v>-711867343.28499985</v>
      </c>
      <c r="H16" s="338"/>
      <c r="I16" s="295"/>
      <c r="K16" s="94"/>
      <c r="M16" s="68"/>
      <c r="N16" s="477"/>
    </row>
    <row r="17" spans="1:14" ht="12.75" customHeight="1">
      <c r="A17" s="2">
        <f t="shared" si="1"/>
        <v>7</v>
      </c>
      <c r="B17" s="92" t="s">
        <v>939</v>
      </c>
      <c r="C17" s="92">
        <v>6593807.8899999997</v>
      </c>
      <c r="D17" s="92">
        <v>6583802.6200000001</v>
      </c>
      <c r="E17" s="92">
        <f t="shared" si="2"/>
        <v>10005.269999999553</v>
      </c>
      <c r="F17" s="74">
        <v>-297.58092335339268</v>
      </c>
      <c r="G17" s="518">
        <f t="shared" si="0"/>
        <v>-2977377.4849998662</v>
      </c>
      <c r="H17" s="338"/>
      <c r="I17" s="295"/>
      <c r="K17" s="94"/>
      <c r="M17" s="68"/>
      <c r="N17" s="477"/>
    </row>
    <row r="18" spans="1:14" ht="12.5">
      <c r="A18" s="2">
        <f t="shared" si="1"/>
        <v>8</v>
      </c>
      <c r="B18" s="92" t="s">
        <v>940</v>
      </c>
      <c r="C18" s="92">
        <v>5754791.2599999988</v>
      </c>
      <c r="D18" s="92">
        <v>0</v>
      </c>
      <c r="E18" s="92">
        <f t="shared" si="2"/>
        <v>5754791.2599999988</v>
      </c>
      <c r="F18" s="74">
        <v>-91.483143400756475</v>
      </c>
      <c r="G18" s="518">
        <f t="shared" si="0"/>
        <v>-526466394.07999992</v>
      </c>
      <c r="H18" s="338"/>
      <c r="I18" s="295"/>
      <c r="K18" s="94"/>
      <c r="M18" s="68"/>
      <c r="N18" s="477"/>
    </row>
    <row r="19" spans="1:14" ht="12.5">
      <c r="A19" s="2">
        <f t="shared" si="1"/>
        <v>9</v>
      </c>
      <c r="B19" s="92" t="s">
        <v>941</v>
      </c>
      <c r="C19" s="92">
        <v>5370537.1000000006</v>
      </c>
      <c r="D19" s="92">
        <v>0</v>
      </c>
      <c r="E19" s="92">
        <f t="shared" si="2"/>
        <v>5370537.1000000006</v>
      </c>
      <c r="F19" s="74">
        <v>-47.09485569795244</v>
      </c>
      <c r="G19" s="518">
        <f t="shared" si="0"/>
        <v>-252924669.74500001</v>
      </c>
      <c r="H19" s="338"/>
      <c r="I19" s="295"/>
      <c r="K19" s="94"/>
      <c r="M19" s="68"/>
      <c r="N19" s="477"/>
    </row>
    <row r="20" spans="1:14" ht="12.5">
      <c r="A20" s="2">
        <f t="shared" si="1"/>
        <v>10</v>
      </c>
      <c r="B20" s="92" t="s">
        <v>942</v>
      </c>
      <c r="C20" s="92">
        <v>4961842.6799999997</v>
      </c>
      <c r="D20" s="92">
        <v>4949984.2599999998</v>
      </c>
      <c r="E20" s="92">
        <f t="shared" si="2"/>
        <v>11858.419999999926</v>
      </c>
      <c r="F20" s="74">
        <v>-301.04621737128554</v>
      </c>
      <c r="G20" s="518">
        <f t="shared" si="0"/>
        <v>-3569932.4849999775</v>
      </c>
      <c r="H20" s="338"/>
      <c r="I20" s="295"/>
      <c r="K20" s="94"/>
      <c r="M20" s="68"/>
      <c r="N20" s="477"/>
    </row>
    <row r="21" spans="1:14" ht="12.5">
      <c r="A21" s="2">
        <f t="shared" si="1"/>
        <v>11</v>
      </c>
      <c r="B21" s="92" t="s">
        <v>943</v>
      </c>
      <c r="C21" s="92">
        <v>4463369.3100000005</v>
      </c>
      <c r="D21" s="92">
        <v>0</v>
      </c>
      <c r="E21" s="92">
        <f t="shared" si="2"/>
        <v>4463369.3100000005</v>
      </c>
      <c r="F21" s="74">
        <v>-77.477326595006758</v>
      </c>
      <c r="G21" s="518">
        <f t="shared" si="0"/>
        <v>-345809921.745</v>
      </c>
      <c r="H21" s="338"/>
      <c r="I21" s="295"/>
      <c r="K21" s="94"/>
      <c r="M21" s="68"/>
      <c r="N21" s="477"/>
    </row>
    <row r="22" spans="1:14" ht="12.5">
      <c r="A22" s="2">
        <f t="shared" si="1"/>
        <v>12</v>
      </c>
      <c r="B22" s="92" t="s">
        <v>944</v>
      </c>
      <c r="C22" s="92">
        <v>4096475.5</v>
      </c>
      <c r="D22" s="92">
        <v>0</v>
      </c>
      <c r="E22" s="92">
        <f t="shared" si="2"/>
        <v>4096475.5</v>
      </c>
      <c r="F22" s="74">
        <v>-46.400679561003109</v>
      </c>
      <c r="G22" s="518">
        <f t="shared" si="0"/>
        <v>-190079247.005</v>
      </c>
      <c r="H22" s="338"/>
      <c r="I22" s="295"/>
      <c r="K22" s="94"/>
      <c r="M22" s="68"/>
      <c r="N22" s="477"/>
    </row>
    <row r="23" spans="1:14" ht="12.5">
      <c r="A23" s="2">
        <f t="shared" si="1"/>
        <v>13</v>
      </c>
      <c r="B23" s="92" t="s">
        <v>945</v>
      </c>
      <c r="C23" s="92">
        <v>3987403.6100000003</v>
      </c>
      <c r="D23" s="92">
        <v>3977198.4000000004</v>
      </c>
      <c r="E23" s="92">
        <f t="shared" si="2"/>
        <v>10205.209999999963</v>
      </c>
      <c r="F23" s="74">
        <v>-380.37282084347106</v>
      </c>
      <c r="G23" s="518">
        <f t="shared" si="0"/>
        <v>-3881784.5149999852</v>
      </c>
      <c r="H23" s="338"/>
      <c r="I23" s="295"/>
      <c r="K23" s="94"/>
      <c r="M23" s="68"/>
      <c r="N23" s="477"/>
    </row>
    <row r="24" spans="1:14" ht="12.5">
      <c r="A24" s="2">
        <f t="shared" si="1"/>
        <v>14</v>
      </c>
      <c r="B24" s="92" t="s">
        <v>946</v>
      </c>
      <c r="C24" s="92">
        <v>3843653.5600000005</v>
      </c>
      <c r="D24" s="92">
        <v>0</v>
      </c>
      <c r="E24" s="92">
        <f t="shared" si="2"/>
        <v>3843653.5600000005</v>
      </c>
      <c r="F24" s="74">
        <v>-55.946915737379825</v>
      </c>
      <c r="G24" s="518">
        <f t="shared" si="0"/>
        <v>-215040561.84500003</v>
      </c>
      <c r="H24" s="338"/>
      <c r="I24" s="295"/>
      <c r="K24" s="94"/>
      <c r="M24" s="68"/>
      <c r="N24" s="477"/>
    </row>
    <row r="25" spans="1:14" ht="12.5">
      <c r="A25" s="2">
        <f t="shared" si="1"/>
        <v>15</v>
      </c>
      <c r="B25" s="92" t="s">
        <v>947</v>
      </c>
      <c r="C25" s="92">
        <v>3566327.0800000001</v>
      </c>
      <c r="D25" s="92">
        <v>0</v>
      </c>
      <c r="E25" s="92">
        <f t="shared" si="2"/>
        <v>3566327.0800000001</v>
      </c>
      <c r="F25" s="74">
        <v>-188.74607848924507</v>
      </c>
      <c r="G25" s="518">
        <f t="shared" si="0"/>
        <v>-673130250.96000016</v>
      </c>
      <c r="H25" s="338"/>
      <c r="I25" s="295"/>
      <c r="K25" s="94"/>
      <c r="M25" s="68"/>
      <c r="N25" s="477"/>
    </row>
    <row r="26" spans="1:14" ht="12.5">
      <c r="A26" s="2">
        <f t="shared" si="1"/>
        <v>16</v>
      </c>
      <c r="B26" s="92" t="s">
        <v>948</v>
      </c>
      <c r="C26" s="92">
        <v>3412789.71</v>
      </c>
      <c r="D26" s="92">
        <v>3401246.1899999999</v>
      </c>
      <c r="E26" s="92">
        <f t="shared" si="2"/>
        <v>11543.520000000019</v>
      </c>
      <c r="F26" s="74">
        <v>-294.73893578388572</v>
      </c>
      <c r="G26" s="518">
        <f t="shared" si="0"/>
        <v>-3402324.8000000059</v>
      </c>
      <c r="H26" s="338"/>
      <c r="I26" s="295"/>
      <c r="K26" s="94"/>
      <c r="M26" s="68"/>
      <c r="N26" s="477"/>
    </row>
    <row r="27" spans="1:14" ht="12.5">
      <c r="A27" s="2">
        <f t="shared" si="1"/>
        <v>17</v>
      </c>
      <c r="B27" s="92" t="s">
        <v>949</v>
      </c>
      <c r="C27" s="92">
        <v>3369112.75</v>
      </c>
      <c r="D27" s="92">
        <v>3362444.1899999999</v>
      </c>
      <c r="E27" s="92">
        <f t="shared" si="2"/>
        <v>6668.5600000000559</v>
      </c>
      <c r="F27" s="74">
        <v>-291.0392483534676</v>
      </c>
      <c r="G27" s="518">
        <f t="shared" si="0"/>
        <v>-1940812.6900000162</v>
      </c>
      <c r="H27" s="338"/>
      <c r="I27" s="295"/>
      <c r="K27" s="94"/>
      <c r="M27" s="68"/>
      <c r="N27" s="477"/>
    </row>
    <row r="28" spans="1:14" ht="12.5">
      <c r="A28" s="2">
        <f t="shared" si="1"/>
        <v>18</v>
      </c>
      <c r="B28" s="92" t="s">
        <v>950</v>
      </c>
      <c r="C28" s="92">
        <v>3225636.7400000002</v>
      </c>
      <c r="D28" s="92">
        <v>3214688.4900000002</v>
      </c>
      <c r="E28" s="92">
        <f t="shared" si="2"/>
        <v>10948.25</v>
      </c>
      <c r="F28" s="74">
        <v>-301.52950197520158</v>
      </c>
      <c r="G28" s="518">
        <f t="shared" si="0"/>
        <v>-3301220.3700000006</v>
      </c>
      <c r="H28" s="338"/>
      <c r="I28" s="295"/>
      <c r="K28" s="94"/>
      <c r="M28" s="68"/>
      <c r="N28" s="477"/>
    </row>
    <row r="29" spans="1:14" ht="12.5">
      <c r="A29" s="2">
        <f t="shared" si="1"/>
        <v>19</v>
      </c>
      <c r="B29" s="92" t="s">
        <v>951</v>
      </c>
      <c r="C29" s="92">
        <v>3215557.9300000002</v>
      </c>
      <c r="D29" s="92">
        <v>3210858.0300000003</v>
      </c>
      <c r="E29" s="92">
        <f t="shared" si="2"/>
        <v>4699.8999999999069</v>
      </c>
      <c r="F29" s="74">
        <v>-304.45279261260879</v>
      </c>
      <c r="G29" s="518">
        <f t="shared" si="0"/>
        <v>-1430897.6799999718</v>
      </c>
      <c r="H29" s="338"/>
      <c r="I29" s="295"/>
      <c r="K29" s="94"/>
      <c r="M29" s="68"/>
      <c r="N29" s="477"/>
    </row>
    <row r="30" spans="1:14" ht="12.5">
      <c r="A30" s="2">
        <f t="shared" si="1"/>
        <v>20</v>
      </c>
      <c r="B30" s="92" t="s">
        <v>952</v>
      </c>
      <c r="C30" s="92">
        <v>2578382.3999999999</v>
      </c>
      <c r="D30" s="92">
        <v>2567014.8300000001</v>
      </c>
      <c r="E30" s="92">
        <f t="shared" si="2"/>
        <v>11367.569999999832</v>
      </c>
      <c r="F30" s="74">
        <v>-290.78840552554328</v>
      </c>
      <c r="G30" s="518">
        <f t="shared" si="0"/>
        <v>-3305557.5549999513</v>
      </c>
      <c r="H30" s="338"/>
      <c r="I30" s="295"/>
      <c r="K30" s="94"/>
      <c r="M30" s="68"/>
      <c r="N30" s="477"/>
    </row>
    <row r="31" spans="1:14" ht="12.5">
      <c r="A31" s="2">
        <f t="shared" si="1"/>
        <v>21</v>
      </c>
      <c r="B31" s="92" t="s">
        <v>953</v>
      </c>
      <c r="C31" s="92">
        <v>2388925.4299999997</v>
      </c>
      <c r="D31" s="92">
        <v>0</v>
      </c>
      <c r="E31" s="92">
        <f t="shared" si="2"/>
        <v>2388925.4299999997</v>
      </c>
      <c r="F31" s="74">
        <v>-46.990615100530796</v>
      </c>
      <c r="G31" s="518">
        <f t="shared" si="0"/>
        <v>-112257075.38500001</v>
      </c>
      <c r="H31" s="338"/>
      <c r="I31" s="295"/>
      <c r="K31" s="94"/>
      <c r="M31" s="68"/>
      <c r="N31" s="477"/>
    </row>
    <row r="32" spans="1:14" ht="12.5">
      <c r="A32" s="2">
        <f t="shared" si="1"/>
        <v>22</v>
      </c>
      <c r="B32" s="92" t="s">
        <v>954</v>
      </c>
      <c r="C32" s="92">
        <v>2356564.7200000002</v>
      </c>
      <c r="D32" s="92">
        <v>2009940.28</v>
      </c>
      <c r="E32" s="92">
        <f t="shared" si="2"/>
        <v>346624.44000000018</v>
      </c>
      <c r="F32" s="74">
        <v>-48.029715258970199</v>
      </c>
      <c r="G32" s="518">
        <f t="shared" si="0"/>
        <v>-16648273.155000009</v>
      </c>
      <c r="H32" s="338"/>
      <c r="I32" s="295"/>
      <c r="K32" s="94"/>
      <c r="M32" s="68"/>
      <c r="N32" s="477"/>
    </row>
    <row r="33" spans="1:14" ht="12.5">
      <c r="A33" s="2">
        <f t="shared" si="1"/>
        <v>23</v>
      </c>
      <c r="B33" s="92" t="s">
        <v>955</v>
      </c>
      <c r="C33" s="92">
        <v>2198561.7699999996</v>
      </c>
      <c r="D33" s="92">
        <v>1867389.0199999998</v>
      </c>
      <c r="E33" s="92">
        <f t="shared" si="2"/>
        <v>331172.74999999977</v>
      </c>
      <c r="F33" s="74">
        <v>-48.435365137983126</v>
      </c>
      <c r="G33" s="518">
        <f t="shared" si="0"/>
        <v>-16040473.069999991</v>
      </c>
      <c r="H33" s="338"/>
      <c r="I33" s="295"/>
      <c r="K33" s="94"/>
      <c r="M33" s="68"/>
      <c r="N33" s="477"/>
    </row>
    <row r="34" spans="1:14" ht="12.5">
      <c r="A34" s="2">
        <f t="shared" si="1"/>
        <v>24</v>
      </c>
      <c r="B34" s="92" t="s">
        <v>956</v>
      </c>
      <c r="C34" s="92">
        <v>2190620.1499999999</v>
      </c>
      <c r="D34" s="92">
        <v>2188877.4699999997</v>
      </c>
      <c r="E34" s="92">
        <f t="shared" si="2"/>
        <v>1742.6800000001676</v>
      </c>
      <c r="F34" s="74">
        <v>-291.42969736268276</v>
      </c>
      <c r="G34" s="518">
        <f t="shared" si="0"/>
        <v>-507868.70500004885</v>
      </c>
      <c r="H34" s="338"/>
      <c r="I34" s="295"/>
      <c r="M34" s="68"/>
      <c r="N34" s="477"/>
    </row>
    <row r="35" spans="1:14" ht="12.5">
      <c r="A35" s="2">
        <f t="shared" si="1"/>
        <v>25</v>
      </c>
      <c r="B35" s="92" t="s">
        <v>957</v>
      </c>
      <c r="C35" s="723">
        <v>2125371.2499999995</v>
      </c>
      <c r="D35" s="723">
        <v>2119370.9499999997</v>
      </c>
      <c r="E35" s="723">
        <f t="shared" si="2"/>
        <v>6000.2999999998137</v>
      </c>
      <c r="F35" s="659">
        <v>-326.23443577821109</v>
      </c>
      <c r="G35" s="336">
        <f t="shared" si="0"/>
        <v>-1957504.4849999393</v>
      </c>
      <c r="H35" s="338"/>
      <c r="I35" s="295"/>
      <c r="K35" s="94"/>
      <c r="M35" s="68"/>
      <c r="N35" s="477"/>
    </row>
    <row r="36" spans="1:14" ht="12.5">
      <c r="A36" s="2">
        <f t="shared" si="1"/>
        <v>26</v>
      </c>
      <c r="C36" s="273"/>
      <c r="D36" s="273"/>
      <c r="E36" s="273"/>
      <c r="F36" s="517"/>
      <c r="G36" s="74"/>
      <c r="H36" s="338"/>
      <c r="I36" s="94"/>
      <c r="K36" s="94"/>
      <c r="M36" s="68"/>
      <c r="N36" s="477"/>
    </row>
    <row r="37" spans="1:8" ht="13" thickBot="1">
      <c r="A37" s="2">
        <f t="shared" si="1"/>
        <v>27</v>
      </c>
      <c r="C37" s="368">
        <f>SUM(C11:C36)</f>
        <v>192026710.5500001</v>
      </c>
      <c r="D37" s="345">
        <f>SUM(D11:D36)</f>
        <v>127316094.45</v>
      </c>
      <c r="E37" s="368">
        <f>SUM(E11:E36)</f>
        <v>64710616.099999994</v>
      </c>
      <c r="F37" s="657">
        <f>ROUND(G37/E37,2)</f>
        <v>-54.990000000000002</v>
      </c>
      <c r="G37" s="368">
        <f>SUM(G11:G36)</f>
        <v>-3558138057.4400005</v>
      </c>
      <c r="H37" s="338"/>
    </row>
    <row r="38" spans="1:7" ht="13" thickTop="1">
      <c r="A38" s="2">
        <f t="shared" si="1"/>
        <v>28</v>
      </c>
      <c r="F38" s="638"/>
      <c r="G38" s="74"/>
    </row>
    <row r="39" spans="1:7" ht="12.5">
      <c r="A39" s="2">
        <f t="shared" si="1"/>
        <v>29</v>
      </c>
      <c r="F39" s="658"/>
      <c r="G39" s="74"/>
    </row>
    <row r="40" spans="1:7" ht="12.5">
      <c r="A40" s="2">
        <f t="shared" si="1"/>
        <v>30</v>
      </c>
      <c r="F40" s="658"/>
      <c r="G40" s="74"/>
    </row>
    <row r="41" spans="1:7" ht="12.5">
      <c r="A41" s="2">
        <f t="shared" si="1"/>
        <v>31</v>
      </c>
      <c r="F41" s="510"/>
      <c r="G41" s="74"/>
    </row>
    <row r="42" spans="1:7" ht="12.5">
      <c r="A42" s="2">
        <f t="shared" si="1"/>
        <v>32</v>
      </c>
      <c r="B42" s="1" t="s">
        <v>353</v>
      </c>
      <c r="F42" s="510"/>
      <c r="G42" s="74"/>
    </row>
    <row r="43" spans="1:7" ht="12.5">
      <c r="A43" s="2">
        <f t="shared" si="1"/>
        <v>33</v>
      </c>
      <c r="F43" s="510"/>
      <c r="G43" s="74"/>
    </row>
    <row r="44" spans="1:13" ht="12.5">
      <c r="A44" s="2">
        <f t="shared" si="1"/>
        <v>34</v>
      </c>
      <c r="B44" s="1" t="s">
        <v>352</v>
      </c>
      <c r="F44" s="510"/>
      <c r="G44" s="499"/>
      <c r="I44" s="230"/>
      <c r="J44" s="338"/>
      <c r="K44" s="230"/>
      <c r="L44" s="230"/>
      <c r="M44" s="230"/>
    </row>
    <row r="45" spans="1:13" ht="12.5">
      <c r="A45" s="2">
        <f t="shared" si="1"/>
        <v>35</v>
      </c>
      <c r="B45" s="1" t="s">
        <v>351</v>
      </c>
      <c r="F45" s="510"/>
      <c r="G45" s="74"/>
      <c r="I45" s="230"/>
      <c r="J45" s="338"/>
      <c r="K45" s="230"/>
      <c r="L45" s="230"/>
      <c r="M45" s="230"/>
    </row>
    <row r="46" spans="1:13" ht="12.5">
      <c r="A46" s="2">
        <f t="shared" si="1"/>
        <v>36</v>
      </c>
      <c r="F46" s="510"/>
      <c r="G46" s="74"/>
      <c r="I46" s="230"/>
      <c r="J46" s="338"/>
      <c r="K46" s="230"/>
      <c r="L46" s="230"/>
      <c r="M46" s="230"/>
    </row>
    <row r="47" spans="1:7" ht="12.5">
      <c r="A47" s="2">
        <f t="shared" si="1"/>
        <v>37</v>
      </c>
      <c r="B47" t="s">
        <v>256</v>
      </c>
      <c r="C47" s="407" t="s">
        <v>471</v>
      </c>
      <c r="F47" s="510"/>
      <c r="G47" s="74"/>
    </row>
    <row r="48" spans="1:1" ht="12.5">
      <c r="A48" s="2">
        <f t="shared" si="1"/>
        <v>38</v>
      </c>
    </row>
    <row r="49" spans="1:3" ht="12.5">
      <c r="A49" s="2">
        <f t="shared" si="1"/>
        <v>39</v>
      </c>
      <c r="C49" s="407"/>
    </row>
    <row r="50" spans="1:1" ht="12.5">
      <c r="A50" s="2">
        <f t="shared" si="1"/>
        <v>40</v>
      </c>
    </row>
    <row r="51" spans="1:1" ht="12.5">
      <c r="A51" s="2">
        <f t="shared" si="1"/>
        <v>41</v>
      </c>
    </row>
    <row r="52" spans="1:5" ht="12.5">
      <c r="A52" s="2">
        <f t="shared" si="1"/>
        <v>42</v>
      </c>
      <c r="E52" s="340"/>
    </row>
    <row r="53" spans="1:5" ht="12.5">
      <c r="A53" s="2">
        <f t="shared" si="1"/>
        <v>43</v>
      </c>
      <c r="E53" s="521"/>
    </row>
  </sheetData>
  <hyperlinks>
    <hyperlink ref="C47" r:id="rId1" display="Taxes other than income - Local Gross Receipts.xlsx"/>
  </hyperlinks>
  <printOptions horizontalCentered="1"/>
  <pageMargins left="0.5" right="0.5" top="1.5" bottom="0.5" header="1" footer="0.5"/>
  <pageSetup fitToHeight="2" orientation="landscape" r:id="rId2"/>
  <headerFooter alignWithMargins="0">
    <oddHeader>&amp;RWP/II-B-9/&amp;A
Page &amp;P of &amp;N</oddHeader>
  </headerFooter>
  <rowBreaks count="1" manualBreakCount="1">
    <brk id="31" max="6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5">
    <tabColor rgb="FF92D050"/>
    <pageSetUpPr fitToPage="1"/>
  </sheetPr>
  <dimension ref="A1:I41"/>
  <sheetViews>
    <sheetView showGridLines="0" workbookViewId="0" topLeftCell="A19">
      <selection pane="topLeft" activeCell="A4" sqref="A4"/>
    </sheetView>
  </sheetViews>
  <sheetFormatPr defaultRowHeight="12.75"/>
  <cols>
    <col min="1" max="1" width="5.57142857142857" customWidth="1"/>
    <col min="2" max="2" width="14.8571428571429" customWidth="1"/>
    <col min="3" max="3" width="26" customWidth="1"/>
    <col min="4" max="4" width="16.4285714285714" bestFit="1" customWidth="1"/>
    <col min="5" max="5" width="14.4285714285714" bestFit="1" customWidth="1"/>
    <col min="6" max="6" width="19.4285714285714" customWidth="1"/>
    <col min="7" max="7" width="10.1428571428571" bestFit="1" customWidth="1"/>
    <col min="8" max="8" width="17.1428571428571" customWidth="1"/>
  </cols>
  <sheetData>
    <row r="1" spans="1:5" s="295" customFormat="1" ht="13">
      <c r="A1" s="181" t="s">
        <v>530</v>
      </c>
      <c r="B1" s="181"/>
      <c r="C1" s="181"/>
      <c r="D1" s="181"/>
      <c r="E1" s="181"/>
    </row>
    <row r="2" spans="1:5" s="295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5" s="295" customFormat="1" ht="13">
      <c r="A3" s="181" t="s">
        <v>180</v>
      </c>
      <c r="B3" s="181"/>
      <c r="C3" s="181"/>
      <c r="D3" s="181"/>
      <c r="E3" s="181"/>
    </row>
    <row r="4" spans="1:5" s="295" customFormat="1" ht="13">
      <c r="A4" s="817" t="s">
        <v>929</v>
      </c>
      <c r="B4" s="181"/>
      <c r="C4" s="181"/>
      <c r="D4" s="181"/>
      <c r="E4" s="181"/>
    </row>
    <row r="5" spans="1:5" s="295" customFormat="1" ht="13">
      <c r="A5" s="181" t="s">
        <v>524</v>
      </c>
      <c r="B5" s="181"/>
      <c r="C5" s="181"/>
      <c r="D5" s="181"/>
      <c r="E5" s="181"/>
    </row>
    <row r="7" spans="1:9" ht="13">
      <c r="A7" s="22" t="s">
        <v>40</v>
      </c>
      <c r="G7" s="274"/>
      <c r="H7" s="242" t="s">
        <v>112</v>
      </c>
      <c r="I7" s="67"/>
    </row>
    <row r="8" spans="1:8" ht="13">
      <c r="A8" s="57" t="s">
        <v>41</v>
      </c>
      <c r="B8" s="62" t="s">
        <v>347</v>
      </c>
      <c r="C8" s="62" t="s">
        <v>348</v>
      </c>
      <c r="D8" s="57" t="s">
        <v>93</v>
      </c>
      <c r="E8" s="57" t="s">
        <v>114</v>
      </c>
      <c r="F8" s="57" t="s">
        <v>228</v>
      </c>
      <c r="G8" s="275" t="s">
        <v>232</v>
      </c>
      <c r="H8" s="243" t="s">
        <v>90</v>
      </c>
    </row>
    <row r="9" spans="1:8" ht="13">
      <c r="A9" s="22"/>
      <c r="B9" s="8" t="s">
        <v>55</v>
      </c>
      <c r="C9" s="8" t="s">
        <v>56</v>
      </c>
      <c r="D9" s="8" t="s">
        <v>62</v>
      </c>
      <c r="E9" s="8" t="s">
        <v>57</v>
      </c>
      <c r="F9" s="8" t="s">
        <v>58</v>
      </c>
      <c r="G9" s="8" t="s">
        <v>59</v>
      </c>
      <c r="H9" s="8" t="s">
        <v>60</v>
      </c>
    </row>
    <row r="10" spans="1:8" ht="13">
      <c r="A10" s="22"/>
      <c r="B10" s="25"/>
      <c r="C10" s="25"/>
      <c r="D10" s="22"/>
      <c r="E10" s="22"/>
      <c r="F10" s="22"/>
      <c r="G10" s="318"/>
      <c r="H10" s="242"/>
    </row>
    <row r="11" spans="1:9" s="1" customFormat="1" ht="12.5">
      <c r="A11" s="3">
        <v>1</v>
      </c>
      <c r="B11" t="s">
        <v>1014</v>
      </c>
      <c r="C11" t="s">
        <v>1015</v>
      </c>
      <c r="D11" s="227">
        <v>44557244.560000002</v>
      </c>
      <c r="E11" s="439">
        <f t="shared" si="0" ref="E11:E35">DATE(2020,1,1)+(Year/2)</f>
        <v>44013.5</v>
      </c>
      <c r="F11" s="263">
        <v>44228</v>
      </c>
      <c r="G11" s="639">
        <f t="shared" si="1" ref="G11:G35">-F11+E11</f>
        <v>-214.5</v>
      </c>
      <c r="H11" s="227">
        <f t="shared" si="2" ref="H11:H35">D11*G11</f>
        <v>-9557528958.1200008</v>
      </c>
      <c r="I11" s="2"/>
    </row>
    <row r="12" spans="1:8" ht="12.5">
      <c r="A12" s="2">
        <f>A11+1</f>
        <v>2</v>
      </c>
      <c r="B12" t="s">
        <v>1016</v>
      </c>
      <c r="C12" t="s">
        <v>1017</v>
      </c>
      <c r="D12" s="227">
        <v>34609266.829999991</v>
      </c>
      <c r="E12" s="439">
        <f t="shared" si="0"/>
        <v>44013.5</v>
      </c>
      <c r="F12" s="263">
        <v>44228</v>
      </c>
      <c r="G12" s="639">
        <f t="shared" si="1"/>
        <v>-214.5</v>
      </c>
      <c r="H12" s="340">
        <f t="shared" si="2"/>
        <v>-7423687735.0349979</v>
      </c>
    </row>
    <row r="13" spans="1:8" ht="12.5">
      <c r="A13" s="2">
        <f>A12+1</f>
        <v>3</v>
      </c>
      <c r="B13" t="s">
        <v>1018</v>
      </c>
      <c r="C13" t="s">
        <v>1019</v>
      </c>
      <c r="D13" s="227">
        <v>12893923.73</v>
      </c>
      <c r="E13" s="439">
        <f t="shared" si="0"/>
        <v>44013.5</v>
      </c>
      <c r="F13" s="263">
        <v>44228</v>
      </c>
      <c r="G13" s="639">
        <f t="shared" si="1"/>
        <v>-214.5</v>
      </c>
      <c r="H13" s="340">
        <f t="shared" si="2"/>
        <v>-2765746640.085</v>
      </c>
    </row>
    <row r="14" spans="1:8" ht="12.5">
      <c r="A14" s="2">
        <f t="shared" si="3" ref="A14:A41">A13+1</f>
        <v>4</v>
      </c>
      <c r="B14" t="s">
        <v>1020</v>
      </c>
      <c r="C14" t="s">
        <v>1021</v>
      </c>
      <c r="D14" s="227">
        <v>7116024.9500000002</v>
      </c>
      <c r="E14" s="439">
        <f>DATE(2020,1,1)+(Year/2)</f>
        <v>44013.5</v>
      </c>
      <c r="F14" s="263">
        <v>44148</v>
      </c>
      <c r="G14" s="639">
        <f t="shared" si="1"/>
        <v>-134.5</v>
      </c>
      <c r="H14" s="340">
        <f t="shared" si="2"/>
        <v>-957105355.77499998</v>
      </c>
    </row>
    <row r="15" spans="1:8" ht="12.5">
      <c r="A15" s="2">
        <f t="shared" si="3"/>
        <v>5</v>
      </c>
      <c r="B15" t="s">
        <v>1022</v>
      </c>
      <c r="C15" t="s">
        <v>1023</v>
      </c>
      <c r="D15" s="227">
        <v>6397614.3300000001</v>
      </c>
      <c r="E15" s="439">
        <f t="shared" si="0"/>
        <v>44013.5</v>
      </c>
      <c r="F15" s="263">
        <v>44228</v>
      </c>
      <c r="G15" s="639">
        <f t="shared" si="1"/>
        <v>-214.5</v>
      </c>
      <c r="H15" s="340">
        <f t="shared" si="2"/>
        <v>-1372288273.7850001</v>
      </c>
    </row>
    <row r="16" spans="1:8" ht="12.5">
      <c r="A16" s="2">
        <f t="shared" si="3"/>
        <v>6</v>
      </c>
      <c r="B16" t="s">
        <v>1024</v>
      </c>
      <c r="C16" t="s">
        <v>1025</v>
      </c>
      <c r="D16" s="227">
        <v>5786471.8999999994</v>
      </c>
      <c r="E16" s="439">
        <f t="shared" si="0"/>
        <v>44013.5</v>
      </c>
      <c r="F16" s="263">
        <v>44228</v>
      </c>
      <c r="G16" s="639">
        <f t="shared" si="1"/>
        <v>-214.5</v>
      </c>
      <c r="H16" s="340">
        <f t="shared" si="2"/>
        <v>-1241198222.55</v>
      </c>
    </row>
    <row r="17" spans="1:8" ht="12.5">
      <c r="A17" s="2">
        <f t="shared" si="3"/>
        <v>7</v>
      </c>
      <c r="B17" t="s">
        <v>1026</v>
      </c>
      <c r="C17" t="s">
        <v>1027</v>
      </c>
      <c r="D17" s="227">
        <v>5368565.6099999994</v>
      </c>
      <c r="E17" s="439">
        <f t="shared" si="0"/>
        <v>44013.5</v>
      </c>
      <c r="F17" s="263">
        <v>44228</v>
      </c>
      <c r="G17" s="639">
        <f t="shared" si="1"/>
        <v>-214.5</v>
      </c>
      <c r="H17" s="340">
        <f t="shared" si="2"/>
        <v>-1151557323.3449998</v>
      </c>
    </row>
    <row r="18" spans="1:8" ht="12.5">
      <c r="A18" s="2">
        <f t="shared" si="3"/>
        <v>8</v>
      </c>
      <c r="B18" t="s">
        <v>1028</v>
      </c>
      <c r="C18" t="s">
        <v>1029</v>
      </c>
      <c r="D18" s="227">
        <v>4719087.2199999997</v>
      </c>
      <c r="E18" s="439">
        <f t="shared" si="0"/>
        <v>44013.5</v>
      </c>
      <c r="F18" s="263">
        <v>44228</v>
      </c>
      <c r="G18" s="639">
        <f t="shared" si="1"/>
        <v>-214.5</v>
      </c>
      <c r="H18" s="340">
        <f t="shared" si="2"/>
        <v>-1012244208.6899999</v>
      </c>
    </row>
    <row r="19" spans="1:8" ht="12.5">
      <c r="A19" s="2">
        <f t="shared" si="3"/>
        <v>9</v>
      </c>
      <c r="B19" t="s">
        <v>1030</v>
      </c>
      <c r="C19" t="s">
        <v>1031</v>
      </c>
      <c r="D19" s="227">
        <v>4649555.71</v>
      </c>
      <c r="E19" s="439">
        <f t="shared" si="0"/>
        <v>44013.5</v>
      </c>
      <c r="F19" s="263">
        <v>44228</v>
      </c>
      <c r="G19" s="639">
        <f t="shared" si="1"/>
        <v>-214.5</v>
      </c>
      <c r="H19" s="340">
        <f t="shared" si="2"/>
        <v>-997329699.79499996</v>
      </c>
    </row>
    <row r="20" spans="1:8" ht="12.5">
      <c r="A20" s="2">
        <f t="shared" si="3"/>
        <v>10</v>
      </c>
      <c r="B20" t="s">
        <v>1032</v>
      </c>
      <c r="C20" t="s">
        <v>1033</v>
      </c>
      <c r="D20" s="227">
        <v>4364342.46</v>
      </c>
      <c r="E20" s="439">
        <f t="shared" si="0"/>
        <v>44013.5</v>
      </c>
      <c r="F20" s="263">
        <v>44228</v>
      </c>
      <c r="G20" s="639">
        <f t="shared" si="1"/>
        <v>-214.5</v>
      </c>
      <c r="H20" s="340">
        <f t="shared" si="2"/>
        <v>-936151457.66999996</v>
      </c>
    </row>
    <row r="21" spans="1:8" ht="12.5">
      <c r="A21" s="2">
        <f t="shared" si="3"/>
        <v>11</v>
      </c>
      <c r="B21" t="s">
        <v>1034</v>
      </c>
      <c r="C21" t="s">
        <v>1035</v>
      </c>
      <c r="D21" s="227">
        <v>3762111.4400000004</v>
      </c>
      <c r="E21" s="439">
        <f t="shared" si="0"/>
        <v>44013.5</v>
      </c>
      <c r="F21" s="263">
        <v>44228</v>
      </c>
      <c r="G21" s="639">
        <f t="shared" si="1"/>
        <v>-214.5</v>
      </c>
      <c r="H21" s="340">
        <f t="shared" si="2"/>
        <v>-806972903.88000011</v>
      </c>
    </row>
    <row r="22" spans="1:8" ht="12.5">
      <c r="A22" s="2">
        <f t="shared" si="3"/>
        <v>12</v>
      </c>
      <c r="B22" t="s">
        <v>1036</v>
      </c>
      <c r="C22" t="s">
        <v>1037</v>
      </c>
      <c r="D22" s="227">
        <v>3008732.4300000002</v>
      </c>
      <c r="E22" s="439">
        <f t="shared" si="0"/>
        <v>44013.5</v>
      </c>
      <c r="F22" s="263">
        <v>44228</v>
      </c>
      <c r="G22" s="639">
        <f t="shared" si="1"/>
        <v>-214.5</v>
      </c>
      <c r="H22" s="340">
        <f t="shared" si="2"/>
        <v>-645373106.23500001</v>
      </c>
    </row>
    <row r="23" spans="1:8" ht="12.5">
      <c r="A23" s="2">
        <f t="shared" si="3"/>
        <v>13</v>
      </c>
      <c r="B23" t="s">
        <v>1038</v>
      </c>
      <c r="C23" t="s">
        <v>1039</v>
      </c>
      <c r="D23" s="227">
        <v>2924333.6600000001</v>
      </c>
      <c r="E23" s="439">
        <f t="shared" si="0"/>
        <v>44013.5</v>
      </c>
      <c r="F23" s="263">
        <v>44228</v>
      </c>
      <c r="G23" s="639">
        <f t="shared" si="1"/>
        <v>-214.5</v>
      </c>
      <c r="H23" s="340">
        <f t="shared" si="2"/>
        <v>-627269570.07000005</v>
      </c>
    </row>
    <row r="24" spans="1:8" ht="12.5">
      <c r="A24" s="2">
        <f t="shared" si="3"/>
        <v>14</v>
      </c>
      <c r="B24" t="s">
        <v>1040</v>
      </c>
      <c r="C24" t="s">
        <v>1041</v>
      </c>
      <c r="D24" s="227">
        <v>2603342.2200000002</v>
      </c>
      <c r="E24" s="439">
        <f t="shared" si="0"/>
        <v>44013.5</v>
      </c>
      <c r="F24" s="263">
        <v>44228</v>
      </c>
      <c r="G24" s="639">
        <f t="shared" si="1"/>
        <v>-214.5</v>
      </c>
      <c r="H24" s="340">
        <f t="shared" si="2"/>
        <v>-558416906.19000006</v>
      </c>
    </row>
    <row r="25" spans="1:8" ht="12.5">
      <c r="A25" s="2">
        <f t="shared" si="3"/>
        <v>15</v>
      </c>
      <c r="B25" t="s">
        <v>1042</v>
      </c>
      <c r="C25" t="s">
        <v>1043</v>
      </c>
      <c r="D25" s="227">
        <v>2534113.7600000002</v>
      </c>
      <c r="E25" s="439">
        <f t="shared" si="0"/>
        <v>44013.5</v>
      </c>
      <c r="F25" s="263">
        <v>44228</v>
      </c>
      <c r="G25" s="639">
        <f t="shared" si="1"/>
        <v>-214.5</v>
      </c>
      <c r="H25" s="340">
        <f t="shared" si="2"/>
        <v>-543567401.5200001</v>
      </c>
    </row>
    <row r="26" spans="1:8" ht="12.5">
      <c r="A26" s="2">
        <f t="shared" si="3"/>
        <v>16</v>
      </c>
      <c r="B26" t="s">
        <v>1044</v>
      </c>
      <c r="C26" t="s">
        <v>1045</v>
      </c>
      <c r="D26" s="227">
        <v>2509601.1299999994</v>
      </c>
      <c r="E26" s="439">
        <f t="shared" si="0"/>
        <v>44013.5</v>
      </c>
      <c r="F26" s="263">
        <v>44228</v>
      </c>
      <c r="G26" s="639">
        <f t="shared" si="1"/>
        <v>-214.5</v>
      </c>
      <c r="H26" s="340">
        <f t="shared" si="2"/>
        <v>-538309442.38499987</v>
      </c>
    </row>
    <row r="27" spans="1:8" ht="12.5">
      <c r="A27" s="2">
        <f t="shared" si="3"/>
        <v>17</v>
      </c>
      <c r="B27" t="s">
        <v>1046</v>
      </c>
      <c r="C27" t="s">
        <v>1047</v>
      </c>
      <c r="D27" s="227">
        <v>2442829.5900000003</v>
      </c>
      <c r="E27" s="439">
        <f t="shared" si="0"/>
        <v>44013.5</v>
      </c>
      <c r="F27" s="263">
        <v>44228</v>
      </c>
      <c r="G27" s="639">
        <f t="shared" si="1"/>
        <v>-214.5</v>
      </c>
      <c r="H27" s="340">
        <f t="shared" si="2"/>
        <v>-523986947.05500007</v>
      </c>
    </row>
    <row r="28" spans="1:8" ht="12.5">
      <c r="A28" s="2">
        <f t="shared" si="3"/>
        <v>18</v>
      </c>
      <c r="B28" t="s">
        <v>1048</v>
      </c>
      <c r="C28" t="s">
        <v>1049</v>
      </c>
      <c r="D28" s="227">
        <v>2326096.8200000003</v>
      </c>
      <c r="E28" s="439">
        <f t="shared" si="0"/>
        <v>44013.5</v>
      </c>
      <c r="F28" s="263">
        <v>44228</v>
      </c>
      <c r="G28" s="639">
        <f t="shared" si="1"/>
        <v>-214.5</v>
      </c>
      <c r="H28" s="340">
        <f t="shared" si="2"/>
        <v>-498947767.89000005</v>
      </c>
    </row>
    <row r="29" spans="1:8" ht="12.5">
      <c r="A29" s="2">
        <f t="shared" si="3"/>
        <v>19</v>
      </c>
      <c r="B29" t="s">
        <v>1050</v>
      </c>
      <c r="C29" t="s">
        <v>1051</v>
      </c>
      <c r="D29" s="227">
        <v>2299371.6999999997</v>
      </c>
      <c r="E29" s="439">
        <f t="shared" si="0"/>
        <v>44013.5</v>
      </c>
      <c r="F29" s="263">
        <v>44140</v>
      </c>
      <c r="G29" s="639">
        <f t="shared" si="1"/>
        <v>-126.5</v>
      </c>
      <c r="H29" s="340">
        <f t="shared" si="2"/>
        <v>-290870520.04999995</v>
      </c>
    </row>
    <row r="30" spans="1:8" ht="12.5">
      <c r="A30" s="2">
        <f t="shared" si="3"/>
        <v>20</v>
      </c>
      <c r="B30" t="s">
        <v>1052</v>
      </c>
      <c r="C30" t="s">
        <v>1053</v>
      </c>
      <c r="D30" s="227">
        <v>2252454.52</v>
      </c>
      <c r="E30" s="439">
        <f t="shared" si="0"/>
        <v>44013.5</v>
      </c>
      <c r="F30" s="263">
        <v>44228</v>
      </c>
      <c r="G30" s="639">
        <f t="shared" si="1"/>
        <v>-214.5</v>
      </c>
      <c r="H30" s="340">
        <f t="shared" si="2"/>
        <v>-483151494.54000002</v>
      </c>
    </row>
    <row r="31" spans="1:8" ht="12.5">
      <c r="A31" s="2">
        <f t="shared" si="3"/>
        <v>21</v>
      </c>
      <c r="B31" t="s">
        <v>1016</v>
      </c>
      <c r="C31" t="s">
        <v>1054</v>
      </c>
      <c r="D31" s="227">
        <v>2196917.8700000001</v>
      </c>
      <c r="E31" s="439">
        <f t="shared" si="0"/>
        <v>44013.5</v>
      </c>
      <c r="F31" s="263">
        <v>44228</v>
      </c>
      <c r="G31" s="639">
        <f t="shared" si="1"/>
        <v>-214.5</v>
      </c>
      <c r="H31" s="340">
        <f t="shared" si="2"/>
        <v>-471238883.11500001</v>
      </c>
    </row>
    <row r="32" spans="1:8" ht="12.5">
      <c r="A32" s="2">
        <f t="shared" si="3"/>
        <v>22</v>
      </c>
      <c r="B32" t="s">
        <v>1055</v>
      </c>
      <c r="C32" t="s">
        <v>1056</v>
      </c>
      <c r="D32" s="227">
        <v>2096137.47</v>
      </c>
      <c r="E32" s="439">
        <f t="shared" si="0"/>
        <v>44013.5</v>
      </c>
      <c r="F32" s="263">
        <v>44228</v>
      </c>
      <c r="G32" s="639">
        <f t="shared" si="1"/>
        <v>-214.5</v>
      </c>
      <c r="H32" s="340">
        <f t="shared" si="2"/>
        <v>-449621487.315</v>
      </c>
    </row>
    <row r="33" spans="1:8" ht="12.5">
      <c r="A33" s="2">
        <f t="shared" si="3"/>
        <v>23</v>
      </c>
      <c r="B33" t="s">
        <v>1057</v>
      </c>
      <c r="C33" t="s">
        <v>1058</v>
      </c>
      <c r="D33" s="227">
        <v>2084842.1700000002</v>
      </c>
      <c r="E33" s="439">
        <f t="shared" si="0"/>
        <v>44013.5</v>
      </c>
      <c r="F33" s="263">
        <v>44228</v>
      </c>
      <c r="G33" s="639">
        <f t="shared" si="1"/>
        <v>-214.5</v>
      </c>
      <c r="H33" s="340">
        <f t="shared" si="2"/>
        <v>-447198645.46500003</v>
      </c>
    </row>
    <row r="34" spans="1:8" ht="12.5">
      <c r="A34" s="2">
        <f t="shared" si="3"/>
        <v>24</v>
      </c>
      <c r="B34" t="s">
        <v>1059</v>
      </c>
      <c r="C34" t="s">
        <v>1060</v>
      </c>
      <c r="D34" s="227">
        <v>2073521.7599999998</v>
      </c>
      <c r="E34" s="439">
        <f t="shared" si="0"/>
        <v>44013.5</v>
      </c>
      <c r="F34" s="263">
        <v>44228</v>
      </c>
      <c r="G34" s="639">
        <f t="shared" si="1"/>
        <v>-214.5</v>
      </c>
      <c r="H34" s="340">
        <f t="shared" si="2"/>
        <v>-444770417.51999998</v>
      </c>
    </row>
    <row r="35" spans="1:8" ht="12.5">
      <c r="A35" s="2">
        <f t="shared" si="3"/>
        <v>25</v>
      </c>
      <c r="B35" t="s">
        <v>1061</v>
      </c>
      <c r="C35" t="s">
        <v>1062</v>
      </c>
      <c r="D35" s="227">
        <v>2053360.98</v>
      </c>
      <c r="E35" s="439">
        <f t="shared" si="0"/>
        <v>44013.5</v>
      </c>
      <c r="F35" s="263">
        <v>44228</v>
      </c>
      <c r="G35" s="640">
        <f t="shared" si="1"/>
        <v>-214.5</v>
      </c>
      <c r="H35" s="339">
        <f t="shared" si="2"/>
        <v>-440445930.20999998</v>
      </c>
    </row>
    <row r="36" spans="1:8" ht="12.5">
      <c r="A36" s="2">
        <f t="shared" si="3"/>
        <v>26</v>
      </c>
      <c r="D36" s="273"/>
      <c r="E36" s="93"/>
      <c r="F36" s="71"/>
      <c r="G36" s="639"/>
      <c r="H36" s="273"/>
    </row>
    <row r="37" spans="1:8" ht="13" thickBot="1">
      <c r="A37" s="2">
        <f t="shared" si="3"/>
        <v>27</v>
      </c>
      <c r="B37" t="s">
        <v>26</v>
      </c>
      <c r="D37" s="351">
        <f>SUM(D11:D35)</f>
        <v>167629864.81999993</v>
      </c>
      <c r="E37" s="395"/>
      <c r="F37" s="1"/>
      <c r="G37" s="641">
        <f>ROUND(H37/D37,2)</f>
        <v>-209.90000000000001</v>
      </c>
      <c r="H37" s="351">
        <f>SUM(H11:H35)</f>
        <v>-35184979298.289993</v>
      </c>
    </row>
    <row r="38" spans="1:8" ht="13" thickTop="1">
      <c r="A38" s="2">
        <f t="shared" si="3"/>
        <v>28</v>
      </c>
      <c r="B38" s="73"/>
      <c r="C38" s="73"/>
      <c r="D38" s="42"/>
      <c r="E38" s="14"/>
      <c r="F38" s="241"/>
      <c r="G38" s="1"/>
      <c r="H38" s="1"/>
    </row>
    <row r="39" spans="1:6" ht="12.5">
      <c r="A39" s="2">
        <f t="shared" si="3"/>
        <v>29</v>
      </c>
      <c r="B39" s="230" t="s">
        <v>553</v>
      </c>
      <c r="C39" s="230"/>
      <c r="D39" s="230"/>
      <c r="E39" s="230"/>
      <c r="F39" s="230"/>
    </row>
    <row r="40" spans="1:1" ht="12.5">
      <c r="A40" s="2">
        <f t="shared" si="3"/>
        <v>30</v>
      </c>
    </row>
    <row r="41" spans="1:3" ht="12.5">
      <c r="A41" s="2">
        <f t="shared" si="3"/>
        <v>31</v>
      </c>
      <c r="B41" t="s">
        <v>256</v>
      </c>
      <c r="C41" s="293" t="s">
        <v>472</v>
      </c>
    </row>
  </sheetData>
  <hyperlinks>
    <hyperlink ref="C41" r:id="rId1" display="Tax other than income - Ad Valorem.xlsx"/>
  </hyperlinks>
  <printOptions horizontalCentered="1"/>
  <pageMargins left="0.5" right="0.5" top="1.5" bottom="0.5" header="1" footer="0.5"/>
  <pageSetup orientation="landscape" scale="91" r:id="rId2"/>
  <headerFooter alignWithMargins="0">
    <oddHeader>&amp;RWP/II-B-9/&amp;A
Page &amp;P of &amp;N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9">
    <tabColor rgb="FF92D050"/>
    <pageSetUpPr fitToPage="1"/>
  </sheetPr>
  <dimension ref="A1:AF286"/>
  <sheetViews>
    <sheetView workbookViewId="0" topLeftCell="A16">
      <selection pane="topLeft" activeCell="A4" sqref="A4"/>
    </sheetView>
  </sheetViews>
  <sheetFormatPr defaultColWidth="13.3642857142857" defaultRowHeight="12.75"/>
  <cols>
    <col min="1" max="1" width="11" style="2" customWidth="1"/>
    <col min="2" max="2" width="13.8571428571429" customWidth="1"/>
    <col min="3" max="3" width="22.8571428571429" customWidth="1"/>
    <col min="4" max="4" width="26.8571428571429" customWidth="1"/>
    <col min="5" max="5" width="22.4285714285714" customWidth="1"/>
    <col min="6" max="6" width="26.5714285714286" customWidth="1"/>
    <col min="7" max="7" width="3.14285714285714" customWidth="1"/>
    <col min="8" max="8" width="21" bestFit="1" customWidth="1"/>
  </cols>
  <sheetData>
    <row r="1" spans="1:5" s="295" customFormat="1" ht="13">
      <c r="A1" s="181" t="s">
        <v>530</v>
      </c>
      <c r="B1" s="181"/>
      <c r="C1" s="181"/>
      <c r="D1" s="181"/>
      <c r="E1" s="181"/>
    </row>
    <row r="2" spans="1:5" s="295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5" s="295" customFormat="1" ht="13">
      <c r="A3" s="181" t="s">
        <v>108</v>
      </c>
      <c r="B3" s="181"/>
      <c r="C3" s="181"/>
      <c r="D3" s="181"/>
      <c r="E3" s="181"/>
    </row>
    <row r="4" spans="1:5" s="295" customFormat="1" ht="13">
      <c r="A4" s="818" t="s">
        <v>928</v>
      </c>
      <c r="B4" s="181"/>
      <c r="C4" s="181"/>
      <c r="D4" s="181"/>
      <c r="E4" s="181"/>
    </row>
    <row r="5" spans="1:5" s="295" customFormat="1" ht="13">
      <c r="A5" s="181" t="s">
        <v>524</v>
      </c>
      <c r="B5" s="181"/>
      <c r="C5" s="181"/>
      <c r="D5" s="181"/>
      <c r="E5" s="181"/>
    </row>
    <row r="7" spans="3:13" ht="18.75" customHeight="1">
      <c r="C7" s="703" t="s">
        <v>501</v>
      </c>
      <c r="D7" s="704"/>
      <c r="E7" s="704"/>
      <c r="F7" s="704"/>
      <c r="G7" s="96"/>
      <c r="H7" s="96"/>
      <c r="I7" s="96"/>
      <c r="J7" s="96"/>
      <c r="K7" s="96"/>
      <c r="L7" s="96"/>
      <c r="M7" s="96"/>
    </row>
    <row r="8" spans="3:8" ht="13">
      <c r="C8" s="705" t="s">
        <v>138</v>
      </c>
      <c r="D8" s="706" t="s">
        <v>502</v>
      </c>
      <c r="E8" s="705" t="s">
        <v>138</v>
      </c>
      <c r="F8" s="705" t="s">
        <v>138</v>
      </c>
      <c r="G8" s="709"/>
      <c r="H8" s="710"/>
    </row>
    <row r="9" spans="1:8" ht="13">
      <c r="A9" s="57" t="s">
        <v>80</v>
      </c>
      <c r="B9" s="57" t="s">
        <v>76</v>
      </c>
      <c r="C9" s="707" t="s">
        <v>503</v>
      </c>
      <c r="D9" s="707" t="s">
        <v>504</v>
      </c>
      <c r="E9" s="707" t="s">
        <v>505</v>
      </c>
      <c r="F9" s="707" t="s">
        <v>465</v>
      </c>
      <c r="G9" s="711"/>
      <c r="H9" s="712" t="s">
        <v>208</v>
      </c>
    </row>
    <row r="10" spans="2:8" ht="12.5">
      <c r="B10" s="40" t="s">
        <v>55</v>
      </c>
      <c r="C10" s="52" t="s">
        <v>56</v>
      </c>
      <c r="D10" s="40" t="s">
        <v>62</v>
      </c>
      <c r="E10" s="40" t="s">
        <v>57</v>
      </c>
      <c r="F10" s="708" t="s">
        <v>525</v>
      </c>
      <c r="H10" s="708" t="s">
        <v>59</v>
      </c>
    </row>
    <row r="11" spans="2:6" ht="12.5">
      <c r="B11" s="40"/>
      <c r="C11" s="52"/>
      <c r="D11" s="40"/>
      <c r="E11" s="40"/>
      <c r="F11" s="40"/>
    </row>
    <row r="12" spans="1:8" ht="12.5">
      <c r="A12" s="2">
        <v>1</v>
      </c>
      <c r="B12" s="97">
        <v>44225</v>
      </c>
      <c r="C12" s="227">
        <v>33534062.449999999</v>
      </c>
      <c r="D12" s="227">
        <v>147159016.85999998</v>
      </c>
      <c r="E12" s="227">
        <v>32548900.43</v>
      </c>
      <c r="F12" s="227">
        <v>1005901.64</v>
      </c>
      <c r="H12" s="684">
        <f t="shared" si="0" ref="H12:H23">SUM(C12:G12)</f>
        <v>214247881.37999997</v>
      </c>
    </row>
    <row r="13" spans="1:8" ht="12.5">
      <c r="A13" s="2">
        <f>A12+1</f>
        <v>2</v>
      </c>
      <c r="B13" s="97">
        <v>44253</v>
      </c>
      <c r="C13" s="227">
        <v>15467718.560000001</v>
      </c>
      <c r="D13" s="227">
        <v>159314605.24000001</v>
      </c>
      <c r="E13" s="227">
        <v>17540638.640000001</v>
      </c>
      <c r="F13" s="227">
        <v>1823703.8399999999</v>
      </c>
      <c r="G13" s="99"/>
      <c r="H13" s="684">
        <f t="shared" si="0"/>
        <v>194146666.28</v>
      </c>
    </row>
    <row r="14" spans="1:8" ht="12.5">
      <c r="A14" s="2">
        <f t="shared" si="1" ref="A14:A29">A13+1</f>
        <v>3</v>
      </c>
      <c r="B14" s="97">
        <v>44286</v>
      </c>
      <c r="C14" s="227">
        <v>15144318.4</v>
      </c>
      <c r="D14" s="227">
        <v>150422885.34</v>
      </c>
      <c r="E14" s="227">
        <v>20304489.43</v>
      </c>
      <c r="F14" s="227">
        <v>20308636.610000003</v>
      </c>
      <c r="G14" s="99"/>
      <c r="H14" s="684">
        <f t="shared" si="0"/>
        <v>206180329.78000003</v>
      </c>
    </row>
    <row r="15" spans="1:8" ht="12.5">
      <c r="A15" s="2">
        <f t="shared" si="1"/>
        <v>4</v>
      </c>
      <c r="B15" s="97">
        <v>44316</v>
      </c>
      <c r="C15" s="227">
        <v>21115024.199999999</v>
      </c>
      <c r="D15" s="227">
        <v>141344692.5</v>
      </c>
      <c r="E15" s="227">
        <v>77786259</v>
      </c>
      <c r="F15" s="227">
        <v>3743430.8999999999</v>
      </c>
      <c r="G15" s="99"/>
      <c r="H15" s="684">
        <f t="shared" si="0"/>
        <v>243989406.59999999</v>
      </c>
    </row>
    <row r="16" spans="1:8" ht="12.5">
      <c r="A16" s="2">
        <f t="shared" si="1"/>
        <v>5</v>
      </c>
      <c r="B16" s="97">
        <v>44344</v>
      </c>
      <c r="C16" s="227">
        <v>17542556.830000002</v>
      </c>
      <c r="D16" s="227">
        <v>120461575.99</v>
      </c>
      <c r="E16" s="227">
        <v>10583652.65</v>
      </c>
      <c r="F16" s="227">
        <v>3217413.7399999998</v>
      </c>
      <c r="G16" s="99"/>
      <c r="H16" s="684">
        <f t="shared" si="0"/>
        <v>151805199.21000001</v>
      </c>
    </row>
    <row r="17" spans="1:8" ht="12.5">
      <c r="A17" s="2">
        <f t="shared" si="1"/>
        <v>6</v>
      </c>
      <c r="B17" s="97">
        <v>44377</v>
      </c>
      <c r="C17" s="227">
        <v>26779331.399999999</v>
      </c>
      <c r="D17" s="227">
        <v>116501376.60000001</v>
      </c>
      <c r="E17" s="227">
        <v>10774557.299999999</v>
      </c>
      <c r="F17" s="227">
        <v>2739378.5999999996</v>
      </c>
      <c r="G17" s="99"/>
      <c r="H17" s="684">
        <f t="shared" si="0"/>
        <v>156794643.90000001</v>
      </c>
    </row>
    <row r="18" spans="1:8" ht="12.5">
      <c r="A18" s="2">
        <f t="shared" si="1"/>
        <v>7</v>
      </c>
      <c r="B18" s="97">
        <v>44407</v>
      </c>
      <c r="C18" s="227">
        <v>20668950.849999998</v>
      </c>
      <c r="D18" s="227">
        <v>136167655</v>
      </c>
      <c r="E18" s="227">
        <v>21079339.699999999</v>
      </c>
      <c r="F18" s="227">
        <v>3268224.9100000001</v>
      </c>
      <c r="G18" s="99"/>
      <c r="H18" s="684">
        <f t="shared" si="0"/>
        <v>181184170.45999998</v>
      </c>
    </row>
    <row r="19" spans="1:8" ht="12.5">
      <c r="A19" s="2">
        <f t="shared" si="1"/>
        <v>8</v>
      </c>
      <c r="B19" s="97">
        <v>44439</v>
      </c>
      <c r="C19" s="227">
        <v>36098289.449999996</v>
      </c>
      <c r="D19" s="227">
        <v>162555799.56999999</v>
      </c>
      <c r="E19" s="227">
        <v>3977594.5</v>
      </c>
      <c r="F19" s="227">
        <v>3327274.9499999997</v>
      </c>
      <c r="G19" s="99"/>
      <c r="H19" s="684">
        <f t="shared" si="0"/>
        <v>205958958.46999997</v>
      </c>
    </row>
    <row r="20" spans="1:8" ht="12.5">
      <c r="A20" s="2">
        <f t="shared" si="1"/>
        <v>9</v>
      </c>
      <c r="B20" s="97">
        <v>44469</v>
      </c>
      <c r="C20" s="227">
        <v>53897691.299999997</v>
      </c>
      <c r="D20" s="227">
        <v>182500891.19999999</v>
      </c>
      <c r="E20" s="227">
        <v>17995667.399999999</v>
      </c>
      <c r="F20" s="227">
        <v>10136286.6</v>
      </c>
      <c r="G20" s="99"/>
      <c r="H20" s="684">
        <f t="shared" si="0"/>
        <v>264530536.5</v>
      </c>
    </row>
    <row r="21" spans="1:8" ht="12.5">
      <c r="A21" s="2">
        <f t="shared" si="1"/>
        <v>10</v>
      </c>
      <c r="B21" s="97">
        <v>44498</v>
      </c>
      <c r="C21" s="227">
        <v>39201224.529999994</v>
      </c>
      <c r="D21" s="227">
        <v>168554962.03999999</v>
      </c>
      <c r="E21" s="227">
        <v>12689525.430000002</v>
      </c>
      <c r="F21" s="227">
        <v>14456385.620000001</v>
      </c>
      <c r="G21" s="99"/>
      <c r="H21" s="684">
        <f t="shared" si="0"/>
        <v>234902097.62000001</v>
      </c>
    </row>
    <row r="22" spans="1:8" ht="12.5">
      <c r="A22" s="2">
        <f t="shared" si="1"/>
        <v>11</v>
      </c>
      <c r="B22" s="97">
        <v>44530</v>
      </c>
      <c r="C22" s="227">
        <v>14768017.199999999</v>
      </c>
      <c r="D22" s="227">
        <v>178260882.59999999</v>
      </c>
      <c r="E22" s="227">
        <v>14077177.199999999</v>
      </c>
      <c r="F22" s="227">
        <v>12958005</v>
      </c>
      <c r="G22" s="99"/>
      <c r="H22" s="684">
        <f t="shared" si="0"/>
        <v>220064081.99999997</v>
      </c>
    </row>
    <row r="23" spans="1:8" ht="12.5">
      <c r="A23" s="2">
        <f t="shared" si="1"/>
        <v>12</v>
      </c>
      <c r="B23" s="97">
        <v>44561</v>
      </c>
      <c r="C23" s="227">
        <v>27068780.879999999</v>
      </c>
      <c r="D23" s="227">
        <v>121144096.78999999</v>
      </c>
      <c r="E23" s="227">
        <v>640346895.56999993</v>
      </c>
      <c r="F23" s="227">
        <v>13354554.790000001</v>
      </c>
      <c r="G23" s="99"/>
      <c r="H23" s="815">
        <f t="shared" si="0"/>
        <v>801914328.02999985</v>
      </c>
    </row>
    <row r="24" spans="1:8" ht="12.5">
      <c r="A24" s="2">
        <f t="shared" si="1"/>
        <v>13</v>
      </c>
      <c r="C24" s="99"/>
      <c r="D24" s="99"/>
      <c r="E24" s="99"/>
      <c r="F24" s="713" t="s">
        <v>499</v>
      </c>
      <c r="G24" s="99"/>
      <c r="H24" s="684">
        <f>SUM(H12:H23)</f>
        <v>3075718300.23</v>
      </c>
    </row>
    <row r="25" spans="1:8" ht="12.5">
      <c r="A25" s="2">
        <f t="shared" si="1"/>
        <v>14</v>
      </c>
      <c r="C25" s="99"/>
      <c r="D25" s="99"/>
      <c r="E25" s="99"/>
      <c r="F25" s="98"/>
      <c r="G25" s="99"/>
      <c r="H25" s="100"/>
    </row>
    <row r="26" spans="1:8" s="1" customFormat="1" ht="13" thickBot="1">
      <c r="A26" s="2">
        <f t="shared" si="1"/>
        <v>15</v>
      </c>
      <c r="B26" s="674" t="s">
        <v>526</v>
      </c>
      <c r="D26" s="292">
        <v>365.25</v>
      </c>
      <c r="F26" s="715"/>
      <c r="H26" s="714">
        <f>ROUND(H24/365.25,0)</f>
        <v>8420858</v>
      </c>
    </row>
    <row r="27" spans="1:8" ht="13" thickTop="1">
      <c r="A27" s="2">
        <f t="shared" si="1"/>
        <v>16</v>
      </c>
      <c r="C27" s="99"/>
      <c r="D27" s="99"/>
      <c r="E27" s="99"/>
      <c r="G27" s="99"/>
      <c r="H27" s="100"/>
    </row>
    <row r="28" spans="1:8" ht="12.5">
      <c r="A28" s="2">
        <f t="shared" si="1"/>
        <v>17</v>
      </c>
      <c r="D28" s="99"/>
      <c r="E28" s="99"/>
      <c r="G28" s="99"/>
      <c r="H28" s="100"/>
    </row>
    <row r="29" spans="1:8" ht="12.5">
      <c r="A29" s="2">
        <f t="shared" si="1"/>
        <v>18</v>
      </c>
      <c r="B29" t="s">
        <v>256</v>
      </c>
      <c r="C29" s="293" t="s">
        <v>689</v>
      </c>
      <c r="G29" s="99"/>
      <c r="H29" s="100"/>
    </row>
    <row r="30" spans="7:8" ht="12.5">
      <c r="G30" s="99"/>
      <c r="H30" s="100"/>
    </row>
    <row r="31" spans="7:8" ht="12.5">
      <c r="G31" s="99"/>
      <c r="H31" s="100"/>
    </row>
    <row r="32" spans="7:8" ht="12.5">
      <c r="G32" s="99"/>
      <c r="H32" s="100"/>
    </row>
    <row r="33" spans="3:32" ht="12.5">
      <c r="C33" s="99"/>
      <c r="D33" s="99"/>
      <c r="E33" s="227"/>
      <c r="AA33" s="227"/>
      <c r="AB33" s="227"/>
      <c r="AC33" s="227"/>
      <c r="AD33" s="227"/>
      <c r="AE33" s="227"/>
      <c r="AF33" s="227"/>
    </row>
    <row r="34" spans="3:8" ht="12.5">
      <c r="C34" s="99"/>
      <c r="D34" s="99"/>
      <c r="E34" s="99"/>
      <c r="G34" s="99"/>
      <c r="H34" s="100"/>
    </row>
    <row r="35" spans="3:8" ht="12.5">
      <c r="C35" s="99"/>
      <c r="D35" s="99"/>
      <c r="E35" s="99"/>
      <c r="G35" s="99"/>
      <c r="H35" s="100"/>
    </row>
    <row r="36" spans="3:8" ht="12.5">
      <c r="C36" s="99"/>
      <c r="D36" s="99"/>
      <c r="E36" s="99"/>
      <c r="G36" s="99"/>
      <c r="H36" s="100"/>
    </row>
    <row r="37" spans="3:8" ht="12.5">
      <c r="C37" s="99"/>
      <c r="D37" s="99"/>
      <c r="E37" s="99"/>
      <c r="G37" s="99"/>
      <c r="H37" s="100"/>
    </row>
    <row r="38" spans="3:8" ht="12.5">
      <c r="C38" s="99"/>
      <c r="D38" s="99"/>
      <c r="E38" s="99"/>
      <c r="G38" s="99"/>
      <c r="H38" s="100"/>
    </row>
    <row r="39" spans="3:8" ht="12.5">
      <c r="C39" s="99"/>
      <c r="D39" s="99"/>
      <c r="E39" s="99"/>
      <c r="G39" s="99"/>
      <c r="H39" s="100"/>
    </row>
    <row r="40" spans="3:8" ht="12.5">
      <c r="C40" s="99"/>
      <c r="D40" s="99"/>
      <c r="E40" s="99"/>
      <c r="G40" s="99"/>
      <c r="H40" s="100"/>
    </row>
    <row r="41" spans="3:8" ht="12.5">
      <c r="C41" s="99"/>
      <c r="D41" s="99"/>
      <c r="E41" s="99"/>
      <c r="G41" s="99"/>
      <c r="H41" s="100"/>
    </row>
    <row r="42" spans="3:8" ht="12.5">
      <c r="C42" s="99"/>
      <c r="D42" s="99"/>
      <c r="E42" s="99"/>
      <c r="G42" s="99"/>
      <c r="H42" s="100"/>
    </row>
    <row r="43" spans="3:8" ht="12.5">
      <c r="C43" s="99"/>
      <c r="D43" s="99"/>
      <c r="E43" s="99"/>
      <c r="G43" s="99"/>
      <c r="H43" s="100"/>
    </row>
    <row r="44" spans="3:8" ht="12.5">
      <c r="C44" s="99"/>
      <c r="D44" s="99"/>
      <c r="E44" s="99"/>
      <c r="G44" s="99"/>
      <c r="H44" s="100"/>
    </row>
    <row r="45" spans="3:8" ht="12.5">
      <c r="C45" s="99"/>
      <c r="D45" s="99"/>
      <c r="E45" s="99"/>
      <c r="G45" s="99"/>
      <c r="H45" s="100"/>
    </row>
    <row r="46" spans="3:8" ht="12.5">
      <c r="C46" s="99"/>
      <c r="D46" s="99"/>
      <c r="E46" s="99"/>
      <c r="G46" s="99"/>
      <c r="H46" s="100"/>
    </row>
    <row r="47" spans="3:8" ht="12.5">
      <c r="C47" s="99"/>
      <c r="D47" s="99"/>
      <c r="E47" s="99"/>
      <c r="G47" s="99"/>
      <c r="H47" s="100"/>
    </row>
    <row r="48" spans="3:8" ht="12.5">
      <c r="C48" s="99"/>
      <c r="D48" s="99"/>
      <c r="E48" s="99"/>
      <c r="G48" s="99"/>
      <c r="H48" s="100"/>
    </row>
    <row r="49" spans="3:8" ht="12.5">
      <c r="C49" s="99"/>
      <c r="D49" s="99"/>
      <c r="E49" s="99"/>
      <c r="G49" s="99"/>
      <c r="H49" s="100"/>
    </row>
    <row r="50" spans="3:8" ht="12.5">
      <c r="C50" s="99"/>
      <c r="D50" s="99"/>
      <c r="E50" s="99"/>
      <c r="G50" s="99"/>
      <c r="H50" s="100"/>
    </row>
    <row r="51" spans="3:8" ht="12.5">
      <c r="C51" s="99"/>
      <c r="D51" s="99"/>
      <c r="E51" s="99"/>
      <c r="G51" s="99"/>
      <c r="H51" s="100"/>
    </row>
    <row r="52" spans="3:8" ht="12.5">
      <c r="C52" s="99"/>
      <c r="D52" s="99"/>
      <c r="E52" s="99"/>
      <c r="G52" s="99"/>
      <c r="H52" s="100"/>
    </row>
    <row r="53" spans="3:8" ht="12.5">
      <c r="C53" s="99"/>
      <c r="D53" s="99"/>
      <c r="E53" s="99"/>
      <c r="G53" s="99"/>
      <c r="H53" s="100"/>
    </row>
    <row r="54" spans="3:8" ht="12.5">
      <c r="C54" s="99"/>
      <c r="D54" s="99"/>
      <c r="E54" s="99"/>
      <c r="G54" s="99"/>
      <c r="H54" s="100"/>
    </row>
    <row r="55" spans="3:8" ht="12.5">
      <c r="C55" s="99"/>
      <c r="D55" s="99"/>
      <c r="E55" s="99"/>
      <c r="G55" s="99"/>
      <c r="H55" s="100"/>
    </row>
    <row r="56" spans="3:8" ht="12.5">
      <c r="C56" s="99"/>
      <c r="D56" s="99"/>
      <c r="E56" s="99"/>
      <c r="G56" s="99"/>
      <c r="H56" s="100"/>
    </row>
    <row r="57" spans="3:8" ht="12.5">
      <c r="C57" s="99"/>
      <c r="D57" s="99"/>
      <c r="E57" s="99"/>
      <c r="G57" s="99"/>
      <c r="H57" s="100"/>
    </row>
    <row r="58" spans="3:8" ht="12.5">
      <c r="C58" s="99"/>
      <c r="D58" s="99"/>
      <c r="E58" s="99"/>
      <c r="G58" s="99"/>
      <c r="H58" s="100"/>
    </row>
    <row r="59" spans="3:8" ht="12.5">
      <c r="C59" s="99"/>
      <c r="D59" s="99"/>
      <c r="E59" s="99"/>
      <c r="G59" s="99"/>
      <c r="H59" s="100"/>
    </row>
    <row r="60" spans="3:8" ht="12.5">
      <c r="C60" s="99"/>
      <c r="D60" s="99"/>
      <c r="E60" s="99"/>
      <c r="G60" s="99"/>
      <c r="H60" s="100"/>
    </row>
    <row r="61" spans="3:8" ht="12.5">
      <c r="C61" s="99"/>
      <c r="D61" s="99"/>
      <c r="E61" s="99"/>
      <c r="G61" s="99"/>
      <c r="H61" s="100"/>
    </row>
    <row r="62" spans="3:8" ht="12.5">
      <c r="C62" s="99"/>
      <c r="D62" s="99"/>
      <c r="E62" s="99"/>
      <c r="G62" s="99"/>
      <c r="H62" s="100"/>
    </row>
    <row r="63" spans="3:8" ht="12.5">
      <c r="C63" s="99"/>
      <c r="D63" s="99"/>
      <c r="E63" s="99"/>
      <c r="G63" s="99"/>
      <c r="H63" s="100"/>
    </row>
    <row r="64" spans="3:8" ht="12.5">
      <c r="C64" s="99"/>
      <c r="D64" s="99"/>
      <c r="E64" s="99"/>
      <c r="G64" s="99"/>
      <c r="H64" s="100"/>
    </row>
    <row r="65" spans="3:8" ht="12.5">
      <c r="C65" s="99"/>
      <c r="D65" s="99"/>
      <c r="E65" s="99"/>
      <c r="G65" s="99"/>
      <c r="H65" s="100"/>
    </row>
    <row r="66" spans="3:8" ht="12.5">
      <c r="C66" s="99"/>
      <c r="D66" s="99"/>
      <c r="E66" s="99"/>
      <c r="G66" s="99"/>
      <c r="H66" s="100"/>
    </row>
    <row r="67" spans="3:8" ht="12.5">
      <c r="C67" s="99"/>
      <c r="D67" s="99"/>
      <c r="E67" s="99"/>
      <c r="G67" s="99"/>
      <c r="H67" s="100"/>
    </row>
    <row r="68" spans="3:8" ht="12.5">
      <c r="C68" s="99"/>
      <c r="D68" s="99"/>
      <c r="E68" s="99"/>
      <c r="G68" s="99"/>
      <c r="H68" s="100"/>
    </row>
    <row r="69" spans="3:8" ht="12.5">
      <c r="C69" s="99"/>
      <c r="D69" s="99"/>
      <c r="E69" s="99"/>
      <c r="G69" s="99"/>
      <c r="H69" s="100"/>
    </row>
    <row r="70" spans="3:8" ht="12.5">
      <c r="C70" s="99"/>
      <c r="D70" s="99"/>
      <c r="E70" s="99"/>
      <c r="G70" s="99"/>
      <c r="H70" s="100"/>
    </row>
    <row r="71" spans="3:8" ht="12.5">
      <c r="C71" s="99"/>
      <c r="D71" s="99"/>
      <c r="E71" s="99"/>
      <c r="G71" s="99"/>
      <c r="H71" s="100"/>
    </row>
    <row r="72" spans="3:8" ht="12.5">
      <c r="C72" s="99"/>
      <c r="D72" s="99"/>
      <c r="E72" s="99"/>
      <c r="G72" s="99"/>
      <c r="H72" s="100"/>
    </row>
    <row r="73" spans="3:8" ht="12.5">
      <c r="C73" s="99"/>
      <c r="D73" s="99"/>
      <c r="E73" s="99"/>
      <c r="G73" s="99"/>
      <c r="H73" s="100"/>
    </row>
    <row r="74" spans="3:8" ht="12.5">
      <c r="C74" s="99"/>
      <c r="D74" s="99"/>
      <c r="E74" s="99"/>
      <c r="G74" s="99"/>
      <c r="H74" s="100"/>
    </row>
    <row r="75" spans="3:8" ht="12.5">
      <c r="C75" s="99"/>
      <c r="D75" s="99"/>
      <c r="E75" s="99"/>
      <c r="G75" s="99"/>
      <c r="H75" s="100"/>
    </row>
    <row r="76" spans="3:8" ht="12.5">
      <c r="C76" s="99"/>
      <c r="D76" s="99"/>
      <c r="E76" s="99"/>
      <c r="G76" s="99"/>
      <c r="H76" s="100"/>
    </row>
    <row r="77" spans="3:8" ht="12.5">
      <c r="C77" s="99"/>
      <c r="D77" s="99"/>
      <c r="E77" s="99"/>
      <c r="G77" s="99"/>
      <c r="H77" s="100"/>
    </row>
    <row r="78" spans="3:8" ht="12.5">
      <c r="C78" s="99"/>
      <c r="D78" s="99"/>
      <c r="E78" s="99"/>
      <c r="G78" s="99"/>
      <c r="H78" s="100"/>
    </row>
    <row r="79" spans="3:8" ht="12.5">
      <c r="C79" s="99"/>
      <c r="D79" s="99"/>
      <c r="E79" s="99"/>
      <c r="G79" s="99"/>
      <c r="H79" s="100"/>
    </row>
    <row r="80" spans="3:8" ht="12.5">
      <c r="C80" s="99"/>
      <c r="D80" s="99"/>
      <c r="E80" s="99"/>
      <c r="G80" s="99"/>
      <c r="H80" s="100"/>
    </row>
    <row r="81" spans="3:8" ht="12.5">
      <c r="C81" s="99"/>
      <c r="D81" s="99"/>
      <c r="E81" s="99"/>
      <c r="G81" s="99"/>
      <c r="H81" s="100"/>
    </row>
    <row r="82" spans="3:8" ht="12.5">
      <c r="C82" s="99"/>
      <c r="D82" s="99"/>
      <c r="E82" s="99"/>
      <c r="G82" s="99"/>
      <c r="H82" s="100"/>
    </row>
    <row r="83" spans="3:8" ht="12.5">
      <c r="C83" s="99"/>
      <c r="D83" s="99"/>
      <c r="E83" s="99"/>
      <c r="G83" s="99"/>
      <c r="H83" s="100"/>
    </row>
    <row r="84" spans="3:8" ht="12.5">
      <c r="C84" s="99"/>
      <c r="D84" s="99"/>
      <c r="E84" s="99"/>
      <c r="G84" s="99"/>
      <c r="H84" s="100"/>
    </row>
    <row r="85" spans="3:8" ht="12.5">
      <c r="C85" s="99"/>
      <c r="D85" s="99"/>
      <c r="E85" s="99"/>
      <c r="G85" s="99"/>
      <c r="H85" s="100"/>
    </row>
    <row r="86" spans="3:8" ht="12.5">
      <c r="C86" s="99"/>
      <c r="D86" s="99"/>
      <c r="E86" s="99"/>
      <c r="G86" s="99"/>
      <c r="H86" s="100"/>
    </row>
    <row r="87" spans="3:8" ht="12.5">
      <c r="C87" s="99"/>
      <c r="D87" s="99"/>
      <c r="E87" s="99"/>
      <c r="G87" s="99"/>
      <c r="H87" s="100"/>
    </row>
    <row r="88" spans="3:8" ht="12.5">
      <c r="C88" s="99"/>
      <c r="D88" s="99"/>
      <c r="E88" s="99"/>
      <c r="G88" s="99"/>
      <c r="H88" s="100"/>
    </row>
    <row r="89" spans="3:8" ht="12.5">
      <c r="C89" s="99"/>
      <c r="D89" s="99"/>
      <c r="E89" s="99"/>
      <c r="G89" s="99"/>
      <c r="H89" s="100"/>
    </row>
    <row r="90" spans="3:8" ht="12.5">
      <c r="C90" s="99"/>
      <c r="D90" s="99"/>
      <c r="E90" s="99"/>
      <c r="G90" s="99"/>
      <c r="H90" s="100"/>
    </row>
    <row r="91" spans="3:8" ht="12.5">
      <c r="C91" s="99"/>
      <c r="D91" s="99"/>
      <c r="E91" s="99"/>
      <c r="G91" s="99"/>
      <c r="H91" s="100"/>
    </row>
    <row r="92" spans="3:8" ht="12.5">
      <c r="C92" s="99"/>
      <c r="D92" s="99"/>
      <c r="E92" s="99"/>
      <c r="G92" s="99"/>
      <c r="H92" s="100"/>
    </row>
    <row r="93" spans="3:8" ht="12.5">
      <c r="C93" s="99"/>
      <c r="D93" s="99"/>
      <c r="E93" s="99"/>
      <c r="G93" s="99"/>
      <c r="H93" s="100"/>
    </row>
    <row r="94" spans="3:8" ht="12.5">
      <c r="C94" s="99"/>
      <c r="D94" s="99"/>
      <c r="E94" s="99"/>
      <c r="G94" s="99"/>
      <c r="H94" s="100"/>
    </row>
    <row r="95" spans="3:8" ht="12.5">
      <c r="C95" s="99"/>
      <c r="D95" s="99"/>
      <c r="E95" s="99"/>
      <c r="G95" s="99"/>
      <c r="H95" s="100"/>
    </row>
    <row r="96" spans="3:8" ht="12.5">
      <c r="C96" s="99"/>
      <c r="D96" s="99"/>
      <c r="E96" s="99"/>
      <c r="G96" s="99"/>
      <c r="H96" s="100"/>
    </row>
    <row r="97" spans="3:8" ht="12.5">
      <c r="C97" s="99"/>
      <c r="D97" s="99"/>
      <c r="E97" s="99"/>
      <c r="G97" s="99"/>
      <c r="H97" s="100"/>
    </row>
    <row r="98" spans="3:8" ht="12.5">
      <c r="C98" s="99"/>
      <c r="D98" s="99"/>
      <c r="E98" s="99"/>
      <c r="G98" s="99"/>
      <c r="H98" s="100"/>
    </row>
    <row r="99" spans="3:8" ht="12.5">
      <c r="C99" s="99"/>
      <c r="D99" s="99"/>
      <c r="E99" s="99"/>
      <c r="G99" s="99"/>
      <c r="H99" s="100"/>
    </row>
    <row r="100" spans="3:8" ht="12.5">
      <c r="C100" s="99"/>
      <c r="D100" s="99"/>
      <c r="E100" s="99"/>
      <c r="G100" s="99"/>
      <c r="H100" s="100"/>
    </row>
    <row r="101" spans="3:8" ht="12.5">
      <c r="C101" s="99"/>
      <c r="D101" s="99"/>
      <c r="E101" s="99"/>
      <c r="G101" s="99"/>
      <c r="H101" s="100"/>
    </row>
    <row r="102" spans="3:8" ht="12.5">
      <c r="C102" s="99"/>
      <c r="D102" s="99"/>
      <c r="E102" s="99"/>
      <c r="G102" s="99"/>
      <c r="H102" s="100"/>
    </row>
    <row r="103" spans="3:8" ht="12.5">
      <c r="C103" s="99"/>
      <c r="D103" s="99"/>
      <c r="E103" s="99"/>
      <c r="G103" s="99"/>
      <c r="H103" s="100"/>
    </row>
    <row r="104" spans="3:8" ht="12.5">
      <c r="C104" s="99"/>
      <c r="D104" s="99"/>
      <c r="E104" s="99"/>
      <c r="G104" s="99"/>
      <c r="H104" s="100"/>
    </row>
    <row r="105" spans="3:8" ht="12.5">
      <c r="C105" s="99"/>
      <c r="D105" s="99"/>
      <c r="E105" s="99"/>
      <c r="G105" s="99"/>
      <c r="H105" s="100"/>
    </row>
    <row r="106" spans="3:8" ht="12.5">
      <c r="C106" s="99"/>
      <c r="D106" s="99"/>
      <c r="E106" s="99"/>
      <c r="G106" s="99"/>
      <c r="H106" s="100"/>
    </row>
    <row r="107" spans="3:8" ht="12.5">
      <c r="C107" s="99"/>
      <c r="D107" s="99"/>
      <c r="E107" s="99"/>
      <c r="G107" s="99"/>
      <c r="H107" s="100"/>
    </row>
    <row r="108" spans="3:8" ht="12.5">
      <c r="C108" s="99"/>
      <c r="D108" s="99"/>
      <c r="E108" s="99"/>
      <c r="G108" s="99"/>
      <c r="H108" s="100"/>
    </row>
    <row r="109" spans="3:8" ht="12.5">
      <c r="C109" s="99"/>
      <c r="D109" s="99"/>
      <c r="E109" s="99"/>
      <c r="G109" s="99"/>
      <c r="H109" s="100"/>
    </row>
    <row r="110" spans="3:8" ht="12.5">
      <c r="C110" s="99"/>
      <c r="D110" s="99"/>
      <c r="E110" s="99"/>
      <c r="G110" s="99"/>
      <c r="H110" s="100"/>
    </row>
    <row r="111" spans="3:8" ht="12.5">
      <c r="C111" s="99"/>
      <c r="D111" s="99"/>
      <c r="E111" s="99"/>
      <c r="G111" s="99"/>
      <c r="H111" s="100"/>
    </row>
    <row r="112" spans="3:8" ht="12.5">
      <c r="C112" s="99"/>
      <c r="D112" s="99"/>
      <c r="E112" s="99"/>
      <c r="G112" s="99"/>
      <c r="H112" s="100"/>
    </row>
    <row r="113" spans="3:8" ht="12.5">
      <c r="C113" s="99"/>
      <c r="D113" s="99"/>
      <c r="E113" s="99"/>
      <c r="G113" s="99"/>
      <c r="H113" s="100"/>
    </row>
    <row r="114" spans="3:8" ht="12.5">
      <c r="C114" s="99"/>
      <c r="D114" s="99"/>
      <c r="E114" s="99"/>
      <c r="G114" s="99"/>
      <c r="H114" s="100"/>
    </row>
    <row r="115" spans="3:8" ht="12.5">
      <c r="C115" s="99"/>
      <c r="D115" s="99"/>
      <c r="E115" s="99"/>
      <c r="G115" s="99"/>
      <c r="H115" s="100"/>
    </row>
    <row r="116" spans="3:8" ht="12.5">
      <c r="C116" s="99"/>
      <c r="D116" s="99"/>
      <c r="E116" s="99"/>
      <c r="G116" s="99"/>
      <c r="H116" s="100"/>
    </row>
    <row r="117" spans="3:8" ht="12.5">
      <c r="C117" s="99"/>
      <c r="D117" s="99"/>
      <c r="E117" s="99"/>
      <c r="G117" s="99"/>
      <c r="H117" s="100"/>
    </row>
    <row r="118" spans="3:8" ht="12.5">
      <c r="C118" s="99"/>
      <c r="D118" s="99"/>
      <c r="E118" s="99"/>
      <c r="G118" s="99"/>
      <c r="H118" s="100"/>
    </row>
    <row r="119" spans="3:8" ht="12.5">
      <c r="C119" s="99"/>
      <c r="D119" s="99"/>
      <c r="E119" s="99"/>
      <c r="G119" s="99"/>
      <c r="H119" s="100"/>
    </row>
    <row r="120" spans="3:8" ht="12.5">
      <c r="C120" s="99"/>
      <c r="D120" s="99"/>
      <c r="E120" s="99"/>
      <c r="G120" s="99"/>
      <c r="H120" s="100"/>
    </row>
    <row r="121" spans="3:8" ht="12.5">
      <c r="C121" s="99"/>
      <c r="D121" s="99"/>
      <c r="E121" s="99"/>
      <c r="G121" s="99"/>
      <c r="H121" s="100"/>
    </row>
    <row r="122" spans="3:8" ht="12.5">
      <c r="C122" s="99"/>
      <c r="D122" s="99"/>
      <c r="E122" s="99"/>
      <c r="G122" s="99"/>
      <c r="H122" s="100"/>
    </row>
    <row r="123" spans="3:8" ht="12.5">
      <c r="C123" s="99"/>
      <c r="D123" s="99"/>
      <c r="E123" s="99"/>
      <c r="G123" s="99"/>
      <c r="H123" s="100"/>
    </row>
    <row r="124" spans="3:8" ht="12.5">
      <c r="C124" s="99"/>
      <c r="D124" s="99"/>
      <c r="E124" s="99"/>
      <c r="G124" s="99"/>
      <c r="H124" s="100"/>
    </row>
    <row r="125" spans="3:8" ht="12.5">
      <c r="C125" s="99"/>
      <c r="D125" s="99"/>
      <c r="E125" s="99"/>
      <c r="G125" s="99"/>
      <c r="H125" s="100"/>
    </row>
    <row r="126" spans="3:8" ht="12.5">
      <c r="C126" s="99"/>
      <c r="D126" s="99"/>
      <c r="E126" s="99"/>
      <c r="G126" s="99"/>
      <c r="H126" s="100"/>
    </row>
    <row r="127" spans="3:8" ht="12.5">
      <c r="C127" s="99"/>
      <c r="D127" s="99"/>
      <c r="E127" s="99"/>
      <c r="G127" s="99"/>
      <c r="H127" s="100"/>
    </row>
    <row r="128" spans="3:8" ht="12.5">
      <c r="C128" s="99"/>
      <c r="D128" s="99"/>
      <c r="E128" s="99"/>
      <c r="G128" s="99"/>
      <c r="H128" s="100"/>
    </row>
    <row r="129" spans="3:8" ht="12.5">
      <c r="C129" s="99"/>
      <c r="D129" s="99"/>
      <c r="E129" s="99"/>
      <c r="G129" s="99"/>
      <c r="H129" s="100"/>
    </row>
    <row r="130" spans="3:8" ht="12.5">
      <c r="C130" s="99"/>
      <c r="D130" s="99"/>
      <c r="E130" s="99"/>
      <c r="G130" s="99"/>
      <c r="H130" s="100"/>
    </row>
    <row r="131" spans="3:8" ht="12.5">
      <c r="C131" s="99"/>
      <c r="D131" s="99"/>
      <c r="E131" s="99"/>
      <c r="G131" s="99"/>
      <c r="H131" s="100"/>
    </row>
    <row r="132" spans="3:8" ht="12.5">
      <c r="C132" s="99"/>
      <c r="D132" s="99"/>
      <c r="E132" s="99"/>
      <c r="G132" s="99"/>
      <c r="H132" s="100"/>
    </row>
    <row r="133" spans="3:8" ht="12.5">
      <c r="C133" s="99"/>
      <c r="D133" s="99"/>
      <c r="E133" s="99"/>
      <c r="G133" s="99"/>
      <c r="H133" s="100"/>
    </row>
    <row r="134" spans="3:8" ht="12.5">
      <c r="C134" s="99"/>
      <c r="D134" s="99"/>
      <c r="E134" s="99"/>
      <c r="G134" s="99"/>
      <c r="H134" s="100"/>
    </row>
    <row r="135" spans="3:8" ht="12.5">
      <c r="C135" s="99"/>
      <c r="D135" s="99"/>
      <c r="E135" s="99"/>
      <c r="G135" s="99"/>
      <c r="H135" s="100"/>
    </row>
    <row r="136" spans="3:8" ht="12.5">
      <c r="C136" s="99"/>
      <c r="D136" s="99"/>
      <c r="E136" s="99"/>
      <c r="G136" s="99"/>
      <c r="H136" s="100"/>
    </row>
    <row r="137" spans="3:8" ht="12.5">
      <c r="C137" s="99"/>
      <c r="D137" s="99"/>
      <c r="E137" s="99"/>
      <c r="G137" s="99"/>
      <c r="H137" s="100"/>
    </row>
    <row r="138" spans="3:8" ht="12.5">
      <c r="C138" s="99"/>
      <c r="D138" s="99"/>
      <c r="E138" s="99"/>
      <c r="G138" s="99"/>
      <c r="H138" s="100"/>
    </row>
    <row r="139" spans="3:8" ht="12.5">
      <c r="C139" s="99"/>
      <c r="D139" s="99"/>
      <c r="E139" s="99"/>
      <c r="G139" s="99"/>
      <c r="H139" s="100"/>
    </row>
    <row r="140" spans="3:8" ht="12.5">
      <c r="C140" s="99"/>
      <c r="D140" s="99"/>
      <c r="E140" s="99"/>
      <c r="G140" s="99"/>
      <c r="H140" s="100"/>
    </row>
    <row r="141" spans="3:8" ht="12.5">
      <c r="C141" s="99"/>
      <c r="D141" s="99"/>
      <c r="E141" s="99"/>
      <c r="G141" s="99"/>
      <c r="H141" s="100"/>
    </row>
    <row r="142" spans="3:8" ht="12.5">
      <c r="C142" s="99"/>
      <c r="D142" s="99"/>
      <c r="E142" s="99"/>
      <c r="G142" s="99"/>
      <c r="H142" s="100"/>
    </row>
    <row r="143" spans="3:8" ht="12.5">
      <c r="C143" s="99"/>
      <c r="D143" s="99"/>
      <c r="E143" s="99"/>
      <c r="G143" s="99"/>
      <c r="H143" s="100"/>
    </row>
    <row r="144" spans="3:8" ht="12.5">
      <c r="C144" s="99"/>
      <c r="D144" s="99"/>
      <c r="E144" s="99"/>
      <c r="G144" s="99"/>
      <c r="H144" s="100"/>
    </row>
    <row r="145" spans="3:8" ht="12.5">
      <c r="C145" s="99"/>
      <c r="D145" s="99"/>
      <c r="E145" s="99"/>
      <c r="G145" s="99"/>
      <c r="H145" s="100"/>
    </row>
    <row r="146" spans="3:8" ht="12.5">
      <c r="C146" s="99"/>
      <c r="D146" s="99"/>
      <c r="E146" s="99"/>
      <c r="G146" s="99"/>
      <c r="H146" s="100"/>
    </row>
    <row r="147" spans="3:8" ht="12.5">
      <c r="C147" s="99"/>
      <c r="D147" s="99"/>
      <c r="E147" s="99"/>
      <c r="G147" s="99"/>
      <c r="H147" s="100"/>
    </row>
    <row r="148" spans="3:8" ht="12.5">
      <c r="C148" s="99"/>
      <c r="D148" s="99"/>
      <c r="E148" s="99"/>
      <c r="G148" s="99"/>
      <c r="H148" s="100"/>
    </row>
    <row r="149" spans="3:8" ht="12.5">
      <c r="C149" s="99"/>
      <c r="D149" s="99"/>
      <c r="E149" s="99"/>
      <c r="G149" s="99"/>
      <c r="H149" s="100"/>
    </row>
    <row r="150" spans="3:8" ht="12.5">
      <c r="C150" s="99"/>
      <c r="D150" s="99"/>
      <c r="E150" s="99"/>
      <c r="G150" s="99"/>
      <c r="H150" s="100"/>
    </row>
    <row r="151" spans="3:8" ht="12.5">
      <c r="C151" s="99"/>
      <c r="D151" s="99"/>
      <c r="E151" s="99"/>
      <c r="G151" s="99"/>
      <c r="H151" s="100"/>
    </row>
    <row r="152" spans="3:8" ht="12.5">
      <c r="C152" s="99"/>
      <c r="D152" s="99"/>
      <c r="E152" s="99"/>
      <c r="G152" s="99"/>
      <c r="H152" s="100"/>
    </row>
    <row r="153" spans="3:8" ht="12.5">
      <c r="C153" s="99"/>
      <c r="D153" s="99"/>
      <c r="E153" s="99"/>
      <c r="G153" s="99"/>
      <c r="H153" s="100"/>
    </row>
    <row r="154" spans="3:8" ht="12.5">
      <c r="C154" s="99"/>
      <c r="D154" s="99"/>
      <c r="E154" s="99"/>
      <c r="G154" s="99"/>
      <c r="H154" s="100"/>
    </row>
    <row r="155" spans="3:8" ht="12.5">
      <c r="C155" s="99"/>
      <c r="D155" s="99"/>
      <c r="E155" s="99"/>
      <c r="G155" s="99"/>
      <c r="H155" s="100"/>
    </row>
    <row r="156" spans="3:8" ht="12.5">
      <c r="C156" s="99"/>
      <c r="D156" s="99"/>
      <c r="E156" s="99"/>
      <c r="G156" s="99"/>
      <c r="H156" s="100"/>
    </row>
    <row r="157" spans="3:8" ht="12.5">
      <c r="C157" s="99"/>
      <c r="D157" s="99"/>
      <c r="E157" s="99"/>
      <c r="G157" s="99"/>
      <c r="H157" s="100"/>
    </row>
    <row r="158" spans="3:8" ht="12.5">
      <c r="C158" s="99"/>
      <c r="D158" s="99"/>
      <c r="E158" s="99"/>
      <c r="G158" s="99"/>
      <c r="H158" s="100"/>
    </row>
    <row r="159" spans="3:8" ht="12.5">
      <c r="C159" s="99"/>
      <c r="D159" s="99"/>
      <c r="E159" s="99"/>
      <c r="G159" s="99"/>
      <c r="H159" s="100"/>
    </row>
    <row r="160" spans="3:8" ht="12.5">
      <c r="C160" s="99"/>
      <c r="D160" s="99"/>
      <c r="E160" s="99"/>
      <c r="G160" s="99"/>
      <c r="H160" s="100"/>
    </row>
    <row r="161" spans="3:8" ht="12.5">
      <c r="C161" s="99"/>
      <c r="D161" s="99"/>
      <c r="E161" s="99"/>
      <c r="G161" s="99"/>
      <c r="H161" s="100"/>
    </row>
    <row r="162" spans="3:8" ht="12.5">
      <c r="C162" s="99"/>
      <c r="D162" s="99"/>
      <c r="E162" s="99"/>
      <c r="G162" s="99"/>
      <c r="H162" s="100"/>
    </row>
    <row r="163" spans="3:8" ht="12.5">
      <c r="C163" s="99"/>
      <c r="D163" s="99"/>
      <c r="E163" s="99"/>
      <c r="G163" s="99"/>
      <c r="H163" s="100"/>
    </row>
    <row r="164" spans="3:8" ht="12.5">
      <c r="C164" s="99"/>
      <c r="D164" s="99"/>
      <c r="E164" s="99"/>
      <c r="G164" s="99"/>
      <c r="H164" s="100"/>
    </row>
    <row r="165" spans="3:8" ht="12.5">
      <c r="C165" s="99"/>
      <c r="D165" s="99"/>
      <c r="E165" s="99"/>
      <c r="G165" s="99"/>
      <c r="H165" s="100"/>
    </row>
    <row r="166" spans="3:8" ht="12.5">
      <c r="C166" s="99"/>
      <c r="D166" s="99"/>
      <c r="E166" s="99"/>
      <c r="G166" s="99"/>
      <c r="H166" s="100"/>
    </row>
    <row r="167" spans="3:8" ht="12.5">
      <c r="C167" s="99"/>
      <c r="D167" s="99"/>
      <c r="E167" s="99"/>
      <c r="G167" s="99"/>
      <c r="H167" s="100"/>
    </row>
    <row r="168" spans="3:8" ht="12.5">
      <c r="C168" s="99"/>
      <c r="D168" s="99"/>
      <c r="E168" s="99"/>
      <c r="G168" s="99"/>
      <c r="H168" s="100"/>
    </row>
    <row r="169" spans="3:8" ht="12.5">
      <c r="C169" s="99"/>
      <c r="D169" s="99"/>
      <c r="E169" s="99"/>
      <c r="G169" s="99"/>
      <c r="H169" s="100"/>
    </row>
    <row r="170" spans="3:8" ht="12.5">
      <c r="C170" s="99"/>
      <c r="D170" s="99"/>
      <c r="E170" s="99"/>
      <c r="G170" s="99"/>
      <c r="H170" s="100"/>
    </row>
    <row r="171" spans="3:8" ht="12.5">
      <c r="C171" s="99"/>
      <c r="D171" s="99"/>
      <c r="E171" s="99"/>
      <c r="G171" s="99"/>
      <c r="H171" s="100"/>
    </row>
    <row r="172" spans="3:8" ht="12.5">
      <c r="C172" s="99"/>
      <c r="D172" s="99"/>
      <c r="E172" s="99"/>
      <c r="G172" s="99"/>
      <c r="H172" s="100"/>
    </row>
    <row r="173" spans="3:8" ht="12.5">
      <c r="C173" s="99"/>
      <c r="D173" s="99"/>
      <c r="E173" s="99"/>
      <c r="G173" s="99"/>
      <c r="H173" s="100"/>
    </row>
    <row r="174" spans="3:8" ht="12.5">
      <c r="C174" s="99"/>
      <c r="D174" s="99"/>
      <c r="E174" s="99"/>
      <c r="G174" s="99"/>
      <c r="H174" s="100"/>
    </row>
    <row r="175" spans="3:8" ht="12.5">
      <c r="C175" s="99"/>
      <c r="D175" s="99"/>
      <c r="E175" s="99"/>
      <c r="G175" s="99"/>
      <c r="H175" s="100"/>
    </row>
    <row r="176" spans="3:8" ht="12.5">
      <c r="C176" s="99"/>
      <c r="D176" s="99"/>
      <c r="E176" s="99"/>
      <c r="G176" s="99"/>
      <c r="H176" s="100"/>
    </row>
    <row r="177" spans="3:8" ht="12.5">
      <c r="C177" s="99"/>
      <c r="D177" s="99"/>
      <c r="E177" s="99"/>
      <c r="G177" s="99"/>
      <c r="H177" s="100"/>
    </row>
    <row r="178" spans="3:8" ht="12.5">
      <c r="C178" s="99"/>
      <c r="D178" s="99"/>
      <c r="E178" s="99"/>
      <c r="G178" s="99"/>
      <c r="H178" s="100"/>
    </row>
    <row r="179" spans="3:8" ht="12.5">
      <c r="C179" s="99"/>
      <c r="D179" s="99"/>
      <c r="E179" s="99"/>
      <c r="G179" s="99"/>
      <c r="H179" s="100"/>
    </row>
    <row r="180" spans="3:8" ht="12.5">
      <c r="C180" s="99"/>
      <c r="D180" s="99"/>
      <c r="E180" s="99"/>
      <c r="G180" s="99"/>
      <c r="H180" s="100"/>
    </row>
    <row r="181" spans="3:8" ht="12.5">
      <c r="C181" s="99"/>
      <c r="D181" s="99"/>
      <c r="E181" s="99"/>
      <c r="G181" s="99"/>
      <c r="H181" s="100"/>
    </row>
    <row r="182" spans="3:8" ht="12.5">
      <c r="C182" s="99"/>
      <c r="D182" s="99"/>
      <c r="E182" s="99"/>
      <c r="G182" s="99"/>
      <c r="H182" s="100"/>
    </row>
    <row r="183" spans="3:8" ht="12.5">
      <c r="C183" s="99"/>
      <c r="D183" s="99"/>
      <c r="E183" s="99"/>
      <c r="G183" s="99"/>
      <c r="H183" s="100"/>
    </row>
    <row r="184" spans="3:8" ht="12.5">
      <c r="C184" s="99"/>
      <c r="D184" s="99"/>
      <c r="E184" s="99"/>
      <c r="G184" s="99"/>
      <c r="H184" s="100"/>
    </row>
    <row r="185" spans="3:8" ht="12.5">
      <c r="C185" s="99"/>
      <c r="D185" s="99"/>
      <c r="E185" s="99"/>
      <c r="G185" s="99"/>
      <c r="H185" s="100"/>
    </row>
    <row r="186" spans="3:8" ht="12.5">
      <c r="C186" s="99"/>
      <c r="D186" s="99"/>
      <c r="E186" s="99"/>
      <c r="G186" s="99"/>
      <c r="H186" s="100"/>
    </row>
    <row r="187" spans="3:8" ht="12.5">
      <c r="C187" s="99"/>
      <c r="D187" s="99"/>
      <c r="E187" s="99"/>
      <c r="G187" s="99"/>
      <c r="H187" s="100"/>
    </row>
    <row r="188" spans="3:8" ht="12.5">
      <c r="C188" s="99"/>
      <c r="D188" s="99"/>
      <c r="E188" s="99"/>
      <c r="G188" s="99"/>
      <c r="H188" s="100"/>
    </row>
    <row r="189" spans="3:8" ht="12.5">
      <c r="C189" s="99"/>
      <c r="D189" s="99"/>
      <c r="E189" s="99"/>
      <c r="G189" s="99"/>
      <c r="H189" s="100"/>
    </row>
    <row r="190" spans="3:8" ht="12.5">
      <c r="C190" s="99"/>
      <c r="D190" s="99"/>
      <c r="E190" s="99"/>
      <c r="G190" s="99"/>
      <c r="H190" s="100"/>
    </row>
    <row r="191" spans="3:8" ht="12.5">
      <c r="C191" s="99"/>
      <c r="D191" s="99"/>
      <c r="E191" s="99"/>
      <c r="G191" s="99"/>
      <c r="H191" s="100"/>
    </row>
    <row r="192" spans="3:8" ht="12.5">
      <c r="C192" s="99"/>
      <c r="D192" s="99"/>
      <c r="E192" s="99"/>
      <c r="G192" s="99"/>
      <c r="H192" s="100"/>
    </row>
    <row r="193" spans="3:8" ht="12.5">
      <c r="C193" s="99"/>
      <c r="D193" s="99"/>
      <c r="E193" s="99"/>
      <c r="G193" s="99"/>
      <c r="H193" s="100"/>
    </row>
    <row r="194" spans="3:8" ht="12.5">
      <c r="C194" s="99"/>
      <c r="D194" s="99"/>
      <c r="E194" s="99"/>
      <c r="G194" s="99"/>
      <c r="H194" s="100"/>
    </row>
    <row r="195" spans="3:8" ht="12.5">
      <c r="C195" s="99"/>
      <c r="D195" s="99"/>
      <c r="E195" s="99"/>
      <c r="G195" s="99"/>
      <c r="H195" s="100"/>
    </row>
    <row r="196" spans="3:8" ht="12.5">
      <c r="C196" s="99"/>
      <c r="D196" s="99"/>
      <c r="E196" s="99"/>
      <c r="G196" s="99"/>
      <c r="H196" s="100"/>
    </row>
    <row r="197" spans="3:8" ht="12.5">
      <c r="C197" s="99"/>
      <c r="D197" s="99"/>
      <c r="E197" s="99"/>
      <c r="G197" s="99"/>
      <c r="H197" s="100"/>
    </row>
    <row r="198" spans="3:8" ht="12.5">
      <c r="C198" s="99"/>
      <c r="D198" s="99"/>
      <c r="E198" s="99"/>
      <c r="G198" s="99"/>
      <c r="H198" s="100"/>
    </row>
    <row r="199" spans="3:8" ht="12.5">
      <c r="C199" s="99"/>
      <c r="D199" s="99"/>
      <c r="E199" s="99"/>
      <c r="G199" s="99"/>
      <c r="H199" s="100"/>
    </row>
    <row r="200" spans="3:8" ht="12.5">
      <c r="C200" s="99"/>
      <c r="D200" s="99"/>
      <c r="E200" s="99"/>
      <c r="G200" s="99"/>
      <c r="H200" s="100"/>
    </row>
    <row r="201" spans="3:8" ht="12.5">
      <c r="C201" s="99"/>
      <c r="D201" s="99"/>
      <c r="E201" s="99"/>
      <c r="G201" s="99"/>
      <c r="H201" s="100"/>
    </row>
    <row r="202" spans="3:8" ht="12.5">
      <c r="C202" s="99"/>
      <c r="D202" s="99"/>
      <c r="E202" s="99"/>
      <c r="G202" s="99"/>
      <c r="H202" s="100"/>
    </row>
    <row r="203" spans="3:8" ht="12.5">
      <c r="C203" s="99"/>
      <c r="D203" s="99"/>
      <c r="E203" s="99"/>
      <c r="G203" s="99"/>
      <c r="H203" s="100"/>
    </row>
    <row r="204" spans="3:8" ht="12.5">
      <c r="C204" s="99"/>
      <c r="D204" s="99"/>
      <c r="E204" s="99"/>
      <c r="G204" s="99"/>
      <c r="H204" s="100"/>
    </row>
    <row r="205" spans="3:8" ht="12.5">
      <c r="C205" s="99"/>
      <c r="D205" s="99"/>
      <c r="E205" s="99"/>
      <c r="G205" s="99"/>
      <c r="H205" s="100"/>
    </row>
    <row r="206" spans="3:8" ht="12.5">
      <c r="C206" s="99"/>
      <c r="D206" s="99"/>
      <c r="E206" s="99"/>
      <c r="G206" s="99"/>
      <c r="H206" s="100"/>
    </row>
    <row r="207" spans="3:8" ht="12.5">
      <c r="C207" s="99"/>
      <c r="D207" s="99"/>
      <c r="E207" s="99"/>
      <c r="G207" s="99"/>
      <c r="H207" s="100"/>
    </row>
    <row r="208" spans="3:8" ht="12.5">
      <c r="C208" s="99"/>
      <c r="D208" s="99"/>
      <c r="E208" s="99"/>
      <c r="G208" s="99"/>
      <c r="H208" s="100"/>
    </row>
    <row r="209" spans="3:8" ht="12.5">
      <c r="C209" s="99"/>
      <c r="D209" s="99"/>
      <c r="E209" s="99"/>
      <c r="G209" s="99"/>
      <c r="H209" s="100"/>
    </row>
    <row r="210" spans="3:8" ht="12.5">
      <c r="C210" s="99"/>
      <c r="D210" s="99"/>
      <c r="E210" s="99"/>
      <c r="G210" s="99"/>
      <c r="H210" s="100"/>
    </row>
    <row r="211" spans="3:8" ht="12.5">
      <c r="C211" s="99"/>
      <c r="D211" s="99"/>
      <c r="E211" s="99"/>
      <c r="G211" s="99"/>
      <c r="H211" s="100"/>
    </row>
    <row r="212" spans="3:8" ht="12.5">
      <c r="C212" s="99"/>
      <c r="D212" s="99"/>
      <c r="E212" s="99"/>
      <c r="G212" s="99"/>
      <c r="H212" s="100"/>
    </row>
    <row r="213" spans="3:8" ht="12.5">
      <c r="C213" s="99"/>
      <c r="D213" s="99"/>
      <c r="E213" s="99"/>
      <c r="G213" s="99"/>
      <c r="H213" s="100"/>
    </row>
    <row r="214" spans="3:8" ht="12.5">
      <c r="C214" s="99"/>
      <c r="D214" s="99"/>
      <c r="E214" s="99"/>
      <c r="G214" s="99"/>
      <c r="H214" s="100"/>
    </row>
    <row r="215" spans="3:8" ht="12.5">
      <c r="C215" s="99"/>
      <c r="D215" s="99"/>
      <c r="E215" s="99"/>
      <c r="G215" s="99"/>
      <c r="H215" s="100"/>
    </row>
    <row r="216" spans="3:8" ht="12.5">
      <c r="C216" s="99"/>
      <c r="D216" s="99"/>
      <c r="E216" s="99"/>
      <c r="G216" s="99"/>
      <c r="H216" s="100"/>
    </row>
    <row r="217" spans="3:8" ht="12.5">
      <c r="C217" s="99"/>
      <c r="D217" s="99"/>
      <c r="E217" s="99"/>
      <c r="G217" s="99"/>
      <c r="H217" s="100"/>
    </row>
    <row r="218" spans="3:8" ht="12.5">
      <c r="C218" s="99"/>
      <c r="D218" s="99"/>
      <c r="E218" s="99"/>
      <c r="G218" s="99"/>
      <c r="H218" s="100"/>
    </row>
    <row r="219" spans="3:8" ht="12.5">
      <c r="C219" s="99"/>
      <c r="D219" s="99"/>
      <c r="E219" s="99"/>
      <c r="G219" s="99"/>
      <c r="H219" s="100"/>
    </row>
    <row r="220" spans="3:8" ht="12.5">
      <c r="C220" s="99"/>
      <c r="D220" s="99"/>
      <c r="E220" s="99"/>
      <c r="G220" s="99"/>
      <c r="H220" s="100"/>
    </row>
    <row r="221" spans="3:8" ht="12.5">
      <c r="C221" s="99"/>
      <c r="D221" s="99"/>
      <c r="E221" s="99"/>
      <c r="G221" s="99"/>
      <c r="H221" s="100"/>
    </row>
    <row r="222" spans="3:8" ht="12.5">
      <c r="C222" s="99"/>
      <c r="D222" s="99"/>
      <c r="E222" s="99"/>
      <c r="G222" s="99"/>
      <c r="H222" s="100"/>
    </row>
    <row r="223" spans="3:8" ht="12.5">
      <c r="C223" s="99"/>
      <c r="D223" s="99"/>
      <c r="E223" s="99"/>
      <c r="G223" s="99"/>
      <c r="H223" s="100"/>
    </row>
    <row r="224" spans="3:8" ht="12.5">
      <c r="C224" s="99"/>
      <c r="D224" s="99"/>
      <c r="E224" s="99"/>
      <c r="G224" s="99"/>
      <c r="H224" s="100"/>
    </row>
    <row r="225" spans="3:8" ht="12.5">
      <c r="C225" s="99"/>
      <c r="D225" s="99"/>
      <c r="E225" s="99"/>
      <c r="G225" s="99"/>
      <c r="H225" s="100"/>
    </row>
    <row r="226" spans="3:8" ht="12.5">
      <c r="C226" s="99"/>
      <c r="D226" s="99"/>
      <c r="E226" s="99"/>
      <c r="G226" s="99"/>
      <c r="H226" s="100"/>
    </row>
    <row r="227" spans="3:8" ht="12.5">
      <c r="C227" s="99"/>
      <c r="D227" s="99"/>
      <c r="E227" s="99"/>
      <c r="G227" s="99"/>
      <c r="H227" s="100"/>
    </row>
    <row r="228" spans="3:8" ht="12.5">
      <c r="C228" s="99"/>
      <c r="D228" s="99"/>
      <c r="E228" s="99"/>
      <c r="G228" s="99"/>
      <c r="H228" s="100"/>
    </row>
    <row r="229" spans="3:8" ht="12.5">
      <c r="C229" s="99"/>
      <c r="D229" s="99"/>
      <c r="E229" s="99"/>
      <c r="G229" s="99"/>
      <c r="H229" s="100"/>
    </row>
    <row r="230" spans="3:8" ht="12.5">
      <c r="C230" s="99"/>
      <c r="D230" s="99"/>
      <c r="E230" s="99"/>
      <c r="G230" s="99"/>
      <c r="H230" s="100"/>
    </row>
    <row r="231" spans="3:8" ht="12.5">
      <c r="C231" s="99"/>
      <c r="D231" s="99"/>
      <c r="E231" s="99"/>
      <c r="G231" s="99"/>
      <c r="H231" s="100"/>
    </row>
    <row r="232" spans="3:8" ht="12.5">
      <c r="C232" s="99"/>
      <c r="D232" s="99"/>
      <c r="E232" s="99"/>
      <c r="G232" s="99"/>
      <c r="H232" s="100"/>
    </row>
    <row r="233" spans="3:8" ht="12.5">
      <c r="C233" s="99"/>
      <c r="D233" s="99"/>
      <c r="E233" s="99"/>
      <c r="G233" s="99"/>
      <c r="H233" s="100"/>
    </row>
    <row r="234" spans="3:8" ht="12.5">
      <c r="C234" s="99"/>
      <c r="D234" s="99"/>
      <c r="E234" s="99"/>
      <c r="G234" s="99"/>
      <c r="H234" s="100"/>
    </row>
    <row r="235" spans="3:8" ht="12.5">
      <c r="C235" s="99"/>
      <c r="D235" s="99"/>
      <c r="E235" s="99"/>
      <c r="G235" s="99"/>
      <c r="H235" s="100"/>
    </row>
    <row r="236" spans="3:8" ht="12.5">
      <c r="C236" s="99"/>
      <c r="D236" s="99"/>
      <c r="E236" s="99"/>
      <c r="G236" s="99"/>
      <c r="H236" s="100"/>
    </row>
    <row r="237" spans="3:8" ht="12.5">
      <c r="C237" s="99"/>
      <c r="D237" s="99"/>
      <c r="E237" s="99"/>
      <c r="G237" s="99"/>
      <c r="H237" s="100"/>
    </row>
    <row r="238" spans="3:8" ht="12.5">
      <c r="C238" s="99"/>
      <c r="D238" s="99"/>
      <c r="E238" s="99"/>
      <c r="G238" s="99"/>
      <c r="H238" s="100"/>
    </row>
    <row r="239" spans="3:8" ht="12.5">
      <c r="C239" s="99"/>
      <c r="D239" s="99"/>
      <c r="E239" s="99"/>
      <c r="G239" s="99"/>
      <c r="H239" s="100"/>
    </row>
    <row r="240" spans="3:8" ht="12.5">
      <c r="C240" s="99"/>
      <c r="D240" s="99"/>
      <c r="E240" s="99"/>
      <c r="G240" s="99"/>
      <c r="H240" s="100"/>
    </row>
    <row r="241" spans="3:8" ht="12.5">
      <c r="C241" s="99"/>
      <c r="D241" s="99"/>
      <c r="E241" s="99"/>
      <c r="G241" s="99"/>
      <c r="H241" s="100"/>
    </row>
    <row r="242" spans="3:8" ht="12.5">
      <c r="C242" s="99"/>
      <c r="D242" s="99"/>
      <c r="E242" s="99"/>
      <c r="G242" s="99"/>
      <c r="H242" s="100"/>
    </row>
    <row r="243" spans="3:8" ht="12.5">
      <c r="C243" s="99"/>
      <c r="D243" s="99"/>
      <c r="E243" s="99"/>
      <c r="G243" s="99"/>
      <c r="H243" s="100"/>
    </row>
    <row r="244" spans="3:8" ht="12.5">
      <c r="C244" s="99"/>
      <c r="D244" s="99"/>
      <c r="E244" s="99"/>
      <c r="G244" s="99"/>
      <c r="H244" s="100"/>
    </row>
    <row r="245" spans="3:8" ht="12.5">
      <c r="C245" s="99"/>
      <c r="D245" s="99"/>
      <c r="E245" s="99"/>
      <c r="G245" s="99"/>
      <c r="H245" s="100"/>
    </row>
    <row r="246" spans="3:8" ht="12.5">
      <c r="C246" s="99"/>
      <c r="D246" s="99"/>
      <c r="E246" s="99"/>
      <c r="G246" s="99"/>
      <c r="H246" s="100"/>
    </row>
    <row r="247" spans="3:8" ht="12.5">
      <c r="C247" s="99"/>
      <c r="D247" s="99"/>
      <c r="E247" s="99"/>
      <c r="G247" s="99"/>
      <c r="H247" s="100"/>
    </row>
    <row r="248" spans="3:8" ht="12.5">
      <c r="C248" s="99"/>
      <c r="D248" s="99"/>
      <c r="E248" s="99"/>
      <c r="G248" s="99"/>
      <c r="H248" s="100"/>
    </row>
    <row r="249" spans="3:8" ht="12.5">
      <c r="C249" s="99"/>
      <c r="D249" s="99"/>
      <c r="E249" s="99"/>
      <c r="G249" s="99"/>
      <c r="H249" s="100"/>
    </row>
    <row r="250" spans="3:8" ht="12.5">
      <c r="C250" s="99"/>
      <c r="D250" s="99"/>
      <c r="E250" s="99"/>
      <c r="G250" s="99"/>
      <c r="H250" s="100"/>
    </row>
    <row r="251" spans="3:8" ht="12.5">
      <c r="C251" s="99"/>
      <c r="D251" s="99"/>
      <c r="E251" s="99"/>
      <c r="G251" s="99"/>
      <c r="H251" s="100"/>
    </row>
    <row r="252" spans="3:8" ht="12.5">
      <c r="C252" s="99"/>
      <c r="D252" s="99"/>
      <c r="E252" s="99"/>
      <c r="G252" s="99"/>
      <c r="H252" s="100"/>
    </row>
    <row r="253" spans="3:8" ht="12.5">
      <c r="C253" s="99"/>
      <c r="D253" s="99"/>
      <c r="E253" s="99"/>
      <c r="G253" s="99"/>
      <c r="H253" s="100"/>
    </row>
    <row r="254" spans="3:8" ht="12.5">
      <c r="C254" s="99"/>
      <c r="D254" s="99"/>
      <c r="E254" s="99"/>
      <c r="G254" s="99"/>
      <c r="H254" s="100"/>
    </row>
    <row r="255" spans="3:8" ht="12.5">
      <c r="C255" s="99"/>
      <c r="D255" s="99"/>
      <c r="E255" s="99"/>
      <c r="G255" s="99"/>
      <c r="H255" s="100"/>
    </row>
    <row r="256" spans="3:8" ht="12.5">
      <c r="C256" s="99"/>
      <c r="D256" s="99"/>
      <c r="E256" s="99"/>
      <c r="G256" s="99"/>
      <c r="H256" s="100"/>
    </row>
    <row r="257" spans="3:8" ht="12.5">
      <c r="C257" s="99"/>
      <c r="D257" s="99"/>
      <c r="E257" s="99"/>
      <c r="G257" s="99"/>
      <c r="H257" s="100"/>
    </row>
    <row r="258" spans="3:8" ht="12.5">
      <c r="C258" s="99"/>
      <c r="D258" s="99"/>
      <c r="E258" s="99"/>
      <c r="G258" s="99"/>
      <c r="H258" s="100"/>
    </row>
    <row r="259" spans="3:8" ht="12.5">
      <c r="C259" s="99"/>
      <c r="D259" s="99"/>
      <c r="E259" s="99"/>
      <c r="G259" s="99"/>
      <c r="H259" s="100"/>
    </row>
    <row r="260" spans="3:8" ht="12.5">
      <c r="C260" s="99"/>
      <c r="D260" s="99"/>
      <c r="E260" s="99"/>
      <c r="G260" s="99"/>
      <c r="H260" s="100"/>
    </row>
    <row r="261" spans="3:8" ht="12.5">
      <c r="C261" s="99"/>
      <c r="D261" s="99"/>
      <c r="E261" s="99"/>
      <c r="G261" s="99"/>
      <c r="H261" s="100"/>
    </row>
    <row r="262" spans="3:8" ht="12.5">
      <c r="C262" s="99"/>
      <c r="D262" s="99"/>
      <c r="E262" s="99"/>
      <c r="G262" s="99"/>
      <c r="H262" s="100"/>
    </row>
    <row r="263" spans="3:8" ht="12.5">
      <c r="C263" s="99"/>
      <c r="D263" s="99"/>
      <c r="E263" s="99"/>
      <c r="G263" s="99"/>
      <c r="H263" s="100"/>
    </row>
    <row r="264" spans="3:8" ht="12.5">
      <c r="C264" s="99"/>
      <c r="D264" s="99"/>
      <c r="E264" s="99"/>
      <c r="G264" s="99"/>
      <c r="H264" s="100"/>
    </row>
    <row r="265" spans="4:8" ht="12.5">
      <c r="D265" s="99"/>
      <c r="E265" s="99"/>
      <c r="G265" s="99"/>
      <c r="H265" s="100"/>
    </row>
    <row r="266" spans="5:7" ht="12.5">
      <c r="E266" s="99"/>
      <c r="F266" s="99"/>
      <c r="G266" s="100"/>
    </row>
    <row r="267" spans="5:7" ht="12.5">
      <c r="E267" s="99"/>
      <c r="F267" s="99"/>
      <c r="G267" s="100"/>
    </row>
    <row r="268" spans="5:7" ht="12.5">
      <c r="E268" s="99"/>
      <c r="F268" s="99"/>
      <c r="G268" s="100"/>
    </row>
    <row r="269" spans="5:7" ht="12.5">
      <c r="E269" s="99"/>
      <c r="F269" s="99"/>
      <c r="G269" s="100"/>
    </row>
    <row r="270" spans="5:7" ht="12.5">
      <c r="E270" s="99"/>
      <c r="F270" s="99"/>
      <c r="G270" s="100"/>
    </row>
    <row r="271" spans="5:7" ht="12.5">
      <c r="E271" s="99"/>
      <c r="F271" s="99"/>
      <c r="G271" s="100"/>
    </row>
    <row r="272" spans="5:7" ht="12.5">
      <c r="E272" s="99"/>
      <c r="F272" s="99"/>
      <c r="G272" s="100"/>
    </row>
    <row r="273" spans="5:7" ht="12.5">
      <c r="E273" s="99"/>
      <c r="F273" s="99"/>
      <c r="G273" s="100"/>
    </row>
    <row r="274" spans="5:7" ht="12.5">
      <c r="E274" s="99"/>
      <c r="F274" s="99"/>
      <c r="G274" s="100"/>
    </row>
    <row r="275" spans="5:7" ht="12.5">
      <c r="E275" s="99"/>
      <c r="F275" s="99"/>
      <c r="G275" s="100"/>
    </row>
    <row r="276" spans="5:7" ht="12.5">
      <c r="E276" s="99"/>
      <c r="F276" s="99"/>
      <c r="G276" s="100"/>
    </row>
    <row r="277" spans="5:7" ht="12.5">
      <c r="E277" s="99"/>
      <c r="F277" s="99"/>
      <c r="G277" s="100"/>
    </row>
    <row r="278" spans="5:7" ht="12.5">
      <c r="E278" s="99"/>
      <c r="F278" s="99"/>
      <c r="G278" s="100"/>
    </row>
    <row r="279" spans="5:7" ht="12.5">
      <c r="E279" s="99"/>
      <c r="F279" s="99"/>
      <c r="G279" s="100"/>
    </row>
    <row r="280" spans="5:7" ht="12.5">
      <c r="E280" s="99"/>
      <c r="F280" s="99"/>
      <c r="G280" s="100"/>
    </row>
    <row r="281" spans="5:7" ht="12.5">
      <c r="E281" s="99"/>
      <c r="F281" s="99"/>
      <c r="G281" s="100"/>
    </row>
    <row r="282" spans="5:7" ht="12.5">
      <c r="E282" s="99"/>
      <c r="F282" s="99"/>
      <c r="G282" s="100"/>
    </row>
    <row r="283" spans="5:7" ht="12.5">
      <c r="E283" s="99"/>
      <c r="F283" s="99"/>
      <c r="G283" s="100"/>
    </row>
    <row r="284" spans="5:7" ht="12.5">
      <c r="E284" s="99"/>
      <c r="F284" s="99"/>
      <c r="G284" s="100"/>
    </row>
    <row r="285" spans="5:7" ht="12.5">
      <c r="E285" s="99"/>
      <c r="F285" s="99"/>
      <c r="G285" s="100"/>
    </row>
    <row r="286" spans="5:7" ht="12.5">
      <c r="E286" s="99"/>
      <c r="F286" s="99"/>
      <c r="G286" s="100"/>
    </row>
  </sheetData>
  <hyperlinks>
    <hyperlink ref="C29" r:id="rId1" display="Bank balances 12.31.21.xlsx"/>
  </hyperlinks>
  <printOptions horizontalCentered="1"/>
  <pageMargins left="0.5" right="0.5" top="1.5" bottom="0.5" header="1" footer="0.5"/>
  <pageSetup orientation="landscape" scale="88" r:id="rId2"/>
  <headerFooter alignWithMargins="0">
    <oddHeader>&amp;RWP/II-B-9/&amp;A
Page &amp;P of &amp;N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7">
    <tabColor rgb="FF92D050"/>
    <pageSetUpPr fitToPage="1"/>
  </sheetPr>
  <dimension ref="A1:E17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32" style="1" bestFit="1" customWidth="1"/>
    <col min="3" max="3" width="17.8571428571429" style="1" customWidth="1"/>
    <col min="4" max="4" width="22.5714285714286" style="1" customWidth="1"/>
    <col min="5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5" s="42" customFormat="1" ht="13">
      <c r="A3" s="824" t="s">
        <v>109</v>
      </c>
      <c r="B3" s="824"/>
      <c r="C3" s="824"/>
      <c r="D3" s="824"/>
      <c r="E3" s="181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1"/>
      <c r="C5" s="181"/>
      <c r="D5" s="181"/>
      <c r="E5" s="181"/>
    </row>
    <row r="7" spans="1:4" ht="26">
      <c r="A7" s="32" t="s">
        <v>45</v>
      </c>
      <c r="B7" s="32" t="s">
        <v>23</v>
      </c>
      <c r="C7" s="51" t="s">
        <v>24</v>
      </c>
      <c r="D7" s="32" t="s">
        <v>25</v>
      </c>
    </row>
    <row r="8" spans="2:4" ht="12.5">
      <c r="B8" s="40" t="s">
        <v>55</v>
      </c>
      <c r="C8" s="52" t="s">
        <v>56</v>
      </c>
      <c r="D8" s="40" t="s">
        <v>62</v>
      </c>
    </row>
    <row r="9" spans="2:4" ht="12.5">
      <c r="B9" s="40"/>
      <c r="C9" s="52"/>
      <c r="D9" s="40"/>
    </row>
    <row r="10" spans="1:4" ht="12.5">
      <c r="A10" s="3">
        <v>1</v>
      </c>
      <c r="B10" s="1" t="s">
        <v>395</v>
      </c>
      <c r="C10" s="244">
        <f>'13-1'!C14</f>
        <v>-895405</v>
      </c>
      <c r="D10" s="3" t="s">
        <v>355</v>
      </c>
    </row>
    <row r="11" spans="1:4" ht="12.5">
      <c r="A11" s="3">
        <v>2</v>
      </c>
      <c r="B11" s="1" t="s">
        <v>288</v>
      </c>
      <c r="C11" s="766">
        <f>'13-2'!C14</f>
        <v>0</v>
      </c>
      <c r="D11" s="3" t="s">
        <v>356</v>
      </c>
    </row>
    <row r="12" spans="1:4" ht="12.5">
      <c r="A12" s="3">
        <v>3</v>
      </c>
      <c r="B12" s="1" t="s">
        <v>289</v>
      </c>
      <c r="C12" s="766">
        <f>'13-3'!D14</f>
        <v>-8278904</v>
      </c>
      <c r="D12" s="3" t="s">
        <v>357</v>
      </c>
    </row>
    <row r="13" spans="1:4" ht="12.5">
      <c r="A13" s="3">
        <v>4</v>
      </c>
      <c r="B13" s="1" t="s">
        <v>290</v>
      </c>
      <c r="C13" s="766">
        <f>'13-4'!J26</f>
        <v>325376</v>
      </c>
      <c r="D13" s="3" t="s">
        <v>358</v>
      </c>
    </row>
    <row r="14" spans="1:4" ht="12.5">
      <c r="A14" s="3">
        <v>5</v>
      </c>
      <c r="B14" s="31" t="s">
        <v>291</v>
      </c>
      <c r="C14" s="767">
        <f>'13-5'!C12</f>
        <v>540621</v>
      </c>
      <c r="D14" s="3" t="s">
        <v>359</v>
      </c>
    </row>
    <row r="15" spans="1:4" ht="12.5">
      <c r="A15" s="3">
        <v>6</v>
      </c>
      <c r="D15" s="86"/>
    </row>
    <row r="16" spans="1:4" ht="13" thickBot="1">
      <c r="A16" s="3">
        <v>7</v>
      </c>
      <c r="B16" s="1" t="s">
        <v>168</v>
      </c>
      <c r="C16" s="448">
        <f>ROUND(SUM(C10:C15),0)</f>
        <v>-8308312</v>
      </c>
      <c r="D16" s="86"/>
    </row>
    <row r="17" spans="1:4" ht="13" thickTop="1">
      <c r="A17" s="3"/>
      <c r="D17" s="86"/>
    </row>
  </sheetData>
  <mergeCells count="1">
    <mergeCell ref="A3:D3"/>
  </mergeCells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9">
    <tabColor rgb="FF92D050"/>
    <pageSetUpPr fitToPage="1"/>
  </sheetPr>
  <dimension ref="A1:E17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35.4285714285714" style="1" bestFit="1" customWidth="1"/>
    <col min="3" max="3" width="15.4285714285714" style="1" customWidth="1"/>
    <col min="4" max="4" width="37" style="1" customWidth="1"/>
    <col min="5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5" s="42" customFormat="1" ht="13">
      <c r="A3" s="181" t="s">
        <v>283</v>
      </c>
      <c r="E3" s="181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1"/>
      <c r="C5" s="181"/>
      <c r="D5" s="181"/>
      <c r="E5" s="181"/>
    </row>
    <row r="7" spans="1:4" ht="26">
      <c r="A7" s="32" t="s">
        <v>45</v>
      </c>
      <c r="B7" s="32" t="s">
        <v>23</v>
      </c>
      <c r="C7" s="32" t="s">
        <v>26</v>
      </c>
      <c r="D7" s="32" t="s">
        <v>25</v>
      </c>
    </row>
    <row r="8" spans="1:4" ht="13">
      <c r="A8" s="38"/>
      <c r="B8" s="40" t="s">
        <v>55</v>
      </c>
      <c r="C8" s="40" t="s">
        <v>56</v>
      </c>
      <c r="D8" s="40" t="s">
        <v>62</v>
      </c>
    </row>
    <row r="10" spans="1:4" ht="12.5">
      <c r="A10" s="3">
        <v>1</v>
      </c>
      <c r="B10" s="1" t="s">
        <v>169</v>
      </c>
      <c r="C10" s="179">
        <f>'13-1-2'!E100+'13-1-1'!E56</f>
        <v>0</v>
      </c>
      <c r="D10" s="54" t="s">
        <v>360</v>
      </c>
    </row>
    <row r="11" spans="1:4" ht="12.5">
      <c r="A11" s="3">
        <v>2</v>
      </c>
      <c r="B11" s="1" t="s">
        <v>170</v>
      </c>
      <c r="C11" s="248">
        <f>'13-1-3'!E58+'13-1-4'!E96</f>
        <v>0</v>
      </c>
      <c r="D11" s="54" t="s">
        <v>361</v>
      </c>
    </row>
    <row r="12" spans="1:4" ht="12.5">
      <c r="A12" s="3">
        <v>3</v>
      </c>
      <c r="B12" s="1" t="s">
        <v>171</v>
      </c>
      <c r="C12" s="401">
        <f>'13-1-5'!E44+'13-1-6'!E70</f>
        <v>-895405</v>
      </c>
      <c r="D12" s="54" t="s">
        <v>362</v>
      </c>
    </row>
    <row r="13" spans="1:4" ht="12.5">
      <c r="A13" s="3">
        <v>4</v>
      </c>
      <c r="C13" s="46"/>
      <c r="D13" s="10"/>
    </row>
    <row r="14" spans="1:3" ht="13" thickBot="1">
      <c r="A14" s="3">
        <v>5</v>
      </c>
      <c r="B14" s="1" t="s">
        <v>172</v>
      </c>
      <c r="C14" s="351">
        <f>SUM(C10:C12)</f>
        <v>-895405</v>
      </c>
    </row>
    <row r="15" spans="1:3" ht="13" thickTop="1">
      <c r="A15" s="3"/>
      <c r="C15" s="46"/>
    </row>
    <row r="16" spans="1:3" ht="12.5">
      <c r="A16" s="3"/>
      <c r="C16" s="46"/>
    </row>
    <row r="17" spans="3:3" ht="12.5">
      <c r="C17" s="46"/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7">
    <tabColor rgb="FF92D050"/>
    <pageSetUpPr fitToPage="1"/>
  </sheetPr>
  <dimension ref="A1:F58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18" style="31" customWidth="1"/>
    <col min="3" max="3" width="15.4285714285714" style="31" customWidth="1"/>
    <col min="4" max="4" width="13.1428571428571" style="31" customWidth="1"/>
    <col min="5" max="5" width="12.8571428571429" style="9" customWidth="1"/>
    <col min="6" max="6" width="14.5714285714286" style="1" customWidth="1"/>
    <col min="7" max="16384" width="9.14285714285714" style="1"/>
  </cols>
  <sheetData>
    <row r="1" spans="1:5" s="42" customFormat="1" ht="13">
      <c r="A1" s="181" t="s">
        <v>530</v>
      </c>
      <c r="B1" s="184"/>
      <c r="C1" s="184"/>
      <c r="D1" s="184"/>
      <c r="E1" s="181"/>
    </row>
    <row r="2" spans="1:5" s="42" customFormat="1" ht="13">
      <c r="A2" s="181" t="str">
        <f>' '!A2</f>
        <v>ONCOR ELECTRIC DELIVERY COMPANY LLC</v>
      </c>
      <c r="B2" s="184"/>
      <c r="C2" s="184"/>
      <c r="D2" s="184"/>
      <c r="E2" s="181"/>
    </row>
    <row r="3" spans="1:5" s="42" customFormat="1" ht="13">
      <c r="A3" s="824" t="s">
        <v>182</v>
      </c>
      <c r="B3" s="824"/>
      <c r="C3" s="824"/>
      <c r="D3" s="824"/>
      <c r="E3" s="181"/>
    </row>
    <row r="4" spans="1:5" s="42" customFormat="1" ht="13">
      <c r="A4" s="817" t="s">
        <v>929</v>
      </c>
      <c r="B4" s="184"/>
      <c r="C4" s="184"/>
      <c r="D4" s="184"/>
      <c r="E4" s="181"/>
    </row>
    <row r="5" spans="1:5" s="42" customFormat="1" ht="13">
      <c r="A5" s="181" t="s">
        <v>524</v>
      </c>
      <c r="B5" s="184"/>
      <c r="C5" s="184"/>
      <c r="D5" s="184"/>
      <c r="E5" s="181"/>
    </row>
    <row r="7" spans="1:6" ht="26">
      <c r="A7" s="32" t="s">
        <v>45</v>
      </c>
      <c r="B7" s="190" t="s">
        <v>173</v>
      </c>
      <c r="C7" s="190" t="s">
        <v>174</v>
      </c>
      <c r="D7" s="190" t="s">
        <v>175</v>
      </c>
      <c r="E7" s="32" t="s">
        <v>49</v>
      </c>
      <c r="F7" s="161" t="s">
        <v>43</v>
      </c>
    </row>
    <row r="8" spans="1:6" ht="13">
      <c r="A8" s="38"/>
      <c r="B8" s="52" t="s">
        <v>55</v>
      </c>
      <c r="C8" s="52" t="s">
        <v>56</v>
      </c>
      <c r="D8" s="52" t="s">
        <v>62</v>
      </c>
      <c r="E8" s="40" t="s">
        <v>57</v>
      </c>
      <c r="F8" s="40" t="s">
        <v>58</v>
      </c>
    </row>
    <row r="9" spans="1:6" ht="13">
      <c r="A9" s="22"/>
      <c r="B9" s="193"/>
      <c r="C9" s="193"/>
      <c r="D9" s="193"/>
      <c r="E9" s="160"/>
      <c r="F9" s="27"/>
    </row>
    <row r="10" spans="1:6" ht="12.5">
      <c r="A10" s="3">
        <v>1</v>
      </c>
      <c r="B10" s="444">
        <v>44118</v>
      </c>
      <c r="C10" s="179">
        <v>368030.20000000001</v>
      </c>
      <c r="D10" s="444">
        <v>44118</v>
      </c>
      <c r="E10" s="402">
        <f>IF(C10=0,0,-(D10-B10))</f>
        <v>0</v>
      </c>
      <c r="F10" s="75">
        <f>C10*E10</f>
        <v>0</v>
      </c>
    </row>
    <row r="11" spans="1:6" ht="12.5">
      <c r="A11" s="3">
        <f>A10+1</f>
        <v>2</v>
      </c>
      <c r="B11" s="444">
        <v>44133</v>
      </c>
      <c r="C11" s="179">
        <v>388440.19</v>
      </c>
      <c r="D11" s="444">
        <v>44133</v>
      </c>
      <c r="E11" s="402">
        <f t="shared" si="0" ref="E11:E48">IF(C11=0,0,-(D11-B11))</f>
        <v>0</v>
      </c>
      <c r="F11" s="75">
        <f t="shared" si="1" ref="F11:F48">C11*E11</f>
        <v>0</v>
      </c>
    </row>
    <row r="12" spans="1:6" ht="12.5">
      <c r="A12" s="3">
        <f t="shared" si="2" ref="A12:A58">A11+1</f>
        <v>3</v>
      </c>
      <c r="B12" s="444">
        <v>44147</v>
      </c>
      <c r="C12" s="179">
        <v>351915.28999999998</v>
      </c>
      <c r="D12" s="444">
        <v>44147</v>
      </c>
      <c r="E12" s="402">
        <f t="shared" si="0"/>
        <v>0</v>
      </c>
      <c r="F12" s="75">
        <f t="shared" si="1"/>
        <v>0</v>
      </c>
    </row>
    <row r="13" spans="1:6" ht="12.5">
      <c r="A13" s="3">
        <f t="shared" si="2"/>
        <v>4</v>
      </c>
      <c r="B13" s="444">
        <v>44160</v>
      </c>
      <c r="C13" s="179">
        <v>317449.57000000001</v>
      </c>
      <c r="D13" s="444">
        <v>44160</v>
      </c>
      <c r="E13" s="402">
        <f t="shared" si="0"/>
        <v>0</v>
      </c>
      <c r="F13" s="75">
        <f t="shared" si="1"/>
        <v>0</v>
      </c>
    </row>
    <row r="14" spans="1:6" ht="12.5">
      <c r="A14" s="3">
        <f t="shared" si="2"/>
        <v>5</v>
      </c>
      <c r="B14" s="444">
        <v>44179</v>
      </c>
      <c r="C14" s="179">
        <v>351211.04000000004</v>
      </c>
      <c r="D14" s="444">
        <v>44179</v>
      </c>
      <c r="E14" s="402">
        <f t="shared" si="0"/>
        <v>0</v>
      </c>
      <c r="F14" s="75">
        <f t="shared" si="1"/>
        <v>0</v>
      </c>
    </row>
    <row r="15" spans="1:6" ht="12.5">
      <c r="A15" s="3">
        <f t="shared" si="2"/>
        <v>6</v>
      </c>
      <c r="B15" s="444">
        <v>44189</v>
      </c>
      <c r="C15" s="179">
        <v>217.78</v>
      </c>
      <c r="D15" s="444">
        <v>44189</v>
      </c>
      <c r="E15" s="402">
        <f t="shared" si="0"/>
        <v>0</v>
      </c>
      <c r="F15" s="75">
        <f t="shared" si="1"/>
        <v>0</v>
      </c>
    </row>
    <row r="16" spans="1:6" ht="12.5">
      <c r="A16" s="3">
        <f t="shared" si="2"/>
        <v>7</v>
      </c>
      <c r="B16" s="444">
        <v>44195</v>
      </c>
      <c r="C16" s="179">
        <v>317531.06</v>
      </c>
      <c r="D16" s="444">
        <v>44195</v>
      </c>
      <c r="E16" s="402">
        <f t="shared" si="0"/>
        <v>0</v>
      </c>
      <c r="F16" s="75">
        <f t="shared" si="1"/>
        <v>0</v>
      </c>
    </row>
    <row r="17" spans="1:6" ht="12.5">
      <c r="A17" s="3">
        <f t="shared" si="2"/>
        <v>8</v>
      </c>
      <c r="B17" s="444">
        <v>44210</v>
      </c>
      <c r="C17" s="179">
        <v>360210.60999999999</v>
      </c>
      <c r="D17" s="444">
        <v>44210</v>
      </c>
      <c r="E17" s="402">
        <f t="shared" si="0"/>
        <v>0</v>
      </c>
      <c r="F17" s="75">
        <f t="shared" si="1"/>
        <v>0</v>
      </c>
    </row>
    <row r="18" spans="1:6" ht="12.5">
      <c r="A18" s="3">
        <f t="shared" si="2"/>
        <v>9</v>
      </c>
      <c r="B18" s="444">
        <v>44223</v>
      </c>
      <c r="C18" s="179">
        <v>1266.04</v>
      </c>
      <c r="D18" s="444">
        <v>44223</v>
      </c>
      <c r="E18" s="402">
        <f t="shared" si="0"/>
        <v>0</v>
      </c>
      <c r="F18" s="75">
        <f t="shared" si="1"/>
        <v>0</v>
      </c>
    </row>
    <row r="19" spans="1:6" ht="12.5">
      <c r="A19" s="3">
        <f t="shared" si="2"/>
        <v>10</v>
      </c>
      <c r="B19" s="444">
        <v>44224</v>
      </c>
      <c r="C19" s="179">
        <v>358754.23999999999</v>
      </c>
      <c r="D19" s="444">
        <v>44224</v>
      </c>
      <c r="E19" s="402">
        <f t="shared" si="0"/>
        <v>0</v>
      </c>
      <c r="F19" s="75">
        <f t="shared" si="1"/>
        <v>0</v>
      </c>
    </row>
    <row r="20" spans="1:6" ht="12.5">
      <c r="A20" s="3">
        <f t="shared" si="2"/>
        <v>11</v>
      </c>
      <c r="B20" s="444">
        <v>44238</v>
      </c>
      <c r="C20" s="179">
        <v>355074.31999999995</v>
      </c>
      <c r="D20" s="444">
        <v>44238</v>
      </c>
      <c r="E20" s="402">
        <f t="shared" si="0"/>
        <v>0</v>
      </c>
      <c r="F20" s="75">
        <f t="shared" si="1"/>
        <v>0</v>
      </c>
    </row>
    <row r="21" spans="1:6" ht="12.5">
      <c r="A21" s="3">
        <f t="shared" si="2"/>
        <v>12</v>
      </c>
      <c r="B21" s="444">
        <v>44243</v>
      </c>
      <c r="C21" s="179">
        <v>37302.419999999998</v>
      </c>
      <c r="D21" s="444">
        <v>44243</v>
      </c>
      <c r="E21" s="402">
        <f t="shared" si="0"/>
        <v>0</v>
      </c>
      <c r="F21" s="75">
        <f t="shared" si="1"/>
        <v>0</v>
      </c>
    </row>
    <row r="22" spans="1:6" ht="12.5">
      <c r="A22" s="3">
        <f t="shared" si="2"/>
        <v>13</v>
      </c>
      <c r="B22" s="444">
        <v>44244</v>
      </c>
      <c r="C22" s="179">
        <v>174.69</v>
      </c>
      <c r="D22" s="444">
        <v>44244</v>
      </c>
      <c r="E22" s="402">
        <f t="shared" si="0"/>
        <v>0</v>
      </c>
      <c r="F22" s="75">
        <f t="shared" si="1"/>
        <v>0</v>
      </c>
    </row>
    <row r="23" spans="1:6" ht="12.5">
      <c r="A23" s="3">
        <f t="shared" si="2"/>
        <v>14</v>
      </c>
      <c r="B23" s="444">
        <v>44246</v>
      </c>
      <c r="C23" s="179">
        <v>15381.450000000001</v>
      </c>
      <c r="D23" s="444">
        <v>44246</v>
      </c>
      <c r="E23" s="402">
        <f t="shared" si="0"/>
        <v>0</v>
      </c>
      <c r="F23" s="75">
        <f t="shared" si="1"/>
        <v>0</v>
      </c>
    </row>
    <row r="24" spans="1:6" ht="12.5">
      <c r="A24" s="3">
        <f t="shared" si="2"/>
        <v>15</v>
      </c>
      <c r="B24" s="444">
        <v>44252</v>
      </c>
      <c r="C24" s="179">
        <v>386126.33999999997</v>
      </c>
      <c r="D24" s="444">
        <v>44252</v>
      </c>
      <c r="E24" s="402">
        <f t="shared" si="0"/>
        <v>0</v>
      </c>
      <c r="F24" s="75">
        <f t="shared" si="1"/>
        <v>0</v>
      </c>
    </row>
    <row r="25" spans="1:6" ht="12.5">
      <c r="A25" s="3">
        <f t="shared" si="2"/>
        <v>16</v>
      </c>
      <c r="B25" s="444">
        <v>44260</v>
      </c>
      <c r="C25" s="179">
        <v>1065985.6899999999</v>
      </c>
      <c r="D25" s="444">
        <v>44260</v>
      </c>
      <c r="E25" s="402">
        <f t="shared" si="0"/>
        <v>0</v>
      </c>
      <c r="F25" s="75">
        <f t="shared" si="1"/>
        <v>0</v>
      </c>
    </row>
    <row r="26" spans="1:6" ht="12.5">
      <c r="A26" s="3">
        <f t="shared" si="2"/>
        <v>17</v>
      </c>
      <c r="B26" s="444">
        <v>44267</v>
      </c>
      <c r="C26" s="179">
        <v>429715.95999999996</v>
      </c>
      <c r="D26" s="444">
        <v>44267</v>
      </c>
      <c r="E26" s="402">
        <f t="shared" si="0"/>
        <v>0</v>
      </c>
      <c r="F26" s="75">
        <f t="shared" si="1"/>
        <v>0</v>
      </c>
    </row>
    <row r="27" spans="1:6" ht="12.5">
      <c r="A27" s="3">
        <f t="shared" si="2"/>
        <v>18</v>
      </c>
      <c r="B27" s="444">
        <v>44274</v>
      </c>
      <c r="C27" s="179">
        <v>16066.73</v>
      </c>
      <c r="D27" s="444">
        <v>44274</v>
      </c>
      <c r="E27" s="402">
        <f t="shared" si="0"/>
        <v>0</v>
      </c>
      <c r="F27" s="75">
        <f t="shared" si="1"/>
        <v>0</v>
      </c>
    </row>
    <row r="28" spans="1:6" ht="12.5">
      <c r="A28" s="3">
        <f t="shared" si="2"/>
        <v>19</v>
      </c>
      <c r="B28" s="444">
        <v>44285</v>
      </c>
      <c r="C28" s="179">
        <v>421238.56</v>
      </c>
      <c r="D28" s="444">
        <v>44285</v>
      </c>
      <c r="E28" s="402">
        <f t="shared" si="0"/>
        <v>0</v>
      </c>
      <c r="F28" s="75">
        <f t="shared" si="1"/>
        <v>0</v>
      </c>
    </row>
    <row r="29" spans="1:6" ht="12.5">
      <c r="A29" s="3">
        <f t="shared" si="2"/>
        <v>20</v>
      </c>
      <c r="B29" s="444">
        <v>44286</v>
      </c>
      <c r="C29" s="179">
        <v>3315.0799999999999</v>
      </c>
      <c r="D29" s="444">
        <v>44286</v>
      </c>
      <c r="E29" s="402">
        <f t="shared" si="0"/>
        <v>0</v>
      </c>
      <c r="F29" s="75">
        <f t="shared" si="1"/>
        <v>0</v>
      </c>
    </row>
    <row r="30" spans="1:6" ht="12.5">
      <c r="A30" s="3">
        <f t="shared" si="2"/>
        <v>21</v>
      </c>
      <c r="B30" s="444">
        <v>44293</v>
      </c>
      <c r="C30" s="179">
        <v>94.700000000000003</v>
      </c>
      <c r="D30" s="444">
        <v>44293</v>
      </c>
      <c r="E30" s="402">
        <f t="shared" si="0"/>
        <v>0</v>
      </c>
      <c r="F30" s="75">
        <f t="shared" si="1"/>
        <v>0</v>
      </c>
    </row>
    <row r="31" spans="1:6" ht="12.5">
      <c r="A31" s="3">
        <f t="shared" si="2"/>
        <v>22</v>
      </c>
      <c r="B31" s="444">
        <v>44300</v>
      </c>
      <c r="C31" s="179">
        <v>407440.31</v>
      </c>
      <c r="D31" s="444">
        <v>44300</v>
      </c>
      <c r="E31" s="402">
        <f t="shared" si="0"/>
        <v>0</v>
      </c>
      <c r="F31" s="75">
        <f t="shared" si="1"/>
        <v>0</v>
      </c>
    </row>
    <row r="32" spans="1:6" ht="12.5">
      <c r="A32" s="3">
        <f t="shared" si="2"/>
        <v>23</v>
      </c>
      <c r="B32" s="444">
        <v>44312</v>
      </c>
      <c r="C32" s="179">
        <v>470.48000000000002</v>
      </c>
      <c r="D32" s="444">
        <v>44312</v>
      </c>
      <c r="E32" s="402">
        <f t="shared" si="0"/>
        <v>0</v>
      </c>
      <c r="F32" s="75">
        <f t="shared" si="1"/>
        <v>0</v>
      </c>
    </row>
    <row r="33" spans="1:6" ht="12.5">
      <c r="A33" s="3">
        <f t="shared" si="2"/>
        <v>24</v>
      </c>
      <c r="B33" s="444">
        <v>44315</v>
      </c>
      <c r="C33" s="179">
        <v>394807.14000000001</v>
      </c>
      <c r="D33" s="444">
        <v>44315</v>
      </c>
      <c r="E33" s="402">
        <f t="shared" si="0"/>
        <v>0</v>
      </c>
      <c r="F33" s="75">
        <f t="shared" si="1"/>
        <v>0</v>
      </c>
    </row>
    <row r="34" spans="1:6" ht="12.5">
      <c r="A34" s="3">
        <f t="shared" si="2"/>
        <v>25</v>
      </c>
      <c r="B34" s="444">
        <v>44327</v>
      </c>
      <c r="C34" s="179">
        <v>7615.3500000000004</v>
      </c>
      <c r="D34" s="444">
        <v>44327</v>
      </c>
      <c r="E34" s="402">
        <f t="shared" si="0"/>
        <v>0</v>
      </c>
      <c r="F34" s="75">
        <f t="shared" si="1"/>
        <v>0</v>
      </c>
    </row>
    <row r="35" spans="1:6" ht="12.5">
      <c r="A35" s="3">
        <f t="shared" si="2"/>
        <v>26</v>
      </c>
      <c r="B35" s="444">
        <v>44329</v>
      </c>
      <c r="C35" s="179">
        <v>399334.95000000001</v>
      </c>
      <c r="D35" s="444">
        <v>44329</v>
      </c>
      <c r="E35" s="402">
        <f t="shared" si="0"/>
        <v>0</v>
      </c>
      <c r="F35" s="75">
        <f t="shared" si="1"/>
        <v>0</v>
      </c>
    </row>
    <row r="36" spans="1:6" ht="12.5">
      <c r="A36" s="3">
        <f t="shared" si="2"/>
        <v>27</v>
      </c>
      <c r="B36" s="444">
        <v>44336</v>
      </c>
      <c r="C36" s="179">
        <v>5193.0600000000004</v>
      </c>
      <c r="D36" s="444">
        <v>44336</v>
      </c>
      <c r="E36" s="402">
        <f t="shared" si="0"/>
        <v>0</v>
      </c>
      <c r="F36" s="75">
        <f t="shared" si="1"/>
        <v>0</v>
      </c>
    </row>
    <row r="37" spans="1:6" ht="12.5">
      <c r="A37" s="3">
        <f t="shared" si="2"/>
        <v>28</v>
      </c>
      <c r="B37" s="444">
        <v>44340</v>
      </c>
      <c r="C37" s="179">
        <v>594.06999999999994</v>
      </c>
      <c r="D37" s="444">
        <v>44340</v>
      </c>
      <c r="E37" s="402">
        <f t="shared" si="0"/>
        <v>0</v>
      </c>
      <c r="F37" s="75">
        <f t="shared" si="1"/>
        <v>0</v>
      </c>
    </row>
    <row r="38" spans="1:6" ht="12.5">
      <c r="A38" s="3">
        <f t="shared" si="2"/>
        <v>29</v>
      </c>
      <c r="B38" s="444">
        <v>44343</v>
      </c>
      <c r="C38" s="179">
        <v>414392.60999999999</v>
      </c>
      <c r="D38" s="444">
        <v>44343</v>
      </c>
      <c r="E38" s="402">
        <f t="shared" si="0"/>
        <v>0</v>
      </c>
      <c r="F38" s="75">
        <f t="shared" si="1"/>
        <v>0</v>
      </c>
    </row>
    <row r="39" spans="1:6" ht="12.5">
      <c r="A39" s="3">
        <f t="shared" si="2"/>
        <v>30</v>
      </c>
      <c r="B39" s="444">
        <v>44361</v>
      </c>
      <c r="C39" s="179">
        <v>413359.69</v>
      </c>
      <c r="D39" s="444">
        <v>44361</v>
      </c>
      <c r="E39" s="402">
        <f t="shared" si="0"/>
        <v>0</v>
      </c>
      <c r="F39" s="75">
        <f t="shared" si="1"/>
        <v>0</v>
      </c>
    </row>
    <row r="40" spans="1:6" ht="12.5">
      <c r="A40" s="3">
        <f t="shared" si="2"/>
        <v>31</v>
      </c>
      <c r="B40" s="444">
        <v>44376</v>
      </c>
      <c r="C40" s="179">
        <v>395887.45000000001</v>
      </c>
      <c r="D40" s="444">
        <v>44376</v>
      </c>
      <c r="E40" s="402">
        <f t="shared" si="0"/>
        <v>0</v>
      </c>
      <c r="F40" s="75">
        <f t="shared" si="1"/>
        <v>0</v>
      </c>
    </row>
    <row r="41" spans="1:6" ht="12.5">
      <c r="A41" s="3">
        <f t="shared" si="3" ref="A41:A57">A40+1</f>
        <v>32</v>
      </c>
      <c r="B41" s="444">
        <v>44384</v>
      </c>
      <c r="C41" s="179">
        <v>4242.3099999999995</v>
      </c>
      <c r="D41" s="444">
        <v>44384</v>
      </c>
      <c r="E41" s="402">
        <f t="shared" si="0"/>
        <v>0</v>
      </c>
      <c r="F41" s="75">
        <f t="shared" si="1"/>
        <v>0</v>
      </c>
    </row>
    <row r="42" spans="1:6" ht="12.5">
      <c r="A42" s="3">
        <f t="shared" si="2"/>
        <v>33</v>
      </c>
      <c r="B42" s="444">
        <v>44391</v>
      </c>
      <c r="C42" s="179">
        <v>385864.01000000001</v>
      </c>
      <c r="D42" s="444">
        <v>44391</v>
      </c>
      <c r="E42" s="402">
        <f t="shared" si="0"/>
        <v>0</v>
      </c>
      <c r="F42" s="75">
        <f t="shared" si="1"/>
        <v>0</v>
      </c>
    </row>
    <row r="43" spans="1:6" ht="12.5">
      <c r="A43" s="3">
        <f t="shared" si="3"/>
        <v>34</v>
      </c>
      <c r="B43" s="444">
        <v>44406</v>
      </c>
      <c r="C43" s="179">
        <v>376721</v>
      </c>
      <c r="D43" s="444">
        <v>44406</v>
      </c>
      <c r="E43" s="402">
        <f t="shared" si="0"/>
        <v>0</v>
      </c>
      <c r="F43" s="75">
        <f t="shared" si="1"/>
        <v>0</v>
      </c>
    </row>
    <row r="44" spans="1:6" ht="12.5">
      <c r="A44" s="3">
        <f t="shared" si="2"/>
        <v>35</v>
      </c>
      <c r="B44" s="444">
        <v>44420</v>
      </c>
      <c r="C44" s="179">
        <v>379309.92000000004</v>
      </c>
      <c r="D44" s="444">
        <v>44420</v>
      </c>
      <c r="E44" s="402">
        <f t="shared" si="0"/>
        <v>0</v>
      </c>
      <c r="F44" s="75">
        <f t="shared" si="1"/>
        <v>0</v>
      </c>
    </row>
    <row r="45" spans="1:6" ht="12.5">
      <c r="A45" s="3">
        <f t="shared" si="3"/>
        <v>36</v>
      </c>
      <c r="B45" s="444">
        <v>44427</v>
      </c>
      <c r="C45" s="179">
        <v>2839.8099999999999</v>
      </c>
      <c r="D45" s="444">
        <v>44427</v>
      </c>
      <c r="E45" s="402">
        <f t="shared" si="0"/>
        <v>0</v>
      </c>
      <c r="F45" s="75">
        <f t="shared" si="1"/>
        <v>0</v>
      </c>
    </row>
    <row r="46" spans="1:6" ht="12.5">
      <c r="A46" s="3">
        <f t="shared" si="2"/>
        <v>37</v>
      </c>
      <c r="B46" s="444">
        <v>44438</v>
      </c>
      <c r="C46" s="179">
        <v>406284.76000000001</v>
      </c>
      <c r="D46" s="444">
        <v>44438</v>
      </c>
      <c r="E46" s="402">
        <f t="shared" si="0"/>
        <v>0</v>
      </c>
      <c r="F46" s="75">
        <f t="shared" si="1"/>
        <v>0</v>
      </c>
    </row>
    <row r="47" spans="1:6" ht="12.5">
      <c r="A47" s="3">
        <f t="shared" si="3"/>
        <v>38</v>
      </c>
      <c r="B47" s="444">
        <v>44453</v>
      </c>
      <c r="C47" s="179">
        <v>355005.14000000001</v>
      </c>
      <c r="D47" s="444">
        <v>44453</v>
      </c>
      <c r="E47" s="402">
        <f t="shared" si="0"/>
        <v>0</v>
      </c>
      <c r="F47" s="75">
        <f t="shared" si="1"/>
        <v>0</v>
      </c>
    </row>
    <row r="48" spans="1:6" ht="12.5">
      <c r="A48" s="3">
        <f t="shared" si="2"/>
        <v>39</v>
      </c>
      <c r="B48" s="444">
        <v>44468</v>
      </c>
      <c r="C48" s="179">
        <v>367692.40000000002</v>
      </c>
      <c r="D48" s="444">
        <v>44468</v>
      </c>
      <c r="E48" s="402">
        <f t="shared" si="0"/>
        <v>0</v>
      </c>
      <c r="F48" s="75">
        <f t="shared" si="1"/>
        <v>0</v>
      </c>
    </row>
    <row r="49" spans="1:6" ht="12.5">
      <c r="A49" s="3">
        <f t="shared" si="3"/>
        <v>40</v>
      </c>
      <c r="B49" s="444"/>
      <c r="C49" s="248"/>
      <c r="D49" s="444"/>
      <c r="E49" s="402"/>
      <c r="F49" s="29"/>
    </row>
    <row r="50" spans="1:6" ht="13" thickBot="1">
      <c r="A50" s="3">
        <f t="shared" si="2"/>
        <v>41</v>
      </c>
      <c r="B50" s="189" t="s">
        <v>26</v>
      </c>
      <c r="C50" s="403">
        <f>SUM(C10:C49)</f>
        <v>10262556.420000002</v>
      </c>
      <c r="E50" s="404">
        <f>ROUND(F50/C50,2)</f>
        <v>0</v>
      </c>
      <c r="F50" s="403">
        <f>SUM(F10:F49)</f>
        <v>0</v>
      </c>
    </row>
    <row r="51" spans="1:6" ht="13" thickTop="1">
      <c r="A51" s="3">
        <f t="shared" si="3"/>
        <v>42</v>
      </c>
      <c r="C51" s="197"/>
      <c r="E51" s="162"/>
      <c r="F51" s="46"/>
    </row>
    <row r="52" spans="1:6" ht="12.5">
      <c r="A52" s="3">
        <f t="shared" si="2"/>
        <v>43</v>
      </c>
      <c r="B52" s="676" t="s">
        <v>537</v>
      </c>
      <c r="C52" s="197"/>
      <c r="E52" s="405">
        <f>+ROUND(C50/365.25,0)</f>
        <v>28097</v>
      </c>
      <c r="F52" s="46"/>
    </row>
    <row r="53" spans="1:6" ht="12.5">
      <c r="A53" s="3">
        <f t="shared" si="3"/>
        <v>44</v>
      </c>
      <c r="B53" s="189"/>
      <c r="C53" s="197"/>
      <c r="E53" s="163"/>
      <c r="F53" s="46"/>
    </row>
    <row r="54" spans="1:6" ht="12.5">
      <c r="A54" s="3">
        <f t="shared" si="2"/>
        <v>45</v>
      </c>
      <c r="B54" s="675" t="s">
        <v>538</v>
      </c>
      <c r="C54" s="233"/>
      <c r="E54" s="452">
        <f>+E50</f>
        <v>0</v>
      </c>
      <c r="F54" s="46"/>
    </row>
    <row r="55" spans="1:1" ht="12.5">
      <c r="A55" s="3">
        <f t="shared" si="3"/>
        <v>46</v>
      </c>
    </row>
    <row r="56" spans="1:5" ht="13" thickBot="1">
      <c r="A56" s="3">
        <f t="shared" si="2"/>
        <v>47</v>
      </c>
      <c r="B56" s="675" t="s">
        <v>539</v>
      </c>
      <c r="C56" s="191"/>
      <c r="E56" s="406">
        <f>+ROUND(E52*E54,0)</f>
        <v>0</v>
      </c>
    </row>
    <row r="57" spans="1:1" ht="13" thickTop="1">
      <c r="A57" s="3">
        <f t="shared" si="3"/>
        <v>48</v>
      </c>
    </row>
    <row r="58" spans="1:3" ht="12.5">
      <c r="A58" s="3">
        <f t="shared" si="2"/>
        <v>49</v>
      </c>
      <c r="B58" s="31" t="s">
        <v>256</v>
      </c>
      <c r="C58" s="293" t="s">
        <v>479</v>
      </c>
    </row>
  </sheetData>
  <mergeCells count="1">
    <mergeCell ref="A3:D3"/>
  </mergeCells>
  <hyperlinks>
    <hyperlink ref="C58" r:id="rId1" display="Taxes Other Than Income - Payroll Taxes.xlsx"/>
  </hyperlinks>
  <printOptions horizontalCentered="1"/>
  <pageMargins left="0.5" right="0.5" top="1.5" bottom="0.5" header="1" footer="0.5"/>
  <pageSetup fitToHeight="3" orientation="landscape" r:id="rId2"/>
  <headerFooter alignWithMargins="0">
    <oddHeader>&amp;RWP/II-B-9/&amp;A
Page &amp;P of &amp;N</oddHeader>
  </headerFooter>
  <rowBreaks count="1" manualBreakCount="1">
    <brk id="32" max="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0">
    <tabColor rgb="FF92D050"/>
    <pageSetUpPr fitToPage="1"/>
  </sheetPr>
  <dimension ref="A1:F103"/>
  <sheetViews>
    <sheetView workbookViewId="0" topLeftCell="A4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18" style="31" customWidth="1"/>
    <col min="3" max="3" width="16" style="31" customWidth="1"/>
    <col min="4" max="4" width="13.1428571428571" style="31" customWidth="1"/>
    <col min="5" max="5" width="14.8571428571429" style="9" customWidth="1"/>
    <col min="6" max="6" width="21" style="1" customWidth="1"/>
    <col min="7" max="16384" width="9.14285714285714" style="1"/>
  </cols>
  <sheetData>
    <row r="1" spans="1:5" s="42" customFormat="1" ht="13">
      <c r="A1" s="181" t="s">
        <v>530</v>
      </c>
      <c r="B1" s="184"/>
      <c r="C1" s="184"/>
      <c r="D1" s="184"/>
      <c r="E1" s="181"/>
    </row>
    <row r="2" spans="1:5" s="42" customFormat="1" ht="13">
      <c r="A2" s="181" t="str">
        <f>' '!A2</f>
        <v>ONCOR ELECTRIC DELIVERY COMPANY LLC</v>
      </c>
      <c r="B2" s="184"/>
      <c r="C2" s="184"/>
      <c r="D2" s="184"/>
      <c r="E2" s="181"/>
    </row>
    <row r="3" spans="1:5" s="42" customFormat="1" ht="13">
      <c r="A3" s="824" t="s">
        <v>181</v>
      </c>
      <c r="B3" s="824"/>
      <c r="C3" s="824"/>
      <c r="D3" s="824"/>
      <c r="E3" s="181"/>
    </row>
    <row r="4" spans="1:5" s="42" customFormat="1" ht="13">
      <c r="A4" s="817" t="s">
        <v>929</v>
      </c>
      <c r="B4" s="184"/>
      <c r="C4" s="184"/>
      <c r="D4" s="184"/>
      <c r="E4" s="181"/>
    </row>
    <row r="5" spans="1:5" s="42" customFormat="1" ht="13">
      <c r="A5" s="181" t="s">
        <v>524</v>
      </c>
      <c r="B5" s="184"/>
      <c r="C5" s="184"/>
      <c r="D5" s="184"/>
      <c r="E5" s="181"/>
    </row>
    <row r="7" spans="1:6" ht="26">
      <c r="A7" s="32" t="s">
        <v>45</v>
      </c>
      <c r="B7" s="190" t="s">
        <v>173</v>
      </c>
      <c r="C7" s="190" t="s">
        <v>174</v>
      </c>
      <c r="D7" s="190" t="s">
        <v>175</v>
      </c>
      <c r="E7" s="32" t="s">
        <v>49</v>
      </c>
      <c r="F7" s="161" t="s">
        <v>43</v>
      </c>
    </row>
    <row r="8" spans="1:6" ht="13">
      <c r="A8" s="38"/>
      <c r="B8" s="52" t="s">
        <v>55</v>
      </c>
      <c r="C8" s="52" t="s">
        <v>56</v>
      </c>
      <c r="D8" s="52" t="s">
        <v>62</v>
      </c>
      <c r="E8" s="40" t="s">
        <v>57</v>
      </c>
      <c r="F8" s="40" t="s">
        <v>58</v>
      </c>
    </row>
    <row r="9" spans="1:6" ht="13">
      <c r="A9" s="22"/>
      <c r="B9" s="193"/>
      <c r="C9" s="193"/>
      <c r="D9" s="193"/>
      <c r="E9" s="402"/>
      <c r="F9" s="27"/>
    </row>
    <row r="10" spans="1:6" ht="12.5">
      <c r="A10" s="3">
        <v>1</v>
      </c>
      <c r="B10" s="444">
        <v>44112</v>
      </c>
      <c r="C10" s="179">
        <v>222085.64999999999</v>
      </c>
      <c r="D10" s="444">
        <v>44112</v>
      </c>
      <c r="E10" s="402">
        <f>IF(C10=0,0,-(D10-B10))</f>
        <v>0</v>
      </c>
      <c r="F10" s="75">
        <f>C10*E10</f>
        <v>0</v>
      </c>
    </row>
    <row r="11" spans="1:6" ht="12.5">
      <c r="A11" s="3">
        <v>2</v>
      </c>
      <c r="B11" s="444">
        <v>44117</v>
      </c>
      <c r="C11" s="179">
        <v>643.01999999999998</v>
      </c>
      <c r="D11" s="444">
        <v>44117</v>
      </c>
      <c r="E11" s="402">
        <f t="shared" si="0" ref="E11:E74">IF(C11=0,0,-(D11-B11))</f>
        <v>0</v>
      </c>
      <c r="F11" s="75">
        <f t="shared" si="1" ref="F11:F74">C11*E11</f>
        <v>0</v>
      </c>
    </row>
    <row r="12" spans="1:6" ht="12.5">
      <c r="A12" s="3">
        <v>3</v>
      </c>
      <c r="B12" s="444">
        <v>44126</v>
      </c>
      <c r="C12" s="179">
        <v>216102.75</v>
      </c>
      <c r="D12" s="444">
        <v>44126</v>
      </c>
      <c r="E12" s="402">
        <f t="shared" si="0"/>
        <v>0</v>
      </c>
      <c r="F12" s="75">
        <f t="shared" si="1"/>
        <v>0</v>
      </c>
    </row>
    <row r="13" spans="1:6" ht="12.5">
      <c r="A13" s="3">
        <v>4</v>
      </c>
      <c r="B13" s="444">
        <v>44118</v>
      </c>
      <c r="C13" s="179">
        <v>756203.92999999993</v>
      </c>
      <c r="D13" s="444">
        <v>44118</v>
      </c>
      <c r="E13" s="402">
        <f t="shared" si="0"/>
        <v>0</v>
      </c>
      <c r="F13" s="75">
        <f t="shared" si="1"/>
        <v>0</v>
      </c>
    </row>
    <row r="14" spans="1:6" ht="12.5">
      <c r="A14" s="3">
        <v>5</v>
      </c>
      <c r="B14" s="444">
        <v>44125</v>
      </c>
      <c r="C14" s="179">
        <v>909.41999999999996</v>
      </c>
      <c r="D14" s="444">
        <v>44125</v>
      </c>
      <c r="E14" s="402">
        <f t="shared" si="0"/>
        <v>0</v>
      </c>
      <c r="F14" s="75">
        <f t="shared" si="1"/>
        <v>0</v>
      </c>
    </row>
    <row r="15" spans="1:6" ht="12.5">
      <c r="A15" s="3">
        <v>6</v>
      </c>
      <c r="B15" s="444">
        <v>44133</v>
      </c>
      <c r="C15" s="179">
        <v>716368.45999999996</v>
      </c>
      <c r="D15" s="444">
        <v>44133</v>
      </c>
      <c r="E15" s="402">
        <f t="shared" si="0"/>
        <v>0</v>
      </c>
      <c r="F15" s="75">
        <f t="shared" si="1"/>
        <v>0</v>
      </c>
    </row>
    <row r="16" spans="1:6" ht="12.5">
      <c r="A16" s="3">
        <v>7</v>
      </c>
      <c r="B16" s="444">
        <v>44140</v>
      </c>
      <c r="C16" s="179">
        <v>229264.45000000001</v>
      </c>
      <c r="D16" s="444">
        <v>44140</v>
      </c>
      <c r="E16" s="402">
        <f t="shared" si="0"/>
        <v>0</v>
      </c>
      <c r="F16" s="75">
        <f t="shared" si="1"/>
        <v>0</v>
      </c>
    </row>
    <row r="17" spans="1:6" ht="12.5">
      <c r="A17" s="3">
        <v>8</v>
      </c>
      <c r="B17" s="444">
        <v>44147</v>
      </c>
      <c r="C17" s="179">
        <v>711168.96999999997</v>
      </c>
      <c r="D17" s="444">
        <v>44147</v>
      </c>
      <c r="E17" s="402">
        <f t="shared" si="0"/>
        <v>0</v>
      </c>
      <c r="F17" s="75">
        <f t="shared" si="1"/>
        <v>0</v>
      </c>
    </row>
    <row r="18" spans="1:6" ht="12.5">
      <c r="A18" s="3">
        <v>9</v>
      </c>
      <c r="B18" s="444">
        <v>44153</v>
      </c>
      <c r="C18" s="179">
        <v>1455.0999999999999</v>
      </c>
      <c r="D18" s="444">
        <v>44153</v>
      </c>
      <c r="E18" s="402">
        <f t="shared" si="0"/>
        <v>0</v>
      </c>
      <c r="F18" s="75">
        <f t="shared" si="1"/>
        <v>0</v>
      </c>
    </row>
    <row r="19" spans="1:6" ht="12.5">
      <c r="A19" s="3">
        <v>10</v>
      </c>
      <c r="B19" s="444">
        <v>44154</v>
      </c>
      <c r="C19" s="179">
        <v>195329.34999999998</v>
      </c>
      <c r="D19" s="444">
        <v>44154</v>
      </c>
      <c r="E19" s="402">
        <f t="shared" si="0"/>
        <v>0</v>
      </c>
      <c r="F19" s="75">
        <f t="shared" si="1"/>
        <v>0</v>
      </c>
    </row>
    <row r="20" spans="1:6" ht="12.5">
      <c r="A20" s="3">
        <v>11</v>
      </c>
      <c r="B20" s="444">
        <v>44160</v>
      </c>
      <c r="C20" s="179">
        <v>652898.22999999998</v>
      </c>
      <c r="D20" s="444">
        <v>44160</v>
      </c>
      <c r="E20" s="402">
        <f t="shared" si="0"/>
        <v>0</v>
      </c>
      <c r="F20" s="75">
        <f t="shared" si="1"/>
        <v>0</v>
      </c>
    </row>
    <row r="21" spans="1:6" ht="12.5">
      <c r="A21" s="3">
        <v>12</v>
      </c>
      <c r="B21" s="444">
        <v>44168</v>
      </c>
      <c r="C21" s="179">
        <v>193569.66999999998</v>
      </c>
      <c r="D21" s="444">
        <v>44168</v>
      </c>
      <c r="E21" s="402">
        <f t="shared" si="0"/>
        <v>0</v>
      </c>
      <c r="F21" s="75">
        <f t="shared" si="1"/>
        <v>0</v>
      </c>
    </row>
    <row r="22" spans="1:6" ht="12.5">
      <c r="A22" s="3">
        <v>13</v>
      </c>
      <c r="B22" s="444">
        <v>44182</v>
      </c>
      <c r="C22" s="179">
        <v>183274.87</v>
      </c>
      <c r="D22" s="444">
        <v>44182</v>
      </c>
      <c r="E22" s="402">
        <f t="shared" si="0"/>
        <v>0</v>
      </c>
      <c r="F22" s="75">
        <f t="shared" si="1"/>
        <v>0</v>
      </c>
    </row>
    <row r="23" spans="1:6" ht="12.5">
      <c r="A23" s="3">
        <v>14</v>
      </c>
      <c r="B23" s="444">
        <v>44179</v>
      </c>
      <c r="C23" s="179">
        <v>702127.31000000006</v>
      </c>
      <c r="D23" s="444">
        <v>44179</v>
      </c>
      <c r="E23" s="402">
        <f t="shared" si="0"/>
        <v>0</v>
      </c>
      <c r="F23" s="75">
        <f t="shared" si="1"/>
        <v>0</v>
      </c>
    </row>
    <row r="24" spans="1:6" ht="12.5">
      <c r="A24" s="3">
        <v>15</v>
      </c>
      <c r="B24" s="444">
        <v>44188</v>
      </c>
      <c r="C24" s="179">
        <v>1227.8600000000001</v>
      </c>
      <c r="D24" s="444">
        <v>44188</v>
      </c>
      <c r="E24" s="402">
        <f t="shared" si="0"/>
        <v>0</v>
      </c>
      <c r="F24" s="75">
        <f t="shared" si="1"/>
        <v>0</v>
      </c>
    </row>
    <row r="25" spans="1:6" ht="12.5">
      <c r="A25" s="3">
        <v>16</v>
      </c>
      <c r="B25" s="444">
        <v>44189</v>
      </c>
      <c r="C25" s="179">
        <v>2274.4099999999999</v>
      </c>
      <c r="D25" s="444">
        <v>44189</v>
      </c>
      <c r="E25" s="402">
        <f t="shared" si="0"/>
        <v>0</v>
      </c>
      <c r="F25" s="75">
        <f t="shared" si="1"/>
        <v>0</v>
      </c>
    </row>
    <row r="26" spans="1:6" ht="12.5">
      <c r="A26" s="3">
        <v>17</v>
      </c>
      <c r="B26" s="444">
        <v>44193</v>
      </c>
      <c r="C26" s="179">
        <v>1869.5300000000002</v>
      </c>
      <c r="D26" s="444">
        <v>44193</v>
      </c>
      <c r="E26" s="402">
        <f t="shared" si="0"/>
        <v>0</v>
      </c>
      <c r="F26" s="75">
        <f t="shared" si="1"/>
        <v>0</v>
      </c>
    </row>
    <row r="27" spans="1:6" ht="12.5">
      <c r="A27" s="3">
        <v>18</v>
      </c>
      <c r="B27" s="444">
        <v>44195</v>
      </c>
      <c r="C27" s="179">
        <v>848707.83999999997</v>
      </c>
      <c r="D27" s="444">
        <v>44195</v>
      </c>
      <c r="E27" s="402">
        <f t="shared" si="0"/>
        <v>0</v>
      </c>
      <c r="F27" s="75">
        <f t="shared" si="1"/>
        <v>0</v>
      </c>
    </row>
    <row r="28" spans="1:6" ht="12.5">
      <c r="A28" s="3">
        <v>19</v>
      </c>
      <c r="B28" s="444">
        <v>44203</v>
      </c>
      <c r="C28" s="179">
        <v>664.01999999999998</v>
      </c>
      <c r="D28" s="444">
        <v>44203</v>
      </c>
      <c r="E28" s="402">
        <f t="shared" si="0"/>
        <v>0</v>
      </c>
      <c r="F28" s="75">
        <f t="shared" si="1"/>
        <v>0</v>
      </c>
    </row>
    <row r="29" spans="1:6" ht="12.5">
      <c r="A29" s="3">
        <v>20</v>
      </c>
      <c r="B29" s="444">
        <v>44207</v>
      </c>
      <c r="C29" s="179">
        <v>909.38</v>
      </c>
      <c r="D29" s="444">
        <v>44207</v>
      </c>
      <c r="E29" s="402">
        <f t="shared" si="0"/>
        <v>0</v>
      </c>
      <c r="F29" s="75">
        <f t="shared" si="1"/>
        <v>0</v>
      </c>
    </row>
    <row r="30" spans="1:6" ht="12.5">
      <c r="A30" s="3">
        <v>21</v>
      </c>
      <c r="B30" s="444">
        <v>44210</v>
      </c>
      <c r="C30" s="179">
        <v>273750.97999999998</v>
      </c>
      <c r="D30" s="444">
        <v>44210</v>
      </c>
      <c r="E30" s="402">
        <f t="shared" si="0"/>
        <v>0</v>
      </c>
      <c r="F30" s="75">
        <f t="shared" si="1"/>
        <v>0</v>
      </c>
    </row>
    <row r="31" spans="1:6" ht="12.5">
      <c r="A31" s="3">
        <v>22</v>
      </c>
      <c r="B31" s="444">
        <v>44210</v>
      </c>
      <c r="C31" s="179">
        <v>877399.82000000007</v>
      </c>
      <c r="D31" s="444">
        <v>44210</v>
      </c>
      <c r="E31" s="402">
        <f t="shared" si="0"/>
        <v>0</v>
      </c>
      <c r="F31" s="75">
        <f t="shared" si="1"/>
        <v>0</v>
      </c>
    </row>
    <row r="32" spans="1:6" ht="12.5">
      <c r="A32" s="3">
        <v>23</v>
      </c>
      <c r="B32" s="444">
        <v>44216</v>
      </c>
      <c r="C32" s="179">
        <v>118.08999999999999</v>
      </c>
      <c r="D32" s="444">
        <v>44216</v>
      </c>
      <c r="E32" s="402">
        <f t="shared" si="0"/>
        <v>0</v>
      </c>
      <c r="F32" s="75">
        <f t="shared" si="1"/>
        <v>0</v>
      </c>
    </row>
    <row r="33" spans="1:6" ht="12.5">
      <c r="A33" s="3">
        <v>24</v>
      </c>
      <c r="B33" s="444">
        <v>44223</v>
      </c>
      <c r="C33" s="179">
        <v>11815.349999999999</v>
      </c>
      <c r="D33" s="444">
        <v>44223</v>
      </c>
      <c r="E33" s="402">
        <f t="shared" si="0"/>
        <v>0</v>
      </c>
      <c r="F33" s="75">
        <f t="shared" si="1"/>
        <v>0</v>
      </c>
    </row>
    <row r="34" spans="1:6" ht="12.5">
      <c r="A34" s="3">
        <v>25</v>
      </c>
      <c r="B34" s="444">
        <v>44224</v>
      </c>
      <c r="C34" s="179">
        <v>1228824.75</v>
      </c>
      <c r="D34" s="444">
        <v>44224</v>
      </c>
      <c r="E34" s="402">
        <f t="shared" si="0"/>
        <v>0</v>
      </c>
      <c r="F34" s="75">
        <f t="shared" si="1"/>
        <v>0</v>
      </c>
    </row>
    <row r="35" spans="1:6" ht="12.5">
      <c r="A35" s="3">
        <v>26</v>
      </c>
      <c r="B35" s="444">
        <v>44238</v>
      </c>
      <c r="C35" s="179">
        <v>1088414.8900000001</v>
      </c>
      <c r="D35" s="444">
        <v>44238</v>
      </c>
      <c r="E35" s="402">
        <f t="shared" si="0"/>
        <v>0</v>
      </c>
      <c r="F35" s="75">
        <f t="shared" si="1"/>
        <v>0</v>
      </c>
    </row>
    <row r="36" spans="1:6" ht="12.5">
      <c r="A36" s="3">
        <v>27</v>
      </c>
      <c r="B36" s="444">
        <v>44243</v>
      </c>
      <c r="C36" s="179">
        <v>23665.600000000002</v>
      </c>
      <c r="D36" s="444">
        <v>44243</v>
      </c>
      <c r="E36" s="402">
        <f t="shared" si="0"/>
        <v>0</v>
      </c>
      <c r="F36" s="75">
        <f t="shared" si="1"/>
        <v>0</v>
      </c>
    </row>
    <row r="37" spans="1:6" ht="12.5">
      <c r="A37" s="3">
        <v>28</v>
      </c>
      <c r="B37" s="444">
        <v>44244</v>
      </c>
      <c r="C37" s="179">
        <v>526.49000000000001</v>
      </c>
      <c r="D37" s="444">
        <v>44244</v>
      </c>
      <c r="E37" s="402">
        <f t="shared" si="0"/>
        <v>0</v>
      </c>
      <c r="F37" s="75">
        <f t="shared" si="1"/>
        <v>0</v>
      </c>
    </row>
    <row r="38" spans="1:6" ht="12.5">
      <c r="A38" s="3">
        <v>29</v>
      </c>
      <c r="B38" s="444">
        <v>44246</v>
      </c>
      <c r="C38" s="179">
        <v>66991.410000000003</v>
      </c>
      <c r="D38" s="444">
        <v>44246</v>
      </c>
      <c r="E38" s="402">
        <f t="shared" si="0"/>
        <v>0</v>
      </c>
      <c r="F38" s="75">
        <f t="shared" si="1"/>
        <v>0</v>
      </c>
    </row>
    <row r="39" spans="1:6" ht="12.5">
      <c r="A39" s="3">
        <v>30</v>
      </c>
      <c r="B39" s="444">
        <v>44252</v>
      </c>
      <c r="C39" s="179">
        <v>1444086.1599999999</v>
      </c>
      <c r="D39" s="444">
        <v>44252</v>
      </c>
      <c r="E39" s="402">
        <f t="shared" si="0"/>
        <v>0</v>
      </c>
      <c r="F39" s="75">
        <f t="shared" si="1"/>
        <v>0</v>
      </c>
    </row>
    <row r="40" spans="1:6" ht="12.5">
      <c r="A40" s="3">
        <v>31</v>
      </c>
      <c r="B40" s="444">
        <v>44256</v>
      </c>
      <c r="C40" s="179">
        <v>325.13</v>
      </c>
      <c r="D40" s="444">
        <v>44256</v>
      </c>
      <c r="E40" s="402">
        <f t="shared" si="0"/>
        <v>0</v>
      </c>
      <c r="F40" s="75">
        <f t="shared" si="1"/>
        <v>0</v>
      </c>
    </row>
    <row r="41" spans="1:6" ht="12.5">
      <c r="A41" s="3">
        <v>32</v>
      </c>
      <c r="B41" s="444">
        <v>44266</v>
      </c>
      <c r="C41" s="179">
        <v>272902.35999999999</v>
      </c>
      <c r="D41" s="444">
        <v>44266</v>
      </c>
      <c r="E41" s="402">
        <f t="shared" si="0"/>
        <v>0</v>
      </c>
      <c r="F41" s="75">
        <f t="shared" si="1"/>
        <v>0</v>
      </c>
    </row>
    <row r="42" spans="1:6" ht="12.5">
      <c r="A42" s="3">
        <v>33</v>
      </c>
      <c r="B42" s="444">
        <v>44260</v>
      </c>
      <c r="C42" s="179">
        <v>3472114.0499999998</v>
      </c>
      <c r="D42" s="444">
        <v>44260</v>
      </c>
      <c r="E42" s="402">
        <f t="shared" si="0"/>
        <v>0</v>
      </c>
      <c r="F42" s="75">
        <f t="shared" si="1"/>
        <v>0</v>
      </c>
    </row>
    <row r="43" spans="1:6" ht="12.5">
      <c r="A43" s="3">
        <v>34</v>
      </c>
      <c r="B43" s="444">
        <v>44267</v>
      </c>
      <c r="C43" s="179">
        <v>1062319.8999999999</v>
      </c>
      <c r="D43" s="444">
        <v>44267</v>
      </c>
      <c r="E43" s="402">
        <f t="shared" si="0"/>
        <v>0</v>
      </c>
      <c r="F43" s="75">
        <f t="shared" si="1"/>
        <v>0</v>
      </c>
    </row>
    <row r="44" spans="1:6" ht="12.5">
      <c r="A44" s="3">
        <v>35</v>
      </c>
      <c r="B44" s="444">
        <v>44270</v>
      </c>
      <c r="C44" s="179">
        <v>9896.75</v>
      </c>
      <c r="D44" s="444">
        <v>44270</v>
      </c>
      <c r="E44" s="402">
        <f t="shared" si="0"/>
        <v>0</v>
      </c>
      <c r="F44" s="75">
        <f t="shared" si="1"/>
        <v>0</v>
      </c>
    </row>
    <row r="45" spans="1:6" ht="12.5">
      <c r="A45" s="3">
        <v>36</v>
      </c>
      <c r="B45" s="444">
        <v>44272</v>
      </c>
      <c r="C45" s="179">
        <v>10947.82</v>
      </c>
      <c r="D45" s="444">
        <v>44272</v>
      </c>
      <c r="E45" s="402">
        <f t="shared" si="0"/>
        <v>0</v>
      </c>
      <c r="F45" s="75">
        <f t="shared" si="1"/>
        <v>0</v>
      </c>
    </row>
    <row r="46" spans="1:6" ht="12.5">
      <c r="A46" s="3">
        <v>37</v>
      </c>
      <c r="B46" s="444">
        <v>44274</v>
      </c>
      <c r="C46" s="179">
        <v>102209.88000000001</v>
      </c>
      <c r="D46" s="444">
        <v>44274</v>
      </c>
      <c r="E46" s="402">
        <f t="shared" si="0"/>
        <v>0</v>
      </c>
      <c r="F46" s="75">
        <f t="shared" si="1"/>
        <v>0</v>
      </c>
    </row>
    <row r="47" spans="1:6" ht="12.5">
      <c r="A47" s="3">
        <v>38</v>
      </c>
      <c r="B47" s="444">
        <v>44277</v>
      </c>
      <c r="C47" s="179">
        <v>1496.4000000000001</v>
      </c>
      <c r="D47" s="444">
        <v>44277</v>
      </c>
      <c r="E47" s="402">
        <f t="shared" si="0"/>
        <v>0</v>
      </c>
      <c r="F47" s="75">
        <f t="shared" si="1"/>
        <v>0</v>
      </c>
    </row>
    <row r="48" spans="1:6" ht="12.5">
      <c r="A48" s="3">
        <v>39</v>
      </c>
      <c r="B48" s="444">
        <v>44280</v>
      </c>
      <c r="C48" s="179">
        <v>263261.92999999999</v>
      </c>
      <c r="D48" s="444">
        <v>44280</v>
      </c>
      <c r="E48" s="402">
        <f t="shared" si="0"/>
        <v>0</v>
      </c>
      <c r="F48" s="75">
        <f t="shared" si="1"/>
        <v>0</v>
      </c>
    </row>
    <row r="49" spans="1:6" ht="12.5">
      <c r="A49" s="3">
        <v>40</v>
      </c>
      <c r="B49" s="444">
        <v>44285</v>
      </c>
      <c r="C49" s="179">
        <v>1002579.47</v>
      </c>
      <c r="D49" s="444">
        <v>44285</v>
      </c>
      <c r="E49" s="402">
        <f t="shared" si="0"/>
        <v>0</v>
      </c>
      <c r="F49" s="75">
        <f t="shared" si="1"/>
        <v>0</v>
      </c>
    </row>
    <row r="50" spans="1:6" ht="12.5">
      <c r="A50" s="3">
        <v>41</v>
      </c>
      <c r="B50" s="444">
        <v>44286</v>
      </c>
      <c r="C50" s="179">
        <v>6637.25</v>
      </c>
      <c r="D50" s="444">
        <v>44286</v>
      </c>
      <c r="E50" s="402">
        <f t="shared" si="0"/>
        <v>0</v>
      </c>
      <c r="F50" s="75">
        <f t="shared" si="1"/>
        <v>0</v>
      </c>
    </row>
    <row r="51" spans="1:6" ht="12.5">
      <c r="A51" s="3">
        <v>42</v>
      </c>
      <c r="B51" s="444">
        <v>44291</v>
      </c>
      <c r="C51" s="179">
        <v>192.13</v>
      </c>
      <c r="D51" s="444">
        <v>44291</v>
      </c>
      <c r="E51" s="402">
        <f t="shared" si="0"/>
        <v>0</v>
      </c>
      <c r="F51" s="75">
        <f t="shared" si="1"/>
        <v>0</v>
      </c>
    </row>
    <row r="52" spans="1:6" ht="12.5">
      <c r="A52" s="3">
        <v>43</v>
      </c>
      <c r="B52" s="444">
        <v>44294</v>
      </c>
      <c r="C52" s="179">
        <v>254304.55000000002</v>
      </c>
      <c r="D52" s="444">
        <v>44294</v>
      </c>
      <c r="E52" s="402">
        <f t="shared" si="0"/>
        <v>0</v>
      </c>
      <c r="F52" s="75">
        <f t="shared" si="1"/>
        <v>0</v>
      </c>
    </row>
    <row r="53" spans="1:6" ht="12.5">
      <c r="A53" s="3">
        <v>44</v>
      </c>
      <c r="B53" s="444">
        <v>44295</v>
      </c>
      <c r="C53" s="179">
        <v>909.45999999999992</v>
      </c>
      <c r="D53" s="444">
        <v>44295</v>
      </c>
      <c r="E53" s="402">
        <f t="shared" si="0"/>
        <v>0</v>
      </c>
      <c r="F53" s="75">
        <f t="shared" si="1"/>
        <v>0</v>
      </c>
    </row>
    <row r="54" spans="1:6" ht="12.5">
      <c r="A54" s="3">
        <v>45</v>
      </c>
      <c r="B54" s="444">
        <v>44299</v>
      </c>
      <c r="C54" s="179">
        <v>2831.3800000000001</v>
      </c>
      <c r="D54" s="444">
        <v>44299</v>
      </c>
      <c r="E54" s="402">
        <f t="shared" si="0"/>
        <v>0</v>
      </c>
      <c r="F54" s="75">
        <f t="shared" si="1"/>
        <v>0</v>
      </c>
    </row>
    <row r="55" spans="1:6" ht="12.5">
      <c r="A55" s="3">
        <v>46</v>
      </c>
      <c r="B55" s="444">
        <v>44300</v>
      </c>
      <c r="C55" s="179">
        <v>847504.82000000007</v>
      </c>
      <c r="D55" s="444">
        <v>44300</v>
      </c>
      <c r="E55" s="402">
        <f t="shared" si="0"/>
        <v>0</v>
      </c>
      <c r="F55" s="75">
        <f t="shared" si="1"/>
        <v>0</v>
      </c>
    </row>
    <row r="56" spans="1:6" ht="12.5">
      <c r="A56" s="3">
        <v>47</v>
      </c>
      <c r="B56" s="444">
        <v>44301</v>
      </c>
      <c r="C56" s="179">
        <v>253.52999999999997</v>
      </c>
      <c r="D56" s="444">
        <v>44301</v>
      </c>
      <c r="E56" s="402">
        <f t="shared" si="0"/>
        <v>0</v>
      </c>
      <c r="F56" s="75">
        <f t="shared" si="1"/>
        <v>0</v>
      </c>
    </row>
    <row r="57" spans="1:6" ht="12.5">
      <c r="A57" s="3">
        <v>48</v>
      </c>
      <c r="B57" s="444">
        <v>44302</v>
      </c>
      <c r="C57" s="179">
        <v>1516.4100000000001</v>
      </c>
      <c r="D57" s="444">
        <v>44302</v>
      </c>
      <c r="E57" s="402">
        <f t="shared" si="0"/>
        <v>0</v>
      </c>
      <c r="F57" s="75">
        <f t="shared" si="1"/>
        <v>0</v>
      </c>
    </row>
    <row r="58" spans="1:6" ht="12.5">
      <c r="A58" s="3">
        <v>49</v>
      </c>
      <c r="B58" s="444">
        <v>44308</v>
      </c>
      <c r="C58" s="179">
        <v>257818.75</v>
      </c>
      <c r="D58" s="444">
        <v>44308</v>
      </c>
      <c r="E58" s="402">
        <f t="shared" si="0"/>
        <v>0</v>
      </c>
      <c r="F58" s="75">
        <f t="shared" si="1"/>
        <v>0</v>
      </c>
    </row>
    <row r="59" spans="1:6" ht="12.5">
      <c r="A59" s="3">
        <v>50</v>
      </c>
      <c r="B59" s="444">
        <v>44312</v>
      </c>
      <c r="C59" s="179">
        <v>1602.7000000000001</v>
      </c>
      <c r="D59" s="444">
        <v>44312</v>
      </c>
      <c r="E59" s="402">
        <f t="shared" si="0"/>
        <v>0</v>
      </c>
      <c r="F59" s="75">
        <f t="shared" si="1"/>
        <v>0</v>
      </c>
    </row>
    <row r="60" spans="1:6" ht="12.5">
      <c r="A60" s="3">
        <v>51</v>
      </c>
      <c r="B60" s="444">
        <v>44315</v>
      </c>
      <c r="C60" s="179">
        <v>829147.65999999992</v>
      </c>
      <c r="D60" s="444">
        <v>44315</v>
      </c>
      <c r="E60" s="402">
        <f t="shared" si="0"/>
        <v>0</v>
      </c>
      <c r="F60" s="75">
        <f t="shared" si="1"/>
        <v>0</v>
      </c>
    </row>
    <row r="61" spans="1:6" ht="12.5">
      <c r="A61" s="3">
        <v>52</v>
      </c>
      <c r="B61" s="444">
        <v>44327</v>
      </c>
      <c r="C61" s="179">
        <v>6207.8199999999997</v>
      </c>
      <c r="D61" s="444">
        <v>44327</v>
      </c>
      <c r="E61" s="402">
        <f t="shared" si="0"/>
        <v>0</v>
      </c>
      <c r="F61" s="75">
        <f t="shared" si="1"/>
        <v>0</v>
      </c>
    </row>
    <row r="62" spans="1:6" ht="12.5">
      <c r="A62" s="3">
        <v>53</v>
      </c>
      <c r="B62" s="444">
        <v>44322</v>
      </c>
      <c r="C62" s="179">
        <v>264714.91999999998</v>
      </c>
      <c r="D62" s="444">
        <v>44322</v>
      </c>
      <c r="E62" s="402">
        <f t="shared" si="0"/>
        <v>0</v>
      </c>
      <c r="F62" s="75">
        <f t="shared" si="1"/>
        <v>0</v>
      </c>
    </row>
    <row r="63" spans="1:6" ht="12.5">
      <c r="A63" s="3">
        <v>54</v>
      </c>
      <c r="B63" s="444">
        <v>44329</v>
      </c>
      <c r="C63" s="179">
        <v>853253.23999999999</v>
      </c>
      <c r="D63" s="444">
        <v>44329</v>
      </c>
      <c r="E63" s="402">
        <f t="shared" si="0"/>
        <v>0</v>
      </c>
      <c r="F63" s="75">
        <f t="shared" si="1"/>
        <v>0</v>
      </c>
    </row>
    <row r="64" spans="1:6" ht="12.5">
      <c r="A64" s="3">
        <v>55</v>
      </c>
      <c r="B64" s="444">
        <v>44330</v>
      </c>
      <c r="C64" s="179">
        <v>909.35000000000002</v>
      </c>
      <c r="D64" s="444">
        <v>44330</v>
      </c>
      <c r="E64" s="402">
        <f t="shared" si="0"/>
        <v>0</v>
      </c>
      <c r="F64" s="75">
        <f t="shared" si="1"/>
        <v>0</v>
      </c>
    </row>
    <row r="65" spans="1:6" ht="12.5">
      <c r="A65" s="3">
        <v>56</v>
      </c>
      <c r="B65" s="444">
        <v>44336</v>
      </c>
      <c r="C65" s="179">
        <v>300832.25</v>
      </c>
      <c r="D65" s="444">
        <v>44336</v>
      </c>
      <c r="E65" s="402">
        <f t="shared" si="0"/>
        <v>0</v>
      </c>
      <c r="F65" s="75">
        <f t="shared" si="1"/>
        <v>0</v>
      </c>
    </row>
    <row r="66" spans="1:6" ht="12.5">
      <c r="A66" s="3">
        <v>57</v>
      </c>
      <c r="B66" s="444">
        <v>44340</v>
      </c>
      <c r="C66" s="179">
        <v>1489.5799999999999</v>
      </c>
      <c r="D66" s="444">
        <v>44340</v>
      </c>
      <c r="E66" s="402">
        <f t="shared" si="0"/>
        <v>0</v>
      </c>
      <c r="F66" s="75">
        <f t="shared" si="1"/>
        <v>0</v>
      </c>
    </row>
    <row r="67" spans="1:6" ht="12.5">
      <c r="A67" s="3">
        <v>58</v>
      </c>
      <c r="B67" s="444">
        <v>44343</v>
      </c>
      <c r="C67" s="179">
        <v>850327.82000000007</v>
      </c>
      <c r="D67" s="444">
        <v>44343</v>
      </c>
      <c r="E67" s="402">
        <f t="shared" si="0"/>
        <v>0</v>
      </c>
      <c r="F67" s="75">
        <f t="shared" si="1"/>
        <v>0</v>
      </c>
    </row>
    <row r="68" spans="1:6" ht="12.5">
      <c r="A68" s="3">
        <v>59</v>
      </c>
      <c r="B68" s="444">
        <v>44350</v>
      </c>
      <c r="C68" s="179">
        <v>293430.70000000001</v>
      </c>
      <c r="D68" s="444">
        <v>44350</v>
      </c>
      <c r="E68" s="402">
        <f t="shared" si="0"/>
        <v>0</v>
      </c>
      <c r="F68" s="75">
        <f t="shared" si="1"/>
        <v>0</v>
      </c>
    </row>
    <row r="69" spans="1:6" ht="12.5">
      <c r="A69" s="3">
        <v>60</v>
      </c>
      <c r="B69" s="444">
        <v>44364</v>
      </c>
      <c r="C69" s="179">
        <v>306839.79999999999</v>
      </c>
      <c r="D69" s="444">
        <v>44364</v>
      </c>
      <c r="E69" s="402">
        <f t="shared" si="0"/>
        <v>0</v>
      </c>
      <c r="F69" s="75">
        <f t="shared" si="1"/>
        <v>0</v>
      </c>
    </row>
    <row r="70" spans="1:6" ht="12.5">
      <c r="A70" s="3">
        <v>61</v>
      </c>
      <c r="B70" s="444">
        <v>44356</v>
      </c>
      <c r="C70" s="179">
        <v>183.60000000000002</v>
      </c>
      <c r="D70" s="444">
        <v>44356</v>
      </c>
      <c r="E70" s="402">
        <f t="shared" si="0"/>
        <v>0</v>
      </c>
      <c r="F70" s="75">
        <f t="shared" si="1"/>
        <v>0</v>
      </c>
    </row>
    <row r="71" spans="1:6" ht="12.5">
      <c r="A71" s="3">
        <v>62</v>
      </c>
      <c r="B71" s="444">
        <v>44361</v>
      </c>
      <c r="C71" s="179">
        <v>872808.96999999997</v>
      </c>
      <c r="D71" s="444">
        <v>44361</v>
      </c>
      <c r="E71" s="402">
        <f t="shared" si="0"/>
        <v>0</v>
      </c>
      <c r="F71" s="75">
        <f t="shared" si="1"/>
        <v>0</v>
      </c>
    </row>
    <row r="72" spans="1:6" ht="12.5">
      <c r="A72" s="3">
        <v>63</v>
      </c>
      <c r="B72" s="444">
        <v>44372</v>
      </c>
      <c r="C72" s="179">
        <v>4556.0500000000002</v>
      </c>
      <c r="D72" s="444">
        <v>44372</v>
      </c>
      <c r="E72" s="402">
        <f t="shared" si="0"/>
        <v>0</v>
      </c>
      <c r="F72" s="75">
        <f t="shared" si="1"/>
        <v>0</v>
      </c>
    </row>
    <row r="73" spans="1:6" ht="12.5">
      <c r="A73" s="3">
        <v>64</v>
      </c>
      <c r="B73" s="444">
        <v>44376</v>
      </c>
      <c r="C73" s="179">
        <v>862909.25</v>
      </c>
      <c r="D73" s="444">
        <v>44376</v>
      </c>
      <c r="E73" s="402">
        <f t="shared" si="0"/>
        <v>0</v>
      </c>
      <c r="F73" s="75">
        <f t="shared" si="1"/>
        <v>0</v>
      </c>
    </row>
    <row r="74" spans="1:6" ht="12.5">
      <c r="A74" s="3">
        <v>65</v>
      </c>
      <c r="B74" s="444">
        <v>44378</v>
      </c>
      <c r="C74" s="179">
        <v>276760.22999999998</v>
      </c>
      <c r="D74" s="444">
        <v>44378</v>
      </c>
      <c r="E74" s="402">
        <f t="shared" si="0"/>
        <v>0</v>
      </c>
      <c r="F74" s="75">
        <f t="shared" si="1"/>
        <v>0</v>
      </c>
    </row>
    <row r="75" spans="1:6" ht="12.5">
      <c r="A75" s="3">
        <v>66</v>
      </c>
      <c r="B75" s="444">
        <v>44384</v>
      </c>
      <c r="C75" s="179">
        <v>2162.8200000000002</v>
      </c>
      <c r="D75" s="444">
        <v>44384</v>
      </c>
      <c r="E75" s="402">
        <f t="shared" si="2" ref="E75:E92">IF(C75=0,0,-(D75-B75))</f>
        <v>0</v>
      </c>
      <c r="F75" s="75">
        <f t="shared" si="3" ref="F75:F92">C75*E75</f>
        <v>0</v>
      </c>
    </row>
    <row r="76" spans="1:6" ht="12.5">
      <c r="A76" s="3">
        <v>67</v>
      </c>
      <c r="B76" s="444">
        <v>44390</v>
      </c>
      <c r="C76" s="179">
        <v>404.52999999999997</v>
      </c>
      <c r="D76" s="444">
        <v>44390</v>
      </c>
      <c r="E76" s="402">
        <f t="shared" si="2"/>
        <v>0</v>
      </c>
      <c r="F76" s="75">
        <f t="shared" si="3"/>
        <v>0</v>
      </c>
    </row>
    <row r="77" spans="1:6" ht="12.5">
      <c r="A77" s="3">
        <v>68</v>
      </c>
      <c r="B77" s="444">
        <v>44391</v>
      </c>
      <c r="C77" s="179">
        <v>862194.84999999998</v>
      </c>
      <c r="D77" s="444">
        <v>44391</v>
      </c>
      <c r="E77" s="402">
        <f t="shared" si="2"/>
        <v>0</v>
      </c>
      <c r="F77" s="75">
        <f t="shared" si="3"/>
        <v>0</v>
      </c>
    </row>
    <row r="78" spans="1:6" ht="12.5">
      <c r="A78" s="3">
        <v>69</v>
      </c>
      <c r="B78" s="444">
        <v>44392</v>
      </c>
      <c r="C78" s="179">
        <v>289860.83999999997</v>
      </c>
      <c r="D78" s="444">
        <v>44392</v>
      </c>
      <c r="E78" s="402">
        <f t="shared" si="2"/>
        <v>0</v>
      </c>
      <c r="F78" s="75">
        <f t="shared" si="3"/>
        <v>0</v>
      </c>
    </row>
    <row r="79" spans="1:6" ht="12.5">
      <c r="A79" s="3">
        <v>70</v>
      </c>
      <c r="B79" s="444">
        <v>44393</v>
      </c>
      <c r="C79" s="179">
        <v>4833.8199999999997</v>
      </c>
      <c r="D79" s="444">
        <v>44393</v>
      </c>
      <c r="E79" s="402">
        <f t="shared" si="2"/>
        <v>0</v>
      </c>
      <c r="F79" s="75">
        <f t="shared" si="3"/>
        <v>0</v>
      </c>
    </row>
    <row r="80" spans="1:6" ht="12.5">
      <c r="A80" s="3">
        <f>A79+1</f>
        <v>71</v>
      </c>
      <c r="B80" s="444">
        <v>44400</v>
      </c>
      <c r="C80" s="179">
        <v>456.99000000000001</v>
      </c>
      <c r="D80" s="444">
        <v>44400</v>
      </c>
      <c r="E80" s="402">
        <f t="shared" si="2"/>
        <v>0</v>
      </c>
      <c r="F80" s="75">
        <f t="shared" si="3"/>
        <v>0</v>
      </c>
    </row>
    <row r="81" spans="1:6" ht="12.5">
      <c r="A81" s="3">
        <v>72</v>
      </c>
      <c r="B81" s="444">
        <v>44406</v>
      </c>
      <c r="C81" s="179">
        <v>1137824.1700000002</v>
      </c>
      <c r="D81" s="444">
        <v>44406</v>
      </c>
      <c r="E81" s="402">
        <f t="shared" si="2"/>
        <v>0</v>
      </c>
      <c r="F81" s="75">
        <f t="shared" si="3"/>
        <v>0</v>
      </c>
    </row>
    <row r="82" spans="1:6" ht="12.5">
      <c r="A82" s="3">
        <f>A81+1</f>
        <v>73</v>
      </c>
      <c r="B82" s="444">
        <v>44407</v>
      </c>
      <c r="C82" s="179">
        <v>345.54000000000002</v>
      </c>
      <c r="D82" s="444">
        <v>44407</v>
      </c>
      <c r="E82" s="402">
        <f t="shared" si="2"/>
        <v>0</v>
      </c>
      <c r="F82" s="75">
        <f t="shared" si="3"/>
        <v>0</v>
      </c>
    </row>
    <row r="83" spans="1:6" ht="12.5">
      <c r="A83" s="3">
        <f t="shared" si="4" ref="A83:A102">A82+1</f>
        <v>74</v>
      </c>
      <c r="B83" s="444">
        <v>44420</v>
      </c>
      <c r="C83" s="179">
        <v>1117493.78</v>
      </c>
      <c r="D83" s="444">
        <v>44420</v>
      </c>
      <c r="E83" s="402">
        <f t="shared" si="2"/>
        <v>0</v>
      </c>
      <c r="F83" s="75">
        <f t="shared" si="3"/>
        <v>0</v>
      </c>
    </row>
    <row r="84" spans="1:6" ht="12.5">
      <c r="A84" s="3">
        <f t="shared" si="4"/>
        <v>75</v>
      </c>
      <c r="B84" s="444">
        <v>44427</v>
      </c>
      <c r="C84" s="179">
        <v>945.94999999999993</v>
      </c>
      <c r="D84" s="444">
        <v>44427</v>
      </c>
      <c r="E84" s="402">
        <f t="shared" si="2"/>
        <v>0</v>
      </c>
      <c r="F84" s="75">
        <f t="shared" si="3"/>
        <v>0</v>
      </c>
    </row>
    <row r="85" spans="1:6" ht="12.5">
      <c r="A85" s="3">
        <f t="shared" si="4"/>
        <v>76</v>
      </c>
      <c r="B85" s="444">
        <v>44434</v>
      </c>
      <c r="C85" s="179">
        <v>286288.54000000004</v>
      </c>
      <c r="D85" s="444">
        <v>44434</v>
      </c>
      <c r="E85" s="402">
        <f t="shared" si="2"/>
        <v>0</v>
      </c>
      <c r="F85" s="75">
        <f t="shared" si="3"/>
        <v>0</v>
      </c>
    </row>
    <row r="86" spans="1:6" ht="12.5">
      <c r="A86" s="3">
        <f t="shared" si="4"/>
        <v>77</v>
      </c>
      <c r="B86" s="444">
        <v>44438</v>
      </c>
      <c r="C86" s="179">
        <v>943373.93000000005</v>
      </c>
      <c r="D86" s="444">
        <v>44438</v>
      </c>
      <c r="E86" s="402">
        <f t="shared" si="2"/>
        <v>0</v>
      </c>
      <c r="F86" s="75">
        <f t="shared" si="3"/>
        <v>0</v>
      </c>
    </row>
    <row r="87" spans="1:6" ht="12.5">
      <c r="A87" s="3">
        <f t="shared" si="4"/>
        <v>78</v>
      </c>
      <c r="B87" s="444">
        <v>44447</v>
      </c>
      <c r="C87" s="179">
        <v>900.09000000000003</v>
      </c>
      <c r="D87" s="444">
        <v>44447</v>
      </c>
      <c r="E87" s="402">
        <f t="shared" si="2"/>
        <v>0</v>
      </c>
      <c r="F87" s="75">
        <f t="shared" si="3"/>
        <v>0</v>
      </c>
    </row>
    <row r="88" spans="1:6" ht="12.5">
      <c r="A88" s="3">
        <f t="shared" si="4"/>
        <v>79</v>
      </c>
      <c r="B88" s="444">
        <v>44448</v>
      </c>
      <c r="C88" s="179">
        <v>252404.24000000002</v>
      </c>
      <c r="D88" s="444">
        <v>44448</v>
      </c>
      <c r="E88" s="402">
        <f t="shared" si="2"/>
        <v>0</v>
      </c>
      <c r="F88" s="75">
        <f t="shared" si="3"/>
        <v>0</v>
      </c>
    </row>
    <row r="89" spans="1:6" ht="12.5">
      <c r="A89" s="3">
        <f t="shared" si="4"/>
        <v>80</v>
      </c>
      <c r="B89" s="444">
        <v>44453</v>
      </c>
      <c r="C89" s="179">
        <v>783706.33000000007</v>
      </c>
      <c r="D89" s="444">
        <v>44453</v>
      </c>
      <c r="E89" s="402">
        <f t="shared" si="2"/>
        <v>0</v>
      </c>
      <c r="F89" s="75">
        <f t="shared" si="3"/>
        <v>0</v>
      </c>
    </row>
    <row r="90" spans="1:6" ht="12.5">
      <c r="A90" s="3">
        <f t="shared" si="4"/>
        <v>81</v>
      </c>
      <c r="B90" s="444">
        <v>44459</v>
      </c>
      <c r="C90" s="179">
        <v>3298.9899999999998</v>
      </c>
      <c r="D90" s="444">
        <v>44459</v>
      </c>
      <c r="E90" s="402">
        <f t="shared" si="2"/>
        <v>0</v>
      </c>
      <c r="F90" s="75">
        <f t="shared" si="3"/>
        <v>0</v>
      </c>
    </row>
    <row r="91" spans="1:6" ht="12.5">
      <c r="A91" s="3">
        <f t="shared" si="4"/>
        <v>82</v>
      </c>
      <c r="B91" s="444">
        <v>44462</v>
      </c>
      <c r="C91" s="179">
        <v>248244.42999999999</v>
      </c>
      <c r="D91" s="444">
        <v>44462</v>
      </c>
      <c r="E91" s="402">
        <f t="shared" si="2"/>
        <v>0</v>
      </c>
      <c r="F91" s="75">
        <f t="shared" si="3"/>
        <v>0</v>
      </c>
    </row>
    <row r="92" spans="1:6" ht="12.5">
      <c r="A92" s="3">
        <f t="shared" si="4"/>
        <v>83</v>
      </c>
      <c r="B92" s="444">
        <v>44468</v>
      </c>
      <c r="C92" s="179">
        <v>755176.98999999999</v>
      </c>
      <c r="D92" s="444">
        <v>44468</v>
      </c>
      <c r="E92" s="402">
        <f t="shared" si="2"/>
        <v>0</v>
      </c>
      <c r="F92" s="75">
        <f t="shared" si="3"/>
        <v>0</v>
      </c>
    </row>
    <row r="93" spans="1:6" ht="12.5">
      <c r="A93" s="3">
        <f t="shared" si="4"/>
        <v>84</v>
      </c>
      <c r="B93" s="444"/>
      <c r="C93" s="248"/>
      <c r="D93" s="444"/>
      <c r="E93" s="402"/>
      <c r="F93" s="29"/>
    </row>
    <row r="94" spans="1:6" ht="13" thickBot="1">
      <c r="A94" s="3">
        <f t="shared" si="4"/>
        <v>85</v>
      </c>
      <c r="B94" s="189" t="s">
        <v>26</v>
      </c>
      <c r="C94" s="403">
        <f>SUM(C10:C92)</f>
        <v>30638560.5</v>
      </c>
      <c r="E94" s="404">
        <f>ROUND(F94/C94,2)</f>
        <v>0</v>
      </c>
      <c r="F94" s="403">
        <f>SUM(F10:F92)</f>
        <v>0</v>
      </c>
    </row>
    <row r="95" spans="1:6" ht="13" thickTop="1">
      <c r="A95" s="3">
        <f t="shared" si="4"/>
        <v>86</v>
      </c>
      <c r="C95" s="197"/>
      <c r="E95" s="162"/>
      <c r="F95" s="46"/>
    </row>
    <row r="96" spans="1:6" ht="12.5">
      <c r="A96" s="3">
        <f t="shared" si="4"/>
        <v>87</v>
      </c>
      <c r="B96" s="676" t="s">
        <v>540</v>
      </c>
      <c r="C96" s="197"/>
      <c r="E96" s="405">
        <f>+ROUND(C94/365.25,0)</f>
        <v>83884</v>
      </c>
      <c r="F96" s="46"/>
    </row>
    <row r="97" spans="1:6" ht="12.5">
      <c r="A97" s="3">
        <f t="shared" si="4"/>
        <v>88</v>
      </c>
      <c r="B97" s="189"/>
      <c r="C97" s="197"/>
      <c r="E97" s="163"/>
      <c r="F97" s="46"/>
    </row>
    <row r="98" spans="1:6" ht="12.5">
      <c r="A98" s="3">
        <f t="shared" si="4"/>
        <v>89</v>
      </c>
      <c r="B98" s="675" t="s">
        <v>541</v>
      </c>
      <c r="C98" s="233"/>
      <c r="E98" s="452">
        <f>+E94</f>
        <v>0</v>
      </c>
      <c r="F98" s="46"/>
    </row>
    <row r="99" spans="1:1" ht="12.5">
      <c r="A99" s="3">
        <f t="shared" si="4"/>
        <v>90</v>
      </c>
    </row>
    <row r="100" spans="1:5" ht="13" thickBot="1">
      <c r="A100" s="3">
        <f t="shared" si="4"/>
        <v>91</v>
      </c>
      <c r="B100" s="675" t="s">
        <v>542</v>
      </c>
      <c r="C100" s="191"/>
      <c r="E100" s="406">
        <f>+ROUND(E96*E98,0)</f>
        <v>0</v>
      </c>
    </row>
    <row r="101" spans="1:1" ht="13" thickTop="1">
      <c r="A101" s="3">
        <f t="shared" si="4"/>
        <v>92</v>
      </c>
    </row>
    <row r="102" spans="1:3" ht="12.5">
      <c r="A102" s="3">
        <f t="shared" si="4"/>
        <v>93</v>
      </c>
      <c r="B102" s="31" t="s">
        <v>256</v>
      </c>
      <c r="C102" s="293" t="s">
        <v>479</v>
      </c>
    </row>
    <row r="103" spans="1:1" ht="12.5">
      <c r="A103" s="3"/>
    </row>
  </sheetData>
  <mergeCells count="1">
    <mergeCell ref="A3:D3"/>
  </mergeCells>
  <hyperlinks>
    <hyperlink ref="C102" r:id="rId1" display="Taxes Other Than Income - Payroll Taxes.xlsx"/>
  </hyperlinks>
  <printOptions horizontalCentered="1"/>
  <pageMargins left="0.5" right="0.5" top="1.5" bottom="0.5" header="1" footer="0.5"/>
  <pageSetup fitToHeight="6" orientation="landscape" r:id="rId2"/>
  <headerFooter alignWithMargins="0">
    <oddHeader>&amp;RWP/II-B-9/&amp;A
Page &amp;P of &amp;N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1">
    <tabColor rgb="FF92D050"/>
    <pageSetUpPr fitToPage="1"/>
  </sheetPr>
  <dimension ref="A1:G60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6" style="1" customWidth="1"/>
    <col min="2" max="2" width="16.4285714285714" style="31" customWidth="1"/>
    <col min="3" max="3" width="15.8571428571429" style="31" bestFit="1" customWidth="1"/>
    <col min="4" max="4" width="14.4285714285714" style="31" customWidth="1"/>
    <col min="5" max="5" width="15.8571428571429" style="1" customWidth="1"/>
    <col min="6" max="6" width="22.4285714285714" style="1" customWidth="1"/>
    <col min="7" max="16384" width="9.14285714285714" style="1"/>
  </cols>
  <sheetData>
    <row r="1" spans="1:5" s="42" customFormat="1" ht="13">
      <c r="A1" s="181" t="s">
        <v>530</v>
      </c>
      <c r="B1" s="184"/>
      <c r="C1" s="184"/>
      <c r="D1" s="184"/>
      <c r="E1" s="181"/>
    </row>
    <row r="2" spans="1:5" s="42" customFormat="1" ht="13">
      <c r="A2" s="181" t="str">
        <f>' '!A2</f>
        <v>ONCOR ELECTRIC DELIVERY COMPANY LLC</v>
      </c>
      <c r="B2" s="184"/>
      <c r="C2" s="184"/>
      <c r="D2" s="184"/>
      <c r="E2" s="181"/>
    </row>
    <row r="3" spans="1:6" s="42" customFormat="1" ht="13">
      <c r="A3" s="824" t="s">
        <v>183</v>
      </c>
      <c r="B3" s="824"/>
      <c r="C3" s="824"/>
      <c r="D3" s="824"/>
      <c r="E3" s="824"/>
      <c r="F3" s="824"/>
    </row>
    <row r="4" spans="1:5" s="42" customFormat="1" ht="13">
      <c r="A4" s="817" t="s">
        <v>929</v>
      </c>
      <c r="B4" s="184"/>
      <c r="C4" s="184"/>
      <c r="D4" s="184"/>
      <c r="E4" s="181"/>
    </row>
    <row r="5" spans="1:5" s="42" customFormat="1" ht="13">
      <c r="A5" s="181" t="s">
        <v>524</v>
      </c>
      <c r="B5" s="184"/>
      <c r="C5" s="184"/>
      <c r="D5" s="184"/>
      <c r="E5" s="181"/>
    </row>
    <row r="7" spans="1:7" ht="26">
      <c r="A7" s="32" t="s">
        <v>45</v>
      </c>
      <c r="B7" s="190" t="s">
        <v>173</v>
      </c>
      <c r="C7" s="190" t="s">
        <v>176</v>
      </c>
      <c r="D7" s="190" t="s">
        <v>175</v>
      </c>
      <c r="E7" s="32" t="s">
        <v>49</v>
      </c>
      <c r="F7" s="161" t="s">
        <v>43</v>
      </c>
      <c r="G7" s="26"/>
    </row>
    <row r="8" spans="1:7" ht="13">
      <c r="A8" s="38"/>
      <c r="B8" s="52" t="s">
        <v>55</v>
      </c>
      <c r="C8" s="52" t="s">
        <v>56</v>
      </c>
      <c r="D8" s="52" t="s">
        <v>62</v>
      </c>
      <c r="E8" s="40" t="s">
        <v>57</v>
      </c>
      <c r="F8" s="40" t="s">
        <v>58</v>
      </c>
      <c r="G8" s="26"/>
    </row>
    <row r="9" spans="1:6" ht="13">
      <c r="A9" s="22"/>
      <c r="B9" s="193"/>
      <c r="C9" s="193"/>
      <c r="D9" s="193"/>
      <c r="E9" s="25"/>
      <c r="F9" s="164"/>
    </row>
    <row r="10" spans="1:6" ht="12.5">
      <c r="A10" s="3">
        <v>1</v>
      </c>
      <c r="B10" s="444">
        <v>44118</v>
      </c>
      <c r="C10" s="179">
        <v>712116.18000000005</v>
      </c>
      <c r="D10" s="444">
        <v>44118</v>
      </c>
      <c r="E10" s="402">
        <f t="shared" si="0" ref="E10:E37">IF(C10=0,0,-(D10-B10))</f>
        <v>0</v>
      </c>
      <c r="F10" s="179">
        <f t="shared" si="1" ref="F10:F34">C10*E10</f>
        <v>0</v>
      </c>
    </row>
    <row r="11" spans="1:6" ht="12.5">
      <c r="A11" s="3">
        <v>2</v>
      </c>
      <c r="B11" s="444">
        <v>44125</v>
      </c>
      <c r="C11" s="179">
        <v>20620.84</v>
      </c>
      <c r="D11" s="444">
        <v>44125</v>
      </c>
      <c r="E11" s="402">
        <f t="shared" si="0"/>
        <v>0</v>
      </c>
      <c r="F11" s="248">
        <f t="shared" si="1"/>
        <v>0</v>
      </c>
    </row>
    <row r="12" spans="1:6" ht="12.5">
      <c r="A12" s="3">
        <v>3</v>
      </c>
      <c r="B12" s="444">
        <v>44133</v>
      </c>
      <c r="C12" s="179">
        <v>823393.20999999996</v>
      </c>
      <c r="D12" s="444">
        <v>44133</v>
      </c>
      <c r="E12" s="402">
        <f t="shared" si="0"/>
        <v>0</v>
      </c>
      <c r="F12" s="248">
        <f t="shared" si="1"/>
        <v>0</v>
      </c>
    </row>
    <row r="13" spans="1:6" ht="12.5">
      <c r="A13" s="3">
        <v>4</v>
      </c>
      <c r="B13" s="444">
        <v>44147</v>
      </c>
      <c r="C13" s="179">
        <v>726834.55000000005</v>
      </c>
      <c r="D13" s="444">
        <v>44147</v>
      </c>
      <c r="E13" s="402">
        <f t="shared" si="0"/>
        <v>0</v>
      </c>
      <c r="F13" s="248">
        <f t="shared" si="1"/>
        <v>0</v>
      </c>
    </row>
    <row r="14" spans="1:6" ht="12.5">
      <c r="A14" s="3">
        <v>5</v>
      </c>
      <c r="B14" s="444">
        <v>44160</v>
      </c>
      <c r="C14" s="179">
        <v>632066.08999999997</v>
      </c>
      <c r="D14" s="444">
        <v>44160</v>
      </c>
      <c r="E14" s="402">
        <f t="shared" si="0"/>
        <v>0</v>
      </c>
      <c r="F14" s="248">
        <f t="shared" si="1"/>
        <v>0</v>
      </c>
    </row>
    <row r="15" spans="1:6" ht="12.5">
      <c r="A15" s="3">
        <v>6</v>
      </c>
      <c r="B15" s="444">
        <v>44179</v>
      </c>
      <c r="C15" s="179">
        <v>838098.15000000002</v>
      </c>
      <c r="D15" s="444">
        <v>44179</v>
      </c>
      <c r="E15" s="402">
        <f t="shared" si="0"/>
        <v>0</v>
      </c>
      <c r="F15" s="248">
        <f t="shared" si="1"/>
        <v>0</v>
      </c>
    </row>
    <row r="16" spans="1:6" ht="12.5">
      <c r="A16" s="3">
        <v>7</v>
      </c>
      <c r="B16" s="444">
        <v>44189</v>
      </c>
      <c r="C16" s="179">
        <v>626.30999999999995</v>
      </c>
      <c r="D16" s="444">
        <v>44189</v>
      </c>
      <c r="E16" s="402">
        <f t="shared" si="0"/>
        <v>0</v>
      </c>
      <c r="F16" s="248">
        <f t="shared" si="1"/>
        <v>0</v>
      </c>
    </row>
    <row r="17" spans="1:6" ht="12.5">
      <c r="A17" s="3">
        <v>8</v>
      </c>
      <c r="B17" s="444">
        <v>44195</v>
      </c>
      <c r="C17" s="179">
        <v>763491.40000000002</v>
      </c>
      <c r="D17" s="444">
        <v>44195</v>
      </c>
      <c r="E17" s="402">
        <f t="shared" si="0"/>
        <v>0</v>
      </c>
      <c r="F17" s="248">
        <f t="shared" si="1"/>
        <v>0</v>
      </c>
    </row>
    <row r="18" spans="1:6" ht="12.5">
      <c r="A18" s="3">
        <v>9</v>
      </c>
      <c r="B18" s="444">
        <v>44207</v>
      </c>
      <c r="C18" s="179">
        <v>9017.2099999999991</v>
      </c>
      <c r="D18" s="444">
        <v>44207</v>
      </c>
      <c r="E18" s="402">
        <f t="shared" si="0"/>
        <v>0</v>
      </c>
      <c r="F18" s="248">
        <f t="shared" si="1"/>
        <v>0</v>
      </c>
    </row>
    <row r="19" spans="1:6" ht="12.5">
      <c r="A19" s="3">
        <v>10</v>
      </c>
      <c r="B19" s="444">
        <v>44210</v>
      </c>
      <c r="C19" s="179">
        <v>566620.18999999994</v>
      </c>
      <c r="D19" s="444">
        <v>44210</v>
      </c>
      <c r="E19" s="402">
        <f t="shared" si="0"/>
        <v>0</v>
      </c>
      <c r="F19" s="248">
        <f t="shared" si="1"/>
        <v>0</v>
      </c>
    </row>
    <row r="20" spans="1:6" ht="12.5">
      <c r="A20" s="3">
        <v>11</v>
      </c>
      <c r="B20" s="444">
        <v>44223</v>
      </c>
      <c r="C20" s="179">
        <v>3641</v>
      </c>
      <c r="D20" s="444">
        <v>44223</v>
      </c>
      <c r="E20" s="402">
        <f t="shared" si="0"/>
        <v>0</v>
      </c>
      <c r="F20" s="248">
        <f t="shared" si="2" ref="F20:F29">C20*E20</f>
        <v>0</v>
      </c>
    </row>
    <row r="21" spans="1:6" ht="12.5">
      <c r="A21" s="3">
        <v>12</v>
      </c>
      <c r="B21" s="444">
        <v>44224</v>
      </c>
      <c r="C21" s="179">
        <v>561676.45999999996</v>
      </c>
      <c r="D21" s="444">
        <v>44224</v>
      </c>
      <c r="E21" s="402">
        <f t="shared" si="0"/>
        <v>0</v>
      </c>
      <c r="F21" s="248">
        <f t="shared" si="2"/>
        <v>0</v>
      </c>
    </row>
    <row r="22" spans="1:6" ht="12.5">
      <c r="A22" s="3">
        <v>13</v>
      </c>
      <c r="B22" s="444">
        <v>44238</v>
      </c>
      <c r="C22" s="179">
        <v>552046.71999999997</v>
      </c>
      <c r="D22" s="444">
        <v>44238</v>
      </c>
      <c r="E22" s="402">
        <f t="shared" si="0"/>
        <v>0</v>
      </c>
      <c r="F22" s="248">
        <f t="shared" si="2"/>
        <v>0</v>
      </c>
    </row>
    <row r="23" spans="1:6" ht="12.5">
      <c r="A23" s="3">
        <v>14</v>
      </c>
      <c r="B23" s="444">
        <v>44243</v>
      </c>
      <c r="C23" s="179">
        <v>54931.230000000003</v>
      </c>
      <c r="D23" s="444">
        <v>44243</v>
      </c>
      <c r="E23" s="402">
        <f t="shared" si="0"/>
        <v>0</v>
      </c>
      <c r="F23" s="248">
        <f t="shared" si="2"/>
        <v>0</v>
      </c>
    </row>
    <row r="24" spans="1:6" ht="12.5">
      <c r="A24" s="3">
        <v>15</v>
      </c>
      <c r="B24" s="444">
        <v>44244</v>
      </c>
      <c r="C24" s="179">
        <v>20.149999999999999</v>
      </c>
      <c r="D24" s="444">
        <v>44244</v>
      </c>
      <c r="E24" s="402">
        <f t="shared" si="0"/>
        <v>0</v>
      </c>
      <c r="F24" s="248">
        <f t="shared" si="2"/>
        <v>0</v>
      </c>
    </row>
    <row r="25" spans="1:6" ht="12.5">
      <c r="A25" s="3">
        <v>16</v>
      </c>
      <c r="B25" s="444">
        <v>44246</v>
      </c>
      <c r="C25" s="179">
        <v>87723.289999999994</v>
      </c>
      <c r="D25" s="444">
        <v>44246</v>
      </c>
      <c r="E25" s="402">
        <f t="shared" si="0"/>
        <v>0</v>
      </c>
      <c r="F25" s="248">
        <f t="shared" si="2"/>
        <v>0</v>
      </c>
    </row>
    <row r="26" spans="1:6" ht="12.5">
      <c r="A26" s="3">
        <v>17</v>
      </c>
      <c r="B26" s="444">
        <v>44252</v>
      </c>
      <c r="C26" s="179">
        <v>638051.66000000003</v>
      </c>
      <c r="D26" s="444">
        <v>44252</v>
      </c>
      <c r="E26" s="402">
        <f t="shared" si="0"/>
        <v>0</v>
      </c>
      <c r="F26" s="248">
        <f t="shared" si="2"/>
        <v>0</v>
      </c>
    </row>
    <row r="27" spans="1:6" ht="12.5">
      <c r="A27" s="3">
        <v>18</v>
      </c>
      <c r="B27" s="444">
        <v>44260</v>
      </c>
      <c r="C27" s="179">
        <v>3158514.5099999998</v>
      </c>
      <c r="D27" s="444">
        <v>44260</v>
      </c>
      <c r="E27" s="402">
        <f t="shared" si="0"/>
        <v>0</v>
      </c>
      <c r="F27" s="248">
        <f t="shared" si="2"/>
        <v>0</v>
      </c>
    </row>
    <row r="28" spans="1:6" ht="12.5">
      <c r="A28" s="3">
        <v>19</v>
      </c>
      <c r="B28" s="444">
        <v>44267</v>
      </c>
      <c r="C28" s="179">
        <v>794926.18000000005</v>
      </c>
      <c r="D28" s="444">
        <v>44267</v>
      </c>
      <c r="E28" s="402">
        <f t="shared" si="0"/>
        <v>0</v>
      </c>
      <c r="F28" s="248">
        <f t="shared" si="2"/>
        <v>0</v>
      </c>
    </row>
    <row r="29" spans="1:6" ht="12.5">
      <c r="A29" s="3">
        <v>20</v>
      </c>
      <c r="B29" s="444">
        <v>44274</v>
      </c>
      <c r="C29" s="179">
        <v>45984.099999999999</v>
      </c>
      <c r="D29" s="444">
        <v>44274</v>
      </c>
      <c r="E29" s="402">
        <f t="shared" si="0"/>
        <v>0</v>
      </c>
      <c r="F29" s="248">
        <f t="shared" si="2"/>
        <v>0</v>
      </c>
    </row>
    <row r="30" spans="1:6" ht="12.5">
      <c r="A30" s="3">
        <v>21</v>
      </c>
      <c r="B30" s="444">
        <v>44281</v>
      </c>
      <c r="C30" s="179">
        <v>37383.989999999998</v>
      </c>
      <c r="D30" s="444">
        <v>44281</v>
      </c>
      <c r="E30" s="402">
        <f t="shared" si="0"/>
        <v>0</v>
      </c>
      <c r="F30" s="248">
        <f t="shared" si="1"/>
        <v>0</v>
      </c>
    </row>
    <row r="31" spans="1:6" ht="12.5">
      <c r="A31" s="3">
        <v>22</v>
      </c>
      <c r="B31" s="444">
        <v>44285</v>
      </c>
      <c r="C31" s="179">
        <v>766112.03000000003</v>
      </c>
      <c r="D31" s="444">
        <v>44285</v>
      </c>
      <c r="E31" s="402">
        <f t="shared" si="0"/>
        <v>0</v>
      </c>
      <c r="F31" s="248">
        <f t="shared" si="1"/>
        <v>0</v>
      </c>
    </row>
    <row r="32" spans="1:6" ht="12.5">
      <c r="A32" s="3">
        <v>23</v>
      </c>
      <c r="B32" s="444">
        <v>44286</v>
      </c>
      <c r="C32" s="179">
        <v>4.4199999999999999</v>
      </c>
      <c r="D32" s="444">
        <v>44286</v>
      </c>
      <c r="E32" s="402">
        <f t="shared" si="0"/>
        <v>0</v>
      </c>
      <c r="F32" s="248">
        <f t="shared" si="1"/>
        <v>0</v>
      </c>
    </row>
    <row r="33" spans="1:6" ht="12.5">
      <c r="A33" s="3">
        <v>24</v>
      </c>
      <c r="B33" s="444">
        <v>44293</v>
      </c>
      <c r="C33" s="179">
        <v>213.90000000000001</v>
      </c>
      <c r="D33" s="444">
        <v>44293</v>
      </c>
      <c r="E33" s="402">
        <f t="shared" si="0"/>
        <v>0</v>
      </c>
      <c r="F33" s="248">
        <f t="shared" si="1"/>
        <v>0</v>
      </c>
    </row>
    <row r="34" spans="1:6" ht="12.5">
      <c r="A34" s="3">
        <v>25</v>
      </c>
      <c r="B34" s="444">
        <v>44300</v>
      </c>
      <c r="C34" s="179">
        <v>731154.16000000003</v>
      </c>
      <c r="D34" s="444">
        <v>44300</v>
      </c>
      <c r="E34" s="402">
        <f t="shared" si="0"/>
        <v>0</v>
      </c>
      <c r="F34" s="248">
        <f t="shared" si="1"/>
        <v>0</v>
      </c>
    </row>
    <row r="35" spans="1:6" ht="12.5">
      <c r="A35" s="3">
        <v>26</v>
      </c>
      <c r="B35" s="444">
        <v>44312</v>
      </c>
      <c r="C35" s="179">
        <v>1353</v>
      </c>
      <c r="D35" s="444">
        <v>44312</v>
      </c>
      <c r="E35" s="402">
        <f t="shared" si="0"/>
        <v>0</v>
      </c>
      <c r="F35" s="248">
        <f t="shared" si="3" ref="F35:F42">C35*E35</f>
        <v>0</v>
      </c>
    </row>
    <row r="36" spans="1:6" ht="12.5">
      <c r="A36" s="3">
        <v>27</v>
      </c>
      <c r="B36" s="444">
        <v>44315</v>
      </c>
      <c r="C36" s="179">
        <v>683197.30000000005</v>
      </c>
      <c r="D36" s="444">
        <v>44315</v>
      </c>
      <c r="E36" s="402">
        <f t="shared" si="0"/>
        <v>0</v>
      </c>
      <c r="F36" s="248">
        <f t="shared" si="3"/>
        <v>0</v>
      </c>
    </row>
    <row r="37" spans="1:6" ht="12.5">
      <c r="A37" s="3">
        <f>A36+1</f>
        <v>28</v>
      </c>
      <c r="B37" s="444">
        <v>44327</v>
      </c>
      <c r="C37" s="179">
        <v>5078.5299999999997</v>
      </c>
      <c r="D37" s="444">
        <v>44327</v>
      </c>
      <c r="E37" s="402">
        <f t="shared" si="0"/>
        <v>0</v>
      </c>
      <c r="F37" s="248">
        <f t="shared" si="3"/>
        <v>0</v>
      </c>
    </row>
    <row r="38" spans="1:6" ht="12.5">
      <c r="A38" s="3">
        <f t="shared" si="4" ref="A38:A60">A37+1</f>
        <v>29</v>
      </c>
      <c r="B38" s="444">
        <v>44329</v>
      </c>
      <c r="C38" s="179">
        <v>698667.56000000006</v>
      </c>
      <c r="D38" s="444">
        <v>44329</v>
      </c>
      <c r="E38" s="402">
        <f>IF(C38=0,0,-(D38-B38))</f>
        <v>0</v>
      </c>
      <c r="F38" s="248">
        <f t="shared" si="3"/>
        <v>0</v>
      </c>
    </row>
    <row r="39" spans="1:6" ht="12.5">
      <c r="A39" s="3">
        <f t="shared" si="4"/>
        <v>30</v>
      </c>
      <c r="B39" s="444">
        <v>44336</v>
      </c>
      <c r="C39" s="179">
        <v>46853.699999999997</v>
      </c>
      <c r="D39" s="444">
        <v>44336</v>
      </c>
      <c r="E39" s="402">
        <f>IF(C39=0,0,-(D39-B39))</f>
        <v>0</v>
      </c>
      <c r="F39" s="248">
        <f t="shared" si="3"/>
        <v>0</v>
      </c>
    </row>
    <row r="40" spans="1:6" ht="12.5">
      <c r="A40" s="3">
        <f t="shared" si="4"/>
        <v>31</v>
      </c>
      <c r="B40" s="444">
        <v>44340</v>
      </c>
      <c r="C40" s="179">
        <v>1758.8299999999999</v>
      </c>
      <c r="D40" s="444">
        <v>44340</v>
      </c>
      <c r="E40" s="402">
        <f>IF(C40=0,0,-(D40-B40))</f>
        <v>0</v>
      </c>
      <c r="F40" s="248">
        <f t="shared" si="3"/>
        <v>0</v>
      </c>
    </row>
    <row r="41" spans="1:6" ht="12.5">
      <c r="A41" s="3">
        <f t="shared" si="4"/>
        <v>32</v>
      </c>
      <c r="B41" s="444">
        <v>44343</v>
      </c>
      <c r="C41" s="179">
        <v>728229.92000000004</v>
      </c>
      <c r="D41" s="444">
        <v>44343</v>
      </c>
      <c r="E41" s="402">
        <f>IF(C41=0,0,-(D41-B41))</f>
        <v>0</v>
      </c>
      <c r="F41" s="248">
        <f t="shared" si="3"/>
        <v>0</v>
      </c>
    </row>
    <row r="42" spans="1:6" ht="12.5">
      <c r="A42" s="3">
        <f t="shared" si="4"/>
        <v>33</v>
      </c>
      <c r="B42" s="444">
        <v>44361</v>
      </c>
      <c r="C42" s="179">
        <v>723291.17000000004</v>
      </c>
      <c r="D42" s="444">
        <v>44361</v>
      </c>
      <c r="E42" s="402">
        <f>IF(C42=0,0,-(D42-B42))</f>
        <v>0</v>
      </c>
      <c r="F42" s="248">
        <f t="shared" si="3"/>
        <v>0</v>
      </c>
    </row>
    <row r="43" spans="1:6" ht="12.5">
      <c r="A43" s="3">
        <f t="shared" si="4"/>
        <v>34</v>
      </c>
      <c r="B43" s="444">
        <v>44376</v>
      </c>
      <c r="C43" s="179">
        <v>679533.81000000006</v>
      </c>
      <c r="D43" s="444">
        <v>44376</v>
      </c>
      <c r="E43" s="402">
        <f t="shared" si="5" ref="E43:E50">IF(C43=0,0,-(D43-B43))</f>
        <v>0</v>
      </c>
      <c r="F43" s="248">
        <f t="shared" si="6" ref="F43:F50">C43*E43</f>
        <v>0</v>
      </c>
    </row>
    <row r="44" spans="1:6" ht="12.5">
      <c r="A44" s="3">
        <f t="shared" si="4"/>
        <v>35</v>
      </c>
      <c r="B44" s="444">
        <v>44384</v>
      </c>
      <c r="C44" s="179">
        <v>132</v>
      </c>
      <c r="D44" s="444">
        <v>44384</v>
      </c>
      <c r="E44" s="402">
        <f t="shared" si="5"/>
        <v>0</v>
      </c>
      <c r="F44" s="248">
        <f t="shared" si="6"/>
        <v>0</v>
      </c>
    </row>
    <row r="45" spans="1:6" ht="12.5">
      <c r="A45" s="3">
        <f t="shared" si="4"/>
        <v>36</v>
      </c>
      <c r="B45" s="444">
        <v>44391</v>
      </c>
      <c r="C45" s="179">
        <v>654316.39000000001</v>
      </c>
      <c r="D45" s="444">
        <v>44391</v>
      </c>
      <c r="E45" s="402">
        <f t="shared" si="5"/>
        <v>0</v>
      </c>
      <c r="F45" s="248">
        <f t="shared" si="6"/>
        <v>0</v>
      </c>
    </row>
    <row r="46" spans="1:6" ht="12.5">
      <c r="A46" s="3">
        <f t="shared" si="4"/>
        <v>37</v>
      </c>
      <c r="B46" s="444">
        <v>44406</v>
      </c>
      <c r="C46" s="179">
        <v>630597.04000000004</v>
      </c>
      <c r="D46" s="444">
        <v>44406</v>
      </c>
      <c r="E46" s="402">
        <f t="shared" si="5"/>
        <v>0</v>
      </c>
      <c r="F46" s="248">
        <f t="shared" si="6"/>
        <v>0</v>
      </c>
    </row>
    <row r="47" spans="1:6" ht="12.5">
      <c r="A47" s="3">
        <f t="shared" si="4"/>
        <v>38</v>
      </c>
      <c r="B47" s="444">
        <v>44420</v>
      </c>
      <c r="C47" s="179">
        <v>645881.17000000004</v>
      </c>
      <c r="D47" s="444">
        <v>44420</v>
      </c>
      <c r="E47" s="402">
        <f t="shared" si="5"/>
        <v>0</v>
      </c>
      <c r="F47" s="248">
        <f t="shared" si="6"/>
        <v>0</v>
      </c>
    </row>
    <row r="48" spans="1:6" ht="12.5">
      <c r="A48" s="3">
        <f t="shared" si="4"/>
        <v>39</v>
      </c>
      <c r="B48" s="444">
        <v>44438</v>
      </c>
      <c r="C48" s="179">
        <v>680293.88</v>
      </c>
      <c r="D48" s="444">
        <v>44438</v>
      </c>
      <c r="E48" s="402">
        <f t="shared" si="5"/>
        <v>0</v>
      </c>
      <c r="F48" s="248">
        <f t="shared" si="6"/>
        <v>0</v>
      </c>
    </row>
    <row r="49" spans="1:6" ht="12.5">
      <c r="A49" s="3">
        <f t="shared" si="4"/>
        <v>40</v>
      </c>
      <c r="B49" s="444">
        <v>44453</v>
      </c>
      <c r="C49" s="179">
        <v>614506.17000000004</v>
      </c>
      <c r="D49" s="444">
        <v>44453</v>
      </c>
      <c r="E49" s="402">
        <f t="shared" si="5"/>
        <v>0</v>
      </c>
      <c r="F49" s="248">
        <f t="shared" si="6"/>
        <v>0</v>
      </c>
    </row>
    <row r="50" spans="1:6" ht="12.5">
      <c r="A50" s="3">
        <f t="shared" si="4"/>
        <v>41</v>
      </c>
      <c r="B50" s="444">
        <v>44468</v>
      </c>
      <c r="C50" s="179">
        <v>683272.58999999997</v>
      </c>
      <c r="D50" s="444">
        <v>44468</v>
      </c>
      <c r="E50" s="402">
        <f t="shared" si="5"/>
        <v>0</v>
      </c>
      <c r="F50" s="248">
        <f t="shared" si="6"/>
        <v>0</v>
      </c>
    </row>
    <row r="51" spans="1:6" ht="12.5">
      <c r="A51" s="3">
        <f t="shared" si="4"/>
        <v>42</v>
      </c>
      <c r="B51" s="444"/>
      <c r="C51" s="179"/>
      <c r="D51" s="444"/>
      <c r="E51" s="402"/>
      <c r="F51" s="248"/>
    </row>
    <row r="52" spans="1:6" ht="13" thickBot="1">
      <c r="A52" s="3">
        <f t="shared" si="4"/>
        <v>43</v>
      </c>
      <c r="B52" s="189" t="s">
        <v>26</v>
      </c>
      <c r="C52" s="403">
        <f>SUM(C10:C50)</f>
        <v>20002230.990000006</v>
      </c>
      <c r="E52" s="404">
        <f>ROUND(F52/C52,2)</f>
        <v>0</v>
      </c>
      <c r="F52" s="403">
        <f>SUM(F10:F50)</f>
        <v>0</v>
      </c>
    </row>
    <row r="53" spans="1:6" ht="13" thickTop="1">
      <c r="A53" s="3">
        <f t="shared" si="4"/>
        <v>44</v>
      </c>
      <c r="C53" s="197"/>
      <c r="E53" s="162"/>
      <c r="F53" s="46"/>
    </row>
    <row r="54" spans="1:6" ht="12.5">
      <c r="A54" s="3">
        <f t="shared" si="4"/>
        <v>45</v>
      </c>
      <c r="B54" s="675" t="s">
        <v>543</v>
      </c>
      <c r="C54" s="197"/>
      <c r="E54" s="405">
        <f>+ROUND(C52/365.25,0)</f>
        <v>54763</v>
      </c>
      <c r="F54" s="46"/>
    </row>
    <row r="55" spans="1:6" ht="12.5">
      <c r="A55" s="3">
        <f t="shared" si="4"/>
        <v>46</v>
      </c>
      <c r="C55" s="197"/>
      <c r="E55" s="163"/>
      <c r="F55" s="46"/>
    </row>
    <row r="56" spans="1:6" ht="12.5">
      <c r="A56" s="3">
        <f t="shared" si="4"/>
        <v>47</v>
      </c>
      <c r="B56" s="675" t="s">
        <v>544</v>
      </c>
      <c r="C56" s="233"/>
      <c r="E56" s="452">
        <f>+E52</f>
        <v>0</v>
      </c>
      <c r="F56" s="46"/>
    </row>
    <row r="57" spans="1:5" ht="12.5">
      <c r="A57" s="3">
        <f t="shared" si="4"/>
        <v>48</v>
      </c>
      <c r="E57" s="9"/>
    </row>
    <row r="58" spans="1:5" ht="13" thickBot="1">
      <c r="A58" s="3">
        <f t="shared" si="4"/>
        <v>49</v>
      </c>
      <c r="B58" s="675" t="s">
        <v>545</v>
      </c>
      <c r="C58" s="191"/>
      <c r="E58" s="406">
        <f>+ROUND(E54*E56,0)</f>
        <v>0</v>
      </c>
    </row>
    <row r="59" spans="1:1" ht="13" thickTop="1">
      <c r="A59" s="3">
        <f t="shared" si="4"/>
        <v>50</v>
      </c>
    </row>
    <row r="60" spans="1:3" ht="12.5">
      <c r="A60" s="3">
        <f t="shared" si="4"/>
        <v>51</v>
      </c>
      <c r="B60" s="31" t="s">
        <v>256</v>
      </c>
      <c r="C60" s="293" t="s">
        <v>479</v>
      </c>
    </row>
  </sheetData>
  <mergeCells count="1">
    <mergeCell ref="A3:F3"/>
  </mergeCells>
  <hyperlinks>
    <hyperlink ref="C60" r:id="rId1" display="Taxes Other Than Income - Payroll Taxes.xlsx"/>
  </hyperlinks>
  <printOptions horizontalCentered="1"/>
  <pageMargins left="0.5" right="0.5" top="1.5" bottom="0.5" header="1" footer="0.5"/>
  <pageSetup fitToHeight="3" orientation="landscape" r:id="rId2"/>
  <headerFooter alignWithMargins="0">
    <oddHeader>&amp;RWP/II-B-9/&amp;A
Page &amp;P of &amp;N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5">
    <tabColor rgb="FF92D050"/>
  </sheetPr>
  <dimension ref="A1:G98"/>
  <sheetViews>
    <sheetView zoomScaleSheetLayoutView="100" workbookViewId="0" topLeftCell="A4">
      <selection pane="topLeft" activeCell="A4" sqref="A4"/>
    </sheetView>
  </sheetViews>
  <sheetFormatPr defaultColWidth="9.09428571428571" defaultRowHeight="12.75"/>
  <cols>
    <col min="1" max="1" width="6" style="1" customWidth="1"/>
    <col min="2" max="2" width="16.4285714285714" style="31" customWidth="1"/>
    <col min="3" max="3" width="16.4285714285714" style="31" bestFit="1" customWidth="1"/>
    <col min="4" max="4" width="14.4285714285714" style="31" customWidth="1"/>
    <col min="5" max="5" width="15.8571428571429" style="1" customWidth="1"/>
    <col min="6" max="6" width="22.4285714285714" style="1" customWidth="1"/>
    <col min="7" max="16384" width="9.14285714285714" style="1"/>
  </cols>
  <sheetData>
    <row r="1" spans="1:5" s="42" customFormat="1" ht="13">
      <c r="A1" s="181" t="s">
        <v>530</v>
      </c>
      <c r="B1" s="184"/>
      <c r="C1" s="184"/>
      <c r="D1" s="184"/>
      <c r="E1" s="181"/>
    </row>
    <row r="2" spans="1:5" s="42" customFormat="1" ht="13">
      <c r="A2" s="181" t="str">
        <f>' '!A2</f>
        <v>ONCOR ELECTRIC DELIVERY COMPANY LLC</v>
      </c>
      <c r="B2" s="184"/>
      <c r="C2" s="184"/>
      <c r="D2" s="184"/>
      <c r="E2" s="181"/>
    </row>
    <row r="3" spans="1:6" s="42" customFormat="1" ht="13">
      <c r="A3" s="824" t="s">
        <v>184</v>
      </c>
      <c r="B3" s="824"/>
      <c r="C3" s="824"/>
      <c r="D3" s="824"/>
      <c r="E3" s="824"/>
      <c r="F3" s="824"/>
    </row>
    <row r="4" spans="1:5" s="42" customFormat="1" ht="13">
      <c r="A4" s="817" t="s">
        <v>929</v>
      </c>
      <c r="B4" s="184"/>
      <c r="C4" s="184"/>
      <c r="D4" s="184"/>
      <c r="E4" s="181"/>
    </row>
    <row r="5" spans="1:5" s="42" customFormat="1" ht="13">
      <c r="A5" s="181" t="s">
        <v>524</v>
      </c>
      <c r="B5" s="184"/>
      <c r="C5" s="184"/>
      <c r="D5" s="184"/>
      <c r="E5" s="181"/>
    </row>
    <row r="7" spans="1:7" ht="26">
      <c r="A7" s="32" t="s">
        <v>45</v>
      </c>
      <c r="B7" s="190" t="s">
        <v>173</v>
      </c>
      <c r="C7" s="190" t="s">
        <v>176</v>
      </c>
      <c r="D7" s="190" t="s">
        <v>175</v>
      </c>
      <c r="E7" s="32" t="s">
        <v>49</v>
      </c>
      <c r="F7" s="161" t="s">
        <v>43</v>
      </c>
      <c r="G7" s="26"/>
    </row>
    <row r="8" spans="1:7" ht="13">
      <c r="A8" s="38"/>
      <c r="B8" s="52" t="s">
        <v>55</v>
      </c>
      <c r="C8" s="52" t="s">
        <v>56</v>
      </c>
      <c r="D8" s="52" t="s">
        <v>62</v>
      </c>
      <c r="E8" s="40" t="s">
        <v>57</v>
      </c>
      <c r="F8" s="40" t="s">
        <v>58</v>
      </c>
      <c r="G8" s="26"/>
    </row>
    <row r="9" spans="1:6" ht="13">
      <c r="A9" s="22"/>
      <c r="B9" s="193"/>
      <c r="C9" s="193"/>
      <c r="D9" s="193"/>
      <c r="E9" s="25"/>
      <c r="F9" s="164"/>
    </row>
    <row r="10" spans="1:6" ht="12.5">
      <c r="A10" s="3">
        <v>1</v>
      </c>
      <c r="B10" s="444">
        <v>44112</v>
      </c>
      <c r="C10" s="179">
        <v>411204.95000000001</v>
      </c>
      <c r="D10" s="444">
        <v>44112</v>
      </c>
      <c r="E10" s="402">
        <f t="shared" si="0" ref="E10:E73">IF(C10=0,0,-(D10-B10))</f>
        <v>0</v>
      </c>
      <c r="F10" s="179">
        <f t="shared" si="1" ref="F10:F73">C10*E10</f>
        <v>0</v>
      </c>
    </row>
    <row r="11" spans="1:6" ht="12.5">
      <c r="A11" s="3">
        <v>2</v>
      </c>
      <c r="B11" s="444">
        <v>44126</v>
      </c>
      <c r="C11" s="179">
        <v>409089.53999999998</v>
      </c>
      <c r="D11" s="444">
        <v>44126</v>
      </c>
      <c r="E11" s="402">
        <f t="shared" si="0"/>
        <v>0</v>
      </c>
      <c r="F11" s="248">
        <f t="shared" si="1"/>
        <v>0</v>
      </c>
    </row>
    <row r="12" spans="1:6" ht="12.5">
      <c r="A12" s="3">
        <v>3</v>
      </c>
      <c r="B12" s="444">
        <v>44118</v>
      </c>
      <c r="C12" s="179">
        <v>1455023.1299999999</v>
      </c>
      <c r="D12" s="444">
        <v>44118</v>
      </c>
      <c r="E12" s="402">
        <f t="shared" si="0"/>
        <v>0</v>
      </c>
      <c r="F12" s="248">
        <f t="shared" si="1"/>
        <v>0</v>
      </c>
    </row>
    <row r="13" spans="1:6" ht="12.5">
      <c r="A13" s="3">
        <v>4</v>
      </c>
      <c r="B13" s="444">
        <v>44125</v>
      </c>
      <c r="C13" s="179">
        <v>12952.07</v>
      </c>
      <c r="D13" s="444">
        <v>44125</v>
      </c>
      <c r="E13" s="402">
        <f t="shared" si="0"/>
        <v>0</v>
      </c>
      <c r="F13" s="248">
        <f t="shared" si="1"/>
        <v>0</v>
      </c>
    </row>
    <row r="14" spans="1:6" ht="12.5">
      <c r="A14" s="3">
        <v>5</v>
      </c>
      <c r="B14" s="444">
        <v>44132</v>
      </c>
      <c r="C14" s="179">
        <v>10501.34</v>
      </c>
      <c r="D14" s="444">
        <v>44132</v>
      </c>
      <c r="E14" s="402">
        <f t="shared" si="0"/>
        <v>0</v>
      </c>
      <c r="F14" s="248">
        <f t="shared" si="1"/>
        <v>0</v>
      </c>
    </row>
    <row r="15" spans="1:6" ht="12.5">
      <c r="A15" s="3">
        <v>6</v>
      </c>
      <c r="B15" s="444">
        <v>44133</v>
      </c>
      <c r="C15" s="179">
        <v>1390472.5900000001</v>
      </c>
      <c r="D15" s="444">
        <v>44133</v>
      </c>
      <c r="E15" s="402">
        <f t="shared" si="0"/>
        <v>0</v>
      </c>
      <c r="F15" s="248">
        <f t="shared" si="1"/>
        <v>0</v>
      </c>
    </row>
    <row r="16" spans="1:6" ht="12.5">
      <c r="A16" s="3">
        <v>7</v>
      </c>
      <c r="B16" s="444">
        <v>44140</v>
      </c>
      <c r="C16" s="179">
        <v>494060.34999999998</v>
      </c>
      <c r="D16" s="444">
        <v>44140</v>
      </c>
      <c r="E16" s="402">
        <f t="shared" si="0"/>
        <v>0</v>
      </c>
      <c r="F16" s="248">
        <f t="shared" si="1"/>
        <v>0</v>
      </c>
    </row>
    <row r="17" spans="1:6" ht="12.5">
      <c r="A17" s="3">
        <v>8</v>
      </c>
      <c r="B17" s="444">
        <v>44147</v>
      </c>
      <c r="C17" s="179">
        <v>1496991.2</v>
      </c>
      <c r="D17" s="444">
        <v>44147</v>
      </c>
      <c r="E17" s="402">
        <f t="shared" si="0"/>
        <v>0</v>
      </c>
      <c r="F17" s="248">
        <f t="shared" si="1"/>
        <v>0</v>
      </c>
    </row>
    <row r="18" spans="1:6" ht="12.5">
      <c r="A18" s="3">
        <v>9</v>
      </c>
      <c r="B18" s="444">
        <v>44153</v>
      </c>
      <c r="C18" s="179">
        <v>66</v>
      </c>
      <c r="D18" s="444">
        <v>44153</v>
      </c>
      <c r="E18" s="402">
        <f t="shared" si="0"/>
        <v>0</v>
      </c>
      <c r="F18" s="248">
        <f t="shared" si="1"/>
        <v>0</v>
      </c>
    </row>
    <row r="19" spans="1:6" ht="12.5">
      <c r="A19" s="3">
        <v>10</v>
      </c>
      <c r="B19" s="444">
        <v>44154</v>
      </c>
      <c r="C19" s="179">
        <v>406636.39000000001</v>
      </c>
      <c r="D19" s="444">
        <v>44154</v>
      </c>
      <c r="E19" s="402">
        <f t="shared" si="0"/>
        <v>0</v>
      </c>
      <c r="F19" s="248">
        <f t="shared" si="1"/>
        <v>0</v>
      </c>
    </row>
    <row r="20" spans="1:6" ht="12.5">
      <c r="A20" s="3">
        <v>11</v>
      </c>
      <c r="B20" s="444">
        <v>44160</v>
      </c>
      <c r="C20" s="179">
        <v>1352816.97</v>
      </c>
      <c r="D20" s="444">
        <v>44160</v>
      </c>
      <c r="E20" s="402">
        <f t="shared" si="0"/>
        <v>0</v>
      </c>
      <c r="F20" s="248">
        <f t="shared" si="1"/>
        <v>0</v>
      </c>
    </row>
    <row r="21" spans="1:6" ht="12.5">
      <c r="A21" s="3">
        <v>12</v>
      </c>
      <c r="B21" s="444">
        <v>44168</v>
      </c>
      <c r="C21" s="179">
        <v>455611.41999999998</v>
      </c>
      <c r="D21" s="444">
        <v>44168</v>
      </c>
      <c r="E21" s="402">
        <f t="shared" si="0"/>
        <v>0</v>
      </c>
      <c r="F21" s="248">
        <f t="shared" si="1"/>
        <v>0</v>
      </c>
    </row>
    <row r="22" spans="1:6" ht="12.5">
      <c r="A22" s="3">
        <v>13</v>
      </c>
      <c r="B22" s="444">
        <v>44182</v>
      </c>
      <c r="C22" s="179">
        <v>444422.21000000002</v>
      </c>
      <c r="D22" s="444">
        <v>44182</v>
      </c>
      <c r="E22" s="402">
        <f t="shared" si="0"/>
        <v>0</v>
      </c>
      <c r="F22" s="248">
        <f t="shared" si="1"/>
        <v>0</v>
      </c>
    </row>
    <row r="23" spans="1:6" ht="12.5">
      <c r="A23" s="3">
        <v>14</v>
      </c>
      <c r="B23" s="444">
        <v>44179</v>
      </c>
      <c r="C23" s="179">
        <v>1623668.3799999999</v>
      </c>
      <c r="D23" s="444">
        <v>44179</v>
      </c>
      <c r="E23" s="402">
        <f t="shared" si="0"/>
        <v>0</v>
      </c>
      <c r="F23" s="248">
        <f t="shared" si="1"/>
        <v>0</v>
      </c>
    </row>
    <row r="24" spans="1:6" ht="12.5">
      <c r="A24" s="3">
        <v>15</v>
      </c>
      <c r="B24" s="444">
        <v>44188</v>
      </c>
      <c r="C24" s="179">
        <v>3565.1900000000001</v>
      </c>
      <c r="D24" s="444">
        <v>44188</v>
      </c>
      <c r="E24" s="402">
        <f t="shared" si="0"/>
        <v>0</v>
      </c>
      <c r="F24" s="248">
        <f t="shared" si="1"/>
        <v>0</v>
      </c>
    </row>
    <row r="25" spans="1:6" ht="12.5">
      <c r="A25" s="3">
        <v>16</v>
      </c>
      <c r="B25" s="444">
        <v>44189</v>
      </c>
      <c r="C25" s="179">
        <v>73655.059999999998</v>
      </c>
      <c r="D25" s="444">
        <v>44189</v>
      </c>
      <c r="E25" s="402">
        <f t="shared" si="0"/>
        <v>0</v>
      </c>
      <c r="F25" s="248">
        <f t="shared" si="1"/>
        <v>0</v>
      </c>
    </row>
    <row r="26" spans="1:6" ht="12.5">
      <c r="A26" s="3">
        <v>17</v>
      </c>
      <c r="B26" s="444">
        <v>44193</v>
      </c>
      <c r="C26" s="179">
        <v>6334.0500000000002</v>
      </c>
      <c r="D26" s="444">
        <v>44193</v>
      </c>
      <c r="E26" s="402">
        <f t="shared" si="0"/>
        <v>0</v>
      </c>
      <c r="F26" s="248">
        <f t="shared" si="1"/>
        <v>0</v>
      </c>
    </row>
    <row r="27" spans="1:6" ht="12.5">
      <c r="A27" s="3">
        <v>18</v>
      </c>
      <c r="B27" s="444">
        <v>44195</v>
      </c>
      <c r="C27" s="179">
        <v>2222610.8399999999</v>
      </c>
      <c r="D27" s="444">
        <v>44195</v>
      </c>
      <c r="E27" s="402">
        <f t="shared" si="0"/>
        <v>0</v>
      </c>
      <c r="F27" s="248">
        <f t="shared" si="1"/>
        <v>0</v>
      </c>
    </row>
    <row r="28" spans="1:6" ht="12.5">
      <c r="A28" s="3">
        <v>19</v>
      </c>
      <c r="B28" s="444">
        <v>44203</v>
      </c>
      <c r="C28" s="179">
        <v>1912.5</v>
      </c>
      <c r="D28" s="444">
        <v>44203</v>
      </c>
      <c r="E28" s="402">
        <f t="shared" si="0"/>
        <v>0</v>
      </c>
      <c r="F28" s="248">
        <f t="shared" si="1"/>
        <v>0</v>
      </c>
    </row>
    <row r="29" spans="1:6" ht="12.5">
      <c r="A29" s="3">
        <v>20</v>
      </c>
      <c r="B29" s="444">
        <v>44207</v>
      </c>
      <c r="C29" s="179">
        <v>9208.3600000000006</v>
      </c>
      <c r="D29" s="444">
        <v>44207</v>
      </c>
      <c r="E29" s="402">
        <f t="shared" si="0"/>
        <v>0</v>
      </c>
      <c r="F29" s="248">
        <f t="shared" si="1"/>
        <v>0</v>
      </c>
    </row>
    <row r="30" spans="1:6" ht="12.5">
      <c r="A30" s="3">
        <v>21</v>
      </c>
      <c r="B30" s="444">
        <v>44210</v>
      </c>
      <c r="C30" s="179">
        <v>519300.78000000003</v>
      </c>
      <c r="D30" s="444">
        <v>44210</v>
      </c>
      <c r="E30" s="402">
        <f t="shared" si="0"/>
        <v>0</v>
      </c>
      <c r="F30" s="248">
        <f t="shared" si="1"/>
        <v>0</v>
      </c>
    </row>
    <row r="31" spans="1:6" ht="12.5">
      <c r="A31" s="3">
        <v>22</v>
      </c>
      <c r="B31" s="444">
        <v>44210</v>
      </c>
      <c r="C31" s="179">
        <v>1408612.4299999999</v>
      </c>
      <c r="D31" s="444">
        <v>44210</v>
      </c>
      <c r="E31" s="402">
        <f t="shared" si="0"/>
        <v>0</v>
      </c>
      <c r="F31" s="248">
        <f t="shared" si="1"/>
        <v>0</v>
      </c>
    </row>
    <row r="32" spans="1:6" ht="12.5">
      <c r="A32" s="3">
        <v>23</v>
      </c>
      <c r="B32" s="444">
        <v>44216</v>
      </c>
      <c r="C32" s="179">
        <v>-58.310000000000002</v>
      </c>
      <c r="D32" s="444">
        <v>44216</v>
      </c>
      <c r="E32" s="402">
        <f t="shared" si="0"/>
        <v>0</v>
      </c>
      <c r="F32" s="248">
        <f t="shared" si="1"/>
        <v>0</v>
      </c>
    </row>
    <row r="33" spans="1:6" ht="12.5">
      <c r="A33" s="3">
        <v>24</v>
      </c>
      <c r="B33" s="444">
        <v>44223</v>
      </c>
      <c r="C33" s="179">
        <v>33979</v>
      </c>
      <c r="D33" s="444">
        <v>44223</v>
      </c>
      <c r="E33" s="402">
        <f t="shared" si="0"/>
        <v>0</v>
      </c>
      <c r="F33" s="248">
        <f t="shared" si="1"/>
        <v>0</v>
      </c>
    </row>
    <row r="34" spans="1:6" ht="12.5">
      <c r="A34" s="3">
        <v>25</v>
      </c>
      <c r="B34" s="444">
        <v>44224</v>
      </c>
      <c r="C34" s="179">
        <v>2162695.6200000001</v>
      </c>
      <c r="D34" s="444">
        <v>44224</v>
      </c>
      <c r="E34" s="402">
        <f t="shared" si="0"/>
        <v>0</v>
      </c>
      <c r="F34" s="248">
        <f t="shared" si="1"/>
        <v>0</v>
      </c>
    </row>
    <row r="35" spans="1:6" ht="12.5">
      <c r="A35" s="3">
        <v>26</v>
      </c>
      <c r="B35" s="444">
        <v>44238</v>
      </c>
      <c r="C35" s="179">
        <v>1724924.9399999999</v>
      </c>
      <c r="D35" s="444">
        <v>44238</v>
      </c>
      <c r="E35" s="402">
        <f t="shared" si="0"/>
        <v>0</v>
      </c>
      <c r="F35" s="248">
        <f t="shared" si="1"/>
        <v>0</v>
      </c>
    </row>
    <row r="36" spans="1:6" ht="12.5">
      <c r="A36" s="3">
        <v>27</v>
      </c>
      <c r="B36" s="444">
        <v>44243</v>
      </c>
      <c r="C36" s="179">
        <v>22027.900000000001</v>
      </c>
      <c r="D36" s="444">
        <v>44243</v>
      </c>
      <c r="E36" s="402">
        <f t="shared" si="0"/>
        <v>0</v>
      </c>
      <c r="F36" s="248">
        <f t="shared" si="1"/>
        <v>0</v>
      </c>
    </row>
    <row r="37" spans="1:6" ht="12.5">
      <c r="A37" s="3">
        <v>28</v>
      </c>
      <c r="B37" s="444">
        <v>44244</v>
      </c>
      <c r="C37" s="179">
        <v>335.31</v>
      </c>
      <c r="D37" s="444">
        <v>44244</v>
      </c>
      <c r="E37" s="402">
        <f t="shared" si="0"/>
        <v>0</v>
      </c>
      <c r="F37" s="248">
        <f t="shared" si="1"/>
        <v>0</v>
      </c>
    </row>
    <row r="38" spans="1:6" ht="12.5">
      <c r="A38" s="3">
        <v>29</v>
      </c>
      <c r="B38" s="444">
        <v>44246</v>
      </c>
      <c r="C38" s="179">
        <v>414413.83000000002</v>
      </c>
      <c r="D38" s="444">
        <v>44246</v>
      </c>
      <c r="E38" s="402">
        <f t="shared" si="0"/>
        <v>0</v>
      </c>
      <c r="F38" s="248">
        <f t="shared" si="1"/>
        <v>0</v>
      </c>
    </row>
    <row r="39" spans="1:6" ht="12.5">
      <c r="A39" s="3">
        <v>30</v>
      </c>
      <c r="B39" s="444">
        <v>44252</v>
      </c>
      <c r="C39" s="179">
        <v>2899398.6400000001</v>
      </c>
      <c r="D39" s="444">
        <v>44252</v>
      </c>
      <c r="E39" s="402">
        <f t="shared" si="0"/>
        <v>0</v>
      </c>
      <c r="F39" s="248">
        <f t="shared" si="1"/>
        <v>0</v>
      </c>
    </row>
    <row r="40" spans="1:6" ht="12.5">
      <c r="A40" s="3">
        <v>31</v>
      </c>
      <c r="B40" s="444">
        <v>44256</v>
      </c>
      <c r="C40" s="179">
        <v>935</v>
      </c>
      <c r="D40" s="444">
        <v>44256</v>
      </c>
      <c r="E40" s="402">
        <f t="shared" si="0"/>
        <v>0</v>
      </c>
      <c r="F40" s="248">
        <f t="shared" si="1"/>
        <v>0</v>
      </c>
    </row>
    <row r="41" spans="1:6" ht="12.5">
      <c r="A41" s="3">
        <v>32</v>
      </c>
      <c r="B41" s="444">
        <v>44266</v>
      </c>
      <c r="C41" s="179">
        <v>513612.35999999999</v>
      </c>
      <c r="D41" s="444">
        <v>44266</v>
      </c>
      <c r="E41" s="402">
        <f t="shared" si="0"/>
        <v>0</v>
      </c>
      <c r="F41" s="248">
        <f t="shared" si="1"/>
        <v>0</v>
      </c>
    </row>
    <row r="42" spans="1:6" ht="12.5">
      <c r="A42" s="3">
        <v>33</v>
      </c>
      <c r="B42" s="444">
        <v>44260</v>
      </c>
      <c r="C42" s="179">
        <v>13024041.140000001</v>
      </c>
      <c r="D42" s="444">
        <v>44260</v>
      </c>
      <c r="E42" s="402">
        <f t="shared" si="0"/>
        <v>0</v>
      </c>
      <c r="F42" s="248">
        <f t="shared" si="1"/>
        <v>0</v>
      </c>
    </row>
    <row r="43" spans="1:6" ht="12.5">
      <c r="A43" s="3">
        <v>34</v>
      </c>
      <c r="B43" s="444">
        <v>44267</v>
      </c>
      <c r="C43" s="179">
        <v>2186604.0800000001</v>
      </c>
      <c r="D43" s="444">
        <v>44267</v>
      </c>
      <c r="E43" s="402">
        <f t="shared" si="0"/>
        <v>0</v>
      </c>
      <c r="F43" s="248">
        <f t="shared" si="1"/>
        <v>0</v>
      </c>
    </row>
    <row r="44" spans="1:6" ht="12.5">
      <c r="A44" s="3">
        <v>35</v>
      </c>
      <c r="B44" s="444">
        <v>44272</v>
      </c>
      <c r="C44" s="179">
        <v>8794.6200000000008</v>
      </c>
      <c r="D44" s="444">
        <v>44272</v>
      </c>
      <c r="E44" s="402">
        <f t="shared" si="0"/>
        <v>0</v>
      </c>
      <c r="F44" s="248">
        <f t="shared" si="1"/>
        <v>0</v>
      </c>
    </row>
    <row r="45" spans="1:6" ht="12.5">
      <c r="A45" s="3">
        <v>36</v>
      </c>
      <c r="B45" s="444">
        <v>44274</v>
      </c>
      <c r="C45" s="179">
        <v>327737.82000000001</v>
      </c>
      <c r="D45" s="444">
        <v>44274</v>
      </c>
      <c r="E45" s="402">
        <f t="shared" si="0"/>
        <v>0</v>
      </c>
      <c r="F45" s="248">
        <f t="shared" si="1"/>
        <v>0</v>
      </c>
    </row>
    <row r="46" spans="1:6" ht="12.5">
      <c r="A46" s="3">
        <v>37</v>
      </c>
      <c r="B46" s="444">
        <v>44280</v>
      </c>
      <c r="C46" s="179">
        <v>476645.46999999997</v>
      </c>
      <c r="D46" s="444">
        <v>44280</v>
      </c>
      <c r="E46" s="402">
        <f t="shared" si="0"/>
        <v>0</v>
      </c>
      <c r="F46" s="248">
        <f t="shared" si="1"/>
        <v>0</v>
      </c>
    </row>
    <row r="47" spans="1:6" ht="12.5">
      <c r="A47" s="3">
        <v>38</v>
      </c>
      <c r="B47" s="444">
        <v>44281</v>
      </c>
      <c r="C47" s="179">
        <v>197332.12</v>
      </c>
      <c r="D47" s="444">
        <v>44281</v>
      </c>
      <c r="E47" s="402">
        <f t="shared" si="0"/>
        <v>0</v>
      </c>
      <c r="F47" s="248">
        <f t="shared" si="1"/>
        <v>0</v>
      </c>
    </row>
    <row r="48" spans="1:6" ht="12.5">
      <c r="A48" s="3">
        <v>39</v>
      </c>
      <c r="B48" s="444">
        <v>44285</v>
      </c>
      <c r="C48" s="179">
        <v>1876990.54</v>
      </c>
      <c r="D48" s="444">
        <v>44285</v>
      </c>
      <c r="E48" s="402">
        <f t="shared" si="0"/>
        <v>0</v>
      </c>
      <c r="F48" s="248">
        <f t="shared" si="1"/>
        <v>0</v>
      </c>
    </row>
    <row r="49" spans="1:6" ht="12.5">
      <c r="A49" s="3">
        <v>40</v>
      </c>
      <c r="B49" s="444">
        <v>44286</v>
      </c>
      <c r="C49" s="179">
        <v>5.7800000000000002</v>
      </c>
      <c r="D49" s="444">
        <v>44286</v>
      </c>
      <c r="E49" s="402">
        <f t="shared" si="0"/>
        <v>0</v>
      </c>
      <c r="F49" s="248">
        <f t="shared" si="1"/>
        <v>0</v>
      </c>
    </row>
    <row r="50" spans="1:6" ht="12.5">
      <c r="A50" s="3">
        <v>41</v>
      </c>
      <c r="B50" s="444">
        <v>44291</v>
      </c>
      <c r="C50" s="179">
        <v>184.80000000000001</v>
      </c>
      <c r="D50" s="444">
        <v>44291</v>
      </c>
      <c r="E50" s="402">
        <f t="shared" si="0"/>
        <v>0</v>
      </c>
      <c r="F50" s="248">
        <f t="shared" si="1"/>
        <v>0</v>
      </c>
    </row>
    <row r="51" spans="1:6" ht="12.5">
      <c r="A51" s="3">
        <v>42</v>
      </c>
      <c r="B51" s="444">
        <v>44294</v>
      </c>
      <c r="C51" s="179">
        <v>447026.20000000001</v>
      </c>
      <c r="D51" s="444">
        <v>44294</v>
      </c>
      <c r="E51" s="402">
        <f t="shared" si="0"/>
        <v>0</v>
      </c>
      <c r="F51" s="248">
        <f t="shared" si="1"/>
        <v>0</v>
      </c>
    </row>
    <row r="52" spans="1:6" ht="12.5">
      <c r="A52" s="3">
        <v>43</v>
      </c>
      <c r="B52" s="444">
        <v>44295</v>
      </c>
      <c r="C52" s="179">
        <v>9175.1800000000003</v>
      </c>
      <c r="D52" s="444">
        <v>44295</v>
      </c>
      <c r="E52" s="402">
        <f t="shared" si="0"/>
        <v>0</v>
      </c>
      <c r="F52" s="248">
        <f t="shared" si="1"/>
        <v>0</v>
      </c>
    </row>
    <row r="53" spans="1:6" ht="12.5">
      <c r="A53" s="3">
        <v>44</v>
      </c>
      <c r="B53" s="444">
        <v>44299</v>
      </c>
      <c r="C53" s="179">
        <v>2379.6999999999998</v>
      </c>
      <c r="D53" s="444">
        <v>44299</v>
      </c>
      <c r="E53" s="402">
        <f t="shared" si="0"/>
        <v>0</v>
      </c>
      <c r="F53" s="248">
        <f t="shared" si="1"/>
        <v>0</v>
      </c>
    </row>
    <row r="54" spans="1:6" ht="12.5">
      <c r="A54" s="3">
        <v>45</v>
      </c>
      <c r="B54" s="444">
        <v>44300</v>
      </c>
      <c r="C54" s="179">
        <v>1434859.1299999999</v>
      </c>
      <c r="D54" s="444">
        <v>44300</v>
      </c>
      <c r="E54" s="402">
        <f t="shared" si="0"/>
        <v>0</v>
      </c>
      <c r="F54" s="248">
        <f t="shared" si="1"/>
        <v>0</v>
      </c>
    </row>
    <row r="55" spans="1:6" ht="12.5">
      <c r="A55" s="3">
        <v>46</v>
      </c>
      <c r="B55" s="444">
        <v>44301</v>
      </c>
      <c r="C55" s="179">
        <v>188.25999999999999</v>
      </c>
      <c r="D55" s="444">
        <v>44301</v>
      </c>
      <c r="E55" s="402">
        <f t="shared" si="0"/>
        <v>0</v>
      </c>
      <c r="F55" s="248">
        <f t="shared" si="1"/>
        <v>0</v>
      </c>
    </row>
    <row r="56" spans="1:6" ht="12.5">
      <c r="A56" s="3">
        <v>47</v>
      </c>
      <c r="B56" s="444">
        <v>44302</v>
      </c>
      <c r="C56" s="179">
        <v>11272.75</v>
      </c>
      <c r="D56" s="444">
        <v>44302</v>
      </c>
      <c r="E56" s="402">
        <f t="shared" si="0"/>
        <v>0</v>
      </c>
      <c r="F56" s="248">
        <f t="shared" si="1"/>
        <v>0</v>
      </c>
    </row>
    <row r="57" spans="1:6" ht="12.5">
      <c r="A57" s="3">
        <v>48</v>
      </c>
      <c r="B57" s="444">
        <v>44308</v>
      </c>
      <c r="C57" s="179">
        <v>465697.48999999999</v>
      </c>
      <c r="D57" s="444">
        <v>44308</v>
      </c>
      <c r="E57" s="402">
        <f t="shared" si="0"/>
        <v>0</v>
      </c>
      <c r="F57" s="248">
        <f t="shared" si="1"/>
        <v>0</v>
      </c>
    </row>
    <row r="58" spans="1:6" ht="12.5">
      <c r="A58" s="3">
        <v>49</v>
      </c>
      <c r="B58" s="444">
        <v>44315</v>
      </c>
      <c r="C58" s="179">
        <v>1387446.3700000001</v>
      </c>
      <c r="D58" s="444">
        <v>44315</v>
      </c>
      <c r="E58" s="402">
        <f t="shared" si="0"/>
        <v>0</v>
      </c>
      <c r="F58" s="248">
        <f t="shared" si="1"/>
        <v>0</v>
      </c>
    </row>
    <row r="59" spans="1:6" ht="12.5">
      <c r="A59" s="3">
        <v>50</v>
      </c>
      <c r="B59" s="444">
        <v>44327</v>
      </c>
      <c r="C59" s="179">
        <v>4809.9399999999996</v>
      </c>
      <c r="D59" s="444">
        <v>44327</v>
      </c>
      <c r="E59" s="402">
        <f t="shared" si="0"/>
        <v>0</v>
      </c>
      <c r="F59" s="248">
        <f t="shared" si="1"/>
        <v>0</v>
      </c>
    </row>
    <row r="60" spans="1:6" ht="12.5">
      <c r="A60" s="3">
        <v>51</v>
      </c>
      <c r="B60" s="444">
        <v>44322</v>
      </c>
      <c r="C60" s="179">
        <v>478950.58000000002</v>
      </c>
      <c r="D60" s="444">
        <v>44322</v>
      </c>
      <c r="E60" s="402">
        <f t="shared" si="0"/>
        <v>0</v>
      </c>
      <c r="F60" s="248">
        <f t="shared" si="1"/>
        <v>0</v>
      </c>
    </row>
    <row r="61" spans="1:6" ht="12.5">
      <c r="A61" s="3">
        <v>52</v>
      </c>
      <c r="B61" s="444">
        <v>44329</v>
      </c>
      <c r="C61" s="179">
        <v>1453291.1899999999</v>
      </c>
      <c r="D61" s="444">
        <v>44329</v>
      </c>
      <c r="E61" s="402">
        <f t="shared" si="0"/>
        <v>0</v>
      </c>
      <c r="F61" s="248">
        <f t="shared" si="1"/>
        <v>0</v>
      </c>
    </row>
    <row r="62" spans="1:6" ht="12.5">
      <c r="A62" s="3">
        <v>53</v>
      </c>
      <c r="B62" s="444">
        <v>44336</v>
      </c>
      <c r="C62" s="179">
        <v>685490.12</v>
      </c>
      <c r="D62" s="444">
        <v>44336</v>
      </c>
      <c r="E62" s="402">
        <f t="shared" si="0"/>
        <v>0</v>
      </c>
      <c r="F62" s="248">
        <f t="shared" si="1"/>
        <v>0</v>
      </c>
    </row>
    <row r="63" spans="1:6" ht="12.5">
      <c r="A63" s="3">
        <v>54</v>
      </c>
      <c r="B63" s="444">
        <v>44340</v>
      </c>
      <c r="C63" s="179">
        <v>4283.7600000000002</v>
      </c>
      <c r="D63" s="444">
        <v>44340</v>
      </c>
      <c r="E63" s="402">
        <f t="shared" si="0"/>
        <v>0</v>
      </c>
      <c r="F63" s="248">
        <f t="shared" si="1"/>
        <v>0</v>
      </c>
    </row>
    <row r="64" spans="1:6" ht="12.5">
      <c r="A64" s="3">
        <v>55</v>
      </c>
      <c r="B64" s="444">
        <v>44343</v>
      </c>
      <c r="C64" s="179">
        <v>1455190.0500000001</v>
      </c>
      <c r="D64" s="444">
        <v>44343</v>
      </c>
      <c r="E64" s="402">
        <f t="shared" si="0"/>
        <v>0</v>
      </c>
      <c r="F64" s="248">
        <f t="shared" si="1"/>
        <v>0</v>
      </c>
    </row>
    <row r="65" spans="1:6" ht="12.5">
      <c r="A65" s="3">
        <v>56</v>
      </c>
      <c r="B65" s="444">
        <v>44350</v>
      </c>
      <c r="C65" s="179">
        <v>572585.04000000004</v>
      </c>
      <c r="D65" s="444">
        <v>44350</v>
      </c>
      <c r="E65" s="402">
        <f t="shared" si="0"/>
        <v>0</v>
      </c>
      <c r="F65" s="248">
        <f t="shared" si="1"/>
        <v>0</v>
      </c>
    </row>
    <row r="66" spans="1:6" ht="12.5">
      <c r="A66" s="3">
        <v>57</v>
      </c>
      <c r="B66" s="444">
        <v>44364</v>
      </c>
      <c r="C66" s="179">
        <v>608418</v>
      </c>
      <c r="D66" s="444">
        <v>44364</v>
      </c>
      <c r="E66" s="402">
        <f t="shared" si="0"/>
        <v>0</v>
      </c>
      <c r="F66" s="248">
        <f t="shared" si="1"/>
        <v>0</v>
      </c>
    </row>
    <row r="67" spans="1:6" ht="12.5">
      <c r="A67" s="3">
        <v>58</v>
      </c>
      <c r="B67" s="444">
        <v>44365</v>
      </c>
      <c r="C67" s="179">
        <v>12331.440000000001</v>
      </c>
      <c r="D67" s="444">
        <v>44365</v>
      </c>
      <c r="E67" s="402">
        <f t="shared" si="0"/>
        <v>0</v>
      </c>
      <c r="F67" s="248">
        <f t="shared" si="1"/>
        <v>0</v>
      </c>
    </row>
    <row r="68" spans="1:6" ht="12.5">
      <c r="A68" s="3">
        <v>59</v>
      </c>
      <c r="B68" s="444">
        <v>44356</v>
      </c>
      <c r="C68" s="179">
        <v>440</v>
      </c>
      <c r="D68" s="444">
        <v>44356</v>
      </c>
      <c r="E68" s="402">
        <f t="shared" si="0"/>
        <v>0</v>
      </c>
      <c r="F68" s="248">
        <f t="shared" si="1"/>
        <v>0</v>
      </c>
    </row>
    <row r="69" spans="1:6" ht="12.5">
      <c r="A69" s="3">
        <v>60</v>
      </c>
      <c r="B69" s="444">
        <v>44361</v>
      </c>
      <c r="C69" s="179">
        <v>1535250.97</v>
      </c>
      <c r="D69" s="444">
        <v>44361</v>
      </c>
      <c r="E69" s="402">
        <f t="shared" si="0"/>
        <v>0</v>
      </c>
      <c r="F69" s="248">
        <f t="shared" si="1"/>
        <v>0</v>
      </c>
    </row>
    <row r="70" spans="1:6" ht="12.5">
      <c r="A70" s="3">
        <v>61</v>
      </c>
      <c r="B70" s="444">
        <v>44372</v>
      </c>
      <c r="C70" s="179">
        <v>9075.1000000000004</v>
      </c>
      <c r="D70" s="444">
        <v>44372</v>
      </c>
      <c r="E70" s="402">
        <f t="shared" si="0"/>
        <v>0</v>
      </c>
      <c r="F70" s="248">
        <f t="shared" si="1"/>
        <v>0</v>
      </c>
    </row>
    <row r="71" spans="1:6" ht="12.5">
      <c r="A71" s="3">
        <v>62</v>
      </c>
      <c r="B71" s="444">
        <v>44376</v>
      </c>
      <c r="C71" s="179">
        <v>1501918.6799999999</v>
      </c>
      <c r="D71" s="444">
        <v>44376</v>
      </c>
      <c r="E71" s="402">
        <f t="shared" si="0"/>
        <v>0</v>
      </c>
      <c r="F71" s="248">
        <f t="shared" si="1"/>
        <v>0</v>
      </c>
    </row>
    <row r="72" spans="1:6" ht="12.5">
      <c r="A72" s="3">
        <v>63</v>
      </c>
      <c r="B72" s="444">
        <v>44378</v>
      </c>
      <c r="C72" s="179">
        <v>524643.73999999999</v>
      </c>
      <c r="D72" s="444">
        <v>44378</v>
      </c>
      <c r="E72" s="402">
        <f t="shared" si="0"/>
        <v>0</v>
      </c>
      <c r="F72" s="248">
        <f t="shared" si="1"/>
        <v>0</v>
      </c>
    </row>
    <row r="73" spans="1:6" ht="12.5">
      <c r="A73" s="3">
        <v>64</v>
      </c>
      <c r="B73" s="444">
        <v>44390</v>
      </c>
      <c r="C73" s="179">
        <v>-3.8500000000000001</v>
      </c>
      <c r="D73" s="444">
        <v>44390</v>
      </c>
      <c r="E73" s="402">
        <f t="shared" si="0"/>
        <v>0</v>
      </c>
      <c r="F73" s="248">
        <f t="shared" si="1"/>
        <v>0</v>
      </c>
    </row>
    <row r="74" spans="1:6" ht="12.5">
      <c r="A74" s="3">
        <v>65</v>
      </c>
      <c r="B74" s="444">
        <v>44391</v>
      </c>
      <c r="C74" s="179">
        <v>1519206.8500000001</v>
      </c>
      <c r="D74" s="444">
        <v>44391</v>
      </c>
      <c r="E74" s="402">
        <f t="shared" si="2" ref="E74:E86">IF(C74=0,0,-(D74-B74))</f>
        <v>0</v>
      </c>
      <c r="F74" s="248">
        <f t="shared" si="3" ref="F74:F86">C74*E74</f>
        <v>0</v>
      </c>
    </row>
    <row r="75" spans="1:6" ht="12.5">
      <c r="A75" s="3">
        <v>66</v>
      </c>
      <c r="B75" s="444">
        <v>44392</v>
      </c>
      <c r="C75" s="179">
        <v>570217.65000000002</v>
      </c>
      <c r="D75" s="444">
        <v>44392</v>
      </c>
      <c r="E75" s="402">
        <f t="shared" si="2"/>
        <v>0</v>
      </c>
      <c r="F75" s="248">
        <f t="shared" si="3"/>
        <v>0</v>
      </c>
    </row>
    <row r="76" spans="1:6" ht="12.5">
      <c r="A76" s="3">
        <v>67</v>
      </c>
      <c r="B76" s="444">
        <v>44393</v>
      </c>
      <c r="C76" s="179">
        <v>118063.17</v>
      </c>
      <c r="D76" s="444">
        <v>44393</v>
      </c>
      <c r="E76" s="402">
        <f t="shared" si="2"/>
        <v>0</v>
      </c>
      <c r="F76" s="248">
        <f t="shared" si="3"/>
        <v>0</v>
      </c>
    </row>
    <row r="77" spans="1:6" ht="12.5">
      <c r="A77" s="3">
        <v>68</v>
      </c>
      <c r="B77" s="444">
        <v>44406</v>
      </c>
      <c r="C77" s="179">
        <v>2051532.48</v>
      </c>
      <c r="D77" s="444">
        <v>44406</v>
      </c>
      <c r="E77" s="402">
        <f t="shared" si="2"/>
        <v>0</v>
      </c>
      <c r="F77" s="248">
        <f t="shared" si="3"/>
        <v>0</v>
      </c>
    </row>
    <row r="78" spans="1:6" ht="12.5">
      <c r="A78" s="3">
        <v>69</v>
      </c>
      <c r="B78" s="444">
        <v>44407</v>
      </c>
      <c r="C78" s="179">
        <v>844.63999999999999</v>
      </c>
      <c r="D78" s="444">
        <v>44407</v>
      </c>
      <c r="E78" s="402">
        <f t="shared" si="2"/>
        <v>0</v>
      </c>
      <c r="F78" s="248">
        <f t="shared" si="3"/>
        <v>0</v>
      </c>
    </row>
    <row r="79" spans="1:6" ht="12.5">
      <c r="A79" s="3">
        <v>70</v>
      </c>
      <c r="B79" s="444">
        <v>44420</v>
      </c>
      <c r="C79" s="179">
        <v>2037005.3200000001</v>
      </c>
      <c r="D79" s="444">
        <v>44420</v>
      </c>
      <c r="E79" s="402">
        <f t="shared" si="2"/>
        <v>0</v>
      </c>
      <c r="F79" s="248">
        <f t="shared" si="3"/>
        <v>0</v>
      </c>
    </row>
    <row r="80" spans="1:6" ht="12.5">
      <c r="A80" s="3">
        <v>71</v>
      </c>
      <c r="B80" s="444">
        <v>44427</v>
      </c>
      <c r="C80" s="179">
        <v>132</v>
      </c>
      <c r="D80" s="444">
        <v>44427</v>
      </c>
      <c r="E80" s="402">
        <f t="shared" si="2"/>
        <v>0</v>
      </c>
      <c r="F80" s="248">
        <f t="shared" si="3"/>
        <v>0</v>
      </c>
    </row>
    <row r="81" spans="1:6" ht="12.5">
      <c r="A81" s="3">
        <f>A80+1</f>
        <v>72</v>
      </c>
      <c r="B81" s="444">
        <v>44434</v>
      </c>
      <c r="C81" s="179">
        <v>567363.92000000004</v>
      </c>
      <c r="D81" s="444">
        <v>44434</v>
      </c>
      <c r="E81" s="402">
        <f t="shared" si="2"/>
        <v>0</v>
      </c>
      <c r="F81" s="248">
        <f t="shared" si="3"/>
        <v>0</v>
      </c>
    </row>
    <row r="82" spans="1:6" ht="12.5">
      <c r="A82" s="3">
        <f t="shared" si="4" ref="A82:A98">A81+1</f>
        <v>73</v>
      </c>
      <c r="B82" s="444">
        <v>44438</v>
      </c>
      <c r="C82" s="179">
        <v>1590257.5500000001</v>
      </c>
      <c r="D82" s="444">
        <v>44438</v>
      </c>
      <c r="E82" s="402">
        <f t="shared" si="2"/>
        <v>0</v>
      </c>
      <c r="F82" s="248">
        <f t="shared" si="3"/>
        <v>0</v>
      </c>
    </row>
    <row r="83" spans="1:6" ht="12.5">
      <c r="A83" s="3">
        <f t="shared" si="4"/>
        <v>74</v>
      </c>
      <c r="B83" s="444">
        <v>44447</v>
      </c>
      <c r="C83" s="179">
        <v>49557.629999999997</v>
      </c>
      <c r="D83" s="444">
        <v>44447</v>
      </c>
      <c r="E83" s="402">
        <f t="shared" si="2"/>
        <v>0</v>
      </c>
      <c r="F83" s="248">
        <f t="shared" si="3"/>
        <v>0</v>
      </c>
    </row>
    <row r="84" spans="1:6" ht="12.5">
      <c r="A84" s="3">
        <f t="shared" si="4"/>
        <v>75</v>
      </c>
      <c r="B84" s="444">
        <v>44448</v>
      </c>
      <c r="C84" s="179">
        <v>471186.77000000002</v>
      </c>
      <c r="D84" s="444">
        <v>44448</v>
      </c>
      <c r="E84" s="402">
        <f t="shared" si="2"/>
        <v>0</v>
      </c>
      <c r="F84" s="248">
        <f t="shared" si="3"/>
        <v>0</v>
      </c>
    </row>
    <row r="85" spans="1:6" ht="12.5">
      <c r="A85" s="3">
        <f t="shared" si="4"/>
        <v>76</v>
      </c>
      <c r="B85" s="444">
        <v>44453</v>
      </c>
      <c r="C85" s="179">
        <v>1464783.3700000001</v>
      </c>
      <c r="D85" s="444">
        <v>44453</v>
      </c>
      <c r="E85" s="402">
        <f t="shared" si="2"/>
        <v>0</v>
      </c>
      <c r="F85" s="248">
        <f t="shared" si="3"/>
        <v>0</v>
      </c>
    </row>
    <row r="86" spans="1:6" ht="12.5">
      <c r="A86" s="3">
        <f t="shared" si="4"/>
        <v>77</v>
      </c>
      <c r="B86" s="444">
        <v>44459</v>
      </c>
      <c r="C86" s="179">
        <v>63257.639999999999</v>
      </c>
      <c r="D86" s="444">
        <v>44459</v>
      </c>
      <c r="E86" s="402">
        <f t="shared" si="2"/>
        <v>0</v>
      </c>
      <c r="F86" s="248">
        <f t="shared" si="3"/>
        <v>0</v>
      </c>
    </row>
    <row r="87" spans="1:6" ht="12.5">
      <c r="A87" s="3">
        <f t="shared" si="4"/>
        <v>78</v>
      </c>
      <c r="B87" s="444">
        <v>44462</v>
      </c>
      <c r="C87" s="179">
        <v>483419</v>
      </c>
      <c r="D87" s="444">
        <v>44462</v>
      </c>
      <c r="E87" s="402">
        <f t="shared" si="5" ref="E87:E88">IF(C87=0,0,-(D87-B87))</f>
        <v>0</v>
      </c>
      <c r="F87" s="248">
        <f t="shared" si="6" ref="F87:F88">C87*E87</f>
        <v>0</v>
      </c>
    </row>
    <row r="88" spans="1:6" ht="12.5">
      <c r="A88" s="3">
        <f t="shared" si="4"/>
        <v>79</v>
      </c>
      <c r="B88" s="444">
        <v>44468</v>
      </c>
      <c r="C88" s="179">
        <v>1468787.0399999998</v>
      </c>
      <c r="D88" s="444">
        <v>44468</v>
      </c>
      <c r="E88" s="402">
        <f t="shared" si="5"/>
        <v>0</v>
      </c>
      <c r="F88" s="248">
        <f t="shared" si="6"/>
        <v>0</v>
      </c>
    </row>
    <row r="89" spans="1:6" ht="12.5">
      <c r="A89" s="3">
        <f t="shared" si="4"/>
        <v>80</v>
      </c>
      <c r="B89" s="444"/>
      <c r="C89" s="248"/>
      <c r="D89" s="444"/>
      <c r="E89" s="402"/>
      <c r="F89" s="248"/>
    </row>
    <row r="90" spans="1:6" ht="13" thickBot="1">
      <c r="A90" s="3">
        <f t="shared" si="4"/>
        <v>81</v>
      </c>
      <c r="B90" s="189" t="s">
        <v>26</v>
      </c>
      <c r="C90" s="403">
        <f>SUM(C10:C89)</f>
        <v>65139651.279999971</v>
      </c>
      <c r="E90" s="404">
        <f>ROUND(F90/C90,2)</f>
        <v>0</v>
      </c>
      <c r="F90" s="403">
        <f>SUM(F10:F89)</f>
        <v>0</v>
      </c>
    </row>
    <row r="91" spans="1:6" ht="13" thickTop="1">
      <c r="A91" s="3">
        <f t="shared" si="4"/>
        <v>82</v>
      </c>
      <c r="C91" s="197"/>
      <c r="E91" s="162"/>
      <c r="F91" s="46"/>
    </row>
    <row r="92" spans="1:6" ht="12.5">
      <c r="A92" s="3">
        <f t="shared" si="4"/>
        <v>83</v>
      </c>
      <c r="B92" s="675" t="s">
        <v>546</v>
      </c>
      <c r="C92" s="197"/>
      <c r="E92" s="405">
        <f>+ROUND(C90/365.25,0)</f>
        <v>178343</v>
      </c>
      <c r="F92" s="46"/>
    </row>
    <row r="93" spans="1:6" ht="12.5">
      <c r="A93" s="3">
        <f t="shared" si="4"/>
        <v>84</v>
      </c>
      <c r="C93" s="197"/>
      <c r="E93" s="163"/>
      <c r="F93" s="46"/>
    </row>
    <row r="94" spans="1:6" ht="12.5">
      <c r="A94" s="3">
        <f t="shared" si="4"/>
        <v>85</v>
      </c>
      <c r="B94" s="675" t="s">
        <v>547</v>
      </c>
      <c r="C94" s="233"/>
      <c r="E94" s="452">
        <f>+E90</f>
        <v>0</v>
      </c>
      <c r="F94" s="46"/>
    </row>
    <row r="95" spans="1:5" ht="12.5">
      <c r="A95" s="3">
        <f t="shared" si="4"/>
        <v>86</v>
      </c>
      <c r="E95" s="9"/>
    </row>
    <row r="96" spans="1:5" ht="13" thickBot="1">
      <c r="A96" s="3">
        <f t="shared" si="4"/>
        <v>87</v>
      </c>
      <c r="B96" s="675" t="s">
        <v>548</v>
      </c>
      <c r="C96" s="191"/>
      <c r="E96" s="406">
        <f>+ROUND(E92*E94,0)</f>
        <v>0</v>
      </c>
    </row>
    <row r="97" spans="1:1" ht="13" thickTop="1">
      <c r="A97" s="3">
        <f t="shared" si="4"/>
        <v>88</v>
      </c>
    </row>
    <row r="98" spans="1:3" ht="12.5">
      <c r="A98" s="3">
        <f t="shared" si="4"/>
        <v>89</v>
      </c>
      <c r="B98" s="31" t="s">
        <v>256</v>
      </c>
      <c r="C98" s="293" t="s">
        <v>479</v>
      </c>
    </row>
  </sheetData>
  <mergeCells count="1">
    <mergeCell ref="A3:F3"/>
  </mergeCells>
  <hyperlinks>
    <hyperlink ref="C98" r:id="rId1" display="Taxes Other Than Income - Payroll Taxes.xlsx"/>
  </hyperlinks>
  <printOptions horizontalCentered="1"/>
  <pageMargins left="0.5" right="0.5" top="1.5" bottom="0.5" header="1" footer="0.5"/>
  <pageSetup fitToHeight="4" orientation="landscape" r:id="rId2"/>
  <headerFooter alignWithMargins="0">
    <oddHeader>&amp;RWP/II-B-9/&amp;A
Page &amp;P of &amp;N</oddHeader>
  </headerFooter>
  <rowBreaks count="3" manualBreakCount="3">
    <brk id="34" max="16383" man="1"/>
    <brk id="59" max="16383" man="1"/>
    <brk id="83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7">
    <tabColor rgb="FF92D050"/>
  </sheetPr>
  <dimension ref="A1:G48"/>
  <sheetViews>
    <sheetView zoomScaleSheetLayoutView="100" workbookViewId="0" topLeftCell="A1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17.4285714285714" style="1" customWidth="1"/>
    <col min="3" max="3" width="16.8571428571429" style="1" customWidth="1"/>
    <col min="4" max="4" width="13.4285714285714" style="1" customWidth="1"/>
    <col min="5" max="5" width="16.5714285714286" style="1" bestFit="1" customWidth="1"/>
    <col min="6" max="6" width="21.5714285714286" style="1" bestFit="1" customWidth="1"/>
    <col min="7" max="12" width="9.14285714285714" style="1"/>
    <col min="13" max="13" width="9" style="1" customWidth="1"/>
    <col min="14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6" s="42" customFormat="1" ht="13">
      <c r="A3" s="824" t="s">
        <v>186</v>
      </c>
      <c r="B3" s="824"/>
      <c r="C3" s="824"/>
      <c r="D3" s="824"/>
      <c r="E3" s="824"/>
      <c r="F3" s="824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1"/>
      <c r="C5" s="181"/>
      <c r="D5" s="181"/>
      <c r="E5" s="181"/>
    </row>
    <row r="7" spans="1:7" ht="26">
      <c r="A7" s="32" t="s">
        <v>80</v>
      </c>
      <c r="B7" s="32" t="s">
        <v>177</v>
      </c>
      <c r="C7" s="32" t="s">
        <v>271</v>
      </c>
      <c r="D7" s="32" t="s">
        <v>175</v>
      </c>
      <c r="E7" s="32" t="s">
        <v>49</v>
      </c>
      <c r="F7" s="32" t="s">
        <v>43</v>
      </c>
      <c r="G7" s="26"/>
    </row>
    <row r="8" spans="1:7" ht="13">
      <c r="A8" s="38"/>
      <c r="B8" s="40" t="s">
        <v>55</v>
      </c>
      <c r="C8" s="40" t="s">
        <v>56</v>
      </c>
      <c r="D8" s="40" t="s">
        <v>62</v>
      </c>
      <c r="E8" s="40" t="s">
        <v>57</v>
      </c>
      <c r="F8" s="40" t="s">
        <v>58</v>
      </c>
      <c r="G8" s="26"/>
    </row>
    <row r="9" spans="1:7" ht="13">
      <c r="A9" s="38"/>
      <c r="B9" s="40"/>
      <c r="C9" s="40"/>
      <c r="D9" s="40"/>
      <c r="E9" s="40"/>
      <c r="F9" s="40"/>
      <c r="G9" s="26"/>
    </row>
    <row r="10" spans="1:7" ht="12.5">
      <c r="A10" s="40">
        <v>1</v>
      </c>
      <c r="B10" s="444" t="s">
        <v>958</v>
      </c>
      <c r="C10" s="179">
        <v>429672.95000000001</v>
      </c>
      <c r="D10" s="444">
        <v>44126</v>
      </c>
      <c r="E10" s="380">
        <f>-D10+B10</f>
        <v>-7</v>
      </c>
      <c r="F10" s="179">
        <f>E10*C10</f>
        <v>-3007710.6499999999</v>
      </c>
      <c r="G10" s="26"/>
    </row>
    <row r="11" spans="1:7" ht="12.5">
      <c r="A11" s="40">
        <v>2</v>
      </c>
      <c r="B11" s="444" t="s">
        <v>959</v>
      </c>
      <c r="C11" s="179">
        <v>432010.53999999998</v>
      </c>
      <c r="D11" s="444">
        <v>44141</v>
      </c>
      <c r="E11" s="380">
        <f t="shared" si="0" ref="E11:E16">-D11+B11</f>
        <v>-7</v>
      </c>
      <c r="F11" s="248">
        <f t="shared" si="1" ref="F11:F16">E11*C11</f>
        <v>-3024073.7799999998</v>
      </c>
      <c r="G11" s="26"/>
    </row>
    <row r="12" spans="1:7" ht="12.5">
      <c r="A12" s="40">
        <v>3</v>
      </c>
      <c r="B12" s="444" t="s">
        <v>960</v>
      </c>
      <c r="C12" s="179">
        <v>442489.54999999999</v>
      </c>
      <c r="D12" s="444">
        <v>44155</v>
      </c>
      <c r="E12" s="380">
        <f t="shared" si="0"/>
        <v>-7</v>
      </c>
      <c r="F12" s="248">
        <f t="shared" si="1"/>
        <v>-3097426.8500000001</v>
      </c>
      <c r="G12" s="26"/>
    </row>
    <row r="13" spans="1:7" ht="12.5">
      <c r="A13" s="40">
        <v>4</v>
      </c>
      <c r="B13" s="444" t="s">
        <v>961</v>
      </c>
      <c r="C13" s="179">
        <v>442077.15000000002</v>
      </c>
      <c r="D13" s="444">
        <v>44172</v>
      </c>
      <c r="E13" s="380">
        <f t="shared" si="0"/>
        <v>-7</v>
      </c>
      <c r="F13" s="248">
        <f t="shared" si="1"/>
        <v>-3094540.0500000003</v>
      </c>
      <c r="G13" s="26"/>
    </row>
    <row r="14" spans="1:7" ht="12.5">
      <c r="A14" s="40">
        <v>5</v>
      </c>
      <c r="B14" s="444" t="s">
        <v>962</v>
      </c>
      <c r="C14" s="179">
        <v>150.40000000000001</v>
      </c>
      <c r="D14" s="444">
        <v>44187</v>
      </c>
      <c r="E14" s="380">
        <f t="shared" si="0"/>
        <v>-15</v>
      </c>
      <c r="F14" s="248">
        <f t="shared" si="1"/>
        <v>-2256</v>
      </c>
      <c r="G14" s="26"/>
    </row>
    <row r="15" spans="1:7" ht="12.5">
      <c r="A15" s="40">
        <v>6</v>
      </c>
      <c r="B15" s="444" t="s">
        <v>963</v>
      </c>
      <c r="C15" s="179">
        <v>468750.56</v>
      </c>
      <c r="D15" s="444">
        <v>44187</v>
      </c>
      <c r="E15" s="380">
        <f t="shared" si="0"/>
        <v>-7</v>
      </c>
      <c r="F15" s="248">
        <f t="shared" si="1"/>
        <v>-3281253.9199999999</v>
      </c>
      <c r="G15" s="26"/>
    </row>
    <row r="16" spans="1:7" ht="12.5">
      <c r="A16" s="40">
        <v>7</v>
      </c>
      <c r="B16" s="444" t="s">
        <v>964</v>
      </c>
      <c r="C16" s="179">
        <v>442865.20999999996</v>
      </c>
      <c r="D16" s="444">
        <v>44204</v>
      </c>
      <c r="E16" s="380">
        <f t="shared" si="0"/>
        <v>-8</v>
      </c>
      <c r="F16" s="248">
        <f t="shared" si="1"/>
        <v>-3542921.6799999997</v>
      </c>
      <c r="G16" s="26"/>
    </row>
    <row r="17" spans="1:7" ht="12.5">
      <c r="A17" s="40">
        <v>8</v>
      </c>
      <c r="B17" s="444" t="s">
        <v>965</v>
      </c>
      <c r="C17" s="179">
        <v>451411.91000000003</v>
      </c>
      <c r="D17" s="444">
        <v>44218</v>
      </c>
      <c r="E17" s="380">
        <f t="shared" si="2" ref="E17:E31">-D17+B17</f>
        <v>-7</v>
      </c>
      <c r="F17" s="248">
        <f t="shared" si="3" ref="F17:F31">E17*C17</f>
        <v>-3159883.3700000001</v>
      </c>
      <c r="G17" s="26"/>
    </row>
    <row r="18" spans="1:7" ht="12.5">
      <c r="A18" s="40">
        <v>9</v>
      </c>
      <c r="B18" s="444" t="s">
        <v>966</v>
      </c>
      <c r="C18" s="179">
        <v>453576.91999999998</v>
      </c>
      <c r="D18" s="444">
        <v>44232</v>
      </c>
      <c r="E18" s="380">
        <f t="shared" si="2"/>
        <v>-7</v>
      </c>
      <c r="F18" s="248">
        <f t="shared" si="3"/>
        <v>-3175038.4399999999</v>
      </c>
      <c r="G18" s="26"/>
    </row>
    <row r="19" spans="1:7" ht="12.5">
      <c r="A19" s="40">
        <v>10</v>
      </c>
      <c r="B19" s="444" t="s">
        <v>967</v>
      </c>
      <c r="C19" s="179">
        <v>478134.16999999998</v>
      </c>
      <c r="D19" s="444">
        <v>44249</v>
      </c>
      <c r="E19" s="380">
        <f t="shared" si="2"/>
        <v>-10</v>
      </c>
      <c r="F19" s="248">
        <f t="shared" si="3"/>
        <v>-4781341.7000000002</v>
      </c>
      <c r="G19" s="26"/>
    </row>
    <row r="20" spans="1:7" ht="12.5">
      <c r="A20" s="40">
        <v>11</v>
      </c>
      <c r="B20" s="444" t="s">
        <v>968</v>
      </c>
      <c r="C20" s="179">
        <v>0.13</v>
      </c>
      <c r="D20" s="444">
        <v>44249</v>
      </c>
      <c r="E20" s="380">
        <f t="shared" si="2"/>
        <v>-5</v>
      </c>
      <c r="F20" s="248">
        <f t="shared" si="3"/>
        <v>-0.65000000000000002</v>
      </c>
      <c r="G20" s="26"/>
    </row>
    <row r="21" spans="1:7" ht="12.5">
      <c r="A21" s="40">
        <v>12</v>
      </c>
      <c r="B21" s="444" t="s">
        <v>969</v>
      </c>
      <c r="C21" s="179">
        <v>345.61000000000001</v>
      </c>
      <c r="D21" s="444">
        <v>44249</v>
      </c>
      <c r="E21" s="380">
        <f t="shared" si="2"/>
        <v>-4</v>
      </c>
      <c r="F21" s="248">
        <f t="shared" si="3"/>
        <v>-1382.4400000000001</v>
      </c>
      <c r="G21" s="26"/>
    </row>
    <row r="22" spans="1:7" ht="12.5">
      <c r="A22" s="40">
        <v>13</v>
      </c>
      <c r="B22" s="444" t="s">
        <v>970</v>
      </c>
      <c r="C22" s="179">
        <v>476970.38</v>
      </c>
      <c r="D22" s="444">
        <v>44260</v>
      </c>
      <c r="E22" s="380">
        <f t="shared" si="2"/>
        <v>-7</v>
      </c>
      <c r="F22" s="248">
        <f t="shared" si="3"/>
        <v>-3338792.6600000001</v>
      </c>
      <c r="G22" s="26"/>
    </row>
    <row r="23" spans="1:7" ht="12.5">
      <c r="A23" s="40">
        <v>14</v>
      </c>
      <c r="B23" s="444" t="s">
        <v>971</v>
      </c>
      <c r="C23" s="179">
        <v>484879.44</v>
      </c>
      <c r="D23" s="444">
        <v>44277</v>
      </c>
      <c r="E23" s="380">
        <f t="shared" si="2"/>
        <v>-7</v>
      </c>
      <c r="F23" s="248">
        <f t="shared" si="3"/>
        <v>-3394156.0800000001</v>
      </c>
      <c r="G23" s="26"/>
    </row>
    <row r="24" spans="1:7" ht="12.5">
      <c r="A24" s="40">
        <v>15</v>
      </c>
      <c r="B24" s="444" t="s">
        <v>972</v>
      </c>
      <c r="C24" s="179">
        <v>489375.26999999996</v>
      </c>
      <c r="D24" s="444">
        <v>44293</v>
      </c>
      <c r="E24" s="380">
        <f t="shared" si="2"/>
        <v>-7</v>
      </c>
      <c r="F24" s="248">
        <f t="shared" si="3"/>
        <v>-3425626.8899999997</v>
      </c>
      <c r="G24" s="26"/>
    </row>
    <row r="25" spans="1:7" ht="12.5">
      <c r="A25" s="40">
        <v>16</v>
      </c>
      <c r="B25" s="444" t="s">
        <v>973</v>
      </c>
      <c r="C25" s="179">
        <v>495327.84999999998</v>
      </c>
      <c r="D25" s="444">
        <v>44308</v>
      </c>
      <c r="E25" s="380">
        <f t="shared" si="2"/>
        <v>-7</v>
      </c>
      <c r="F25" s="248">
        <f t="shared" si="3"/>
        <v>-3467294.9499999997</v>
      </c>
      <c r="G25" s="26"/>
    </row>
    <row r="26" spans="1:7" ht="12.5">
      <c r="A26" s="40">
        <v>17</v>
      </c>
      <c r="B26" s="444" t="s">
        <v>974</v>
      </c>
      <c r="C26" s="179">
        <v>489994.40000000002</v>
      </c>
      <c r="D26" s="444">
        <v>44323</v>
      </c>
      <c r="E26" s="380">
        <f t="shared" si="2"/>
        <v>-7</v>
      </c>
      <c r="F26" s="248">
        <f t="shared" si="3"/>
        <v>-3429960.8000000003</v>
      </c>
      <c r="G26" s="26"/>
    </row>
    <row r="27" spans="1:7" ht="12.5">
      <c r="A27" s="40">
        <v>18</v>
      </c>
      <c r="B27" s="444" t="s">
        <v>975</v>
      </c>
      <c r="C27" s="179">
        <v>484458.89000000001</v>
      </c>
      <c r="D27" s="444">
        <v>44337</v>
      </c>
      <c r="E27" s="380">
        <f t="shared" si="2"/>
        <v>-7</v>
      </c>
      <c r="F27" s="248">
        <f t="shared" si="3"/>
        <v>-3391212.23</v>
      </c>
      <c r="G27" s="26"/>
    </row>
    <row r="28" spans="1:7" ht="12.5">
      <c r="A28" s="40">
        <v>19</v>
      </c>
      <c r="B28" s="444" t="s">
        <v>976</v>
      </c>
      <c r="C28" s="179">
        <v>486083.42999999999</v>
      </c>
      <c r="D28" s="444">
        <v>44351</v>
      </c>
      <c r="E28" s="380">
        <f t="shared" si="2"/>
        <v>-7</v>
      </c>
      <c r="F28" s="248">
        <f t="shared" si="3"/>
        <v>-3402584.0099999998</v>
      </c>
      <c r="G28" s="26"/>
    </row>
    <row r="29" spans="1:7" ht="12.5">
      <c r="A29" s="40">
        <v>20</v>
      </c>
      <c r="B29" s="444" t="s">
        <v>977</v>
      </c>
      <c r="C29" s="179">
        <v>494312.16000000003</v>
      </c>
      <c r="D29" s="444">
        <v>44369</v>
      </c>
      <c r="E29" s="380">
        <f t="shared" si="2"/>
        <v>-7</v>
      </c>
      <c r="F29" s="248">
        <f t="shared" si="3"/>
        <v>-3460185.1200000001</v>
      </c>
      <c r="G29" s="26"/>
    </row>
    <row r="30" spans="1:7" ht="12.5">
      <c r="A30" s="40">
        <v>21</v>
      </c>
      <c r="B30" s="444" t="s">
        <v>978</v>
      </c>
      <c r="C30" s="179">
        <v>498914.69999999995</v>
      </c>
      <c r="D30" s="444">
        <v>44384</v>
      </c>
      <c r="E30" s="380">
        <f t="shared" si="2"/>
        <v>-7</v>
      </c>
      <c r="F30" s="248">
        <f t="shared" si="3"/>
        <v>-3492402.8999999994</v>
      </c>
      <c r="G30" s="26"/>
    </row>
    <row r="31" spans="1:7" ht="12.5">
      <c r="A31" s="40">
        <v>22</v>
      </c>
      <c r="B31" s="444" t="s">
        <v>979</v>
      </c>
      <c r="C31" s="179">
        <v>503232.63</v>
      </c>
      <c r="D31" s="444">
        <v>44399</v>
      </c>
      <c r="E31" s="380">
        <f t="shared" si="2"/>
        <v>-7</v>
      </c>
      <c r="F31" s="248">
        <f t="shared" si="3"/>
        <v>-3522628.4100000001</v>
      </c>
      <c r="G31" s="26"/>
    </row>
    <row r="32" spans="1:7" ht="12.5">
      <c r="A32" s="40">
        <v>23</v>
      </c>
      <c r="B32" s="444" t="s">
        <v>980</v>
      </c>
      <c r="C32" s="179">
        <v>500623.98999999999</v>
      </c>
      <c r="D32" s="444">
        <v>44414</v>
      </c>
      <c r="E32" s="380">
        <f t="shared" si="4" ref="E32:E37">-D32+B32</f>
        <v>-7</v>
      </c>
      <c r="F32" s="248">
        <f t="shared" si="5" ref="F32:F37">E32*C32</f>
        <v>-3504367.9299999997</v>
      </c>
      <c r="G32" s="26"/>
    </row>
    <row r="33" spans="1:7" ht="12.5">
      <c r="A33" s="40">
        <v>24</v>
      </c>
      <c r="B33" s="444" t="s">
        <v>981</v>
      </c>
      <c r="C33" s="179">
        <v>503562.19</v>
      </c>
      <c r="D33" s="444">
        <v>44428</v>
      </c>
      <c r="E33" s="380">
        <f t="shared" si="4"/>
        <v>-7</v>
      </c>
      <c r="F33" s="248">
        <f t="shared" si="5"/>
        <v>-3524935.3300000001</v>
      </c>
      <c r="G33" s="26"/>
    </row>
    <row r="34" spans="1:7" ht="12.5">
      <c r="A34" s="40">
        <v>25</v>
      </c>
      <c r="B34" s="444" t="s">
        <v>982</v>
      </c>
      <c r="C34" s="179">
        <v>209.09999999999999</v>
      </c>
      <c r="D34" s="444">
        <v>44446</v>
      </c>
      <c r="E34" s="380">
        <f t="shared" si="4"/>
        <v>-20</v>
      </c>
      <c r="F34" s="248">
        <f t="shared" si="5"/>
        <v>-4182</v>
      </c>
      <c r="G34" s="26"/>
    </row>
    <row r="35" spans="1:7" ht="12.5">
      <c r="A35" s="40">
        <v>26</v>
      </c>
      <c r="B35" s="444" t="s">
        <v>983</v>
      </c>
      <c r="C35" s="179">
        <v>502995.51000000001</v>
      </c>
      <c r="D35" s="444">
        <v>44446</v>
      </c>
      <c r="E35" s="380">
        <f t="shared" si="4"/>
        <v>-7</v>
      </c>
      <c r="F35" s="248">
        <f t="shared" si="5"/>
        <v>-3520968.5700000003</v>
      </c>
      <c r="G35" s="26"/>
    </row>
    <row r="36" spans="1:7" ht="12.5">
      <c r="A36" s="40">
        <v>27</v>
      </c>
      <c r="B36" s="444" t="s">
        <v>984</v>
      </c>
      <c r="C36" s="179">
        <v>500480.23999999999</v>
      </c>
      <c r="D36" s="444">
        <v>44461</v>
      </c>
      <c r="E36" s="380">
        <f t="shared" si="4"/>
        <v>-7</v>
      </c>
      <c r="F36" s="248">
        <f t="shared" si="5"/>
        <v>-3503361.6799999997</v>
      </c>
      <c r="G36" s="26"/>
    </row>
    <row r="37" spans="1:7" ht="12.5">
      <c r="A37" s="40">
        <v>28</v>
      </c>
      <c r="B37" s="444" t="s">
        <v>985</v>
      </c>
      <c r="C37" s="179">
        <v>493922.71000000002</v>
      </c>
      <c r="D37" s="444">
        <v>44476</v>
      </c>
      <c r="E37" s="380">
        <f t="shared" si="4"/>
        <v>-7</v>
      </c>
      <c r="F37" s="248">
        <f t="shared" si="5"/>
        <v>-3457458.9700000002</v>
      </c>
      <c r="G37" s="26"/>
    </row>
    <row r="38" spans="1:6" ht="13" thickBot="1">
      <c r="A38" s="40">
        <v>29</v>
      </c>
      <c r="B38" s="16" t="s">
        <v>26</v>
      </c>
      <c r="C38" s="403">
        <f>SUM(C10:C37)</f>
        <v>11446827.99</v>
      </c>
      <c r="D38" s="31"/>
      <c r="E38" s="660">
        <f>ROUND(F38/C38,2)</f>
        <v>-7.1600000000000001</v>
      </c>
      <c r="F38" s="403">
        <f>SUM(F10:F37)</f>
        <v>-82007948.060000002</v>
      </c>
    </row>
    <row r="39" spans="1:6" ht="13" thickTop="1">
      <c r="A39" s="40">
        <v>30</v>
      </c>
      <c r="C39" s="197"/>
      <c r="D39" s="31"/>
      <c r="E39" s="162"/>
      <c r="F39" s="46"/>
    </row>
    <row r="40" spans="1:6" ht="12.5">
      <c r="A40" s="40">
        <v>31</v>
      </c>
      <c r="B40" s="674" t="s">
        <v>534</v>
      </c>
      <c r="C40" s="197"/>
      <c r="D40" s="31"/>
      <c r="E40" s="405">
        <f>+ROUND(C38/365.25,0)</f>
        <v>31340</v>
      </c>
      <c r="F40" s="46"/>
    </row>
    <row r="41" spans="1:6" ht="12.5">
      <c r="A41" s="40">
        <v>32</v>
      </c>
      <c r="C41" s="197"/>
      <c r="D41" s="31"/>
      <c r="E41" s="163"/>
      <c r="F41" s="46"/>
    </row>
    <row r="42" spans="1:6" ht="12.5">
      <c r="A42" s="40">
        <v>33</v>
      </c>
      <c r="B42" s="674" t="s">
        <v>535</v>
      </c>
      <c r="C42" s="233"/>
      <c r="D42" s="31"/>
      <c r="E42" s="452">
        <f>+E38</f>
        <v>-7.1600000000000001</v>
      </c>
      <c r="F42" s="46"/>
    </row>
    <row r="43" spans="1:5" ht="12.5">
      <c r="A43" s="40">
        <v>34</v>
      </c>
      <c r="B43" s="31"/>
      <c r="C43" s="31"/>
      <c r="D43" s="31"/>
      <c r="E43" s="9"/>
    </row>
    <row r="44" spans="1:5" ht="13" thickBot="1">
      <c r="A44" s="40">
        <v>35</v>
      </c>
      <c r="B44" s="675" t="s">
        <v>536</v>
      </c>
      <c r="C44" s="191"/>
      <c r="D44" s="31"/>
      <c r="E44" s="406">
        <f>+ROUND(E40*E42,0)</f>
        <v>-224394</v>
      </c>
    </row>
    <row r="45" spans="1:1" ht="13" thickTop="1">
      <c r="A45" s="40">
        <v>36</v>
      </c>
    </row>
    <row r="46" spans="1:3" ht="12.5">
      <c r="A46" s="40">
        <v>37</v>
      </c>
      <c r="B46" s="31" t="s">
        <v>256</v>
      </c>
      <c r="C46" s="293" t="s">
        <v>478</v>
      </c>
    </row>
    <row r="47" spans="2:3" ht="12.5">
      <c r="B47" s="31"/>
      <c r="C47" s="31"/>
    </row>
    <row r="48" spans="2:3" ht="12.5">
      <c r="B48" s="31"/>
      <c r="C48" s="31"/>
    </row>
  </sheetData>
  <mergeCells count="1">
    <mergeCell ref="A3:F3"/>
  </mergeCells>
  <hyperlinks>
    <hyperlink ref="C46" r:id="rId1" display="Thrift.xlsx"/>
  </hyperlinks>
  <printOptions horizontalCentered="1"/>
  <pageMargins left="0.5" right="0.5" top="1.5" bottom="0.5" header="1" footer="0.5"/>
  <pageSetup fitToHeight="2" orientation="landscape" r:id="rId2"/>
  <headerFooter alignWithMargins="0">
    <oddHeader>&amp;RWP/II-B-9/&amp;A
Page &amp;P of &amp;N</oddHeader>
  </headerFooter>
  <rowBreaks count="1" manualBreakCount="1">
    <brk id="31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2">
    <tabColor rgb="FF92D050"/>
    <pageSetUpPr fitToPage="1"/>
  </sheetPr>
  <dimension ref="A1:G74"/>
  <sheetViews>
    <sheetView zoomScaleSheetLayoutView="100" workbookViewId="0" topLeftCell="A1">
      <selection pane="topLeft" activeCell="A4" sqref="A4"/>
    </sheetView>
  </sheetViews>
  <sheetFormatPr defaultColWidth="9.09428571428571" defaultRowHeight="12.75"/>
  <cols>
    <col min="1" max="1" width="5.57142857142857" style="1" customWidth="1"/>
    <col min="2" max="2" width="17.4285714285714" style="1" customWidth="1"/>
    <col min="3" max="3" width="15.1428571428571" style="1" customWidth="1"/>
    <col min="4" max="4" width="14.5714285714286" style="1" customWidth="1"/>
    <col min="5" max="5" width="16.5714285714286" style="1" bestFit="1" customWidth="1"/>
    <col min="6" max="6" width="21.5714285714286" style="1" bestFit="1" customWidth="1"/>
    <col min="7" max="12" width="9.14285714285714" style="1"/>
    <col min="13" max="13" width="9" style="1" customWidth="1"/>
    <col min="14" max="16384" width="9.14285714285714" style="1"/>
  </cols>
  <sheetData>
    <row r="1" spans="1:5" s="42" customFormat="1" ht="13">
      <c r="A1" s="181" t="s">
        <v>530</v>
      </c>
      <c r="B1" s="181"/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B2" s="181"/>
      <c r="C2" s="181"/>
      <c r="D2" s="181"/>
      <c r="E2" s="181"/>
    </row>
    <row r="3" spans="1:6" s="42" customFormat="1" ht="13">
      <c r="A3" s="825" t="s">
        <v>185</v>
      </c>
      <c r="B3" s="825"/>
      <c r="C3" s="825"/>
      <c r="D3" s="825"/>
      <c r="E3" s="825"/>
      <c r="F3" s="825"/>
    </row>
    <row r="4" spans="1:5" s="42" customFormat="1" ht="13">
      <c r="A4" s="817" t="s">
        <v>929</v>
      </c>
      <c r="B4" s="181"/>
      <c r="C4" s="181"/>
      <c r="D4" s="181"/>
      <c r="E4" s="181"/>
    </row>
    <row r="5" spans="1:5" s="42" customFormat="1" ht="13">
      <c r="A5" s="181" t="s">
        <v>524</v>
      </c>
      <c r="B5" s="181"/>
      <c r="C5" s="181"/>
      <c r="D5" s="181"/>
      <c r="E5" s="181"/>
    </row>
    <row r="7" spans="1:7" ht="26">
      <c r="A7" s="32" t="s">
        <v>80</v>
      </c>
      <c r="B7" s="32" t="s">
        <v>177</v>
      </c>
      <c r="C7" s="32" t="s">
        <v>271</v>
      </c>
      <c r="D7" s="32" t="s">
        <v>175</v>
      </c>
      <c r="E7" s="32" t="s">
        <v>49</v>
      </c>
      <c r="F7" s="32" t="s">
        <v>43</v>
      </c>
      <c r="G7" s="26"/>
    </row>
    <row r="8" spans="1:7" ht="13">
      <c r="A8" s="38"/>
      <c r="B8" s="40" t="s">
        <v>55</v>
      </c>
      <c r="C8" s="40" t="s">
        <v>56</v>
      </c>
      <c r="D8" s="40" t="s">
        <v>62</v>
      </c>
      <c r="E8" s="40" t="s">
        <v>57</v>
      </c>
      <c r="F8" s="40" t="s">
        <v>58</v>
      </c>
      <c r="G8" s="26"/>
    </row>
    <row r="9" spans="1:7" ht="13">
      <c r="A9" s="38"/>
      <c r="B9" s="40"/>
      <c r="C9" s="40"/>
      <c r="D9" s="40"/>
      <c r="E9" s="40"/>
      <c r="F9" s="40"/>
      <c r="G9" s="26"/>
    </row>
    <row r="10" spans="1:7" ht="12.5">
      <c r="A10" s="40">
        <v>1</v>
      </c>
      <c r="B10" s="444" t="s">
        <v>986</v>
      </c>
      <c r="C10" s="75">
        <v>237589.37999999998</v>
      </c>
      <c r="D10" s="444">
        <v>44120</v>
      </c>
      <c r="E10" s="380">
        <f>-D10+B10</f>
        <v>-7</v>
      </c>
      <c r="F10" s="75">
        <f>E10*C10</f>
        <v>-1663125.6599999999</v>
      </c>
      <c r="G10" s="26"/>
    </row>
    <row r="11" spans="1:7" ht="12.5">
      <c r="A11" s="40">
        <f>A10+1</f>
        <v>2</v>
      </c>
      <c r="B11" s="444" t="s">
        <v>958</v>
      </c>
      <c r="C11" s="75">
        <v>1078070.1599999999</v>
      </c>
      <c r="D11" s="444">
        <v>44126</v>
      </c>
      <c r="E11" s="380">
        <f>-D11+B11</f>
        <v>-7</v>
      </c>
      <c r="F11" s="29">
        <f>E11*C11</f>
        <v>-7546491.1199999992</v>
      </c>
      <c r="G11" s="26"/>
    </row>
    <row r="12" spans="1:7" ht="12.5">
      <c r="A12" s="40">
        <f t="shared" si="0" ref="A12:A72">A11+1</f>
        <v>3</v>
      </c>
      <c r="B12" s="444" t="s">
        <v>987</v>
      </c>
      <c r="C12" s="75">
        <v>238870.26000000001</v>
      </c>
      <c r="D12" s="444">
        <v>44133</v>
      </c>
      <c r="E12" s="380">
        <f t="shared" si="1" ref="E12:E56">-D12+B12</f>
        <v>-6</v>
      </c>
      <c r="F12" s="29">
        <f t="shared" si="2" ref="F12:F56">E12*C12</f>
        <v>-1433221.5600000001</v>
      </c>
      <c r="G12" s="26"/>
    </row>
    <row r="13" spans="1:7" ht="12.5">
      <c r="A13" s="40">
        <f t="shared" si="0"/>
        <v>4</v>
      </c>
      <c r="B13" s="444" t="s">
        <v>959</v>
      </c>
      <c r="C13" s="75">
        <v>1075286.3599999999</v>
      </c>
      <c r="D13" s="444">
        <v>44141</v>
      </c>
      <c r="E13" s="380">
        <f t="shared" si="1"/>
        <v>-7</v>
      </c>
      <c r="F13" s="29">
        <f t="shared" si="2"/>
        <v>-7527004.5199999996</v>
      </c>
      <c r="G13" s="26"/>
    </row>
    <row r="14" spans="1:7" ht="12.5">
      <c r="A14" s="40">
        <f t="shared" si="0"/>
        <v>5</v>
      </c>
      <c r="B14" s="444" t="s">
        <v>988</v>
      </c>
      <c r="C14" s="75">
        <v>247966.36000000002</v>
      </c>
      <c r="D14" s="444">
        <v>44148</v>
      </c>
      <c r="E14" s="380">
        <f t="shared" si="1"/>
        <v>-7</v>
      </c>
      <c r="F14" s="29">
        <f t="shared" si="2"/>
        <v>-1735764.52</v>
      </c>
      <c r="G14" s="26"/>
    </row>
    <row r="15" spans="1:7" ht="12.5">
      <c r="A15" s="40">
        <f t="shared" si="0"/>
        <v>6</v>
      </c>
      <c r="B15" s="444" t="s">
        <v>989</v>
      </c>
      <c r="C15" s="75">
        <v>87.579999999999998</v>
      </c>
      <c r="D15" s="444">
        <v>44162</v>
      </c>
      <c r="E15" s="380">
        <f t="shared" si="1"/>
        <v>-16</v>
      </c>
      <c r="F15" s="29">
        <f t="shared" si="2"/>
        <v>-1401.28</v>
      </c>
      <c r="G15" s="26"/>
    </row>
    <row r="16" spans="1:7" ht="12.5">
      <c r="A16" s="40">
        <f t="shared" si="0"/>
        <v>7</v>
      </c>
      <c r="B16" s="444" t="s">
        <v>960</v>
      </c>
      <c r="C16" s="75">
        <v>1094738.03</v>
      </c>
      <c r="D16" s="444">
        <v>44155</v>
      </c>
      <c r="E16" s="380">
        <f t="shared" si="1"/>
        <v>-7</v>
      </c>
      <c r="F16" s="29">
        <f t="shared" si="2"/>
        <v>-7663166.21</v>
      </c>
      <c r="G16" s="26"/>
    </row>
    <row r="17" spans="1:7" ht="12.5">
      <c r="A17" s="40">
        <f t="shared" si="0"/>
        <v>8</v>
      </c>
      <c r="B17" s="444" t="s">
        <v>990</v>
      </c>
      <c r="C17" s="75">
        <v>245509.07000000001</v>
      </c>
      <c r="D17" s="444">
        <v>44162</v>
      </c>
      <c r="E17" s="380">
        <f t="shared" si="1"/>
        <v>-7</v>
      </c>
      <c r="F17" s="29">
        <f t="shared" si="2"/>
        <v>-1718563.49</v>
      </c>
      <c r="G17" s="26"/>
    </row>
    <row r="18" spans="1:7" ht="12.5">
      <c r="A18" s="40">
        <f t="shared" si="0"/>
        <v>9</v>
      </c>
      <c r="B18" s="444" t="s">
        <v>961</v>
      </c>
      <c r="C18" s="75">
        <v>1080826.4099999999</v>
      </c>
      <c r="D18" s="444">
        <v>44172</v>
      </c>
      <c r="E18" s="380">
        <f t="shared" si="1"/>
        <v>-7</v>
      </c>
      <c r="F18" s="29">
        <f t="shared" si="2"/>
        <v>-7565784.8699999992</v>
      </c>
      <c r="G18" s="26"/>
    </row>
    <row r="19" spans="1:7" ht="12.5">
      <c r="A19" s="40">
        <f t="shared" si="0"/>
        <v>10</v>
      </c>
      <c r="B19" s="444" t="s">
        <v>991</v>
      </c>
      <c r="C19" s="75">
        <v>245442</v>
      </c>
      <c r="D19" s="444">
        <v>44176</v>
      </c>
      <c r="E19" s="380">
        <f t="shared" si="1"/>
        <v>-7</v>
      </c>
      <c r="F19" s="29">
        <f t="shared" si="2"/>
        <v>-1718094</v>
      </c>
      <c r="G19" s="26"/>
    </row>
    <row r="20" spans="1:7" ht="12.5">
      <c r="A20" s="40">
        <f t="shared" si="0"/>
        <v>11</v>
      </c>
      <c r="B20" s="444" t="s">
        <v>963</v>
      </c>
      <c r="C20" s="75">
        <v>1146052.48</v>
      </c>
      <c r="D20" s="444">
        <v>44187</v>
      </c>
      <c r="E20" s="380">
        <f t="shared" si="1"/>
        <v>-7</v>
      </c>
      <c r="F20" s="29">
        <f t="shared" si="2"/>
        <v>-8022367.3599999994</v>
      </c>
      <c r="G20" s="26"/>
    </row>
    <row r="21" spans="1:7" ht="12.5">
      <c r="A21" s="40">
        <f t="shared" si="0"/>
        <v>12</v>
      </c>
      <c r="B21" s="444" t="s">
        <v>992</v>
      </c>
      <c r="C21" s="75">
        <v>252247.25</v>
      </c>
      <c r="D21" s="444">
        <v>44188</v>
      </c>
      <c r="E21" s="380">
        <f t="shared" si="1"/>
        <v>-5</v>
      </c>
      <c r="F21" s="29">
        <f t="shared" si="2"/>
        <v>-1261236.25</v>
      </c>
      <c r="G21" s="26"/>
    </row>
    <row r="22" spans="1:7" ht="12.5">
      <c r="A22" s="40">
        <f t="shared" si="0"/>
        <v>13</v>
      </c>
      <c r="B22" s="444" t="s">
        <v>993</v>
      </c>
      <c r="C22" s="75">
        <v>7.1399999999999997</v>
      </c>
      <c r="D22" s="444">
        <v>44204</v>
      </c>
      <c r="E22" s="380">
        <f t="shared" si="1"/>
        <v>-16</v>
      </c>
      <c r="F22" s="29">
        <f t="shared" si="2"/>
        <v>-114.24</v>
      </c>
      <c r="G22" s="26"/>
    </row>
    <row r="23" spans="1:7" ht="12.5">
      <c r="A23" s="40">
        <f t="shared" si="0"/>
        <v>14</v>
      </c>
      <c r="B23" s="444" t="s">
        <v>964</v>
      </c>
      <c r="C23" s="75">
        <v>1323220.1200000001</v>
      </c>
      <c r="D23" s="444">
        <v>44204</v>
      </c>
      <c r="E23" s="380">
        <f t="shared" si="1"/>
        <v>-8</v>
      </c>
      <c r="F23" s="29">
        <f t="shared" si="2"/>
        <v>-10585760.960000001</v>
      </c>
      <c r="G23" s="26"/>
    </row>
    <row r="24" spans="1:7" ht="12.5">
      <c r="A24" s="40">
        <f t="shared" si="0"/>
        <v>15</v>
      </c>
      <c r="B24" s="444" t="s">
        <v>965</v>
      </c>
      <c r="C24" s="75">
        <v>1384162.8100000001</v>
      </c>
      <c r="D24" s="444">
        <v>44218</v>
      </c>
      <c r="E24" s="380">
        <f t="shared" si="1"/>
        <v>-7</v>
      </c>
      <c r="F24" s="29">
        <f t="shared" si="2"/>
        <v>-9689139.6699999999</v>
      </c>
      <c r="G24" s="26"/>
    </row>
    <row r="25" spans="1:7" ht="12.5">
      <c r="A25" s="40">
        <f t="shared" si="0"/>
        <v>16</v>
      </c>
      <c r="B25" s="444" t="s">
        <v>994</v>
      </c>
      <c r="C25" s="75">
        <v>423.07999999999998</v>
      </c>
      <c r="D25" s="444">
        <v>44232</v>
      </c>
      <c r="E25" s="380">
        <f t="shared" si="1"/>
        <v>-17</v>
      </c>
      <c r="F25" s="29">
        <f t="shared" si="2"/>
        <v>-7192.3599999999997</v>
      </c>
      <c r="G25" s="26"/>
    </row>
    <row r="26" spans="1:7" ht="12.5">
      <c r="A26" s="40">
        <f t="shared" si="0"/>
        <v>17</v>
      </c>
      <c r="B26" s="444" t="s">
        <v>995</v>
      </c>
      <c r="C26" s="75">
        <v>1308</v>
      </c>
      <c r="D26" s="444">
        <v>44232</v>
      </c>
      <c r="E26" s="380">
        <f t="shared" si="1"/>
        <v>-15</v>
      </c>
      <c r="F26" s="29">
        <f t="shared" si="2"/>
        <v>-19620</v>
      </c>
      <c r="G26" s="26"/>
    </row>
    <row r="27" spans="1:7" ht="12.5">
      <c r="A27" s="40">
        <f t="shared" si="0"/>
        <v>18</v>
      </c>
      <c r="B27" s="444" t="s">
        <v>966</v>
      </c>
      <c r="C27" s="75">
        <v>1374874.4500000002</v>
      </c>
      <c r="D27" s="444">
        <v>44232</v>
      </c>
      <c r="E27" s="380">
        <f t="shared" si="1"/>
        <v>-7</v>
      </c>
      <c r="F27" s="29">
        <f t="shared" si="2"/>
        <v>-9624121.1500000022</v>
      </c>
      <c r="G27" s="26"/>
    </row>
    <row r="28" spans="1:7" ht="12.5">
      <c r="A28" s="40">
        <f t="shared" si="0"/>
        <v>19</v>
      </c>
      <c r="B28" s="444" t="s">
        <v>967</v>
      </c>
      <c r="C28" s="75">
        <v>1436310.1200000001</v>
      </c>
      <c r="D28" s="444">
        <v>44249</v>
      </c>
      <c r="E28" s="380">
        <f t="shared" si="1"/>
        <v>-10</v>
      </c>
      <c r="F28" s="29">
        <f t="shared" si="2"/>
        <v>-14363101.200000001</v>
      </c>
      <c r="G28" s="26"/>
    </row>
    <row r="29" spans="1:7" ht="12.5">
      <c r="A29" s="40">
        <f t="shared" si="0"/>
        <v>20</v>
      </c>
      <c r="B29" s="444" t="s">
        <v>968</v>
      </c>
      <c r="C29" s="75">
        <v>242.34999999999999</v>
      </c>
      <c r="D29" s="444">
        <v>44249</v>
      </c>
      <c r="E29" s="380">
        <f t="shared" si="1"/>
        <v>-5</v>
      </c>
      <c r="F29" s="29">
        <f t="shared" si="2"/>
        <v>-1211.75</v>
      </c>
      <c r="G29" s="26"/>
    </row>
    <row r="30" spans="1:7" ht="12.5">
      <c r="A30" s="40">
        <f t="shared" si="0"/>
        <v>21</v>
      </c>
      <c r="B30" s="444" t="s">
        <v>969</v>
      </c>
      <c r="C30" s="75">
        <v>353.75999999999999</v>
      </c>
      <c r="D30" s="444">
        <v>44249</v>
      </c>
      <c r="E30" s="380">
        <f t="shared" si="1"/>
        <v>-4</v>
      </c>
      <c r="F30" s="29">
        <f t="shared" si="2"/>
        <v>-1415.04</v>
      </c>
      <c r="G30" s="26"/>
    </row>
    <row r="31" spans="1:7" ht="12.5">
      <c r="A31" s="40">
        <f t="shared" si="0"/>
        <v>22</v>
      </c>
      <c r="B31" s="444" t="s">
        <v>970</v>
      </c>
      <c r="C31" s="75">
        <v>1427601.02</v>
      </c>
      <c r="D31" s="444">
        <v>44260</v>
      </c>
      <c r="E31" s="380">
        <f t="shared" si="1"/>
        <v>-7</v>
      </c>
      <c r="F31" s="29">
        <f t="shared" si="2"/>
        <v>-9993207.1400000006</v>
      </c>
      <c r="G31" s="26"/>
    </row>
    <row r="32" spans="1:7" ht="12.5">
      <c r="A32" s="40">
        <f t="shared" si="0"/>
        <v>23</v>
      </c>
      <c r="B32" s="444" t="s">
        <v>996</v>
      </c>
      <c r="C32" s="75">
        <v>249852.95999999999</v>
      </c>
      <c r="D32" s="444">
        <v>44274</v>
      </c>
      <c r="E32" s="380">
        <f t="shared" si="1"/>
        <v>-7</v>
      </c>
      <c r="F32" s="29">
        <f t="shared" si="2"/>
        <v>-1748970.72</v>
      </c>
      <c r="G32" s="26"/>
    </row>
    <row r="33" spans="1:7" ht="12.5">
      <c r="A33" s="40">
        <f t="shared" si="0"/>
        <v>24</v>
      </c>
      <c r="B33" s="444" t="s">
        <v>971</v>
      </c>
      <c r="C33" s="75">
        <v>1199746.3200000001</v>
      </c>
      <c r="D33" s="444">
        <v>44277</v>
      </c>
      <c r="E33" s="380">
        <f t="shared" si="1"/>
        <v>-7</v>
      </c>
      <c r="F33" s="29">
        <f t="shared" si="2"/>
        <v>-8398224.2400000002</v>
      </c>
      <c r="G33" s="26"/>
    </row>
    <row r="34" spans="1:7" ht="12.5">
      <c r="A34" s="40">
        <f t="shared" si="0"/>
        <v>25</v>
      </c>
      <c r="B34" s="444" t="s">
        <v>997</v>
      </c>
      <c r="C34" s="75">
        <v>7771.2200000000003</v>
      </c>
      <c r="D34" s="444">
        <v>44277</v>
      </c>
      <c r="E34" s="380">
        <f t="shared" si="1"/>
        <v>-4</v>
      </c>
      <c r="F34" s="29">
        <f t="shared" si="2"/>
        <v>-31084.880000000001</v>
      </c>
      <c r="G34" s="26"/>
    </row>
    <row r="35" spans="1:7" ht="12.5">
      <c r="A35" s="40">
        <f t="shared" si="0"/>
        <v>26</v>
      </c>
      <c r="B35" s="444" t="s">
        <v>998</v>
      </c>
      <c r="C35" s="75">
        <v>255455.45999999999</v>
      </c>
      <c r="D35" s="444">
        <v>44287</v>
      </c>
      <c r="E35" s="380">
        <f t="shared" si="1"/>
        <v>-6</v>
      </c>
      <c r="F35" s="29">
        <f t="shared" si="2"/>
        <v>-1532732.76</v>
      </c>
      <c r="G35" s="26"/>
    </row>
    <row r="36" spans="1:7" ht="12.5">
      <c r="A36" s="40">
        <f t="shared" si="0"/>
        <v>27</v>
      </c>
      <c r="B36" s="444" t="s">
        <v>972</v>
      </c>
      <c r="C36" s="75">
        <v>1210293.1699999999</v>
      </c>
      <c r="D36" s="444">
        <v>44293</v>
      </c>
      <c r="E36" s="380">
        <f t="shared" si="1"/>
        <v>-7</v>
      </c>
      <c r="F36" s="29">
        <f t="shared" si="2"/>
        <v>-8472052.1899999995</v>
      </c>
      <c r="G36" s="26"/>
    </row>
    <row r="37" spans="1:7" ht="12.5">
      <c r="A37" s="40">
        <f t="shared" si="0"/>
        <v>28</v>
      </c>
      <c r="B37" s="444" t="s">
        <v>999</v>
      </c>
      <c r="C37" s="75">
        <v>256671.97999999998</v>
      </c>
      <c r="D37" s="444">
        <v>44302</v>
      </c>
      <c r="E37" s="380">
        <f t="shared" si="1"/>
        <v>-7</v>
      </c>
      <c r="F37" s="29">
        <f t="shared" si="2"/>
        <v>-1796703.8599999999</v>
      </c>
      <c r="G37" s="26"/>
    </row>
    <row r="38" spans="1:7" ht="12.5">
      <c r="A38" s="40">
        <f t="shared" si="0"/>
        <v>29</v>
      </c>
      <c r="B38" s="444" t="s">
        <v>1000</v>
      </c>
      <c r="C38" s="75">
        <v>175.05000000000001</v>
      </c>
      <c r="D38" s="444">
        <v>44302</v>
      </c>
      <c r="E38" s="380">
        <f t="shared" si="1"/>
        <v>-2</v>
      </c>
      <c r="F38" s="29">
        <f t="shared" si="2"/>
        <v>-350.10000000000002</v>
      </c>
      <c r="G38" s="26"/>
    </row>
    <row r="39" spans="1:7" ht="12.5">
      <c r="A39" s="40">
        <f t="shared" si="0"/>
        <v>30</v>
      </c>
      <c r="B39" s="444" t="s">
        <v>973</v>
      </c>
      <c r="C39" s="75">
        <v>1213772.7399999998</v>
      </c>
      <c r="D39" s="444">
        <v>44308</v>
      </c>
      <c r="E39" s="380">
        <f t="shared" si="1"/>
        <v>-7</v>
      </c>
      <c r="F39" s="29">
        <f t="shared" si="2"/>
        <v>-8496409.1799999978</v>
      </c>
      <c r="G39" s="26"/>
    </row>
    <row r="40" spans="1:7" ht="12.5">
      <c r="A40" s="40">
        <f t="shared" si="0"/>
        <v>31</v>
      </c>
      <c r="B40" s="444" t="s">
        <v>1001</v>
      </c>
      <c r="C40" s="75">
        <v>258391.46000000002</v>
      </c>
      <c r="D40" s="444">
        <v>44316</v>
      </c>
      <c r="E40" s="380">
        <f t="shared" si="1"/>
        <v>-7</v>
      </c>
      <c r="F40" s="29">
        <f t="shared" si="2"/>
        <v>-1808740.2200000002</v>
      </c>
      <c r="G40" s="26"/>
    </row>
    <row r="41" spans="1:7" ht="12.5">
      <c r="A41" s="40">
        <f t="shared" si="0"/>
        <v>32</v>
      </c>
      <c r="B41" s="444" t="s">
        <v>974</v>
      </c>
      <c r="C41" s="75">
        <v>1188092.6299999999</v>
      </c>
      <c r="D41" s="444">
        <v>44323</v>
      </c>
      <c r="E41" s="380">
        <f t="shared" si="1"/>
        <v>-7</v>
      </c>
      <c r="F41" s="29">
        <f t="shared" si="2"/>
        <v>-8316648.4099999992</v>
      </c>
      <c r="G41" s="26"/>
    </row>
    <row r="42" spans="1:7" ht="12.5">
      <c r="A42" s="40">
        <f t="shared" si="0"/>
        <v>33</v>
      </c>
      <c r="B42" s="444" t="s">
        <v>1002</v>
      </c>
      <c r="C42" s="75">
        <v>256183.01999999999</v>
      </c>
      <c r="D42" s="444">
        <v>44330</v>
      </c>
      <c r="E42" s="380">
        <f t="shared" si="1"/>
        <v>-7</v>
      </c>
      <c r="F42" s="29">
        <f t="shared" si="2"/>
        <v>-1793281.1399999999</v>
      </c>
      <c r="G42" s="26"/>
    </row>
    <row r="43" spans="1:7" ht="12.5">
      <c r="A43" s="40">
        <f t="shared" si="0"/>
        <v>34</v>
      </c>
      <c r="B43" s="444" t="s">
        <v>1003</v>
      </c>
      <c r="C43" s="75">
        <v>21.649999999999999</v>
      </c>
      <c r="D43" s="444">
        <v>44337</v>
      </c>
      <c r="E43" s="380">
        <f t="shared" si="1"/>
        <v>-9</v>
      </c>
      <c r="F43" s="29">
        <f t="shared" si="2"/>
        <v>-194.84999999999999</v>
      </c>
      <c r="G43" s="26"/>
    </row>
    <row r="44" spans="1:7" ht="12.5">
      <c r="A44" s="40">
        <f t="shared" si="0"/>
        <v>35</v>
      </c>
      <c r="B44" s="444" t="s">
        <v>975</v>
      </c>
      <c r="C44" s="75">
        <v>1199952.6000000001</v>
      </c>
      <c r="D44" s="444">
        <v>44337</v>
      </c>
      <c r="E44" s="380">
        <f t="shared" si="1"/>
        <v>-7</v>
      </c>
      <c r="F44" s="29">
        <f t="shared" si="2"/>
        <v>-8399668.2000000011</v>
      </c>
      <c r="G44" s="26"/>
    </row>
    <row r="45" spans="1:7" ht="12.5">
      <c r="A45" s="40">
        <f t="shared" si="0"/>
        <v>36</v>
      </c>
      <c r="B45" s="444" t="s">
        <v>1004</v>
      </c>
      <c r="C45" s="75">
        <v>49.049999999999997</v>
      </c>
      <c r="D45" s="444">
        <v>44344</v>
      </c>
      <c r="E45" s="380">
        <f t="shared" si="1"/>
        <v>-11</v>
      </c>
      <c r="F45" s="29">
        <f t="shared" si="2"/>
        <v>-539.54999999999995</v>
      </c>
      <c r="G45" s="26"/>
    </row>
    <row r="46" spans="1:7" ht="12.5">
      <c r="A46" s="40">
        <f t="shared" si="0"/>
        <v>37</v>
      </c>
      <c r="B46" s="444" t="s">
        <v>1005</v>
      </c>
      <c r="C46" s="75">
        <v>254699.87999999998</v>
      </c>
      <c r="D46" s="444">
        <v>44344</v>
      </c>
      <c r="E46" s="380">
        <f t="shared" si="1"/>
        <v>-7</v>
      </c>
      <c r="F46" s="29">
        <f t="shared" si="2"/>
        <v>-1782899.1599999999</v>
      </c>
      <c r="G46" s="26"/>
    </row>
    <row r="47" spans="1:7" ht="12.5">
      <c r="A47" s="40">
        <f t="shared" si="0"/>
        <v>38</v>
      </c>
      <c r="B47" s="444" t="s">
        <v>976</v>
      </c>
      <c r="C47" s="75">
        <v>1188425.9199999999</v>
      </c>
      <c r="D47" s="444">
        <v>44351</v>
      </c>
      <c r="E47" s="380">
        <f t="shared" si="1"/>
        <v>-7</v>
      </c>
      <c r="F47" s="29">
        <f t="shared" si="2"/>
        <v>-8318981.4399999995</v>
      </c>
      <c r="G47" s="26"/>
    </row>
    <row r="48" spans="1:7" ht="12.5">
      <c r="A48" s="40">
        <f t="shared" si="0"/>
        <v>39</v>
      </c>
      <c r="B48" s="444" t="s">
        <v>1006</v>
      </c>
      <c r="C48" s="75">
        <v>256197.45000000001</v>
      </c>
      <c r="D48" s="444">
        <v>44358</v>
      </c>
      <c r="E48" s="380">
        <f t="shared" si="1"/>
        <v>-7</v>
      </c>
      <c r="F48" s="29">
        <f t="shared" si="2"/>
        <v>-1793382.1500000001</v>
      </c>
      <c r="G48" s="26"/>
    </row>
    <row r="49" spans="1:7" ht="12.5">
      <c r="A49" s="40">
        <f t="shared" si="0"/>
        <v>40</v>
      </c>
      <c r="B49" s="444" t="s">
        <v>977</v>
      </c>
      <c r="C49" s="75">
        <v>1195738.1900000002</v>
      </c>
      <c r="D49" s="444">
        <v>44369</v>
      </c>
      <c r="E49" s="380">
        <f t="shared" si="1"/>
        <v>-7</v>
      </c>
      <c r="F49" s="29">
        <f t="shared" si="2"/>
        <v>-8370167.330000001</v>
      </c>
      <c r="G49" s="26"/>
    </row>
    <row r="50" spans="1:7" ht="12.5">
      <c r="A50" s="40">
        <f t="shared" si="0"/>
        <v>41</v>
      </c>
      <c r="B50" s="444" t="s">
        <v>1007</v>
      </c>
      <c r="C50" s="75">
        <v>256990.20999999999</v>
      </c>
      <c r="D50" s="444">
        <v>44372</v>
      </c>
      <c r="E50" s="380">
        <f t="shared" si="1"/>
        <v>-7</v>
      </c>
      <c r="F50" s="29">
        <f t="shared" si="2"/>
        <v>-1798931.47</v>
      </c>
      <c r="G50" s="26"/>
    </row>
    <row r="51" spans="1:7" ht="12.5">
      <c r="A51" s="40">
        <f t="shared" si="0"/>
        <v>42</v>
      </c>
      <c r="B51" s="444" t="s">
        <v>978</v>
      </c>
      <c r="C51" s="75">
        <v>1184712.77</v>
      </c>
      <c r="D51" s="444">
        <v>44384</v>
      </c>
      <c r="E51" s="380">
        <f t="shared" si="1"/>
        <v>-7</v>
      </c>
      <c r="F51" s="29">
        <f t="shared" si="2"/>
        <v>-8292989.3900000006</v>
      </c>
      <c r="G51" s="26"/>
    </row>
    <row r="52" spans="1:7" ht="12.5">
      <c r="A52" s="40">
        <f t="shared" si="0"/>
        <v>43</v>
      </c>
      <c r="B52" s="444" t="s">
        <v>1008</v>
      </c>
      <c r="C52" s="75">
        <v>254104.63999999999</v>
      </c>
      <c r="D52" s="444">
        <v>44386</v>
      </c>
      <c r="E52" s="380">
        <f t="shared" si="1"/>
        <v>-7</v>
      </c>
      <c r="F52" s="29">
        <f t="shared" si="2"/>
        <v>-1778732.48</v>
      </c>
      <c r="G52" s="26"/>
    </row>
    <row r="53" spans="1:7" ht="12.5">
      <c r="A53" s="40">
        <f t="shared" si="0"/>
        <v>44</v>
      </c>
      <c r="B53" s="444" t="s">
        <v>979</v>
      </c>
      <c r="C53" s="75">
        <v>1187202.53</v>
      </c>
      <c r="D53" s="444">
        <v>44399</v>
      </c>
      <c r="E53" s="380">
        <f t="shared" si="1"/>
        <v>-7</v>
      </c>
      <c r="F53" s="29">
        <f t="shared" si="2"/>
        <v>-8310417.71</v>
      </c>
      <c r="G53" s="26"/>
    </row>
    <row r="54" spans="1:7" ht="12.5">
      <c r="A54" s="40">
        <f t="shared" si="0"/>
        <v>45</v>
      </c>
      <c r="B54" s="444" t="s">
        <v>1009</v>
      </c>
      <c r="C54" s="75">
        <v>253781.88000000001</v>
      </c>
      <c r="D54" s="444">
        <v>44400</v>
      </c>
      <c r="E54" s="380">
        <f t="shared" si="1"/>
        <v>-7</v>
      </c>
      <c r="F54" s="29">
        <f t="shared" si="2"/>
        <v>-1776473.1600000002</v>
      </c>
      <c r="G54" s="26"/>
    </row>
    <row r="55" spans="1:7" ht="12.5">
      <c r="A55" s="40">
        <f t="shared" si="0"/>
        <v>46</v>
      </c>
      <c r="B55" s="444" t="s">
        <v>980</v>
      </c>
      <c r="C55" s="75">
        <v>1422440.9099999999</v>
      </c>
      <c r="D55" s="444">
        <v>44414</v>
      </c>
      <c r="E55" s="380">
        <f t="shared" si="1"/>
        <v>-7</v>
      </c>
      <c r="F55" s="29">
        <f t="shared" si="2"/>
        <v>-9957086.3699999992</v>
      </c>
      <c r="G55" s="26"/>
    </row>
    <row r="56" spans="1:7" ht="12.5">
      <c r="A56" s="40">
        <f t="shared" si="0"/>
        <v>47</v>
      </c>
      <c r="B56" s="444" t="s">
        <v>981</v>
      </c>
      <c r="C56" s="75">
        <v>1426962.27</v>
      </c>
      <c r="D56" s="444">
        <v>44428</v>
      </c>
      <c r="E56" s="380">
        <f t="shared" si="1"/>
        <v>-7</v>
      </c>
      <c r="F56" s="29">
        <f t="shared" si="2"/>
        <v>-9988735.8900000006</v>
      </c>
      <c r="G56" s="26"/>
    </row>
    <row r="57" spans="1:7" ht="12.5">
      <c r="A57" s="40">
        <f t="shared" si="0"/>
        <v>48</v>
      </c>
      <c r="B57" s="444" t="s">
        <v>1010</v>
      </c>
      <c r="C57" s="75">
        <v>253579.01000000001</v>
      </c>
      <c r="D57" s="444">
        <v>44442</v>
      </c>
      <c r="E57" s="380">
        <f>-D57+B57</f>
        <v>-7</v>
      </c>
      <c r="F57" s="29">
        <f>E57*C57</f>
        <v>-1775053.0700000001</v>
      </c>
      <c r="G57" s="26"/>
    </row>
    <row r="58" spans="1:7" ht="12.5">
      <c r="A58" s="40">
        <f t="shared" si="0"/>
        <v>49</v>
      </c>
      <c r="B58" s="444" t="s">
        <v>983</v>
      </c>
      <c r="C58" s="75">
        <v>1212131.73</v>
      </c>
      <c r="D58" s="444">
        <v>44446</v>
      </c>
      <c r="E58" s="380">
        <f t="shared" si="3" ref="E58:E63">-D58+B58</f>
        <v>-7</v>
      </c>
      <c r="F58" s="29">
        <f t="shared" si="4" ref="F58:F63">E58*C58</f>
        <v>-8484922.1099999994</v>
      </c>
      <c r="G58" s="26"/>
    </row>
    <row r="59" spans="1:7" ht="12.5">
      <c r="A59" s="40">
        <f t="shared" si="0"/>
        <v>50</v>
      </c>
      <c r="B59" s="444" t="s">
        <v>1011</v>
      </c>
      <c r="C59" s="75">
        <v>92.010000000000005</v>
      </c>
      <c r="D59" s="444">
        <v>44446</v>
      </c>
      <c r="E59" s="380">
        <f t="shared" si="3"/>
        <v>-4</v>
      </c>
      <c r="F59" s="29">
        <f t="shared" si="4"/>
        <v>-368.04000000000002</v>
      </c>
      <c r="G59" s="26"/>
    </row>
    <row r="60" spans="1:7" ht="12.5">
      <c r="A60" s="40">
        <f t="shared" si="0"/>
        <v>51</v>
      </c>
      <c r="B60" s="444" t="s">
        <v>1012</v>
      </c>
      <c r="C60" s="75">
        <v>254575.27000000002</v>
      </c>
      <c r="D60" s="444">
        <v>44456</v>
      </c>
      <c r="E60" s="380">
        <f t="shared" si="3"/>
        <v>-7</v>
      </c>
      <c r="F60" s="29">
        <f t="shared" si="4"/>
        <v>-1782026.8900000001</v>
      </c>
      <c r="G60" s="26"/>
    </row>
    <row r="61" spans="1:7" ht="12.5">
      <c r="A61" s="40">
        <f t="shared" si="0"/>
        <v>52</v>
      </c>
      <c r="B61" s="444" t="s">
        <v>984</v>
      </c>
      <c r="C61" s="75">
        <v>1168266.78</v>
      </c>
      <c r="D61" s="444">
        <v>44461</v>
      </c>
      <c r="E61" s="380">
        <f t="shared" si="3"/>
        <v>-7</v>
      </c>
      <c r="F61" s="29">
        <f t="shared" si="4"/>
        <v>-8177867.46</v>
      </c>
      <c r="G61" s="26"/>
    </row>
    <row r="62" spans="1:7" ht="12.5">
      <c r="A62" s="40">
        <f t="shared" si="0"/>
        <v>53</v>
      </c>
      <c r="B62" s="444" t="s">
        <v>1013</v>
      </c>
      <c r="C62" s="75">
        <v>253744.31</v>
      </c>
      <c r="D62" s="444">
        <v>44470</v>
      </c>
      <c r="E62" s="380">
        <f t="shared" si="3"/>
        <v>-7</v>
      </c>
      <c r="F62" s="29">
        <f t="shared" si="4"/>
        <v>-1776210.1699999999</v>
      </c>
      <c r="G62" s="26"/>
    </row>
    <row r="63" spans="1:7" ht="12.5">
      <c r="A63" s="40">
        <f t="shared" si="0"/>
        <v>54</v>
      </c>
      <c r="B63" s="444" t="s">
        <v>985</v>
      </c>
      <c r="C63" s="75">
        <v>1162956.47</v>
      </c>
      <c r="D63" s="444">
        <v>44476</v>
      </c>
      <c r="E63" s="380">
        <f t="shared" si="3"/>
        <v>-7</v>
      </c>
      <c r="F63" s="29">
        <f t="shared" si="4"/>
        <v>-8140695.29</v>
      </c>
      <c r="G63" s="26"/>
    </row>
    <row r="64" spans="1:6" ht="13" thickBot="1">
      <c r="A64" s="40">
        <f t="shared" si="0"/>
        <v>55</v>
      </c>
      <c r="B64" s="16" t="s">
        <v>26</v>
      </c>
      <c r="C64" s="403">
        <f>SUM(C10:C63)</f>
        <v>34374219.730000012</v>
      </c>
      <c r="D64" s="31"/>
      <c r="E64" s="660">
        <f>ROUND(F64/C64,2)</f>
        <v>-7.1299999999999999</v>
      </c>
      <c r="F64" s="403">
        <f>SUM(F10:F63)</f>
        <v>-245242644.22999996</v>
      </c>
    </row>
    <row r="65" spans="1:6" ht="13" thickTop="1">
      <c r="A65" s="40">
        <f t="shared" si="0"/>
        <v>56</v>
      </c>
      <c r="C65" s="197"/>
      <c r="D65" s="31"/>
      <c r="E65" s="162"/>
      <c r="F65" s="46"/>
    </row>
    <row r="66" spans="1:6" ht="12.5">
      <c r="A66" s="40">
        <f t="shared" si="0"/>
        <v>57</v>
      </c>
      <c r="B66" s="674" t="s">
        <v>549</v>
      </c>
      <c r="C66" s="197"/>
      <c r="D66" s="31"/>
      <c r="E66" s="405">
        <f>+ROUND(C64/365.25,0)</f>
        <v>94111</v>
      </c>
      <c r="F66" s="46"/>
    </row>
    <row r="67" spans="1:6" ht="12.5">
      <c r="A67" s="40">
        <f t="shared" si="0"/>
        <v>58</v>
      </c>
      <c r="C67" s="197"/>
      <c r="D67" s="31"/>
      <c r="E67" s="163"/>
      <c r="F67" s="46"/>
    </row>
    <row r="68" spans="1:6" ht="12.5">
      <c r="A68" s="40">
        <f t="shared" si="0"/>
        <v>59</v>
      </c>
      <c r="B68" s="674" t="s">
        <v>550</v>
      </c>
      <c r="C68" s="233"/>
      <c r="D68" s="31"/>
      <c r="E68" s="452">
        <f>+E64</f>
        <v>-7.1299999999999999</v>
      </c>
      <c r="F68" s="46"/>
    </row>
    <row r="69" spans="1:5" ht="12.5">
      <c r="A69" s="40">
        <f t="shared" si="0"/>
        <v>60</v>
      </c>
      <c r="B69" s="31"/>
      <c r="C69" s="31"/>
      <c r="D69" s="31"/>
      <c r="E69" s="9"/>
    </row>
    <row r="70" spans="1:5" ht="13" thickBot="1">
      <c r="A70" s="40">
        <f t="shared" si="0"/>
        <v>61</v>
      </c>
      <c r="B70" s="675" t="s">
        <v>551</v>
      </c>
      <c r="C70" s="191"/>
      <c r="D70" s="31"/>
      <c r="E70" s="406">
        <f>+ROUND(E66*E68,0)</f>
        <v>-671011</v>
      </c>
    </row>
    <row r="71" spans="1:1" ht="13" thickTop="1">
      <c r="A71" s="40">
        <f t="shared" si="0"/>
        <v>62</v>
      </c>
    </row>
    <row r="72" spans="1:3" ht="12.5">
      <c r="A72" s="40">
        <f t="shared" si="0"/>
        <v>63</v>
      </c>
      <c r="B72" s="31" t="s">
        <v>256</v>
      </c>
      <c r="C72" s="293" t="s">
        <v>478</v>
      </c>
    </row>
    <row r="73" spans="2:3" ht="12.5">
      <c r="B73" s="31"/>
      <c r="C73" s="31"/>
    </row>
    <row r="74" spans="2:3" ht="12.5">
      <c r="B74" s="31"/>
      <c r="C74" s="31"/>
    </row>
  </sheetData>
  <mergeCells count="1">
    <mergeCell ref="A3:F3"/>
  </mergeCells>
  <hyperlinks>
    <hyperlink ref="C72" r:id="rId1" display="Thrift.xlsx"/>
  </hyperlinks>
  <printOptions horizontalCentered="1"/>
  <pageMargins left="0.5" right="0.5" top="1.5" bottom="0.5" header="1" footer="0.5"/>
  <pageSetup fitToHeight="4" orientation="landscape" r:id="rId2"/>
  <headerFooter alignWithMargins="0">
    <oddHeader>&amp;RWP/II-B-9/&amp;A
Page &amp;P of &amp;N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0">
    <tabColor rgb="FF92D050"/>
    <pageSetUpPr fitToPage="1"/>
  </sheetPr>
  <dimension ref="A1:F27"/>
  <sheetViews>
    <sheetView workbookViewId="0" topLeftCell="A1">
      <selection pane="topLeft" activeCell="A4" sqref="A4"/>
    </sheetView>
  </sheetViews>
  <sheetFormatPr defaultColWidth="9.09428571428571" defaultRowHeight="13.5"/>
  <cols>
    <col min="1" max="1" width="9.14285714285714" style="101"/>
    <col min="2" max="2" width="20.8571428571429" style="101" customWidth="1"/>
    <col min="3" max="3" width="12" style="101" customWidth="1"/>
    <col min="4" max="4" width="29.5714285714286" style="102" customWidth="1"/>
    <col min="5" max="16384" width="9.14285714285714" style="101"/>
  </cols>
  <sheetData>
    <row r="1" spans="1:4" s="42" customFormat="1" ht="13">
      <c r="A1" s="181" t="s">
        <v>530</v>
      </c>
      <c r="C1" s="181"/>
      <c r="D1" s="181"/>
    </row>
    <row r="2" spans="1:4" s="42" customFormat="1" ht="13">
      <c r="A2" s="181" t="str">
        <f>' '!A2</f>
        <v>ONCOR ELECTRIC DELIVERY COMPANY LLC</v>
      </c>
      <c r="C2" s="181"/>
      <c r="D2" s="181"/>
    </row>
    <row r="3" spans="1:4" s="42" customFormat="1" ht="13">
      <c r="A3" s="181" t="s">
        <v>5</v>
      </c>
      <c r="C3" s="181"/>
      <c r="D3" s="181"/>
    </row>
    <row r="4" spans="1:4" s="42" customFormat="1" ht="13">
      <c r="A4" s="817" t="s">
        <v>928</v>
      </c>
      <c r="C4" s="181"/>
      <c r="D4" s="181"/>
    </row>
    <row r="5" spans="1:4" s="42" customFormat="1" ht="13">
      <c r="A5" s="181" t="s">
        <v>524</v>
      </c>
      <c r="C5" s="181"/>
      <c r="D5" s="181"/>
    </row>
    <row r="7" spans="1:6" ht="15.5">
      <c r="A7" s="203" t="s">
        <v>45</v>
      </c>
      <c r="B7" s="204" t="s">
        <v>23</v>
      </c>
      <c r="C7" s="204" t="s">
        <v>24</v>
      </c>
      <c r="D7" s="204" t="s">
        <v>25</v>
      </c>
      <c r="F7" s="103"/>
    </row>
    <row r="8" spans="1:6" ht="15.5">
      <c r="A8" s="202"/>
      <c r="B8" s="40" t="s">
        <v>55</v>
      </c>
      <c r="C8" s="40" t="s">
        <v>56</v>
      </c>
      <c r="D8" s="40" t="s">
        <v>127</v>
      </c>
      <c r="F8" s="103"/>
    </row>
    <row r="9" spans="1:6" ht="15.5">
      <c r="A9" s="202"/>
      <c r="B9" s="40"/>
      <c r="C9" s="40"/>
      <c r="D9" s="270"/>
      <c r="F9" s="103"/>
    </row>
    <row r="10" spans="1:6" ht="15.5">
      <c r="A10" s="205">
        <v>1</v>
      </c>
      <c r="B10" s="101" t="s">
        <v>134</v>
      </c>
      <c r="C10" s="75">
        <f>'13-2-1'!J29</f>
        <v>0</v>
      </c>
      <c r="D10" s="408" t="s">
        <v>363</v>
      </c>
      <c r="F10" s="103"/>
    </row>
    <row r="11" spans="1:6" ht="15.5">
      <c r="A11" s="150">
        <v>2</v>
      </c>
      <c r="B11" s="101" t="s">
        <v>135</v>
      </c>
      <c r="C11" s="29">
        <f>'13-2-2'!J29</f>
        <v>0</v>
      </c>
      <c r="D11" s="408" t="s">
        <v>364</v>
      </c>
      <c r="F11" s="103"/>
    </row>
    <row r="12" spans="1:6" ht="15.5">
      <c r="A12" s="206">
        <v>3</v>
      </c>
      <c r="B12" s="101" t="s">
        <v>137</v>
      </c>
      <c r="C12" s="389">
        <f>'13-2-3'!J29</f>
        <v>0</v>
      </c>
      <c r="D12" s="408" t="s">
        <v>365</v>
      </c>
      <c r="F12" s="103"/>
    </row>
    <row r="13" spans="1:6" ht="16.5" customHeight="1">
      <c r="A13" s="205">
        <v>4</v>
      </c>
      <c r="D13" s="245"/>
      <c r="F13" s="103"/>
    </row>
    <row r="14" spans="1:6" ht="16" thickBot="1">
      <c r="A14" s="150">
        <v>5</v>
      </c>
      <c r="C14" s="351">
        <f>ROUND(SUM(C10:C13),0)</f>
        <v>0</v>
      </c>
      <c r="D14" s="245"/>
      <c r="F14" s="103"/>
    </row>
    <row r="15" spans="4:6" ht="16" thickTop="1">
      <c r="D15" s="270"/>
      <c r="F15" s="103"/>
    </row>
    <row r="16" spans="6:6" ht="15.5">
      <c r="F16" s="103"/>
    </row>
    <row r="17" spans="6:6" ht="15.5">
      <c r="F17" s="103"/>
    </row>
    <row r="18" spans="6:6" ht="15.5">
      <c r="F18" s="103"/>
    </row>
    <row r="19" spans="6:6" ht="15.5">
      <c r="F19" s="103"/>
    </row>
    <row r="20" spans="6:6" ht="15.5">
      <c r="F20" s="103"/>
    </row>
    <row r="21" spans="6:6" ht="15.5">
      <c r="F21" s="103"/>
    </row>
    <row r="22" spans="6:6" ht="15.5">
      <c r="F22" s="103"/>
    </row>
    <row r="23" spans="6:6" ht="15.5">
      <c r="F23" s="103"/>
    </row>
    <row r="24" spans="6:6" ht="15.5">
      <c r="F24" s="103"/>
    </row>
    <row r="25" spans="2:6" ht="15.5">
      <c r="B25" s="103"/>
      <c r="C25" s="103"/>
      <c r="D25" s="104"/>
      <c r="E25" s="103"/>
      <c r="F25" s="103"/>
    </row>
    <row r="26" spans="2:6" ht="15.5">
      <c r="B26" s="103"/>
      <c r="C26" s="103"/>
      <c r="D26" s="104"/>
      <c r="E26" s="103"/>
      <c r="F26" s="103"/>
    </row>
    <row r="27" spans="2:6" ht="15.5">
      <c r="B27" s="103"/>
      <c r="C27" s="103"/>
      <c r="D27" s="104"/>
      <c r="E27" s="103"/>
      <c r="F27" s="103"/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1">
    <tabColor rgb="FF92D050"/>
    <pageSetUpPr fitToPage="1"/>
  </sheetPr>
  <dimension ref="A1:K241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9.14285714285714" style="101"/>
    <col min="2" max="2" width="18" style="101" customWidth="1"/>
    <col min="3" max="3" width="11.1428571428571" style="101" customWidth="1"/>
    <col min="4" max="4" width="14" style="101" customWidth="1"/>
    <col min="5" max="5" width="2.85714285714286" style="101" customWidth="1"/>
    <col min="6" max="6" width="11.1428571428571" style="101" bestFit="1" customWidth="1"/>
    <col min="7" max="7" width="14" style="101" customWidth="1"/>
    <col min="8" max="8" width="3" style="101" customWidth="1"/>
    <col min="9" max="9" width="10.5714285714286" style="101" customWidth="1"/>
    <col min="10" max="10" width="12.4285714285714" style="101" customWidth="1"/>
    <col min="11" max="11" width="9.57142857142857" style="101" bestFit="1" customWidth="1"/>
    <col min="12" max="16384" width="9.14285714285714" style="101"/>
  </cols>
  <sheetData>
    <row r="1" spans="1:6" s="42" customFormat="1" ht="13">
      <c r="A1" s="181" t="s">
        <v>530</v>
      </c>
      <c r="C1" s="181"/>
      <c r="D1" s="181"/>
      <c r="E1" s="181"/>
      <c r="F1" s="181"/>
    </row>
    <row r="2" spans="1:6" s="42" customFormat="1" ht="13">
      <c r="A2" s="181" t="str">
        <f>' '!A2</f>
        <v>ONCOR ELECTRIC DELIVERY COMPANY LLC</v>
      </c>
      <c r="C2" s="181"/>
      <c r="D2" s="181"/>
      <c r="E2" s="181"/>
      <c r="F2" s="181"/>
    </row>
    <row r="3" spans="1:6" s="42" customFormat="1" ht="13">
      <c r="A3" s="181" t="s">
        <v>188</v>
      </c>
      <c r="C3" s="181"/>
      <c r="D3" s="181"/>
      <c r="E3" s="181"/>
      <c r="F3" s="181"/>
    </row>
    <row r="4" spans="1:6" s="42" customFormat="1" ht="13">
      <c r="A4" s="817" t="s">
        <v>928</v>
      </c>
      <c r="C4" s="181"/>
      <c r="D4" s="181"/>
      <c r="E4" s="181"/>
      <c r="F4" s="181"/>
    </row>
    <row r="5" spans="1:6" s="42" customFormat="1" ht="13">
      <c r="A5" s="181" t="s">
        <v>524</v>
      </c>
      <c r="C5" s="181"/>
      <c r="D5" s="181"/>
      <c r="E5" s="181"/>
      <c r="F5" s="181"/>
    </row>
    <row r="7" spans="1:11" ht="27" customHeight="1">
      <c r="A7" s="202" t="s">
        <v>219</v>
      </c>
      <c r="B7" s="105"/>
      <c r="C7" s="826" t="s">
        <v>139</v>
      </c>
      <c r="D7" s="826"/>
      <c r="E7" s="107"/>
      <c r="F7" s="826" t="s">
        <v>140</v>
      </c>
      <c r="G7" s="826"/>
      <c r="H7" s="107"/>
      <c r="I7" s="826" t="s">
        <v>141</v>
      </c>
      <c r="J7" s="826"/>
      <c r="K7" s="105"/>
    </row>
    <row r="8" spans="1:11" ht="13">
      <c r="A8" s="203" t="s">
        <v>220</v>
      </c>
      <c r="B8" s="204" t="s">
        <v>98</v>
      </c>
      <c r="C8" s="828">
        <v>1350300</v>
      </c>
      <c r="D8" s="828"/>
      <c r="E8" s="204"/>
      <c r="F8" s="827">
        <v>1350700</v>
      </c>
      <c r="G8" s="827"/>
      <c r="H8" s="204"/>
      <c r="I8" s="827">
        <v>1354000</v>
      </c>
      <c r="J8" s="827"/>
      <c r="K8" s="109"/>
    </row>
    <row r="9" spans="1:11" ht="13">
      <c r="A9" s="148"/>
      <c r="B9" s="40" t="s">
        <v>55</v>
      </c>
      <c r="C9" s="40" t="s">
        <v>56</v>
      </c>
      <c r="D9" s="40" t="s">
        <v>62</v>
      </c>
      <c r="E9" s="40"/>
      <c r="F9" s="40" t="s">
        <v>57</v>
      </c>
      <c r="G9" s="40" t="s">
        <v>58</v>
      </c>
      <c r="H9" s="40"/>
      <c r="I9" s="40" t="s">
        <v>59</v>
      </c>
      <c r="J9" s="40" t="s">
        <v>60</v>
      </c>
      <c r="K9" s="109"/>
    </row>
    <row r="10" spans="1:11" ht="13">
      <c r="A10" s="148"/>
      <c r="B10" s="105"/>
      <c r="C10" s="109"/>
      <c r="D10" s="109"/>
      <c r="E10" s="109"/>
      <c r="F10" s="109"/>
      <c r="G10" s="109"/>
      <c r="H10" s="109"/>
      <c r="I10" s="109"/>
      <c r="J10" s="109"/>
      <c r="K10" s="109"/>
    </row>
    <row r="11" spans="1:11" ht="12.5">
      <c r="A11" s="150">
        <v>1</v>
      </c>
      <c r="B11" s="110" t="s">
        <v>142</v>
      </c>
      <c r="C11" s="409"/>
      <c r="D11" s="409">
        <v>0</v>
      </c>
      <c r="E11" s="409"/>
      <c r="F11" s="409"/>
      <c r="G11" s="409">
        <v>0</v>
      </c>
      <c r="H11" s="409"/>
      <c r="I11" s="409"/>
      <c r="J11" s="409">
        <v>0</v>
      </c>
      <c r="K11" s="111"/>
    </row>
    <row r="12" spans="1:11" ht="12.5">
      <c r="A12" s="206">
        <f t="shared" si="0" ref="A12:A32">A11+1</f>
        <v>2</v>
      </c>
      <c r="B12" s="112" t="s">
        <v>143</v>
      </c>
      <c r="C12" s="410" t="s">
        <v>144</v>
      </c>
      <c r="D12" s="410"/>
      <c r="E12" s="410"/>
      <c r="F12" s="410" t="s">
        <v>144</v>
      </c>
      <c r="G12" s="410"/>
      <c r="H12" s="410"/>
      <c r="I12" s="410" t="s">
        <v>144</v>
      </c>
      <c r="J12" s="410"/>
      <c r="K12" s="111"/>
    </row>
    <row r="13" spans="1:11" ht="12.5">
      <c r="A13" s="206">
        <f t="shared" si="0"/>
        <v>3</v>
      </c>
      <c r="B13" s="697">
        <v>44197</v>
      </c>
      <c r="C13" s="411">
        <v>0</v>
      </c>
      <c r="D13" s="411">
        <f>D11+C13</f>
        <v>0</v>
      </c>
      <c r="E13" s="411"/>
      <c r="F13" s="411">
        <v>0</v>
      </c>
      <c r="G13" s="411">
        <f>G11+F13</f>
        <v>0</v>
      </c>
      <c r="H13" s="411"/>
      <c r="I13" s="411">
        <v>0</v>
      </c>
      <c r="J13" s="411">
        <f>J11+I13</f>
        <v>0</v>
      </c>
      <c r="K13" s="114"/>
    </row>
    <row r="14" spans="1:11" ht="12.5">
      <c r="A14" s="206">
        <f t="shared" si="0"/>
        <v>4</v>
      </c>
      <c r="B14" s="697">
        <v>44255</v>
      </c>
      <c r="C14" s="411">
        <v>0</v>
      </c>
      <c r="D14" s="411">
        <f t="shared" si="1" ref="D14:D24">D13+C14</f>
        <v>0</v>
      </c>
      <c r="E14" s="411"/>
      <c r="F14" s="411">
        <v>0</v>
      </c>
      <c r="G14" s="411">
        <f t="shared" si="2" ref="G14:G24">G13+F14</f>
        <v>0</v>
      </c>
      <c r="H14" s="411"/>
      <c r="I14" s="411">
        <v>0</v>
      </c>
      <c r="J14" s="411">
        <f t="shared" si="3" ref="J14:J24">J13+I14</f>
        <v>0</v>
      </c>
      <c r="K14" s="114"/>
    </row>
    <row r="15" spans="1:11" ht="12.5">
      <c r="A15" s="206">
        <f t="shared" si="0"/>
        <v>5</v>
      </c>
      <c r="B15" s="697">
        <v>44286</v>
      </c>
      <c r="C15" s="411">
        <v>0</v>
      </c>
      <c r="D15" s="411">
        <f t="shared" si="1"/>
        <v>0</v>
      </c>
      <c r="E15" s="411"/>
      <c r="F15" s="411">
        <v>0</v>
      </c>
      <c r="G15" s="411">
        <f t="shared" si="2"/>
        <v>0</v>
      </c>
      <c r="H15" s="411"/>
      <c r="I15" s="411">
        <v>0</v>
      </c>
      <c r="J15" s="411">
        <f t="shared" si="3"/>
        <v>0</v>
      </c>
      <c r="K15" s="114"/>
    </row>
    <row r="16" spans="1:11" ht="12.5">
      <c r="A16" s="206">
        <f t="shared" si="0"/>
        <v>6</v>
      </c>
      <c r="B16" s="697">
        <v>44316</v>
      </c>
      <c r="C16" s="411">
        <v>0</v>
      </c>
      <c r="D16" s="411">
        <f t="shared" si="1"/>
        <v>0</v>
      </c>
      <c r="E16" s="411"/>
      <c r="F16" s="411">
        <v>0</v>
      </c>
      <c r="G16" s="411">
        <f t="shared" si="2"/>
        <v>0</v>
      </c>
      <c r="H16" s="411"/>
      <c r="I16" s="411">
        <v>0</v>
      </c>
      <c r="J16" s="411">
        <f t="shared" si="3"/>
        <v>0</v>
      </c>
      <c r="K16" s="114"/>
    </row>
    <row r="17" spans="1:11" ht="12.5">
      <c r="A17" s="206">
        <f t="shared" si="0"/>
        <v>7</v>
      </c>
      <c r="B17" s="697">
        <v>44347</v>
      </c>
      <c r="C17" s="411">
        <v>0</v>
      </c>
      <c r="D17" s="411">
        <f t="shared" si="1"/>
        <v>0</v>
      </c>
      <c r="E17" s="411"/>
      <c r="F17" s="411">
        <v>0</v>
      </c>
      <c r="G17" s="411">
        <f t="shared" si="2"/>
        <v>0</v>
      </c>
      <c r="H17" s="411"/>
      <c r="I17" s="411">
        <v>0</v>
      </c>
      <c r="J17" s="411">
        <f t="shared" si="3"/>
        <v>0</v>
      </c>
      <c r="K17" s="114"/>
    </row>
    <row r="18" spans="1:11" ht="12.5">
      <c r="A18" s="206">
        <f t="shared" si="0"/>
        <v>8</v>
      </c>
      <c r="B18" s="697">
        <v>44377</v>
      </c>
      <c r="C18" s="411">
        <v>0</v>
      </c>
      <c r="D18" s="411">
        <f t="shared" si="1"/>
        <v>0</v>
      </c>
      <c r="E18" s="411"/>
      <c r="F18" s="411">
        <v>0</v>
      </c>
      <c r="G18" s="411">
        <f t="shared" si="2"/>
        <v>0</v>
      </c>
      <c r="H18" s="411"/>
      <c r="I18" s="411">
        <v>0</v>
      </c>
      <c r="J18" s="411">
        <f t="shared" si="3"/>
        <v>0</v>
      </c>
      <c r="K18" s="114"/>
    </row>
    <row r="19" spans="1:11" ht="12.5">
      <c r="A19" s="206">
        <f t="shared" si="0"/>
        <v>9</v>
      </c>
      <c r="B19" s="697">
        <v>44408</v>
      </c>
      <c r="C19" s="411">
        <v>0</v>
      </c>
      <c r="D19" s="411">
        <f t="shared" si="1"/>
        <v>0</v>
      </c>
      <c r="E19" s="411"/>
      <c r="F19" s="411">
        <v>0</v>
      </c>
      <c r="G19" s="411">
        <f t="shared" si="2"/>
        <v>0</v>
      </c>
      <c r="H19" s="411"/>
      <c r="I19" s="411">
        <v>0</v>
      </c>
      <c r="J19" s="411">
        <f t="shared" si="3"/>
        <v>0</v>
      </c>
      <c r="K19" s="114"/>
    </row>
    <row r="20" spans="1:11" ht="12.5">
      <c r="A20" s="206">
        <f t="shared" si="0"/>
        <v>10</v>
      </c>
      <c r="B20" s="697">
        <v>44439</v>
      </c>
      <c r="C20" s="411">
        <v>0</v>
      </c>
      <c r="D20" s="411">
        <f t="shared" si="1"/>
        <v>0</v>
      </c>
      <c r="E20" s="411"/>
      <c r="F20" s="411">
        <v>0</v>
      </c>
      <c r="G20" s="411">
        <f t="shared" si="2"/>
        <v>0</v>
      </c>
      <c r="H20" s="411"/>
      <c r="I20" s="411">
        <v>0</v>
      </c>
      <c r="J20" s="411">
        <f t="shared" si="3"/>
        <v>0</v>
      </c>
      <c r="K20" s="114"/>
    </row>
    <row r="21" spans="1:11" ht="12.5">
      <c r="A21" s="206">
        <f t="shared" si="0"/>
        <v>11</v>
      </c>
      <c r="B21" s="697">
        <v>44469</v>
      </c>
      <c r="C21" s="411">
        <v>0</v>
      </c>
      <c r="D21" s="411">
        <f t="shared" si="1"/>
        <v>0</v>
      </c>
      <c r="E21" s="411"/>
      <c r="F21" s="411">
        <v>0</v>
      </c>
      <c r="G21" s="411">
        <f t="shared" si="2"/>
        <v>0</v>
      </c>
      <c r="H21" s="411"/>
      <c r="I21" s="411">
        <v>0</v>
      </c>
      <c r="J21" s="411">
        <f t="shared" si="3"/>
        <v>0</v>
      </c>
      <c r="K21" s="114"/>
    </row>
    <row r="22" spans="1:11" ht="12.5">
      <c r="A22" s="206">
        <f t="shared" si="0"/>
        <v>12</v>
      </c>
      <c r="B22" s="697">
        <v>44500</v>
      </c>
      <c r="C22" s="411">
        <v>0</v>
      </c>
      <c r="D22" s="411">
        <f t="shared" si="1"/>
        <v>0</v>
      </c>
      <c r="E22" s="411"/>
      <c r="F22" s="411">
        <v>0</v>
      </c>
      <c r="G22" s="411">
        <f t="shared" si="2"/>
        <v>0</v>
      </c>
      <c r="H22" s="411"/>
      <c r="I22" s="411">
        <v>0</v>
      </c>
      <c r="J22" s="411">
        <f t="shared" si="3"/>
        <v>0</v>
      </c>
      <c r="K22" s="114"/>
    </row>
    <row r="23" spans="1:11" ht="12.5">
      <c r="A23" s="206">
        <f t="shared" si="0"/>
        <v>13</v>
      </c>
      <c r="B23" s="697">
        <v>44530</v>
      </c>
      <c r="C23" s="411">
        <v>0</v>
      </c>
      <c r="D23" s="411">
        <f t="shared" si="1"/>
        <v>0</v>
      </c>
      <c r="E23" s="411"/>
      <c r="F23" s="411">
        <v>0</v>
      </c>
      <c r="G23" s="411">
        <f t="shared" si="2"/>
        <v>0</v>
      </c>
      <c r="H23" s="411"/>
      <c r="I23" s="411">
        <v>0</v>
      </c>
      <c r="J23" s="411">
        <f t="shared" si="3"/>
        <v>0</v>
      </c>
      <c r="K23" s="114"/>
    </row>
    <row r="24" spans="1:11" ht="12.5">
      <c r="A24" s="206">
        <f t="shared" si="0"/>
        <v>14</v>
      </c>
      <c r="B24" s="697">
        <v>44561</v>
      </c>
      <c r="C24" s="411">
        <v>0</v>
      </c>
      <c r="D24" s="411">
        <f t="shared" si="1"/>
        <v>0</v>
      </c>
      <c r="E24" s="411"/>
      <c r="F24" s="411">
        <v>0</v>
      </c>
      <c r="G24" s="411">
        <f t="shared" si="2"/>
        <v>0</v>
      </c>
      <c r="H24" s="411"/>
      <c r="I24" s="411">
        <v>0</v>
      </c>
      <c r="J24" s="411">
        <f t="shared" si="3"/>
        <v>0</v>
      </c>
      <c r="K24" s="114"/>
    </row>
    <row r="25" spans="1:11" ht="12.5">
      <c r="A25" s="206">
        <f t="shared" si="0"/>
        <v>15</v>
      </c>
      <c r="B25" s="105"/>
      <c r="C25" s="412"/>
      <c r="D25" s="412"/>
      <c r="E25" s="412"/>
      <c r="F25" s="412"/>
      <c r="G25" s="412"/>
      <c r="H25" s="412"/>
      <c r="I25" s="412"/>
      <c r="J25" s="412"/>
      <c r="K25" s="105"/>
    </row>
    <row r="26" spans="1:11" ht="12.5">
      <c r="A26" s="413">
        <f t="shared" si="0"/>
        <v>16</v>
      </c>
      <c r="B26" s="105" t="s">
        <v>145</v>
      </c>
      <c r="C26" s="350"/>
      <c r="D26" s="350">
        <f>SUM(D11:D24)</f>
        <v>0</v>
      </c>
      <c r="E26" s="350"/>
      <c r="F26" s="350"/>
      <c r="G26" s="350">
        <f>SUM(G11:G24)</f>
        <v>0</v>
      </c>
      <c r="H26" s="350"/>
      <c r="I26" s="350"/>
      <c r="J26" s="350">
        <f>SUM(J11:J24)</f>
        <v>0</v>
      </c>
      <c r="K26" s="105"/>
    </row>
    <row r="27" spans="1:11" ht="12.5">
      <c r="A27" s="413">
        <f t="shared" si="0"/>
        <v>17</v>
      </c>
      <c r="B27" s="105" t="s">
        <v>27</v>
      </c>
      <c r="C27" s="350"/>
      <c r="D27" s="350">
        <f>+D26/13</f>
        <v>0</v>
      </c>
      <c r="E27" s="350"/>
      <c r="F27" s="350"/>
      <c r="G27" s="350">
        <f>+G26/13</f>
        <v>0</v>
      </c>
      <c r="H27" s="350"/>
      <c r="I27" s="350"/>
      <c r="J27" s="350">
        <f>+J26/13</f>
        <v>0</v>
      </c>
      <c r="K27" s="105"/>
    </row>
    <row r="28" spans="1:11" ht="12.5">
      <c r="A28" s="206">
        <f t="shared" si="0"/>
        <v>18</v>
      </c>
      <c r="B28" s="105"/>
      <c r="F28" s="105"/>
      <c r="G28" s="105"/>
      <c r="H28" s="105"/>
      <c r="I28" s="105"/>
      <c r="J28" s="105"/>
      <c r="K28" s="105"/>
    </row>
    <row r="29" spans="1:10" ht="13" thickBot="1">
      <c r="A29" s="206">
        <f t="shared" si="0"/>
        <v>19</v>
      </c>
      <c r="B29" s="105" t="s">
        <v>26</v>
      </c>
      <c r="F29" s="105"/>
      <c r="G29" s="105"/>
      <c r="H29" s="105"/>
      <c r="I29" s="105"/>
      <c r="J29" s="351">
        <f>SUM(D27:J27)</f>
        <v>0</v>
      </c>
    </row>
    <row r="30" spans="1:10" ht="13.5" thickTop="1">
      <c r="A30" s="413">
        <f t="shared" si="0"/>
        <v>20</v>
      </c>
      <c r="B30" s="105"/>
      <c r="C30" s="516"/>
      <c r="F30" s="105"/>
      <c r="G30" s="105"/>
      <c r="H30" s="105"/>
      <c r="I30" s="105"/>
      <c r="J30" s="118"/>
    </row>
    <row r="31" spans="1:11" ht="12.5">
      <c r="A31" s="413">
        <f t="shared" si="0"/>
        <v>21</v>
      </c>
      <c r="C31" s="516"/>
      <c r="F31" s="105"/>
      <c r="G31" s="105"/>
      <c r="H31" s="105"/>
      <c r="I31" s="105"/>
      <c r="J31" s="105"/>
      <c r="K31" s="105"/>
    </row>
    <row r="32" spans="1:11" ht="12.5">
      <c r="A32" s="413">
        <f t="shared" si="0"/>
        <v>22</v>
      </c>
      <c r="B32" t="s">
        <v>399</v>
      </c>
      <c r="C32" s="561"/>
      <c r="F32" s="105"/>
      <c r="G32" s="105"/>
      <c r="H32" s="105"/>
      <c r="I32" s="105"/>
      <c r="J32" s="105"/>
      <c r="K32" s="105"/>
    </row>
    <row r="33" spans="6:11" ht="12.5">
      <c r="F33" s="105"/>
      <c r="G33" s="105"/>
      <c r="H33" s="105"/>
      <c r="I33" s="105"/>
      <c r="J33" s="105"/>
      <c r="K33" s="105"/>
    </row>
    <row r="34" spans="6:11" ht="12.5">
      <c r="F34" s="105"/>
      <c r="G34" s="105"/>
      <c r="H34" s="105"/>
      <c r="I34" s="105"/>
      <c r="J34" s="105"/>
      <c r="K34" s="105"/>
    </row>
    <row r="35" spans="6:11" ht="12.5">
      <c r="F35" s="105"/>
      <c r="G35" s="105"/>
      <c r="H35" s="105"/>
      <c r="I35" s="105"/>
      <c r="J35" s="105"/>
      <c r="K35" s="105"/>
    </row>
    <row r="36" spans="6:11" ht="12.5">
      <c r="F36" s="105"/>
      <c r="G36" s="105"/>
      <c r="H36" s="105"/>
      <c r="I36" s="105"/>
      <c r="J36" s="105"/>
      <c r="K36" s="105"/>
    </row>
    <row r="37" spans="6:11" ht="12.5">
      <c r="F37" s="105"/>
      <c r="G37" s="105"/>
      <c r="H37" s="105"/>
      <c r="I37" s="105"/>
      <c r="J37" s="105"/>
      <c r="K37" s="105"/>
    </row>
    <row r="38" spans="6:11" ht="12.5">
      <c r="F38" s="105"/>
      <c r="G38" s="105"/>
      <c r="H38" s="105"/>
      <c r="I38" s="105"/>
      <c r="J38" s="105"/>
      <c r="K38" s="105"/>
    </row>
    <row r="39" spans="6:11" ht="12.5">
      <c r="F39" s="105"/>
      <c r="G39" s="105"/>
      <c r="H39" s="105"/>
      <c r="I39" s="105"/>
      <c r="J39" s="105"/>
      <c r="K39" s="105"/>
    </row>
    <row r="40" spans="6:11" ht="12.5">
      <c r="F40" s="105"/>
      <c r="G40" s="105"/>
      <c r="H40" s="105"/>
      <c r="I40" s="105"/>
      <c r="J40" s="105"/>
      <c r="K40" s="105"/>
    </row>
    <row r="41" spans="6:11" ht="12.5">
      <c r="F41" s="105"/>
      <c r="G41" s="105"/>
      <c r="H41" s="105"/>
      <c r="I41" s="105"/>
      <c r="J41" s="105"/>
      <c r="K41" s="105"/>
    </row>
    <row r="42" spans="6:11" ht="12.5">
      <c r="F42" s="105"/>
      <c r="G42" s="105"/>
      <c r="H42" s="105"/>
      <c r="I42" s="105"/>
      <c r="J42" s="105"/>
      <c r="K42" s="105"/>
    </row>
    <row r="43" spans="6:11" ht="12.5">
      <c r="F43" s="105"/>
      <c r="G43" s="105"/>
      <c r="H43" s="105"/>
      <c r="I43" s="105"/>
      <c r="J43" s="105"/>
      <c r="K43" s="105"/>
    </row>
    <row r="44" spans="6:11" ht="12.5">
      <c r="F44" s="105"/>
      <c r="G44" s="105"/>
      <c r="H44" s="105"/>
      <c r="I44" s="105"/>
      <c r="J44" s="105"/>
      <c r="K44" s="105"/>
    </row>
    <row r="45" spans="6:11" ht="12.5">
      <c r="F45" s="105"/>
      <c r="G45" s="105"/>
      <c r="H45" s="105"/>
      <c r="I45" s="105"/>
      <c r="J45" s="105"/>
      <c r="K45" s="105"/>
    </row>
    <row r="46" spans="6:11" ht="12.5">
      <c r="F46" s="105"/>
      <c r="G46" s="105"/>
      <c r="H46" s="105"/>
      <c r="I46" s="105"/>
      <c r="J46" s="105"/>
      <c r="K46" s="105"/>
    </row>
    <row r="47" spans="6:11" ht="12.5">
      <c r="F47" s="105"/>
      <c r="G47" s="105"/>
      <c r="H47" s="105"/>
      <c r="I47" s="105"/>
      <c r="J47" s="105"/>
      <c r="K47" s="105"/>
    </row>
    <row r="48" spans="6:11" ht="12.5">
      <c r="F48" s="105"/>
      <c r="G48" s="105"/>
      <c r="H48" s="105"/>
      <c r="I48" s="105"/>
      <c r="J48" s="105"/>
      <c r="K48" s="105"/>
    </row>
    <row r="49" spans="6:11" ht="12.5">
      <c r="F49" s="105"/>
      <c r="G49" s="105"/>
      <c r="H49" s="105"/>
      <c r="I49" s="105"/>
      <c r="J49" s="105"/>
      <c r="K49" s="105"/>
    </row>
    <row r="50" spans="6:11" ht="12.5">
      <c r="F50" s="105"/>
      <c r="G50" s="105"/>
      <c r="H50" s="105"/>
      <c r="I50" s="105"/>
      <c r="J50" s="105"/>
      <c r="K50" s="105"/>
    </row>
    <row r="51" spans="6:11" ht="12.5">
      <c r="F51" s="105"/>
      <c r="G51" s="105"/>
      <c r="H51" s="105"/>
      <c r="I51" s="105"/>
      <c r="J51" s="105"/>
      <c r="K51" s="105"/>
    </row>
    <row r="52" spans="6:11" ht="12.5">
      <c r="F52" s="105"/>
      <c r="G52" s="105"/>
      <c r="H52" s="105"/>
      <c r="I52" s="105"/>
      <c r="J52" s="105"/>
      <c r="K52" s="105"/>
    </row>
    <row r="53" spans="6:11" ht="12.5">
      <c r="F53" s="105"/>
      <c r="G53" s="105"/>
      <c r="H53" s="105"/>
      <c r="I53" s="105"/>
      <c r="J53" s="105"/>
      <c r="K53" s="105"/>
    </row>
    <row r="54" spans="6:11" ht="12.5">
      <c r="F54" s="105"/>
      <c r="G54" s="105"/>
      <c r="H54" s="105"/>
      <c r="I54" s="105"/>
      <c r="J54" s="105"/>
      <c r="K54" s="105"/>
    </row>
    <row r="55" spans="6:11" ht="12.5">
      <c r="F55" s="105"/>
      <c r="G55" s="105"/>
      <c r="H55" s="105"/>
      <c r="I55" s="105"/>
      <c r="J55" s="105"/>
      <c r="K55" s="105"/>
    </row>
    <row r="56" spans="6:11" ht="12.5">
      <c r="F56" s="105"/>
      <c r="G56" s="105"/>
      <c r="H56" s="105"/>
      <c r="I56" s="105"/>
      <c r="J56" s="105"/>
      <c r="K56" s="105"/>
    </row>
    <row r="57" spans="6:11" ht="12.5">
      <c r="F57" s="105"/>
      <c r="G57" s="105"/>
      <c r="H57" s="105"/>
      <c r="I57" s="105"/>
      <c r="J57" s="105"/>
      <c r="K57" s="105"/>
    </row>
    <row r="58" spans="6:11" ht="12.5">
      <c r="F58" s="105"/>
      <c r="G58" s="105"/>
      <c r="H58" s="105"/>
      <c r="I58" s="105"/>
      <c r="J58" s="105"/>
      <c r="K58" s="105"/>
    </row>
    <row r="59" spans="6:11" ht="12.5">
      <c r="F59" s="105"/>
      <c r="G59" s="105"/>
      <c r="H59" s="105"/>
      <c r="I59" s="105"/>
      <c r="J59" s="105"/>
      <c r="K59" s="105"/>
    </row>
    <row r="60" spans="6:11" ht="12.5">
      <c r="F60" s="105"/>
      <c r="G60" s="105"/>
      <c r="H60" s="105"/>
      <c r="I60" s="105"/>
      <c r="J60" s="105"/>
      <c r="K60" s="105"/>
    </row>
    <row r="61" spans="6:11" ht="12.5">
      <c r="F61" s="105"/>
      <c r="G61" s="105"/>
      <c r="H61" s="105"/>
      <c r="I61" s="105"/>
      <c r="J61" s="105"/>
      <c r="K61" s="105"/>
    </row>
    <row r="62" spans="6:11" ht="12.5">
      <c r="F62" s="105"/>
      <c r="G62" s="105"/>
      <c r="H62" s="105"/>
      <c r="I62" s="105"/>
      <c r="J62" s="105"/>
      <c r="K62" s="105"/>
    </row>
    <row r="63" spans="6:11" ht="12.5">
      <c r="F63" s="105"/>
      <c r="G63" s="105"/>
      <c r="H63" s="105"/>
      <c r="I63" s="105"/>
      <c r="J63" s="105"/>
      <c r="K63" s="105"/>
    </row>
    <row r="64" spans="6:11" ht="12.5">
      <c r="F64" s="105"/>
      <c r="G64" s="105"/>
      <c r="H64" s="105"/>
      <c r="I64" s="105"/>
      <c r="J64" s="105"/>
      <c r="K64" s="105"/>
    </row>
    <row r="65" spans="6:11" ht="12.5">
      <c r="F65" s="105"/>
      <c r="G65" s="105"/>
      <c r="H65" s="105"/>
      <c r="I65" s="105"/>
      <c r="J65" s="105"/>
      <c r="K65" s="105"/>
    </row>
    <row r="66" spans="6:11" ht="12.5">
      <c r="F66" s="105"/>
      <c r="G66" s="105"/>
      <c r="H66" s="105"/>
      <c r="I66" s="105"/>
      <c r="J66" s="105"/>
      <c r="K66" s="105"/>
    </row>
    <row r="67" spans="6:11" ht="12.5">
      <c r="F67" s="105"/>
      <c r="G67" s="105"/>
      <c r="H67" s="105"/>
      <c r="I67" s="105"/>
      <c r="J67" s="105"/>
      <c r="K67" s="105"/>
    </row>
    <row r="68" spans="6:11" ht="12.5">
      <c r="F68" s="105"/>
      <c r="G68" s="105"/>
      <c r="H68" s="105"/>
      <c r="I68" s="105"/>
      <c r="J68" s="105"/>
      <c r="K68" s="105"/>
    </row>
    <row r="69" spans="6:11" ht="12.5">
      <c r="F69" s="105"/>
      <c r="G69" s="105"/>
      <c r="H69" s="105"/>
      <c r="I69" s="105"/>
      <c r="J69" s="105"/>
      <c r="K69" s="105"/>
    </row>
    <row r="70" spans="6:11" ht="12.5">
      <c r="F70" s="105"/>
      <c r="G70" s="105"/>
      <c r="H70" s="105"/>
      <c r="I70" s="105"/>
      <c r="J70" s="105"/>
      <c r="K70" s="105"/>
    </row>
    <row r="71" spans="6:11" ht="12.5">
      <c r="F71" s="105"/>
      <c r="G71" s="105"/>
      <c r="H71" s="105"/>
      <c r="I71" s="105"/>
      <c r="J71" s="105"/>
      <c r="K71" s="105"/>
    </row>
    <row r="72" spans="6:11" ht="12.5">
      <c r="F72" s="105"/>
      <c r="G72" s="105"/>
      <c r="H72" s="105"/>
      <c r="I72" s="105"/>
      <c r="J72" s="105"/>
      <c r="K72" s="105"/>
    </row>
    <row r="73" spans="6:11" ht="12.5">
      <c r="F73" s="105"/>
      <c r="G73" s="105"/>
      <c r="H73" s="105"/>
      <c r="I73" s="105"/>
      <c r="J73" s="105"/>
      <c r="K73" s="105"/>
    </row>
    <row r="74" spans="6:11" ht="12.5">
      <c r="F74" s="105"/>
      <c r="G74" s="105"/>
      <c r="H74" s="105"/>
      <c r="I74" s="105"/>
      <c r="J74" s="105"/>
      <c r="K74" s="105"/>
    </row>
    <row r="75" spans="6:11" ht="12.5">
      <c r="F75" s="105"/>
      <c r="G75" s="105"/>
      <c r="H75" s="105"/>
      <c r="I75" s="105"/>
      <c r="J75" s="105"/>
      <c r="K75" s="105"/>
    </row>
    <row r="76" spans="6:11" ht="12.5">
      <c r="F76" s="105"/>
      <c r="G76" s="105"/>
      <c r="H76" s="105"/>
      <c r="I76" s="105"/>
      <c r="J76" s="105"/>
      <c r="K76" s="105"/>
    </row>
    <row r="77" spans="6:11" ht="12.5">
      <c r="F77" s="105"/>
      <c r="G77" s="105"/>
      <c r="H77" s="105"/>
      <c r="I77" s="105"/>
      <c r="J77" s="105"/>
      <c r="K77" s="105"/>
    </row>
    <row r="78" spans="6:11" ht="12.5">
      <c r="F78" s="105"/>
      <c r="G78" s="105"/>
      <c r="H78" s="105"/>
      <c r="I78" s="105"/>
      <c r="J78" s="105"/>
      <c r="K78" s="105"/>
    </row>
    <row r="79" spans="6:11" ht="12.5">
      <c r="F79" s="105"/>
      <c r="G79" s="105"/>
      <c r="H79" s="105"/>
      <c r="I79" s="105"/>
      <c r="J79" s="105"/>
      <c r="K79" s="105"/>
    </row>
    <row r="80" spans="6:11" ht="12.5">
      <c r="F80" s="105"/>
      <c r="G80" s="105"/>
      <c r="H80" s="105"/>
      <c r="I80" s="105"/>
      <c r="J80" s="105"/>
      <c r="K80" s="105"/>
    </row>
    <row r="81" spans="6:11" ht="12.5">
      <c r="F81" s="105"/>
      <c r="G81" s="105"/>
      <c r="H81" s="105"/>
      <c r="I81" s="105"/>
      <c r="J81" s="105"/>
      <c r="K81" s="105"/>
    </row>
    <row r="82" spans="6:11" ht="12.5">
      <c r="F82" s="105"/>
      <c r="G82" s="105"/>
      <c r="H82" s="105"/>
      <c r="I82" s="105"/>
      <c r="J82" s="105"/>
      <c r="K82" s="105"/>
    </row>
    <row r="83" spans="6:11" ht="12.5">
      <c r="F83" s="105"/>
      <c r="G83" s="105"/>
      <c r="H83" s="105"/>
      <c r="I83" s="105"/>
      <c r="J83" s="105"/>
      <c r="K83" s="105"/>
    </row>
    <row r="84" spans="6:11" ht="12.5">
      <c r="F84" s="105"/>
      <c r="G84" s="105"/>
      <c r="H84" s="105"/>
      <c r="I84" s="105"/>
      <c r="J84" s="105"/>
      <c r="K84" s="105"/>
    </row>
    <row r="85" spans="6:11" ht="12.5">
      <c r="F85" s="105"/>
      <c r="G85" s="105"/>
      <c r="H85" s="105"/>
      <c r="I85" s="105"/>
      <c r="J85" s="105"/>
      <c r="K85" s="105"/>
    </row>
    <row r="86" spans="6:11" ht="12.5">
      <c r="F86" s="105"/>
      <c r="G86" s="105"/>
      <c r="H86" s="105"/>
      <c r="I86" s="105"/>
      <c r="J86" s="105"/>
      <c r="K86" s="105"/>
    </row>
    <row r="87" spans="6:11" ht="12.5">
      <c r="F87" s="105"/>
      <c r="G87" s="105"/>
      <c r="H87" s="105"/>
      <c r="I87" s="105"/>
      <c r="J87" s="105"/>
      <c r="K87" s="105"/>
    </row>
    <row r="88" spans="6:11" ht="12.5">
      <c r="F88" s="105"/>
      <c r="G88" s="105"/>
      <c r="H88" s="105"/>
      <c r="I88" s="105"/>
      <c r="J88" s="105"/>
      <c r="K88" s="105"/>
    </row>
    <row r="89" spans="6:11" ht="12.5">
      <c r="F89" s="105"/>
      <c r="G89" s="105"/>
      <c r="H89" s="105"/>
      <c r="I89" s="105"/>
      <c r="J89" s="105"/>
      <c r="K89" s="105"/>
    </row>
    <row r="90" spans="6:11" ht="12.5">
      <c r="F90" s="105"/>
      <c r="G90" s="105"/>
      <c r="H90" s="105"/>
      <c r="I90" s="105"/>
      <c r="J90" s="105"/>
      <c r="K90" s="105"/>
    </row>
    <row r="91" spans="6:11" ht="12.5">
      <c r="F91" s="105"/>
      <c r="G91" s="105"/>
      <c r="H91" s="105"/>
      <c r="I91" s="105"/>
      <c r="J91" s="105"/>
      <c r="K91" s="105"/>
    </row>
    <row r="92" spans="6:11" ht="12.5">
      <c r="F92" s="105"/>
      <c r="G92" s="105"/>
      <c r="H92" s="105"/>
      <c r="I92" s="105"/>
      <c r="J92" s="105"/>
      <c r="K92" s="105"/>
    </row>
    <row r="93" spans="6:11" ht="12.5">
      <c r="F93" s="105"/>
      <c r="G93" s="105"/>
      <c r="H93" s="105"/>
      <c r="I93" s="105"/>
      <c r="J93" s="105"/>
      <c r="K93" s="105"/>
    </row>
    <row r="94" spans="6:11" ht="12.5">
      <c r="F94" s="105"/>
      <c r="G94" s="105"/>
      <c r="H94" s="105"/>
      <c r="I94" s="105"/>
      <c r="J94" s="105"/>
      <c r="K94" s="105"/>
    </row>
    <row r="95" spans="6:11" ht="12.5">
      <c r="F95" s="105"/>
      <c r="G95" s="105"/>
      <c r="H95" s="105"/>
      <c r="I95" s="105"/>
      <c r="J95" s="105"/>
      <c r="K95" s="105"/>
    </row>
    <row r="96" spans="6:11" ht="12.5">
      <c r="F96" s="105"/>
      <c r="G96" s="105"/>
      <c r="H96" s="105"/>
      <c r="I96" s="105"/>
      <c r="J96" s="105"/>
      <c r="K96" s="105"/>
    </row>
    <row r="97" spans="6:11" ht="12.5">
      <c r="F97" s="105"/>
      <c r="G97" s="105"/>
      <c r="H97" s="105"/>
      <c r="I97" s="105"/>
      <c r="J97" s="105"/>
      <c r="K97" s="105"/>
    </row>
    <row r="98" spans="6:11" ht="12.5">
      <c r="F98" s="105"/>
      <c r="G98" s="105"/>
      <c r="H98" s="105"/>
      <c r="I98" s="105"/>
      <c r="J98" s="105"/>
      <c r="K98" s="105"/>
    </row>
    <row r="99" spans="6:11" ht="12.5">
      <c r="F99" s="105"/>
      <c r="G99" s="105"/>
      <c r="H99" s="105"/>
      <c r="I99" s="105"/>
      <c r="J99" s="105"/>
      <c r="K99" s="105"/>
    </row>
    <row r="100" spans="6:11" ht="12.5">
      <c r="F100" s="105"/>
      <c r="G100" s="105"/>
      <c r="H100" s="105"/>
      <c r="I100" s="105"/>
      <c r="J100" s="105"/>
      <c r="K100" s="105"/>
    </row>
    <row r="101" spans="6:11" ht="12.5">
      <c r="F101" s="105"/>
      <c r="G101" s="105"/>
      <c r="H101" s="105"/>
      <c r="I101" s="105"/>
      <c r="J101" s="105"/>
      <c r="K101" s="105"/>
    </row>
    <row r="102" spans="6:11" ht="12.5">
      <c r="F102" s="105"/>
      <c r="G102" s="105"/>
      <c r="H102" s="105"/>
      <c r="I102" s="105"/>
      <c r="J102" s="105"/>
      <c r="K102" s="105"/>
    </row>
    <row r="103" spans="6:11" ht="12.5">
      <c r="F103" s="105"/>
      <c r="G103" s="105"/>
      <c r="H103" s="105"/>
      <c r="I103" s="105"/>
      <c r="J103" s="105"/>
      <c r="K103" s="105"/>
    </row>
    <row r="104" spans="6:11" ht="12.5">
      <c r="F104" s="105"/>
      <c r="G104" s="105"/>
      <c r="H104" s="105"/>
      <c r="I104" s="105"/>
      <c r="J104" s="105"/>
      <c r="K104" s="105"/>
    </row>
    <row r="105" spans="6:11" ht="12.5">
      <c r="F105" s="105"/>
      <c r="G105" s="105"/>
      <c r="H105" s="105"/>
      <c r="I105" s="105"/>
      <c r="J105" s="105"/>
      <c r="K105" s="105"/>
    </row>
    <row r="106" spans="6:11" ht="12.5">
      <c r="F106" s="105"/>
      <c r="G106" s="105"/>
      <c r="H106" s="105"/>
      <c r="I106" s="105"/>
      <c r="J106" s="105"/>
      <c r="K106" s="105"/>
    </row>
    <row r="107" spans="6:11" ht="12.5">
      <c r="F107" s="105"/>
      <c r="G107" s="105"/>
      <c r="H107" s="105"/>
      <c r="I107" s="105"/>
      <c r="J107" s="105"/>
      <c r="K107" s="105"/>
    </row>
    <row r="108" spans="6:11" ht="12.5">
      <c r="F108" s="105"/>
      <c r="G108" s="105"/>
      <c r="H108" s="105"/>
      <c r="I108" s="105"/>
      <c r="J108" s="105"/>
      <c r="K108" s="105"/>
    </row>
    <row r="109" spans="6:11" ht="12.5">
      <c r="F109" s="105"/>
      <c r="G109" s="105"/>
      <c r="H109" s="105"/>
      <c r="I109" s="105"/>
      <c r="J109" s="105"/>
      <c r="K109" s="105"/>
    </row>
    <row r="110" spans="6:11" ht="12.5">
      <c r="F110" s="105"/>
      <c r="G110" s="105"/>
      <c r="H110" s="105"/>
      <c r="I110" s="105"/>
      <c r="J110" s="105"/>
      <c r="K110" s="105"/>
    </row>
    <row r="111" spans="6:11" ht="12.5">
      <c r="F111" s="105"/>
      <c r="G111" s="105"/>
      <c r="H111" s="105"/>
      <c r="I111" s="105"/>
      <c r="J111" s="105"/>
      <c r="K111" s="105"/>
    </row>
    <row r="112" spans="6:11" ht="12.5">
      <c r="F112" s="105"/>
      <c r="G112" s="105"/>
      <c r="H112" s="105"/>
      <c r="I112" s="105"/>
      <c r="J112" s="105"/>
      <c r="K112" s="105"/>
    </row>
    <row r="113" spans="6:11" ht="12.5">
      <c r="F113" s="105"/>
      <c r="G113" s="105"/>
      <c r="H113" s="105"/>
      <c r="I113" s="105"/>
      <c r="J113" s="105"/>
      <c r="K113" s="105"/>
    </row>
    <row r="114" spans="6:11" ht="12.5">
      <c r="F114" s="105"/>
      <c r="G114" s="105"/>
      <c r="H114" s="105"/>
      <c r="I114" s="105"/>
      <c r="J114" s="105"/>
      <c r="K114" s="105"/>
    </row>
    <row r="115" spans="6:11" ht="12.5">
      <c r="F115" s="105"/>
      <c r="G115" s="105"/>
      <c r="H115" s="105"/>
      <c r="I115" s="105"/>
      <c r="J115" s="105"/>
      <c r="K115" s="105"/>
    </row>
    <row r="116" spans="6:11" ht="12.5">
      <c r="F116" s="105"/>
      <c r="G116" s="105"/>
      <c r="H116" s="105"/>
      <c r="I116" s="105"/>
      <c r="J116" s="105"/>
      <c r="K116" s="105"/>
    </row>
    <row r="117" spans="6:11" ht="12.5">
      <c r="F117" s="105"/>
      <c r="G117" s="105"/>
      <c r="H117" s="105"/>
      <c r="I117" s="105"/>
      <c r="J117" s="105"/>
      <c r="K117" s="105"/>
    </row>
    <row r="118" spans="6:11" ht="12.5">
      <c r="F118" s="105"/>
      <c r="G118" s="105"/>
      <c r="H118" s="105"/>
      <c r="I118" s="105"/>
      <c r="J118" s="105"/>
      <c r="K118" s="105"/>
    </row>
    <row r="119" spans="6:11" ht="12.5">
      <c r="F119" s="105"/>
      <c r="G119" s="105"/>
      <c r="H119" s="105"/>
      <c r="I119" s="105"/>
      <c r="J119" s="105"/>
      <c r="K119" s="105"/>
    </row>
    <row r="120" spans="6:11" ht="12.5">
      <c r="F120" s="105"/>
      <c r="G120" s="105"/>
      <c r="H120" s="105"/>
      <c r="I120" s="105"/>
      <c r="J120" s="105"/>
      <c r="K120" s="105"/>
    </row>
    <row r="121" spans="6:11" ht="12.5">
      <c r="F121" s="105"/>
      <c r="G121" s="105"/>
      <c r="H121" s="105"/>
      <c r="I121" s="105"/>
      <c r="J121" s="105"/>
      <c r="K121" s="105"/>
    </row>
    <row r="122" spans="6:11" ht="12.5">
      <c r="F122" s="105"/>
      <c r="G122" s="105"/>
      <c r="H122" s="105"/>
      <c r="I122" s="105"/>
      <c r="J122" s="105"/>
      <c r="K122" s="105"/>
    </row>
    <row r="123" spans="6:11" ht="12.5">
      <c r="F123" s="105"/>
      <c r="G123" s="105"/>
      <c r="H123" s="105"/>
      <c r="I123" s="105"/>
      <c r="J123" s="105"/>
      <c r="K123" s="105"/>
    </row>
    <row r="124" spans="6:11" ht="12.5">
      <c r="F124" s="105"/>
      <c r="G124" s="105"/>
      <c r="H124" s="105"/>
      <c r="I124" s="105"/>
      <c r="J124" s="105"/>
      <c r="K124" s="105"/>
    </row>
    <row r="125" spans="6:11" ht="12.5">
      <c r="F125" s="105"/>
      <c r="G125" s="105"/>
      <c r="H125" s="105"/>
      <c r="I125" s="105"/>
      <c r="J125" s="105"/>
      <c r="K125" s="105"/>
    </row>
    <row r="126" spans="6:11" ht="12.5">
      <c r="F126" s="105"/>
      <c r="G126" s="105"/>
      <c r="H126" s="105"/>
      <c r="I126" s="105"/>
      <c r="J126" s="105"/>
      <c r="K126" s="105"/>
    </row>
    <row r="127" spans="6:11" ht="12.5">
      <c r="F127" s="105"/>
      <c r="G127" s="105"/>
      <c r="H127" s="105"/>
      <c r="I127" s="105"/>
      <c r="J127" s="105"/>
      <c r="K127" s="105"/>
    </row>
    <row r="128" spans="6:11" ht="12.5">
      <c r="F128" s="105"/>
      <c r="G128" s="105"/>
      <c r="H128" s="105"/>
      <c r="I128" s="105"/>
      <c r="J128" s="105"/>
      <c r="K128" s="105"/>
    </row>
    <row r="129" spans="6:11" ht="12.5">
      <c r="F129" s="105"/>
      <c r="G129" s="105"/>
      <c r="H129" s="105"/>
      <c r="I129" s="105"/>
      <c r="J129" s="105"/>
      <c r="K129" s="105"/>
    </row>
    <row r="130" spans="6:11" ht="12.5">
      <c r="F130" s="105"/>
      <c r="G130" s="105"/>
      <c r="H130" s="105"/>
      <c r="I130" s="105"/>
      <c r="J130" s="105"/>
      <c r="K130" s="105"/>
    </row>
    <row r="131" spans="6:11" ht="12.5">
      <c r="F131" s="105"/>
      <c r="G131" s="105"/>
      <c r="H131" s="105"/>
      <c r="I131" s="105"/>
      <c r="J131" s="105"/>
      <c r="K131" s="105"/>
    </row>
    <row r="132" spans="6:11" ht="12.5">
      <c r="F132" s="105"/>
      <c r="G132" s="105"/>
      <c r="H132" s="105"/>
      <c r="I132" s="105"/>
      <c r="J132" s="105"/>
      <c r="K132" s="105"/>
    </row>
    <row r="133" spans="6:11" ht="12.5">
      <c r="F133" s="105"/>
      <c r="G133" s="105"/>
      <c r="H133" s="105"/>
      <c r="I133" s="105"/>
      <c r="J133" s="105"/>
      <c r="K133" s="105"/>
    </row>
    <row r="134" spans="6:11" ht="12.5">
      <c r="F134" s="105"/>
      <c r="G134" s="105"/>
      <c r="H134" s="105"/>
      <c r="I134" s="105"/>
      <c r="J134" s="105"/>
      <c r="K134" s="105"/>
    </row>
    <row r="135" spans="6:11" ht="12.5">
      <c r="F135" s="105"/>
      <c r="G135" s="105"/>
      <c r="H135" s="105"/>
      <c r="I135" s="105"/>
      <c r="J135" s="105"/>
      <c r="K135" s="105"/>
    </row>
    <row r="136" spans="6:11" ht="12.5">
      <c r="F136" s="105"/>
      <c r="G136" s="105"/>
      <c r="H136" s="105"/>
      <c r="I136" s="105"/>
      <c r="J136" s="105"/>
      <c r="K136" s="105"/>
    </row>
    <row r="137" spans="6:11" ht="12.5">
      <c r="F137" s="105"/>
      <c r="G137" s="105"/>
      <c r="H137" s="105"/>
      <c r="I137" s="105"/>
      <c r="J137" s="105"/>
      <c r="K137" s="105"/>
    </row>
    <row r="138" spans="6:11" ht="12.5">
      <c r="F138" s="105"/>
      <c r="G138" s="105"/>
      <c r="H138" s="105"/>
      <c r="I138" s="105"/>
      <c r="J138" s="105"/>
      <c r="K138" s="105"/>
    </row>
    <row r="139" spans="6:11" ht="12.5">
      <c r="F139" s="105"/>
      <c r="G139" s="105"/>
      <c r="H139" s="105"/>
      <c r="I139" s="105"/>
      <c r="J139" s="105"/>
      <c r="K139" s="105"/>
    </row>
    <row r="140" spans="6:11" ht="12.5">
      <c r="F140" s="105"/>
      <c r="G140" s="105"/>
      <c r="H140" s="105"/>
      <c r="I140" s="105"/>
      <c r="J140" s="105"/>
      <c r="K140" s="105"/>
    </row>
    <row r="141" spans="6:11" ht="12.5">
      <c r="F141" s="105"/>
      <c r="G141" s="105"/>
      <c r="H141" s="105"/>
      <c r="I141" s="105"/>
      <c r="J141" s="105"/>
      <c r="K141" s="105"/>
    </row>
    <row r="142" spans="6:11" ht="12.5">
      <c r="F142" s="105"/>
      <c r="G142" s="105"/>
      <c r="H142" s="105"/>
      <c r="I142" s="105"/>
      <c r="J142" s="105"/>
      <c r="K142" s="105"/>
    </row>
    <row r="143" spans="6:11" ht="12.5">
      <c r="F143" s="105"/>
      <c r="G143" s="105"/>
      <c r="H143" s="105"/>
      <c r="I143" s="105"/>
      <c r="J143" s="105"/>
      <c r="K143" s="105"/>
    </row>
    <row r="144" spans="6:11" ht="12.5">
      <c r="F144" s="105"/>
      <c r="G144" s="105"/>
      <c r="H144" s="105"/>
      <c r="I144" s="105"/>
      <c r="J144" s="105"/>
      <c r="K144" s="105"/>
    </row>
    <row r="145" spans="6:11" ht="12.5">
      <c r="F145" s="105"/>
      <c r="G145" s="105"/>
      <c r="H145" s="105"/>
      <c r="I145" s="105"/>
      <c r="J145" s="105"/>
      <c r="K145" s="105"/>
    </row>
    <row r="146" spans="6:11" ht="12.5">
      <c r="F146" s="105"/>
      <c r="G146" s="105"/>
      <c r="H146" s="105"/>
      <c r="I146" s="105"/>
      <c r="J146" s="105"/>
      <c r="K146" s="105"/>
    </row>
    <row r="147" spans="6:11" ht="12.5">
      <c r="F147" s="105"/>
      <c r="G147" s="105"/>
      <c r="H147" s="105"/>
      <c r="I147" s="105"/>
      <c r="J147" s="105"/>
      <c r="K147" s="105"/>
    </row>
    <row r="148" spans="6:11" ht="12.5">
      <c r="F148" s="105"/>
      <c r="G148" s="105"/>
      <c r="H148" s="105"/>
      <c r="I148" s="105"/>
      <c r="J148" s="105"/>
      <c r="K148" s="105"/>
    </row>
    <row r="149" spans="6:11" ht="12.5">
      <c r="F149" s="105"/>
      <c r="G149" s="105"/>
      <c r="H149" s="105"/>
      <c r="I149" s="105"/>
      <c r="J149" s="105"/>
      <c r="K149" s="105"/>
    </row>
    <row r="150" spans="6:11" ht="12.5">
      <c r="F150" s="105"/>
      <c r="G150" s="105"/>
      <c r="H150" s="105"/>
      <c r="I150" s="105"/>
      <c r="J150" s="105"/>
      <c r="K150" s="105"/>
    </row>
    <row r="151" spans="6:11" ht="12.5">
      <c r="F151" s="105"/>
      <c r="G151" s="105"/>
      <c r="H151" s="105"/>
      <c r="I151" s="105"/>
      <c r="J151" s="105"/>
      <c r="K151" s="105"/>
    </row>
    <row r="152" spans="6:11" ht="12.5">
      <c r="F152" s="105"/>
      <c r="G152" s="105"/>
      <c r="H152" s="105"/>
      <c r="I152" s="105"/>
      <c r="J152" s="105"/>
      <c r="K152" s="105"/>
    </row>
    <row r="153" spans="6:11" ht="12.5">
      <c r="F153" s="105"/>
      <c r="G153" s="105"/>
      <c r="H153" s="105"/>
      <c r="I153" s="105"/>
      <c r="J153" s="105"/>
      <c r="K153" s="105"/>
    </row>
    <row r="154" spans="6:11" ht="12.5">
      <c r="F154" s="105"/>
      <c r="G154" s="105"/>
      <c r="H154" s="105"/>
      <c r="I154" s="105"/>
      <c r="J154" s="105"/>
      <c r="K154" s="105"/>
    </row>
    <row r="155" spans="6:11" ht="12.5">
      <c r="F155" s="105"/>
      <c r="G155" s="105"/>
      <c r="H155" s="105"/>
      <c r="I155" s="105"/>
      <c r="J155" s="105"/>
      <c r="K155" s="105"/>
    </row>
    <row r="156" spans="6:11" ht="12.5">
      <c r="F156" s="105"/>
      <c r="G156" s="105"/>
      <c r="H156" s="105"/>
      <c r="I156" s="105"/>
      <c r="J156" s="105"/>
      <c r="K156" s="105"/>
    </row>
    <row r="157" spans="6:11" ht="12.5">
      <c r="F157" s="105"/>
      <c r="G157" s="105"/>
      <c r="H157" s="105"/>
      <c r="I157" s="105"/>
      <c r="J157" s="105"/>
      <c r="K157" s="105"/>
    </row>
    <row r="158" spans="6:11" ht="12.5">
      <c r="F158" s="105"/>
      <c r="G158" s="105"/>
      <c r="H158" s="105"/>
      <c r="I158" s="105"/>
      <c r="J158" s="105"/>
      <c r="K158" s="105"/>
    </row>
    <row r="159" spans="6:11" ht="12.5">
      <c r="F159" s="105"/>
      <c r="G159" s="105"/>
      <c r="H159" s="105"/>
      <c r="I159" s="105"/>
      <c r="J159" s="105"/>
      <c r="K159" s="105"/>
    </row>
    <row r="160" spans="6:11" ht="12.5">
      <c r="F160" s="105"/>
      <c r="G160" s="105"/>
      <c r="H160" s="105"/>
      <c r="I160" s="105"/>
      <c r="J160" s="105"/>
      <c r="K160" s="105"/>
    </row>
    <row r="161" spans="6:11" ht="12.5">
      <c r="F161" s="105"/>
      <c r="G161" s="105"/>
      <c r="H161" s="105"/>
      <c r="I161" s="105"/>
      <c r="J161" s="105"/>
      <c r="K161" s="105"/>
    </row>
    <row r="162" spans="6:11" ht="12.5">
      <c r="F162" s="105"/>
      <c r="G162" s="105"/>
      <c r="H162" s="105"/>
      <c r="I162" s="105"/>
      <c r="J162" s="105"/>
      <c r="K162" s="105"/>
    </row>
    <row r="163" spans="6:11" ht="12.5">
      <c r="F163" s="105"/>
      <c r="G163" s="105"/>
      <c r="H163" s="105"/>
      <c r="I163" s="105"/>
      <c r="J163" s="105"/>
      <c r="K163" s="105"/>
    </row>
    <row r="164" spans="6:11" ht="12.5">
      <c r="F164" s="105"/>
      <c r="G164" s="105"/>
      <c r="H164" s="105"/>
      <c r="I164" s="105"/>
      <c r="J164" s="105"/>
      <c r="K164" s="105"/>
    </row>
    <row r="165" spans="6:11" ht="12.5">
      <c r="F165" s="105"/>
      <c r="G165" s="105"/>
      <c r="H165" s="105"/>
      <c r="I165" s="105"/>
      <c r="J165" s="105"/>
      <c r="K165" s="105"/>
    </row>
    <row r="166" spans="6:11" ht="12.5">
      <c r="F166" s="105"/>
      <c r="G166" s="105"/>
      <c r="H166" s="105"/>
      <c r="I166" s="105"/>
      <c r="J166" s="105"/>
      <c r="K166" s="105"/>
    </row>
    <row r="167" spans="6:11" ht="12.5">
      <c r="F167" s="105"/>
      <c r="G167" s="105"/>
      <c r="H167" s="105"/>
      <c r="I167" s="105"/>
      <c r="J167" s="105"/>
      <c r="K167" s="105"/>
    </row>
    <row r="168" spans="6:11" ht="12.5">
      <c r="F168" s="105"/>
      <c r="G168" s="105"/>
      <c r="H168" s="105"/>
      <c r="I168" s="105"/>
      <c r="J168" s="105"/>
      <c r="K168" s="105"/>
    </row>
    <row r="169" spans="6:11" ht="12.5">
      <c r="F169" s="105"/>
      <c r="G169" s="105"/>
      <c r="H169" s="105"/>
      <c r="I169" s="105"/>
      <c r="J169" s="105"/>
      <c r="K169" s="105"/>
    </row>
    <row r="170" spans="6:11" ht="12.5">
      <c r="F170" s="105"/>
      <c r="G170" s="105"/>
      <c r="H170" s="105"/>
      <c r="I170" s="105"/>
      <c r="J170" s="105"/>
      <c r="K170" s="105"/>
    </row>
    <row r="171" spans="6:11" ht="12.5">
      <c r="F171" s="105"/>
      <c r="G171" s="105"/>
      <c r="H171" s="105"/>
      <c r="I171" s="105"/>
      <c r="J171" s="105"/>
      <c r="K171" s="105"/>
    </row>
    <row r="172" spans="6:11" ht="12.5">
      <c r="F172" s="105"/>
      <c r="G172" s="105"/>
      <c r="H172" s="105"/>
      <c r="I172" s="105"/>
      <c r="J172" s="105"/>
      <c r="K172" s="105"/>
    </row>
    <row r="173" spans="6:11" ht="12.5">
      <c r="F173" s="105"/>
      <c r="G173" s="105"/>
      <c r="H173" s="105"/>
      <c r="I173" s="105"/>
      <c r="J173" s="105"/>
      <c r="K173" s="105"/>
    </row>
    <row r="174" spans="6:11" ht="12.5">
      <c r="F174" s="105"/>
      <c r="G174" s="105"/>
      <c r="H174" s="105"/>
      <c r="I174" s="105"/>
      <c r="J174" s="105"/>
      <c r="K174" s="105"/>
    </row>
    <row r="175" spans="6:11" ht="12.5">
      <c r="F175" s="105"/>
      <c r="G175" s="105"/>
      <c r="H175" s="105"/>
      <c r="I175" s="105"/>
      <c r="J175" s="105"/>
      <c r="K175" s="105"/>
    </row>
    <row r="176" spans="6:11" ht="12.5">
      <c r="F176" s="105"/>
      <c r="G176" s="105"/>
      <c r="H176" s="105"/>
      <c r="I176" s="105"/>
      <c r="J176" s="105"/>
      <c r="K176" s="105"/>
    </row>
    <row r="177" spans="6:11" ht="12.5">
      <c r="F177" s="105"/>
      <c r="G177" s="105"/>
      <c r="H177" s="105"/>
      <c r="I177" s="105"/>
      <c r="J177" s="105"/>
      <c r="K177" s="105"/>
    </row>
    <row r="178" spans="6:11" ht="12.5">
      <c r="F178" s="105"/>
      <c r="G178" s="105"/>
      <c r="H178" s="105"/>
      <c r="I178" s="105"/>
      <c r="J178" s="105"/>
      <c r="K178" s="105"/>
    </row>
    <row r="179" spans="6:11" ht="12.5">
      <c r="F179" s="105"/>
      <c r="G179" s="105"/>
      <c r="H179" s="105"/>
      <c r="I179" s="105"/>
      <c r="J179" s="105"/>
      <c r="K179" s="105"/>
    </row>
    <row r="180" spans="6:11" ht="12.5">
      <c r="F180" s="105"/>
      <c r="G180" s="105"/>
      <c r="H180" s="105"/>
      <c r="I180" s="105"/>
      <c r="J180" s="105"/>
      <c r="K180" s="105"/>
    </row>
    <row r="181" spans="6:11" ht="12.5">
      <c r="F181" s="105"/>
      <c r="G181" s="105"/>
      <c r="H181" s="105"/>
      <c r="I181" s="105"/>
      <c r="J181" s="105"/>
      <c r="K181" s="105"/>
    </row>
    <row r="182" spans="6:11" ht="12.5">
      <c r="F182" s="105"/>
      <c r="G182" s="105"/>
      <c r="H182" s="105"/>
      <c r="I182" s="105"/>
      <c r="J182" s="105"/>
      <c r="K182" s="105"/>
    </row>
    <row r="183" spans="6:11" ht="12.5">
      <c r="F183" s="105"/>
      <c r="G183" s="105"/>
      <c r="H183" s="105"/>
      <c r="I183" s="105"/>
      <c r="J183" s="105"/>
      <c r="K183" s="105"/>
    </row>
    <row r="184" spans="6:11" ht="12.5">
      <c r="F184" s="105"/>
      <c r="G184" s="105"/>
      <c r="H184" s="105"/>
      <c r="I184" s="105"/>
      <c r="J184" s="105"/>
      <c r="K184" s="105"/>
    </row>
    <row r="185" spans="6:11" ht="12.5">
      <c r="F185" s="105"/>
      <c r="G185" s="105"/>
      <c r="H185" s="105"/>
      <c r="I185" s="105"/>
      <c r="J185" s="105"/>
      <c r="K185" s="105"/>
    </row>
    <row r="186" spans="6:11" ht="12.5">
      <c r="F186" s="105"/>
      <c r="G186" s="105"/>
      <c r="H186" s="105"/>
      <c r="I186" s="105"/>
      <c r="J186" s="105"/>
      <c r="K186" s="105"/>
    </row>
    <row r="187" spans="6:11" ht="12.5">
      <c r="F187" s="105"/>
      <c r="G187" s="105"/>
      <c r="H187" s="105"/>
      <c r="I187" s="105"/>
      <c r="J187" s="105"/>
      <c r="K187" s="105"/>
    </row>
    <row r="188" spans="6:11" ht="12.5">
      <c r="F188" s="105"/>
      <c r="G188" s="105"/>
      <c r="H188" s="105"/>
      <c r="I188" s="105"/>
      <c r="J188" s="105"/>
      <c r="K188" s="105"/>
    </row>
    <row r="189" spans="6:11" ht="12.5">
      <c r="F189" s="105"/>
      <c r="G189" s="105"/>
      <c r="H189" s="105"/>
      <c r="I189" s="105"/>
      <c r="J189" s="105"/>
      <c r="K189" s="105"/>
    </row>
    <row r="190" spans="6:11" ht="12.5">
      <c r="F190" s="105"/>
      <c r="G190" s="105"/>
      <c r="H190" s="105"/>
      <c r="I190" s="105"/>
      <c r="J190" s="105"/>
      <c r="K190" s="105"/>
    </row>
    <row r="191" spans="6:11" ht="12.5">
      <c r="F191" s="105"/>
      <c r="G191" s="105"/>
      <c r="H191" s="105"/>
      <c r="I191" s="105"/>
      <c r="J191" s="105"/>
      <c r="K191" s="105"/>
    </row>
    <row r="192" spans="6:11" ht="12.5">
      <c r="F192" s="105"/>
      <c r="G192" s="105"/>
      <c r="H192" s="105"/>
      <c r="I192" s="105"/>
      <c r="J192" s="105"/>
      <c r="K192" s="105"/>
    </row>
    <row r="193" spans="6:11" ht="12.5">
      <c r="F193" s="105"/>
      <c r="G193" s="105"/>
      <c r="H193" s="105"/>
      <c r="I193" s="105"/>
      <c r="J193" s="105"/>
      <c r="K193" s="105"/>
    </row>
    <row r="194" spans="6:11" ht="12.5">
      <c r="F194" s="105"/>
      <c r="G194" s="105"/>
      <c r="H194" s="105"/>
      <c r="I194" s="105"/>
      <c r="J194" s="105"/>
      <c r="K194" s="105"/>
    </row>
    <row r="195" spans="6:11" ht="12.5">
      <c r="F195" s="105"/>
      <c r="G195" s="105"/>
      <c r="H195" s="105"/>
      <c r="I195" s="105"/>
      <c r="J195" s="105"/>
      <c r="K195" s="105"/>
    </row>
    <row r="196" spans="6:11" ht="12.5">
      <c r="F196" s="105"/>
      <c r="G196" s="105"/>
      <c r="H196" s="105"/>
      <c r="I196" s="105"/>
      <c r="J196" s="105"/>
      <c r="K196" s="105"/>
    </row>
    <row r="197" spans="6:11" ht="12.5">
      <c r="F197" s="105"/>
      <c r="G197" s="105"/>
      <c r="H197" s="105"/>
      <c r="I197" s="105"/>
      <c r="J197" s="105"/>
      <c r="K197" s="105"/>
    </row>
    <row r="198" spans="6:11" ht="12.5">
      <c r="F198" s="105"/>
      <c r="G198" s="105"/>
      <c r="H198" s="105"/>
      <c r="I198" s="105"/>
      <c r="J198" s="105"/>
      <c r="K198" s="105"/>
    </row>
    <row r="199" spans="6:11" ht="12.5">
      <c r="F199" s="105"/>
      <c r="G199" s="105"/>
      <c r="H199" s="105"/>
      <c r="I199" s="105"/>
      <c r="J199" s="105"/>
      <c r="K199" s="105"/>
    </row>
    <row r="200" spans="6:11" ht="12.5">
      <c r="F200" s="105"/>
      <c r="G200" s="105"/>
      <c r="H200" s="105"/>
      <c r="I200" s="105"/>
      <c r="J200" s="105"/>
      <c r="K200" s="105"/>
    </row>
    <row r="201" spans="6:11" ht="12.5">
      <c r="F201" s="105"/>
      <c r="G201" s="105"/>
      <c r="H201" s="105"/>
      <c r="I201" s="105"/>
      <c r="J201" s="105"/>
      <c r="K201" s="105"/>
    </row>
    <row r="202" spans="6:11" ht="12.5">
      <c r="F202" s="105"/>
      <c r="G202" s="105"/>
      <c r="H202" s="105"/>
      <c r="I202" s="105"/>
      <c r="J202" s="105"/>
      <c r="K202" s="105"/>
    </row>
    <row r="203" spans="6:11" ht="12.5">
      <c r="F203" s="105"/>
      <c r="G203" s="105"/>
      <c r="H203" s="105"/>
      <c r="I203" s="105"/>
      <c r="J203" s="105"/>
      <c r="K203" s="105"/>
    </row>
    <row r="204" spans="6:11" ht="12.5">
      <c r="F204" s="105"/>
      <c r="G204" s="105"/>
      <c r="H204" s="105"/>
      <c r="I204" s="105"/>
      <c r="J204" s="105"/>
      <c r="K204" s="105"/>
    </row>
    <row r="205" spans="6:11" ht="12.5">
      <c r="F205" s="105"/>
      <c r="G205" s="105"/>
      <c r="H205" s="105"/>
      <c r="I205" s="105"/>
      <c r="J205" s="105"/>
      <c r="K205" s="105"/>
    </row>
    <row r="206" spans="6:11" ht="12.5">
      <c r="F206" s="105"/>
      <c r="G206" s="105"/>
      <c r="H206" s="105"/>
      <c r="I206" s="105"/>
      <c r="J206" s="105"/>
      <c r="K206" s="105"/>
    </row>
    <row r="207" spans="6:11" ht="12.5">
      <c r="F207" s="105"/>
      <c r="G207" s="105"/>
      <c r="H207" s="105"/>
      <c r="I207" s="105"/>
      <c r="J207" s="105"/>
      <c r="K207" s="105"/>
    </row>
    <row r="208" spans="6:11" ht="12.5">
      <c r="F208" s="105"/>
      <c r="G208" s="105"/>
      <c r="H208" s="105"/>
      <c r="I208" s="105"/>
      <c r="J208" s="105"/>
      <c r="K208" s="105"/>
    </row>
    <row r="209" spans="6:11" ht="12.5">
      <c r="F209" s="105"/>
      <c r="G209" s="105"/>
      <c r="H209" s="105"/>
      <c r="I209" s="105"/>
      <c r="J209" s="105"/>
      <c r="K209" s="105"/>
    </row>
    <row r="210" spans="6:11" ht="12.5">
      <c r="F210" s="105"/>
      <c r="G210" s="105"/>
      <c r="H210" s="105"/>
      <c r="I210" s="105"/>
      <c r="J210" s="105"/>
      <c r="K210" s="105"/>
    </row>
    <row r="211" spans="6:11" ht="12.5">
      <c r="F211" s="105"/>
      <c r="G211" s="105"/>
      <c r="H211" s="105"/>
      <c r="I211" s="105"/>
      <c r="J211" s="105"/>
      <c r="K211" s="105"/>
    </row>
    <row r="212" spans="6:11" ht="12.5">
      <c r="F212" s="105"/>
      <c r="G212" s="105"/>
      <c r="H212" s="105"/>
      <c r="I212" s="105"/>
      <c r="J212" s="105"/>
      <c r="K212" s="105"/>
    </row>
    <row r="213" spans="6:11" ht="12.5">
      <c r="F213" s="105"/>
      <c r="G213" s="105"/>
      <c r="H213" s="105"/>
      <c r="I213" s="105"/>
      <c r="J213" s="105"/>
      <c r="K213" s="105"/>
    </row>
    <row r="214" spans="6:11" ht="12.5">
      <c r="F214" s="105"/>
      <c r="G214" s="105"/>
      <c r="H214" s="105"/>
      <c r="I214" s="105"/>
      <c r="J214" s="105"/>
      <c r="K214" s="105"/>
    </row>
    <row r="215" spans="6:11" ht="12.5">
      <c r="F215" s="105"/>
      <c r="G215" s="105"/>
      <c r="H215" s="105"/>
      <c r="I215" s="105"/>
      <c r="J215" s="105"/>
      <c r="K215" s="105"/>
    </row>
    <row r="216" spans="6:11" ht="12.5">
      <c r="F216" s="105"/>
      <c r="G216" s="105"/>
      <c r="H216" s="105"/>
      <c r="I216" s="105"/>
      <c r="J216" s="105"/>
      <c r="K216" s="105"/>
    </row>
    <row r="217" spans="6:11" ht="12.5">
      <c r="F217" s="105"/>
      <c r="G217" s="105"/>
      <c r="H217" s="105"/>
      <c r="I217" s="105"/>
      <c r="J217" s="105"/>
      <c r="K217" s="105"/>
    </row>
    <row r="218" spans="6:11" ht="12.5">
      <c r="F218" s="105"/>
      <c r="G218" s="105"/>
      <c r="H218" s="105"/>
      <c r="I218" s="105"/>
      <c r="J218" s="105"/>
      <c r="K218" s="105"/>
    </row>
    <row r="219" spans="6:11" ht="12.5">
      <c r="F219" s="105"/>
      <c r="G219" s="105"/>
      <c r="H219" s="105"/>
      <c r="I219" s="105"/>
      <c r="J219" s="105"/>
      <c r="K219" s="105"/>
    </row>
    <row r="220" spans="6:11" ht="12.5">
      <c r="F220" s="105"/>
      <c r="G220" s="105"/>
      <c r="H220" s="105"/>
      <c r="I220" s="105"/>
      <c r="J220" s="105"/>
      <c r="K220" s="105"/>
    </row>
    <row r="221" spans="6:11" ht="12.5">
      <c r="F221" s="105"/>
      <c r="G221" s="105"/>
      <c r="H221" s="105"/>
      <c r="I221" s="105"/>
      <c r="J221" s="105"/>
      <c r="K221" s="105"/>
    </row>
    <row r="222" spans="6:11" ht="12.5">
      <c r="F222" s="105"/>
      <c r="G222" s="105"/>
      <c r="H222" s="105"/>
      <c r="I222" s="105"/>
      <c r="J222" s="105"/>
      <c r="K222" s="105"/>
    </row>
    <row r="223" spans="6:11" ht="12.5">
      <c r="F223" s="105"/>
      <c r="G223" s="105"/>
      <c r="H223" s="105"/>
      <c r="I223" s="105"/>
      <c r="J223" s="105"/>
      <c r="K223" s="105"/>
    </row>
    <row r="224" spans="6:11" ht="12.5">
      <c r="F224" s="105"/>
      <c r="G224" s="105"/>
      <c r="H224" s="105"/>
      <c r="I224" s="105"/>
      <c r="J224" s="105"/>
      <c r="K224" s="105"/>
    </row>
    <row r="225" spans="6:11" ht="12.5">
      <c r="F225" s="105"/>
      <c r="G225" s="105"/>
      <c r="H225" s="105"/>
      <c r="I225" s="105"/>
      <c r="J225" s="105"/>
      <c r="K225" s="105"/>
    </row>
    <row r="226" spans="6:11" ht="12.5">
      <c r="F226" s="105"/>
      <c r="G226" s="105"/>
      <c r="H226" s="105"/>
      <c r="I226" s="105"/>
      <c r="J226" s="105"/>
      <c r="K226" s="105"/>
    </row>
    <row r="227" spans="6:11" ht="12.5">
      <c r="F227" s="105"/>
      <c r="G227" s="105"/>
      <c r="H227" s="105"/>
      <c r="I227" s="105"/>
      <c r="J227" s="105"/>
      <c r="K227" s="105"/>
    </row>
    <row r="228" spans="6:11" ht="12.5">
      <c r="F228" s="105"/>
      <c r="G228" s="105"/>
      <c r="H228" s="105"/>
      <c r="I228" s="105"/>
      <c r="J228" s="105"/>
      <c r="K228" s="105"/>
    </row>
    <row r="229" spans="6:11" ht="12.5">
      <c r="F229" s="105"/>
      <c r="G229" s="105"/>
      <c r="H229" s="105"/>
      <c r="I229" s="105"/>
      <c r="J229" s="105"/>
      <c r="K229" s="105"/>
    </row>
    <row r="230" spans="6:11" ht="12.5">
      <c r="F230" s="105"/>
      <c r="G230" s="105"/>
      <c r="H230" s="105"/>
      <c r="I230" s="105"/>
      <c r="J230" s="105"/>
      <c r="K230" s="105"/>
    </row>
    <row r="231" spans="6:11" ht="12.5">
      <c r="F231" s="105"/>
      <c r="G231" s="105"/>
      <c r="H231" s="105"/>
      <c r="I231" s="105"/>
      <c r="J231" s="105"/>
      <c r="K231" s="105"/>
    </row>
    <row r="232" spans="6:11" ht="12.5">
      <c r="F232" s="105"/>
      <c r="G232" s="105"/>
      <c r="H232" s="105"/>
      <c r="I232" s="105"/>
      <c r="J232" s="105"/>
      <c r="K232" s="105"/>
    </row>
    <row r="233" spans="6:11" ht="12.5">
      <c r="F233" s="105"/>
      <c r="G233" s="105"/>
      <c r="H233" s="105"/>
      <c r="I233" s="105"/>
      <c r="J233" s="105"/>
      <c r="K233" s="105"/>
    </row>
    <row r="234" spans="6:11" ht="12.5">
      <c r="F234" s="105"/>
      <c r="G234" s="105"/>
      <c r="H234" s="105"/>
      <c r="I234" s="105"/>
      <c r="J234" s="105"/>
      <c r="K234" s="105"/>
    </row>
    <row r="235" spans="6:11" ht="12.5">
      <c r="F235" s="105"/>
      <c r="G235" s="105"/>
      <c r="H235" s="105"/>
      <c r="I235" s="105"/>
      <c r="J235" s="105"/>
      <c r="K235" s="105"/>
    </row>
    <row r="236" spans="6:11" ht="12.5">
      <c r="F236" s="105"/>
      <c r="G236" s="105"/>
      <c r="H236" s="105"/>
      <c r="I236" s="105"/>
      <c r="J236" s="105"/>
      <c r="K236" s="105"/>
    </row>
    <row r="237" spans="6:11" ht="12.5">
      <c r="F237" s="105"/>
      <c r="G237" s="105"/>
      <c r="H237" s="105"/>
      <c r="I237" s="105"/>
      <c r="J237" s="105"/>
      <c r="K237" s="105"/>
    </row>
    <row r="238" spans="6:11" ht="12.5">
      <c r="F238" s="105"/>
      <c r="G238" s="105"/>
      <c r="H238" s="105"/>
      <c r="I238" s="105"/>
      <c r="J238" s="105"/>
      <c r="K238" s="105"/>
    </row>
    <row r="239" spans="6:11" ht="12.5">
      <c r="F239" s="105"/>
      <c r="G239" s="105"/>
      <c r="H239" s="105"/>
      <c r="I239" s="105"/>
      <c r="J239" s="105"/>
      <c r="K239" s="105"/>
    </row>
    <row r="240" spans="6:11" ht="12.5">
      <c r="F240" s="105"/>
      <c r="G240" s="105"/>
      <c r="H240" s="105"/>
      <c r="I240" s="105"/>
      <c r="J240" s="105"/>
      <c r="K240" s="105"/>
    </row>
    <row r="241" spans="6:11" ht="12.5">
      <c r="F241" s="105"/>
      <c r="G241" s="105"/>
      <c r="H241" s="105"/>
      <c r="I241" s="105"/>
      <c r="J241" s="105"/>
      <c r="K241" s="105"/>
    </row>
  </sheetData>
  <mergeCells count="6">
    <mergeCell ref="I7:J7"/>
    <mergeCell ref="I8:J8"/>
    <mergeCell ref="C7:D7"/>
    <mergeCell ref="C8:D8"/>
    <mergeCell ref="F7:G7"/>
    <mergeCell ref="F8:G8"/>
  </mergeCells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5">
    <tabColor rgb="FF92D050"/>
    <pageSetUpPr fitToPage="1"/>
  </sheetPr>
  <dimension ref="A1:M79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9.14285714285714" style="101"/>
    <col min="2" max="2" width="18" style="101" customWidth="1"/>
    <col min="3" max="3" width="11.1428571428571" style="101" customWidth="1"/>
    <col min="4" max="4" width="14" style="101" customWidth="1"/>
    <col min="5" max="5" width="3.57142857142857" style="101" customWidth="1"/>
    <col min="6" max="6" width="10.8571428571429" style="101" customWidth="1"/>
    <col min="7" max="7" width="14" style="101" customWidth="1"/>
    <col min="8" max="8" width="3.42857142857143" style="101" customWidth="1"/>
    <col min="9" max="9" width="11.1428571428571" style="101" bestFit="1" customWidth="1"/>
    <col min="10" max="10" width="14" style="101" customWidth="1"/>
    <col min="11" max="11" width="8.57142857142857" style="101" bestFit="1" customWidth="1"/>
    <col min="12" max="16384" width="9.14285714285714" style="101"/>
  </cols>
  <sheetData>
    <row r="1" spans="1:6" s="42" customFormat="1" ht="13">
      <c r="A1" s="181" t="s">
        <v>530</v>
      </c>
      <c r="C1" s="181"/>
      <c r="D1" s="181"/>
      <c r="E1" s="181"/>
      <c r="F1" s="181"/>
    </row>
    <row r="2" spans="1:6" s="42" customFormat="1" ht="13">
      <c r="A2" s="181" t="str">
        <f>' '!A2</f>
        <v>ONCOR ELECTRIC DELIVERY COMPANY LLC</v>
      </c>
      <c r="C2" s="181"/>
      <c r="D2" s="181"/>
      <c r="E2" s="181"/>
      <c r="F2" s="181"/>
    </row>
    <row r="3" spans="1:6" s="42" customFormat="1" ht="13">
      <c r="A3" s="181" t="s">
        <v>189</v>
      </c>
      <c r="C3" s="181"/>
      <c r="D3" s="181"/>
      <c r="E3" s="181"/>
      <c r="F3" s="181"/>
    </row>
    <row r="4" spans="1:6" s="42" customFormat="1" ht="13">
      <c r="A4" s="817" t="s">
        <v>928</v>
      </c>
      <c r="C4" s="181"/>
      <c r="D4" s="181"/>
      <c r="E4" s="181"/>
      <c r="F4" s="181"/>
    </row>
    <row r="5" spans="1:6" s="42" customFormat="1" ht="13">
      <c r="A5" s="181" t="s">
        <v>524</v>
      </c>
      <c r="C5" s="181"/>
      <c r="D5" s="181"/>
      <c r="E5" s="181"/>
      <c r="F5" s="181"/>
    </row>
    <row r="7" spans="1:12" s="108" customFormat="1" ht="25.5" customHeight="1">
      <c r="A7" s="202" t="s">
        <v>219</v>
      </c>
      <c r="B7" s="105"/>
      <c r="C7" s="826" t="s">
        <v>139</v>
      </c>
      <c r="D7" s="826"/>
      <c r="E7" s="107"/>
      <c r="F7" s="826" t="s">
        <v>140</v>
      </c>
      <c r="G7" s="826"/>
      <c r="H7" s="107"/>
      <c r="I7" s="826" t="s">
        <v>141</v>
      </c>
      <c r="J7" s="826"/>
      <c r="K7" s="106"/>
      <c r="L7" s="107"/>
    </row>
    <row r="8" spans="1:12" ht="13">
      <c r="A8" s="203" t="s">
        <v>220</v>
      </c>
      <c r="B8" s="204" t="s">
        <v>98</v>
      </c>
      <c r="C8" s="828">
        <v>1350300</v>
      </c>
      <c r="D8" s="828"/>
      <c r="E8" s="204"/>
      <c r="F8" s="827">
        <v>1350700</v>
      </c>
      <c r="G8" s="827"/>
      <c r="H8" s="204"/>
      <c r="I8" s="827">
        <v>1354000</v>
      </c>
      <c r="J8" s="827"/>
      <c r="K8" s="109"/>
      <c r="L8" s="109"/>
    </row>
    <row r="9" spans="1:12" ht="13">
      <c r="A9" s="148"/>
      <c r="B9" s="40" t="s">
        <v>55</v>
      </c>
      <c r="C9" s="40" t="s">
        <v>56</v>
      </c>
      <c r="D9" s="40" t="s">
        <v>62</v>
      </c>
      <c r="E9" s="40"/>
      <c r="F9" s="40" t="s">
        <v>57</v>
      </c>
      <c r="G9" s="40" t="s">
        <v>58</v>
      </c>
      <c r="H9" s="40"/>
      <c r="I9" s="40" t="s">
        <v>59</v>
      </c>
      <c r="J9" s="40" t="s">
        <v>60</v>
      </c>
      <c r="K9" s="109"/>
      <c r="L9" s="109"/>
    </row>
    <row r="10" spans="1:12" ht="13">
      <c r="A10" s="148"/>
      <c r="B10" s="40"/>
      <c r="C10" s="40"/>
      <c r="D10" s="40"/>
      <c r="E10" s="40"/>
      <c r="F10" s="40"/>
      <c r="G10" s="40"/>
      <c r="H10" s="40"/>
      <c r="I10" s="40"/>
      <c r="J10" s="40"/>
      <c r="K10" s="109"/>
      <c r="L10" s="109"/>
    </row>
    <row r="11" spans="1:12" ht="12.5">
      <c r="A11" s="150">
        <v>1</v>
      </c>
      <c r="B11" s="110" t="s">
        <v>142</v>
      </c>
      <c r="C11" s="409"/>
      <c r="D11" s="409">
        <v>0</v>
      </c>
      <c r="E11" s="409"/>
      <c r="F11" s="409"/>
      <c r="G11" s="409">
        <v>0</v>
      </c>
      <c r="H11" s="409"/>
      <c r="I11" s="409"/>
      <c r="J11" s="409">
        <v>0</v>
      </c>
      <c r="K11" s="111"/>
      <c r="L11" s="105"/>
    </row>
    <row r="12" spans="1:12" ht="12.5">
      <c r="A12" s="206">
        <f t="shared" si="0" ref="A12:A30">A11+1</f>
        <v>2</v>
      </c>
      <c r="B12" s="112" t="s">
        <v>143</v>
      </c>
      <c r="C12" s="410" t="s">
        <v>144</v>
      </c>
      <c r="D12" s="410"/>
      <c r="E12" s="410"/>
      <c r="F12" s="410" t="s">
        <v>144</v>
      </c>
      <c r="G12" s="410"/>
      <c r="H12" s="410"/>
      <c r="I12" s="410" t="s">
        <v>144</v>
      </c>
      <c r="J12" s="410"/>
      <c r="K12" s="111"/>
      <c r="L12" s="105"/>
    </row>
    <row r="13" spans="1:12" ht="12.5">
      <c r="A13" s="206">
        <f t="shared" si="0"/>
        <v>3</v>
      </c>
      <c r="B13" s="697">
        <v>44197</v>
      </c>
      <c r="C13" s="411">
        <v>0</v>
      </c>
      <c r="D13" s="411">
        <f>D11+C13</f>
        <v>0</v>
      </c>
      <c r="E13" s="411"/>
      <c r="F13" s="411">
        <v>0</v>
      </c>
      <c r="G13" s="411">
        <f>G11+F13</f>
        <v>0</v>
      </c>
      <c r="H13" s="411"/>
      <c r="I13" s="411">
        <v>0</v>
      </c>
      <c r="J13" s="411">
        <f>J11+I13</f>
        <v>0</v>
      </c>
      <c r="K13" s="114"/>
      <c r="L13" s="114"/>
    </row>
    <row r="14" spans="1:12" ht="12.5">
      <c r="A14" s="206">
        <f t="shared" si="0"/>
        <v>4</v>
      </c>
      <c r="B14" s="697">
        <v>44255</v>
      </c>
      <c r="C14" s="411">
        <v>0</v>
      </c>
      <c r="D14" s="411">
        <f t="shared" si="1" ref="D14:D24">D13+C14</f>
        <v>0</v>
      </c>
      <c r="E14" s="411"/>
      <c r="F14" s="411">
        <v>0</v>
      </c>
      <c r="G14" s="411">
        <f t="shared" si="2" ref="G14:G24">G13+F14</f>
        <v>0</v>
      </c>
      <c r="H14" s="411"/>
      <c r="I14" s="411">
        <v>0</v>
      </c>
      <c r="J14" s="411">
        <f t="shared" si="3" ref="J14:J24">J13+I14</f>
        <v>0</v>
      </c>
      <c r="K14" s="114"/>
      <c r="L14" s="115"/>
    </row>
    <row r="15" spans="1:13" ht="12.5">
      <c r="A15" s="206">
        <f t="shared" si="0"/>
        <v>5</v>
      </c>
      <c r="B15" s="697">
        <v>44286</v>
      </c>
      <c r="C15" s="411">
        <v>0</v>
      </c>
      <c r="D15" s="411">
        <f t="shared" si="1"/>
        <v>0</v>
      </c>
      <c r="E15" s="411"/>
      <c r="F15" s="411">
        <v>0</v>
      </c>
      <c r="G15" s="411">
        <f t="shared" si="2"/>
        <v>0</v>
      </c>
      <c r="H15" s="411"/>
      <c r="I15" s="411">
        <v>0</v>
      </c>
      <c r="J15" s="411">
        <f t="shared" si="3"/>
        <v>0</v>
      </c>
      <c r="K15" s="114"/>
      <c r="L15" s="115"/>
      <c r="M15" s="117"/>
    </row>
    <row r="16" spans="1:12" ht="12.5">
      <c r="A16" s="206">
        <f t="shared" si="0"/>
        <v>6</v>
      </c>
      <c r="B16" s="697">
        <v>44316</v>
      </c>
      <c r="C16" s="411">
        <v>0</v>
      </c>
      <c r="D16" s="411">
        <f t="shared" si="1"/>
        <v>0</v>
      </c>
      <c r="E16" s="411"/>
      <c r="F16" s="411">
        <v>0</v>
      </c>
      <c r="G16" s="411">
        <f t="shared" si="2"/>
        <v>0</v>
      </c>
      <c r="H16" s="411"/>
      <c r="I16" s="411">
        <v>0</v>
      </c>
      <c r="J16" s="411">
        <f t="shared" si="3"/>
        <v>0</v>
      </c>
      <c r="K16" s="114"/>
      <c r="L16" s="115"/>
    </row>
    <row r="17" spans="1:12" ht="12.5">
      <c r="A17" s="206">
        <f t="shared" si="0"/>
        <v>7</v>
      </c>
      <c r="B17" s="697">
        <v>44347</v>
      </c>
      <c r="C17" s="411">
        <v>0</v>
      </c>
      <c r="D17" s="411">
        <f t="shared" si="1"/>
        <v>0</v>
      </c>
      <c r="E17" s="411"/>
      <c r="F17" s="411">
        <v>0</v>
      </c>
      <c r="G17" s="411">
        <f t="shared" si="2"/>
        <v>0</v>
      </c>
      <c r="H17" s="411"/>
      <c r="I17" s="411">
        <v>0</v>
      </c>
      <c r="J17" s="411">
        <f t="shared" si="3"/>
        <v>0</v>
      </c>
      <c r="K17" s="114"/>
      <c r="L17" s="115"/>
    </row>
    <row r="18" spans="1:12" ht="12.5">
      <c r="A18" s="206">
        <f t="shared" si="0"/>
        <v>8</v>
      </c>
      <c r="B18" s="697">
        <v>44377</v>
      </c>
      <c r="C18" s="411">
        <v>0</v>
      </c>
      <c r="D18" s="411">
        <f t="shared" si="1"/>
        <v>0</v>
      </c>
      <c r="E18" s="411"/>
      <c r="F18" s="411">
        <v>0</v>
      </c>
      <c r="G18" s="411">
        <f t="shared" si="2"/>
        <v>0</v>
      </c>
      <c r="H18" s="411"/>
      <c r="I18" s="411">
        <v>0</v>
      </c>
      <c r="J18" s="411">
        <f t="shared" si="3"/>
        <v>0</v>
      </c>
      <c r="K18" s="114"/>
      <c r="L18" s="115"/>
    </row>
    <row r="19" spans="1:12" ht="12.5">
      <c r="A19" s="206">
        <f t="shared" si="0"/>
        <v>9</v>
      </c>
      <c r="B19" s="697">
        <v>44408</v>
      </c>
      <c r="C19" s="411">
        <v>0</v>
      </c>
      <c r="D19" s="411">
        <f t="shared" si="1"/>
        <v>0</v>
      </c>
      <c r="E19" s="411"/>
      <c r="F19" s="411">
        <v>0</v>
      </c>
      <c r="G19" s="411">
        <f t="shared" si="2"/>
        <v>0</v>
      </c>
      <c r="H19" s="411"/>
      <c r="I19" s="411">
        <v>0</v>
      </c>
      <c r="J19" s="411">
        <f t="shared" si="3"/>
        <v>0</v>
      </c>
      <c r="K19" s="114"/>
      <c r="L19" s="115"/>
    </row>
    <row r="20" spans="1:12" ht="12.5">
      <c r="A20" s="206">
        <f t="shared" si="0"/>
        <v>10</v>
      </c>
      <c r="B20" s="697">
        <v>44439</v>
      </c>
      <c r="C20" s="411">
        <v>0</v>
      </c>
      <c r="D20" s="411">
        <f t="shared" si="1"/>
        <v>0</v>
      </c>
      <c r="E20" s="411"/>
      <c r="F20" s="411">
        <v>0</v>
      </c>
      <c r="G20" s="411">
        <f t="shared" si="2"/>
        <v>0</v>
      </c>
      <c r="H20" s="411"/>
      <c r="I20" s="411">
        <v>0</v>
      </c>
      <c r="J20" s="411">
        <f t="shared" si="3"/>
        <v>0</v>
      </c>
      <c r="K20" s="114"/>
      <c r="L20" s="115"/>
    </row>
    <row r="21" spans="1:12" ht="12.5">
      <c r="A21" s="206">
        <f t="shared" si="0"/>
        <v>11</v>
      </c>
      <c r="B21" s="697">
        <v>44469</v>
      </c>
      <c r="C21" s="411">
        <v>0</v>
      </c>
      <c r="D21" s="411">
        <f t="shared" si="1"/>
        <v>0</v>
      </c>
      <c r="E21" s="411"/>
      <c r="F21" s="411">
        <v>0</v>
      </c>
      <c r="G21" s="411">
        <f t="shared" si="2"/>
        <v>0</v>
      </c>
      <c r="H21" s="411"/>
      <c r="I21" s="411">
        <v>0</v>
      </c>
      <c r="J21" s="411">
        <f t="shared" si="3"/>
        <v>0</v>
      </c>
      <c r="K21" s="114"/>
      <c r="L21" s="115"/>
    </row>
    <row r="22" spans="1:12" ht="12.5">
      <c r="A22" s="206">
        <f t="shared" si="0"/>
        <v>12</v>
      </c>
      <c r="B22" s="697">
        <v>44500</v>
      </c>
      <c r="C22" s="411">
        <v>0</v>
      </c>
      <c r="D22" s="411">
        <f t="shared" si="1"/>
        <v>0</v>
      </c>
      <c r="E22" s="411"/>
      <c r="F22" s="411">
        <v>0</v>
      </c>
      <c r="G22" s="411">
        <f t="shared" si="2"/>
        <v>0</v>
      </c>
      <c r="H22" s="411"/>
      <c r="I22" s="411">
        <v>0</v>
      </c>
      <c r="J22" s="411">
        <f t="shared" si="3"/>
        <v>0</v>
      </c>
      <c r="K22" s="114"/>
      <c r="L22" s="115"/>
    </row>
    <row r="23" spans="1:12" ht="12.5">
      <c r="A23" s="206">
        <f t="shared" si="0"/>
        <v>13</v>
      </c>
      <c r="B23" s="697">
        <v>44530</v>
      </c>
      <c r="C23" s="411"/>
      <c r="D23" s="411">
        <f t="shared" si="1"/>
        <v>0</v>
      </c>
      <c r="E23" s="411"/>
      <c r="F23" s="411">
        <v>0</v>
      </c>
      <c r="G23" s="411">
        <f t="shared" si="2"/>
        <v>0</v>
      </c>
      <c r="H23" s="411"/>
      <c r="I23" s="411">
        <v>0</v>
      </c>
      <c r="J23" s="411">
        <f t="shared" si="3"/>
        <v>0</v>
      </c>
      <c r="K23" s="114"/>
      <c r="L23" s="115"/>
    </row>
    <row r="24" spans="1:12" ht="12.5">
      <c r="A24" s="206">
        <f t="shared" si="0"/>
        <v>14</v>
      </c>
      <c r="B24" s="697">
        <v>44561</v>
      </c>
      <c r="C24" s="411">
        <v>0</v>
      </c>
      <c r="D24" s="411">
        <f t="shared" si="1"/>
        <v>0</v>
      </c>
      <c r="E24" s="411"/>
      <c r="F24" s="411">
        <v>0</v>
      </c>
      <c r="G24" s="411">
        <f t="shared" si="2"/>
        <v>0</v>
      </c>
      <c r="H24" s="411"/>
      <c r="I24" s="411">
        <v>0</v>
      </c>
      <c r="J24" s="411">
        <f t="shared" si="3"/>
        <v>0</v>
      </c>
      <c r="K24" s="114"/>
      <c r="L24" s="115"/>
    </row>
    <row r="25" spans="1:12" ht="12.5">
      <c r="A25" s="206">
        <f t="shared" si="0"/>
        <v>15</v>
      </c>
      <c r="B25" s="105"/>
      <c r="C25" s="412"/>
      <c r="D25" s="412"/>
      <c r="E25" s="412"/>
      <c r="F25" s="412"/>
      <c r="G25" s="412"/>
      <c r="H25" s="412"/>
      <c r="I25" s="412"/>
      <c r="J25" s="412"/>
      <c r="K25" s="105"/>
      <c r="L25" s="105"/>
    </row>
    <row r="26" spans="1:12" ht="12.5">
      <c r="A26" s="206">
        <f t="shared" si="0"/>
        <v>16</v>
      </c>
      <c r="B26" s="105" t="s">
        <v>145</v>
      </c>
      <c r="C26" s="350"/>
      <c r="D26" s="350">
        <f>SUM(D11:D24)</f>
        <v>0</v>
      </c>
      <c r="E26" s="350"/>
      <c r="F26" s="350"/>
      <c r="G26" s="350">
        <f>SUM(G11:G24)</f>
        <v>0</v>
      </c>
      <c r="H26" s="350"/>
      <c r="I26" s="350"/>
      <c r="J26" s="350">
        <f>SUM(J11:J24)</f>
        <v>0</v>
      </c>
      <c r="K26" s="105"/>
      <c r="L26" s="105"/>
    </row>
    <row r="27" spans="1:12" ht="12.5">
      <c r="A27" s="206">
        <f t="shared" si="0"/>
        <v>17</v>
      </c>
      <c r="B27" s="105" t="s">
        <v>27</v>
      </c>
      <c r="C27" s="350"/>
      <c r="D27" s="350">
        <f>+D26/13</f>
        <v>0</v>
      </c>
      <c r="E27" s="350"/>
      <c r="F27" s="350"/>
      <c r="G27" s="350">
        <f>+G26/13</f>
        <v>0</v>
      </c>
      <c r="H27" s="350"/>
      <c r="I27" s="350"/>
      <c r="J27" s="350">
        <f>+J26/13</f>
        <v>0</v>
      </c>
      <c r="K27" s="105"/>
      <c r="L27" s="105"/>
    </row>
    <row r="28" spans="1:12" ht="12.5">
      <c r="A28" s="206">
        <f t="shared" si="0"/>
        <v>18</v>
      </c>
      <c r="B28" s="105"/>
      <c r="F28" s="105"/>
      <c r="G28" s="105"/>
      <c r="H28" s="105"/>
      <c r="I28" s="105"/>
      <c r="J28" s="105"/>
      <c r="K28" s="105"/>
      <c r="L28" s="105"/>
    </row>
    <row r="29" spans="1:12" ht="13" thickBot="1">
      <c r="A29" s="206">
        <f t="shared" si="0"/>
        <v>19</v>
      </c>
      <c r="B29" s="105"/>
      <c r="F29" s="105"/>
      <c r="G29" s="105"/>
      <c r="H29" s="105"/>
      <c r="I29" s="105"/>
      <c r="J29" s="351">
        <f>SUM(D27:J27)</f>
        <v>0</v>
      </c>
      <c r="L29" s="105"/>
    </row>
    <row r="30" spans="1:12" ht="13" thickTop="1">
      <c r="A30" s="206">
        <f t="shared" si="0"/>
        <v>20</v>
      </c>
      <c r="B30" t="s">
        <v>400</v>
      </c>
      <c r="C30" s="561"/>
      <c r="F30" s="105"/>
      <c r="G30" s="105"/>
      <c r="H30" s="105"/>
      <c r="I30" s="105"/>
      <c r="J30" s="105"/>
      <c r="K30" s="105"/>
      <c r="L30" s="105"/>
    </row>
    <row r="31" spans="3:12" ht="12.5">
      <c r="C31" s="112"/>
      <c r="D31" s="112"/>
      <c r="E31" s="112"/>
      <c r="F31" s="112"/>
      <c r="G31" s="112"/>
      <c r="H31" s="112"/>
      <c r="I31" s="112"/>
      <c r="J31" s="112"/>
      <c r="K31" s="105"/>
      <c r="L31" s="105"/>
    </row>
    <row r="32" spans="3:12" ht="12.5">
      <c r="C32" s="112"/>
      <c r="D32" s="112"/>
      <c r="E32" s="112"/>
      <c r="F32" s="112"/>
      <c r="G32" s="112"/>
      <c r="H32" s="112"/>
      <c r="I32" s="112"/>
      <c r="J32" s="112"/>
      <c r="K32" s="105"/>
      <c r="L32" s="105"/>
    </row>
    <row r="33" spans="3:12" ht="12.5">
      <c r="C33" s="112"/>
      <c r="D33" s="112"/>
      <c r="E33" s="112"/>
      <c r="F33" s="112"/>
      <c r="G33" s="112"/>
      <c r="H33" s="112"/>
      <c r="I33" s="112"/>
      <c r="J33" s="112"/>
      <c r="K33" s="105"/>
      <c r="L33" s="105"/>
    </row>
    <row r="34" spans="6:12" ht="12.5">
      <c r="F34" s="105"/>
      <c r="G34" s="105"/>
      <c r="H34" s="105"/>
      <c r="I34" s="105"/>
      <c r="J34" s="105"/>
      <c r="K34" s="105"/>
      <c r="L34" s="105"/>
    </row>
    <row r="35" spans="6:12" ht="12.5">
      <c r="F35" s="105"/>
      <c r="G35" s="105"/>
      <c r="H35" s="105"/>
      <c r="I35" s="105"/>
      <c r="J35" s="105"/>
      <c r="K35" s="105"/>
      <c r="L35" s="105"/>
    </row>
    <row r="36" spans="6:12" ht="12.5">
      <c r="F36" s="105"/>
      <c r="G36" s="105"/>
      <c r="H36" s="105"/>
      <c r="I36" s="105"/>
      <c r="J36" s="105"/>
      <c r="K36" s="105"/>
      <c r="L36" s="105"/>
    </row>
    <row r="37" spans="6:12" ht="12.5">
      <c r="F37" s="105"/>
      <c r="G37" s="105"/>
      <c r="H37" s="105"/>
      <c r="I37" s="105"/>
      <c r="J37" s="105"/>
      <c r="K37" s="105"/>
      <c r="L37" s="105"/>
    </row>
    <row r="38" spans="6:12" ht="12.5">
      <c r="F38" s="105"/>
      <c r="G38" s="105"/>
      <c r="H38" s="105"/>
      <c r="I38" s="105"/>
      <c r="J38" s="105"/>
      <c r="K38" s="105"/>
      <c r="L38" s="105"/>
    </row>
    <row r="39" spans="6:12" ht="12.5">
      <c r="F39" s="105"/>
      <c r="G39" s="105"/>
      <c r="H39" s="105"/>
      <c r="I39" s="105"/>
      <c r="J39" s="105"/>
      <c r="K39" s="105"/>
      <c r="L39" s="105"/>
    </row>
    <row r="40" spans="6:12" ht="12.5">
      <c r="F40" s="105"/>
      <c r="G40" s="105"/>
      <c r="H40" s="105"/>
      <c r="I40" s="105"/>
      <c r="J40" s="105"/>
      <c r="K40" s="105"/>
      <c r="L40" s="105"/>
    </row>
    <row r="41" spans="6:12" ht="12.5">
      <c r="F41" s="105"/>
      <c r="G41" s="105"/>
      <c r="H41" s="105"/>
      <c r="I41" s="105"/>
      <c r="J41" s="105"/>
      <c r="K41" s="105"/>
      <c r="L41" s="105"/>
    </row>
    <row r="42" spans="6:12" ht="12.5">
      <c r="F42" s="105"/>
      <c r="G42" s="105"/>
      <c r="H42" s="105"/>
      <c r="I42" s="105"/>
      <c r="J42" s="105"/>
      <c r="K42" s="105"/>
      <c r="L42" s="105"/>
    </row>
    <row r="43" spans="6:12" ht="12.5">
      <c r="F43" s="105"/>
      <c r="G43" s="105"/>
      <c r="H43" s="105"/>
      <c r="I43" s="105"/>
      <c r="J43" s="105"/>
      <c r="K43" s="105"/>
      <c r="L43" s="105"/>
    </row>
    <row r="44" spans="6:12" ht="12.5">
      <c r="F44" s="105"/>
      <c r="G44" s="105"/>
      <c r="H44" s="105"/>
      <c r="I44" s="105"/>
      <c r="J44" s="105"/>
      <c r="K44" s="105"/>
      <c r="L44" s="105"/>
    </row>
    <row r="45" spans="6:12" ht="12.5">
      <c r="F45" s="105"/>
      <c r="G45" s="105"/>
      <c r="H45" s="105"/>
      <c r="I45" s="105"/>
      <c r="J45" s="105"/>
      <c r="K45" s="105"/>
      <c r="L45" s="105"/>
    </row>
    <row r="46" spans="6:12" ht="12.5">
      <c r="F46" s="105"/>
      <c r="G46" s="105"/>
      <c r="H46" s="105"/>
      <c r="I46" s="105"/>
      <c r="J46" s="105"/>
      <c r="K46" s="105"/>
      <c r="L46" s="105"/>
    </row>
    <row r="47" spans="6:12" ht="12.5">
      <c r="F47" s="105"/>
      <c r="G47" s="105"/>
      <c r="H47" s="105"/>
      <c r="I47" s="105"/>
      <c r="J47" s="105"/>
      <c r="K47" s="105"/>
      <c r="L47" s="105"/>
    </row>
    <row r="48" spans="6:12" ht="12.5">
      <c r="F48" s="105"/>
      <c r="G48" s="105"/>
      <c r="H48" s="105"/>
      <c r="I48" s="105"/>
      <c r="J48" s="105"/>
      <c r="K48" s="105"/>
      <c r="L48" s="105"/>
    </row>
    <row r="49" spans="6:12" ht="12.5">
      <c r="F49" s="105"/>
      <c r="G49" s="105"/>
      <c r="H49" s="105"/>
      <c r="I49" s="105"/>
      <c r="J49" s="105"/>
      <c r="K49" s="105"/>
      <c r="L49" s="105"/>
    </row>
    <row r="50" spans="6:12" ht="12.5">
      <c r="F50" s="105"/>
      <c r="G50" s="105"/>
      <c r="H50" s="105"/>
      <c r="I50" s="105"/>
      <c r="J50" s="105"/>
      <c r="K50" s="105"/>
      <c r="L50" s="105"/>
    </row>
    <row r="51" spans="6:12" ht="12.5">
      <c r="F51" s="105"/>
      <c r="G51" s="105"/>
      <c r="H51" s="105"/>
      <c r="I51" s="105"/>
      <c r="J51" s="105"/>
      <c r="K51" s="105"/>
      <c r="L51" s="105"/>
    </row>
    <row r="52" spans="6:12" ht="12.5">
      <c r="F52" s="105"/>
      <c r="G52" s="105"/>
      <c r="H52" s="105"/>
      <c r="I52" s="105"/>
      <c r="J52" s="105"/>
      <c r="K52" s="105"/>
      <c r="L52" s="105"/>
    </row>
    <row r="53" spans="6:12" ht="12.5">
      <c r="F53" s="105"/>
      <c r="G53" s="105"/>
      <c r="H53" s="105"/>
      <c r="I53" s="105"/>
      <c r="J53" s="105"/>
      <c r="K53" s="105"/>
      <c r="L53" s="105"/>
    </row>
    <row r="54" spans="6:12" ht="12.5">
      <c r="F54" s="105"/>
      <c r="G54" s="105"/>
      <c r="H54" s="105"/>
      <c r="I54" s="105"/>
      <c r="J54" s="105"/>
      <c r="K54" s="105"/>
      <c r="L54" s="105"/>
    </row>
    <row r="55" spans="6:12" ht="12.5">
      <c r="F55" s="105"/>
      <c r="G55" s="105"/>
      <c r="H55" s="105"/>
      <c r="I55" s="105"/>
      <c r="J55" s="105"/>
      <c r="K55" s="105"/>
      <c r="L55" s="105"/>
    </row>
    <row r="56" spans="6:12" ht="12.5">
      <c r="F56" s="105"/>
      <c r="G56" s="105"/>
      <c r="H56" s="105"/>
      <c r="I56" s="105"/>
      <c r="J56" s="105"/>
      <c r="K56" s="105"/>
      <c r="L56" s="105"/>
    </row>
    <row r="57" spans="6:12" ht="12.5">
      <c r="F57" s="105"/>
      <c r="G57" s="105"/>
      <c r="H57" s="105"/>
      <c r="I57" s="105"/>
      <c r="J57" s="105"/>
      <c r="K57" s="105"/>
      <c r="L57" s="105"/>
    </row>
    <row r="58" spans="6:12" ht="12.5">
      <c r="F58" s="105"/>
      <c r="G58" s="105"/>
      <c r="H58" s="105"/>
      <c r="I58" s="105"/>
      <c r="J58" s="105"/>
      <c r="K58" s="105"/>
      <c r="L58" s="105"/>
    </row>
    <row r="59" spans="6:12" ht="12.5">
      <c r="F59" s="105"/>
      <c r="G59" s="105"/>
      <c r="H59" s="105"/>
      <c r="I59" s="105"/>
      <c r="J59" s="105"/>
      <c r="K59" s="105"/>
      <c r="L59" s="105"/>
    </row>
    <row r="60" spans="6:12" ht="12.5">
      <c r="F60" s="105"/>
      <c r="G60" s="105"/>
      <c r="H60" s="105"/>
      <c r="I60" s="105"/>
      <c r="J60" s="105"/>
      <c r="K60" s="105"/>
      <c r="L60" s="105"/>
    </row>
    <row r="61" spans="6:12" ht="12.5">
      <c r="F61" s="105"/>
      <c r="G61" s="105"/>
      <c r="H61" s="105"/>
      <c r="I61" s="105"/>
      <c r="J61" s="105"/>
      <c r="K61" s="105"/>
      <c r="L61" s="105"/>
    </row>
    <row r="62" spans="6:12" ht="12.5">
      <c r="F62" s="105"/>
      <c r="G62" s="105"/>
      <c r="H62" s="105"/>
      <c r="I62" s="105"/>
      <c r="J62" s="105"/>
      <c r="K62" s="105"/>
      <c r="L62" s="105"/>
    </row>
    <row r="63" spans="6:12" ht="12.5">
      <c r="F63" s="105"/>
      <c r="G63" s="105"/>
      <c r="H63" s="105"/>
      <c r="I63" s="105"/>
      <c r="J63" s="105"/>
      <c r="K63" s="105"/>
      <c r="L63" s="105"/>
    </row>
    <row r="64" spans="6:12" ht="12.5">
      <c r="F64" s="105"/>
      <c r="G64" s="105"/>
      <c r="H64" s="105"/>
      <c r="I64" s="105"/>
      <c r="J64" s="105"/>
      <c r="K64" s="105"/>
      <c r="L64" s="105"/>
    </row>
    <row r="65" spans="6:12" ht="12.5">
      <c r="F65" s="105"/>
      <c r="G65" s="105"/>
      <c r="H65" s="105"/>
      <c r="I65" s="105"/>
      <c r="J65" s="105"/>
      <c r="K65" s="105"/>
      <c r="L65" s="105"/>
    </row>
    <row r="66" spans="6:12" ht="12.5">
      <c r="F66" s="105"/>
      <c r="G66" s="105"/>
      <c r="H66" s="105"/>
      <c r="I66" s="105"/>
      <c r="J66" s="105"/>
      <c r="K66" s="105"/>
      <c r="L66" s="105"/>
    </row>
    <row r="67" spans="6:12" ht="12.5">
      <c r="F67" s="105"/>
      <c r="G67" s="105"/>
      <c r="H67" s="105"/>
      <c r="I67" s="105"/>
      <c r="J67" s="105"/>
      <c r="K67" s="105"/>
      <c r="L67" s="105"/>
    </row>
    <row r="68" spans="6:12" ht="12.5">
      <c r="F68" s="105"/>
      <c r="G68" s="105"/>
      <c r="H68" s="105"/>
      <c r="I68" s="105"/>
      <c r="J68" s="105"/>
      <c r="K68" s="105"/>
      <c r="L68" s="105"/>
    </row>
    <row r="69" spans="6:12" ht="12.5">
      <c r="F69" s="105"/>
      <c r="G69" s="105"/>
      <c r="H69" s="105"/>
      <c r="I69" s="105"/>
      <c r="J69" s="105"/>
      <c r="K69" s="105"/>
      <c r="L69" s="105"/>
    </row>
    <row r="70" spans="6:12" ht="12.5">
      <c r="F70" s="105"/>
      <c r="G70" s="105"/>
      <c r="H70" s="105"/>
      <c r="I70" s="105"/>
      <c r="J70" s="105"/>
      <c r="K70" s="105"/>
      <c r="L70" s="105"/>
    </row>
    <row r="71" spans="6:12" ht="12.5">
      <c r="F71" s="105"/>
      <c r="G71" s="105"/>
      <c r="H71" s="105"/>
      <c r="I71" s="105"/>
      <c r="J71" s="105"/>
      <c r="K71" s="105"/>
      <c r="L71" s="105"/>
    </row>
    <row r="72" spans="6:12" ht="12.5">
      <c r="F72" s="105"/>
      <c r="G72" s="105"/>
      <c r="H72" s="105"/>
      <c r="I72" s="105"/>
      <c r="J72" s="105"/>
      <c r="K72" s="105"/>
      <c r="L72" s="105"/>
    </row>
    <row r="73" spans="6:12" ht="12.5">
      <c r="F73" s="105"/>
      <c r="G73" s="105"/>
      <c r="H73" s="105"/>
      <c r="I73" s="105"/>
      <c r="J73" s="105"/>
      <c r="K73" s="105"/>
      <c r="L73" s="105"/>
    </row>
    <row r="74" spans="6:12" ht="12.5">
      <c r="F74" s="105"/>
      <c r="G74" s="105"/>
      <c r="H74" s="105"/>
      <c r="I74" s="105"/>
      <c r="J74" s="105"/>
      <c r="K74" s="105"/>
      <c r="L74" s="105"/>
    </row>
    <row r="75" spans="6:12" ht="12.5">
      <c r="F75" s="105"/>
      <c r="G75" s="105"/>
      <c r="H75" s="105"/>
      <c r="I75" s="105"/>
      <c r="J75" s="105"/>
      <c r="K75" s="105"/>
      <c r="L75" s="105"/>
    </row>
    <row r="76" spans="6:12" ht="12.5">
      <c r="F76" s="105"/>
      <c r="G76" s="105"/>
      <c r="H76" s="105"/>
      <c r="I76" s="105"/>
      <c r="J76" s="105"/>
      <c r="K76" s="105"/>
      <c r="L76" s="105"/>
    </row>
    <row r="77" spans="6:12" ht="12.5">
      <c r="F77" s="105"/>
      <c r="G77" s="105"/>
      <c r="H77" s="105"/>
      <c r="I77" s="105"/>
      <c r="J77" s="105"/>
      <c r="K77" s="105"/>
      <c r="L77" s="105"/>
    </row>
    <row r="78" spans="6:12" ht="12.5">
      <c r="F78" s="105"/>
      <c r="G78" s="105"/>
      <c r="H78" s="105"/>
      <c r="I78" s="105"/>
      <c r="J78" s="105"/>
      <c r="K78" s="105"/>
      <c r="L78" s="105"/>
    </row>
    <row r="79" spans="6:12" ht="12.5">
      <c r="F79" s="105"/>
      <c r="G79" s="105"/>
      <c r="H79" s="105"/>
      <c r="I79" s="105"/>
      <c r="J79" s="105"/>
      <c r="K79" s="105"/>
      <c r="L79" s="105"/>
    </row>
  </sheetData>
  <mergeCells count="6">
    <mergeCell ref="C7:D7"/>
    <mergeCell ref="F7:G7"/>
    <mergeCell ref="I7:J7"/>
    <mergeCell ref="C8:D8"/>
    <mergeCell ref="F8:G8"/>
    <mergeCell ref="I8:J8"/>
  </mergeCells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9">
    <tabColor rgb="FF92D050"/>
    <pageSetUpPr fitToPage="1"/>
  </sheetPr>
  <dimension ref="A1:K240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9.14285714285714" style="101"/>
    <col min="2" max="2" width="18" style="101" customWidth="1"/>
    <col min="3" max="3" width="12.5714285714286" style="101" customWidth="1"/>
    <col min="4" max="4" width="14" style="101" customWidth="1"/>
    <col min="5" max="5" width="5" style="101" customWidth="1"/>
    <col min="6" max="6" width="11.1428571428571" style="101" bestFit="1" customWidth="1"/>
    <col min="7" max="7" width="8.85714285714286" style="101" bestFit="1" customWidth="1"/>
    <col min="8" max="8" width="4.57142857142857" style="101" customWidth="1"/>
    <col min="9" max="9" width="11.1428571428571" style="101" bestFit="1" customWidth="1"/>
    <col min="10" max="10" width="8.85714285714286" style="101" bestFit="1" customWidth="1"/>
    <col min="11" max="11" width="9.57142857142857" style="101" bestFit="1" customWidth="1"/>
    <col min="12" max="16384" width="9.14285714285714" style="101"/>
  </cols>
  <sheetData>
    <row r="1" spans="1:6" s="42" customFormat="1" ht="13">
      <c r="A1" s="181" t="s">
        <v>530</v>
      </c>
      <c r="C1" s="181"/>
      <c r="D1" s="181"/>
      <c r="E1" s="181"/>
      <c r="F1" s="181"/>
    </row>
    <row r="2" spans="1:6" s="42" customFormat="1" ht="13">
      <c r="A2" s="181" t="str">
        <f>' '!A2</f>
        <v>ONCOR ELECTRIC DELIVERY COMPANY LLC</v>
      </c>
      <c r="C2" s="181"/>
      <c r="D2" s="181"/>
      <c r="E2" s="181"/>
      <c r="F2" s="181"/>
    </row>
    <row r="3" spans="1:6" s="42" customFormat="1" ht="13">
      <c r="A3" s="181" t="s">
        <v>187</v>
      </c>
      <c r="C3" s="181"/>
      <c r="D3" s="181"/>
      <c r="E3" s="181"/>
      <c r="F3" s="181"/>
    </row>
    <row r="4" spans="1:6" s="42" customFormat="1" ht="13">
      <c r="A4" s="817" t="s">
        <v>928</v>
      </c>
      <c r="C4" s="181"/>
      <c r="D4" s="181"/>
      <c r="E4" s="181"/>
      <c r="F4" s="181"/>
    </row>
    <row r="5" spans="1:6" s="42" customFormat="1" ht="13">
      <c r="A5" s="181" t="s">
        <v>524</v>
      </c>
      <c r="C5" s="181"/>
      <c r="D5" s="181"/>
      <c r="E5" s="181"/>
      <c r="F5" s="181"/>
    </row>
    <row r="7" spans="1:11" ht="25.5" customHeight="1">
      <c r="A7" s="202" t="s">
        <v>219</v>
      </c>
      <c r="B7" s="105"/>
      <c r="C7" s="826" t="s">
        <v>139</v>
      </c>
      <c r="D7" s="826"/>
      <c r="E7" s="107"/>
      <c r="F7" s="826" t="s">
        <v>140</v>
      </c>
      <c r="G7" s="826"/>
      <c r="H7" s="107"/>
      <c r="I7" s="826" t="s">
        <v>141</v>
      </c>
      <c r="J7" s="826"/>
      <c r="K7" s="105"/>
    </row>
    <row r="8" spans="1:11" ht="13">
      <c r="A8" s="203" t="s">
        <v>220</v>
      </c>
      <c r="B8" s="204" t="s">
        <v>98</v>
      </c>
      <c r="C8" s="828">
        <v>1350300</v>
      </c>
      <c r="D8" s="828"/>
      <c r="E8" s="204"/>
      <c r="F8" s="827">
        <v>1350700</v>
      </c>
      <c r="G8" s="827"/>
      <c r="H8" s="204"/>
      <c r="I8" s="827">
        <v>1354000</v>
      </c>
      <c r="J8" s="827"/>
      <c r="K8" s="109"/>
    </row>
    <row r="9" spans="1:11" ht="13">
      <c r="A9" s="148"/>
      <c r="B9" s="40" t="s">
        <v>55</v>
      </c>
      <c r="C9" s="40" t="s">
        <v>56</v>
      </c>
      <c r="D9" s="40" t="s">
        <v>62</v>
      </c>
      <c r="E9" s="40"/>
      <c r="F9" s="40" t="s">
        <v>57</v>
      </c>
      <c r="G9" s="40" t="s">
        <v>58</v>
      </c>
      <c r="H9" s="40"/>
      <c r="I9" s="40" t="s">
        <v>59</v>
      </c>
      <c r="J9" s="40" t="s">
        <v>60</v>
      </c>
      <c r="K9" s="109"/>
    </row>
    <row r="10" spans="1:11" ht="13">
      <c r="A10" s="148"/>
      <c r="B10" s="40"/>
      <c r="C10" s="40"/>
      <c r="D10" s="40"/>
      <c r="E10" s="40"/>
      <c r="F10" s="40"/>
      <c r="G10" s="40"/>
      <c r="H10" s="40"/>
      <c r="I10" s="40"/>
      <c r="J10" s="40"/>
      <c r="K10" s="109"/>
    </row>
    <row r="11" spans="1:11" ht="12.5">
      <c r="A11" s="150">
        <v>1</v>
      </c>
      <c r="B11" s="110" t="s">
        <v>142</v>
      </c>
      <c r="C11" s="409"/>
      <c r="D11" s="409">
        <v>0</v>
      </c>
      <c r="E11" s="409"/>
      <c r="F11" s="409"/>
      <c r="G11" s="409">
        <v>0</v>
      </c>
      <c r="H11" s="409"/>
      <c r="I11" s="409"/>
      <c r="J11" s="409">
        <v>0</v>
      </c>
      <c r="K11" s="111"/>
    </row>
    <row r="12" spans="1:11" ht="12.5">
      <c r="A12" s="206">
        <f t="shared" si="0" ref="A12:A30">A11+1</f>
        <v>2</v>
      </c>
      <c r="B12" s="112" t="s">
        <v>143</v>
      </c>
      <c r="C12" s="410" t="s">
        <v>144</v>
      </c>
      <c r="D12" s="410"/>
      <c r="E12" s="410"/>
      <c r="F12" s="410" t="s">
        <v>144</v>
      </c>
      <c r="G12" s="410"/>
      <c r="H12" s="410"/>
      <c r="I12" s="410" t="s">
        <v>144</v>
      </c>
      <c r="J12" s="410"/>
      <c r="K12" s="111"/>
    </row>
    <row r="13" spans="1:11" ht="12.5">
      <c r="A13" s="206">
        <f t="shared" si="0"/>
        <v>3</v>
      </c>
      <c r="B13" s="697">
        <v>44197</v>
      </c>
      <c r="C13" s="411">
        <v>0</v>
      </c>
      <c r="D13" s="411">
        <f>D11+C13</f>
        <v>0</v>
      </c>
      <c r="E13" s="411"/>
      <c r="F13" s="411">
        <v>0</v>
      </c>
      <c r="G13" s="411">
        <f>G11+F13</f>
        <v>0</v>
      </c>
      <c r="H13" s="411"/>
      <c r="I13" s="411">
        <v>0</v>
      </c>
      <c r="J13" s="411">
        <v>0</v>
      </c>
      <c r="K13" s="114"/>
    </row>
    <row r="14" spans="1:11" ht="12.5">
      <c r="A14" s="206">
        <f t="shared" si="0"/>
        <v>4</v>
      </c>
      <c r="B14" s="697">
        <v>44255</v>
      </c>
      <c r="C14" s="411">
        <v>0</v>
      </c>
      <c r="D14" s="411">
        <f t="shared" si="1" ref="D14:D24">D13+C14</f>
        <v>0</v>
      </c>
      <c r="E14" s="411"/>
      <c r="F14" s="411">
        <v>0</v>
      </c>
      <c r="G14" s="411">
        <f t="shared" si="2" ref="G14:G24">G13+F14</f>
        <v>0</v>
      </c>
      <c r="H14" s="411"/>
      <c r="I14" s="411">
        <v>0</v>
      </c>
      <c r="J14" s="411">
        <f t="shared" si="3" ref="J14:J24">J13+I14</f>
        <v>0</v>
      </c>
      <c r="K14" s="114"/>
    </row>
    <row r="15" spans="1:11" ht="12.5">
      <c r="A15" s="206">
        <f t="shared" si="0"/>
        <v>5</v>
      </c>
      <c r="B15" s="697">
        <v>44286</v>
      </c>
      <c r="C15" s="411">
        <v>0</v>
      </c>
      <c r="D15" s="411">
        <f t="shared" si="1"/>
        <v>0</v>
      </c>
      <c r="E15" s="411"/>
      <c r="F15" s="411">
        <v>0</v>
      </c>
      <c r="G15" s="411">
        <f t="shared" si="2"/>
        <v>0</v>
      </c>
      <c r="H15" s="411"/>
      <c r="I15" s="411">
        <v>0</v>
      </c>
      <c r="J15" s="411">
        <f t="shared" si="3"/>
        <v>0</v>
      </c>
      <c r="K15" s="114"/>
    </row>
    <row r="16" spans="1:11" ht="12.5">
      <c r="A16" s="206">
        <f t="shared" si="0"/>
        <v>6</v>
      </c>
      <c r="B16" s="697">
        <v>44316</v>
      </c>
      <c r="C16" s="411">
        <v>0</v>
      </c>
      <c r="D16" s="411">
        <f t="shared" si="1"/>
        <v>0</v>
      </c>
      <c r="E16" s="411"/>
      <c r="F16" s="411">
        <v>0</v>
      </c>
      <c r="G16" s="411">
        <f t="shared" si="2"/>
        <v>0</v>
      </c>
      <c r="H16" s="411"/>
      <c r="I16" s="411">
        <v>0</v>
      </c>
      <c r="J16" s="411">
        <f t="shared" si="3"/>
        <v>0</v>
      </c>
      <c r="K16" s="114"/>
    </row>
    <row r="17" spans="1:11" ht="12.5">
      <c r="A17" s="206">
        <f t="shared" si="0"/>
        <v>7</v>
      </c>
      <c r="B17" s="697">
        <v>44347</v>
      </c>
      <c r="C17" s="411">
        <v>0</v>
      </c>
      <c r="D17" s="411">
        <f t="shared" si="1"/>
        <v>0</v>
      </c>
      <c r="E17" s="411"/>
      <c r="F17" s="411">
        <v>0</v>
      </c>
      <c r="G17" s="411">
        <f t="shared" si="2"/>
        <v>0</v>
      </c>
      <c r="H17" s="411"/>
      <c r="I17" s="411">
        <v>0</v>
      </c>
      <c r="J17" s="411">
        <f t="shared" si="3"/>
        <v>0</v>
      </c>
      <c r="K17" s="114"/>
    </row>
    <row r="18" spans="1:11" ht="12.5">
      <c r="A18" s="206">
        <f t="shared" si="0"/>
        <v>8</v>
      </c>
      <c r="B18" s="697">
        <v>44377</v>
      </c>
      <c r="C18" s="411">
        <v>0</v>
      </c>
      <c r="D18" s="411">
        <f t="shared" si="1"/>
        <v>0</v>
      </c>
      <c r="E18" s="411"/>
      <c r="F18" s="411">
        <v>0</v>
      </c>
      <c r="G18" s="411">
        <f t="shared" si="2"/>
        <v>0</v>
      </c>
      <c r="H18" s="411"/>
      <c r="I18" s="411">
        <v>0</v>
      </c>
      <c r="J18" s="411">
        <f t="shared" si="3"/>
        <v>0</v>
      </c>
      <c r="K18" s="114"/>
    </row>
    <row r="19" spans="1:11" ht="12.5">
      <c r="A19" s="206">
        <f t="shared" si="0"/>
        <v>9</v>
      </c>
      <c r="B19" s="697">
        <v>44408</v>
      </c>
      <c r="C19" s="411">
        <v>0</v>
      </c>
      <c r="D19" s="411">
        <f t="shared" si="1"/>
        <v>0</v>
      </c>
      <c r="E19" s="411"/>
      <c r="F19" s="411">
        <v>0</v>
      </c>
      <c r="G19" s="411">
        <f t="shared" si="2"/>
        <v>0</v>
      </c>
      <c r="H19" s="411"/>
      <c r="I19" s="411">
        <v>0</v>
      </c>
      <c r="J19" s="411">
        <f t="shared" si="3"/>
        <v>0</v>
      </c>
      <c r="K19" s="114"/>
    </row>
    <row r="20" spans="1:11" ht="12.5">
      <c r="A20" s="206">
        <f t="shared" si="0"/>
        <v>10</v>
      </c>
      <c r="B20" s="697">
        <v>44439</v>
      </c>
      <c r="C20" s="411">
        <v>0</v>
      </c>
      <c r="D20" s="411">
        <f t="shared" si="1"/>
        <v>0</v>
      </c>
      <c r="E20" s="411"/>
      <c r="F20" s="411">
        <v>0</v>
      </c>
      <c r="G20" s="411">
        <f t="shared" si="2"/>
        <v>0</v>
      </c>
      <c r="H20" s="411"/>
      <c r="I20" s="411">
        <v>0</v>
      </c>
      <c r="J20" s="411">
        <f t="shared" si="3"/>
        <v>0</v>
      </c>
      <c r="K20" s="114"/>
    </row>
    <row r="21" spans="1:11" ht="12.5">
      <c r="A21" s="206">
        <f t="shared" si="0"/>
        <v>11</v>
      </c>
      <c r="B21" s="697">
        <v>44469</v>
      </c>
      <c r="C21" s="411">
        <v>0</v>
      </c>
      <c r="D21" s="411">
        <f t="shared" si="1"/>
        <v>0</v>
      </c>
      <c r="E21" s="411"/>
      <c r="F21" s="411">
        <v>0</v>
      </c>
      <c r="G21" s="411">
        <f t="shared" si="2"/>
        <v>0</v>
      </c>
      <c r="H21" s="411"/>
      <c r="I21" s="411">
        <v>0</v>
      </c>
      <c r="J21" s="411">
        <f t="shared" si="3"/>
        <v>0</v>
      </c>
      <c r="K21" s="114"/>
    </row>
    <row r="22" spans="1:11" ht="12.5">
      <c r="A22" s="206">
        <f t="shared" si="0"/>
        <v>12</v>
      </c>
      <c r="B22" s="697">
        <v>44500</v>
      </c>
      <c r="C22" s="411">
        <v>0</v>
      </c>
      <c r="D22" s="411">
        <f t="shared" si="1"/>
        <v>0</v>
      </c>
      <c r="E22" s="411"/>
      <c r="F22" s="411">
        <v>0</v>
      </c>
      <c r="G22" s="411">
        <f t="shared" si="2"/>
        <v>0</v>
      </c>
      <c r="H22" s="411"/>
      <c r="I22" s="411">
        <v>0</v>
      </c>
      <c r="J22" s="411">
        <f t="shared" si="3"/>
        <v>0</v>
      </c>
      <c r="K22" s="114"/>
    </row>
    <row r="23" spans="1:11" ht="12.5">
      <c r="A23" s="206">
        <f t="shared" si="0"/>
        <v>13</v>
      </c>
      <c r="B23" s="697">
        <v>44530</v>
      </c>
      <c r="C23" s="411">
        <v>0</v>
      </c>
      <c r="D23" s="411">
        <f t="shared" si="1"/>
        <v>0</v>
      </c>
      <c r="E23" s="411"/>
      <c r="F23" s="411">
        <v>0</v>
      </c>
      <c r="G23" s="411">
        <f t="shared" si="2"/>
        <v>0</v>
      </c>
      <c r="H23" s="411"/>
      <c r="I23" s="411">
        <v>0</v>
      </c>
      <c r="J23" s="411">
        <f t="shared" si="3"/>
        <v>0</v>
      </c>
      <c r="K23" s="114"/>
    </row>
    <row r="24" spans="1:11" ht="12.5">
      <c r="A24" s="206">
        <f t="shared" si="0"/>
        <v>14</v>
      </c>
      <c r="B24" s="697">
        <v>44561</v>
      </c>
      <c r="C24" s="411">
        <v>0</v>
      </c>
      <c r="D24" s="411">
        <f t="shared" si="1"/>
        <v>0</v>
      </c>
      <c r="E24" s="411"/>
      <c r="F24" s="411">
        <v>0</v>
      </c>
      <c r="G24" s="411">
        <f t="shared" si="2"/>
        <v>0</v>
      </c>
      <c r="H24" s="411"/>
      <c r="I24" s="411">
        <v>0</v>
      </c>
      <c r="J24" s="411">
        <f t="shared" si="3"/>
        <v>0</v>
      </c>
      <c r="K24" s="114"/>
    </row>
    <row r="25" spans="1:11" ht="12.5">
      <c r="A25" s="206">
        <f t="shared" si="0"/>
        <v>15</v>
      </c>
      <c r="B25" s="105"/>
      <c r="C25" s="412"/>
      <c r="D25" s="412"/>
      <c r="E25" s="412"/>
      <c r="F25" s="412"/>
      <c r="G25" s="412"/>
      <c r="H25" s="412"/>
      <c r="I25" s="412"/>
      <c r="J25" s="412"/>
      <c r="K25" s="105"/>
    </row>
    <row r="26" spans="1:11" ht="12.5">
      <c r="A26" s="206">
        <f t="shared" si="0"/>
        <v>16</v>
      </c>
      <c r="B26" s="105" t="s">
        <v>145</v>
      </c>
      <c r="C26" s="350"/>
      <c r="D26" s="350">
        <f>SUM(D11:D24)</f>
        <v>0</v>
      </c>
      <c r="E26" s="350"/>
      <c r="F26" s="350"/>
      <c r="G26" s="350">
        <f>SUM(G11:G24)</f>
        <v>0</v>
      </c>
      <c r="H26" s="350"/>
      <c r="I26" s="350"/>
      <c r="J26" s="350">
        <f>SUM(J11:J24)</f>
        <v>0</v>
      </c>
      <c r="K26" s="105"/>
    </row>
    <row r="27" spans="1:11" ht="12.5">
      <c r="A27" s="206">
        <f t="shared" si="0"/>
        <v>17</v>
      </c>
      <c r="B27" s="105" t="s">
        <v>27</v>
      </c>
      <c r="C27" s="350"/>
      <c r="D27" s="350">
        <f>+D26/13</f>
        <v>0</v>
      </c>
      <c r="E27" s="350"/>
      <c r="F27" s="350"/>
      <c r="G27" s="350">
        <f>+G26/13</f>
        <v>0</v>
      </c>
      <c r="H27" s="350"/>
      <c r="I27" s="350"/>
      <c r="J27" s="350">
        <f>+J26/13</f>
        <v>0</v>
      </c>
      <c r="K27" s="105"/>
    </row>
    <row r="28" spans="1:11" ht="12.5">
      <c r="A28" s="206">
        <f t="shared" si="0"/>
        <v>18</v>
      </c>
      <c r="B28" s="105"/>
      <c r="F28" s="105"/>
      <c r="G28" s="105"/>
      <c r="H28" s="105"/>
      <c r="I28" s="105"/>
      <c r="J28" s="105"/>
      <c r="K28" s="105"/>
    </row>
    <row r="29" spans="1:10" ht="13" thickBot="1">
      <c r="A29" s="206">
        <f t="shared" si="0"/>
        <v>19</v>
      </c>
      <c r="B29" s="105"/>
      <c r="F29" s="105"/>
      <c r="G29" s="105"/>
      <c r="H29" s="105"/>
      <c r="I29" s="105"/>
      <c r="J29" s="351">
        <f>SUM(D27:J27)</f>
        <v>0</v>
      </c>
    </row>
    <row r="30" spans="1:11" ht="13" thickTop="1">
      <c r="A30" s="206">
        <f t="shared" si="0"/>
        <v>20</v>
      </c>
      <c r="B30" t="s">
        <v>401</v>
      </c>
      <c r="C30" s="561"/>
      <c r="F30" s="105"/>
      <c r="G30" s="105"/>
      <c r="H30" s="105"/>
      <c r="I30" s="105"/>
      <c r="J30" s="105"/>
      <c r="K30" s="105"/>
    </row>
    <row r="31" spans="6:11" ht="12.5">
      <c r="F31" s="105"/>
      <c r="G31" s="105"/>
      <c r="H31" s="105"/>
      <c r="I31" s="105"/>
      <c r="J31" s="105"/>
      <c r="K31" s="105"/>
    </row>
    <row r="32" spans="6:11" ht="12.5">
      <c r="F32" s="105"/>
      <c r="G32" s="105"/>
      <c r="H32" s="105"/>
      <c r="I32" s="105"/>
      <c r="J32" s="105"/>
      <c r="K32" s="105"/>
    </row>
    <row r="33" spans="6:11" ht="12.5">
      <c r="F33" s="105"/>
      <c r="G33" s="105"/>
      <c r="H33" s="105"/>
      <c r="I33" s="105"/>
      <c r="J33" s="105"/>
      <c r="K33" s="105"/>
    </row>
    <row r="34" spans="6:11" ht="12.5">
      <c r="F34" s="105"/>
      <c r="G34" s="105"/>
      <c r="H34" s="105"/>
      <c r="I34" s="105"/>
      <c r="J34" s="105"/>
      <c r="K34" s="105"/>
    </row>
    <row r="35" spans="6:11" ht="12.5">
      <c r="F35" s="105"/>
      <c r="G35" s="105"/>
      <c r="H35" s="105"/>
      <c r="I35" s="105"/>
      <c r="J35" s="105"/>
      <c r="K35" s="105"/>
    </row>
    <row r="36" spans="6:11" ht="12.5">
      <c r="F36" s="105"/>
      <c r="G36" s="105"/>
      <c r="H36" s="105"/>
      <c r="I36" s="105"/>
      <c r="J36" s="105"/>
      <c r="K36" s="105"/>
    </row>
    <row r="37" spans="6:11" ht="12.5">
      <c r="F37" s="105"/>
      <c r="G37" s="105"/>
      <c r="H37" s="105"/>
      <c r="I37" s="105"/>
      <c r="J37" s="105"/>
      <c r="K37" s="105"/>
    </row>
    <row r="38" spans="6:11" ht="12.5">
      <c r="F38" s="105"/>
      <c r="G38" s="105"/>
      <c r="H38" s="105"/>
      <c r="I38" s="105"/>
      <c r="J38" s="105"/>
      <c r="K38" s="105"/>
    </row>
    <row r="39" spans="6:11" ht="12.5">
      <c r="F39" s="105"/>
      <c r="G39" s="105"/>
      <c r="H39" s="105"/>
      <c r="I39" s="105"/>
      <c r="J39" s="105"/>
      <c r="K39" s="105"/>
    </row>
    <row r="40" spans="6:11" ht="12.5">
      <c r="F40" s="105"/>
      <c r="G40" s="105"/>
      <c r="H40" s="105"/>
      <c r="I40" s="105"/>
      <c r="J40" s="105"/>
      <c r="K40" s="105"/>
    </row>
    <row r="41" spans="6:11" ht="12.5">
      <c r="F41" s="105"/>
      <c r="G41" s="105"/>
      <c r="H41" s="105"/>
      <c r="I41" s="105"/>
      <c r="J41" s="105"/>
      <c r="K41" s="105"/>
    </row>
    <row r="42" spans="6:11" ht="12.5">
      <c r="F42" s="105"/>
      <c r="G42" s="105"/>
      <c r="H42" s="105"/>
      <c r="I42" s="105"/>
      <c r="J42" s="105"/>
      <c r="K42" s="105"/>
    </row>
    <row r="43" spans="6:11" ht="12.5">
      <c r="F43" s="105"/>
      <c r="G43" s="105"/>
      <c r="H43" s="105"/>
      <c r="I43" s="105"/>
      <c r="J43" s="105"/>
      <c r="K43" s="105"/>
    </row>
    <row r="44" spans="6:11" ht="12.5">
      <c r="F44" s="105"/>
      <c r="G44" s="105"/>
      <c r="H44" s="105"/>
      <c r="I44" s="105"/>
      <c r="J44" s="105"/>
      <c r="K44" s="105"/>
    </row>
    <row r="45" spans="6:11" ht="12.5">
      <c r="F45" s="105"/>
      <c r="G45" s="105"/>
      <c r="H45" s="105"/>
      <c r="I45" s="105"/>
      <c r="J45" s="105"/>
      <c r="K45" s="105"/>
    </row>
    <row r="46" spans="6:11" ht="12.5">
      <c r="F46" s="105"/>
      <c r="G46" s="105"/>
      <c r="H46" s="105"/>
      <c r="I46" s="105"/>
      <c r="J46" s="105"/>
      <c r="K46" s="105"/>
    </row>
    <row r="47" spans="6:11" ht="12.5">
      <c r="F47" s="105"/>
      <c r="G47" s="105"/>
      <c r="H47" s="105"/>
      <c r="I47" s="105"/>
      <c r="J47" s="105"/>
      <c r="K47" s="105"/>
    </row>
    <row r="48" spans="6:11" ht="12.5">
      <c r="F48" s="105"/>
      <c r="G48" s="105"/>
      <c r="H48" s="105"/>
      <c r="I48" s="105"/>
      <c r="J48" s="105"/>
      <c r="K48" s="105"/>
    </row>
    <row r="49" spans="6:11" ht="12.5">
      <c r="F49" s="105"/>
      <c r="G49" s="105"/>
      <c r="H49" s="105"/>
      <c r="I49" s="105"/>
      <c r="J49" s="105"/>
      <c r="K49" s="105"/>
    </row>
    <row r="50" spans="6:11" ht="12.5">
      <c r="F50" s="105"/>
      <c r="G50" s="105"/>
      <c r="H50" s="105"/>
      <c r="I50" s="105"/>
      <c r="J50" s="105"/>
      <c r="K50" s="105"/>
    </row>
    <row r="51" spans="6:11" ht="12.5">
      <c r="F51" s="105"/>
      <c r="G51" s="105"/>
      <c r="H51" s="105"/>
      <c r="I51" s="105"/>
      <c r="J51" s="105"/>
      <c r="K51" s="105"/>
    </row>
    <row r="52" spans="6:11" ht="12.5">
      <c r="F52" s="105"/>
      <c r="G52" s="105"/>
      <c r="H52" s="105"/>
      <c r="I52" s="105"/>
      <c r="J52" s="105"/>
      <c r="K52" s="105"/>
    </row>
    <row r="53" spans="6:11" ht="12.5">
      <c r="F53" s="105"/>
      <c r="G53" s="105"/>
      <c r="H53" s="105"/>
      <c r="I53" s="105"/>
      <c r="J53" s="105"/>
      <c r="K53" s="105"/>
    </row>
    <row r="54" spans="6:11" ht="12.5">
      <c r="F54" s="105"/>
      <c r="G54" s="105"/>
      <c r="H54" s="105"/>
      <c r="I54" s="105"/>
      <c r="J54" s="105"/>
      <c r="K54" s="105"/>
    </row>
    <row r="55" spans="6:11" ht="12.5">
      <c r="F55" s="105"/>
      <c r="G55" s="105"/>
      <c r="H55" s="105"/>
      <c r="I55" s="105"/>
      <c r="J55" s="105"/>
      <c r="K55" s="105"/>
    </row>
    <row r="56" spans="6:11" ht="12.5">
      <c r="F56" s="105"/>
      <c r="G56" s="105"/>
      <c r="H56" s="105"/>
      <c r="I56" s="105"/>
      <c r="J56" s="105"/>
      <c r="K56" s="105"/>
    </row>
    <row r="57" spans="6:11" ht="12.5">
      <c r="F57" s="105"/>
      <c r="G57" s="105"/>
      <c r="H57" s="105"/>
      <c r="I57" s="105"/>
      <c r="J57" s="105"/>
      <c r="K57" s="105"/>
    </row>
    <row r="58" spans="6:11" ht="12.5">
      <c r="F58" s="105"/>
      <c r="G58" s="105"/>
      <c r="H58" s="105"/>
      <c r="I58" s="105"/>
      <c r="J58" s="105"/>
      <c r="K58" s="105"/>
    </row>
    <row r="59" spans="6:11" ht="12.5">
      <c r="F59" s="105"/>
      <c r="G59" s="105"/>
      <c r="H59" s="105"/>
      <c r="I59" s="105"/>
      <c r="J59" s="105"/>
      <c r="K59" s="105"/>
    </row>
    <row r="60" spans="6:11" ht="12.5">
      <c r="F60" s="105"/>
      <c r="G60" s="105"/>
      <c r="H60" s="105"/>
      <c r="I60" s="105"/>
      <c r="J60" s="105"/>
      <c r="K60" s="105"/>
    </row>
    <row r="61" spans="6:11" ht="12.5">
      <c r="F61" s="105"/>
      <c r="G61" s="105"/>
      <c r="H61" s="105"/>
      <c r="I61" s="105"/>
      <c r="J61" s="105"/>
      <c r="K61" s="105"/>
    </row>
    <row r="62" spans="6:11" ht="12.5">
      <c r="F62" s="105"/>
      <c r="G62" s="105"/>
      <c r="H62" s="105"/>
      <c r="I62" s="105"/>
      <c r="J62" s="105"/>
      <c r="K62" s="105"/>
    </row>
    <row r="63" spans="6:11" ht="12.5">
      <c r="F63" s="105"/>
      <c r="G63" s="105"/>
      <c r="H63" s="105"/>
      <c r="I63" s="105"/>
      <c r="J63" s="105"/>
      <c r="K63" s="105"/>
    </row>
    <row r="64" spans="6:11" ht="12.5">
      <c r="F64" s="105"/>
      <c r="G64" s="105"/>
      <c r="H64" s="105"/>
      <c r="I64" s="105"/>
      <c r="J64" s="105"/>
      <c r="K64" s="105"/>
    </row>
    <row r="65" spans="6:11" ht="12.5">
      <c r="F65" s="105"/>
      <c r="G65" s="105"/>
      <c r="H65" s="105"/>
      <c r="I65" s="105"/>
      <c r="J65" s="105"/>
      <c r="K65" s="105"/>
    </row>
    <row r="66" spans="6:11" ht="12.5">
      <c r="F66" s="105"/>
      <c r="G66" s="105"/>
      <c r="H66" s="105"/>
      <c r="I66" s="105"/>
      <c r="J66" s="105"/>
      <c r="K66" s="105"/>
    </row>
    <row r="67" spans="6:11" ht="12.5">
      <c r="F67" s="105"/>
      <c r="G67" s="105"/>
      <c r="H67" s="105"/>
      <c r="I67" s="105"/>
      <c r="J67" s="105"/>
      <c r="K67" s="105"/>
    </row>
    <row r="68" spans="6:11" ht="12.5">
      <c r="F68" s="105"/>
      <c r="G68" s="105"/>
      <c r="H68" s="105"/>
      <c r="I68" s="105"/>
      <c r="J68" s="105"/>
      <c r="K68" s="105"/>
    </row>
    <row r="69" spans="6:11" ht="12.5">
      <c r="F69" s="105"/>
      <c r="G69" s="105"/>
      <c r="H69" s="105"/>
      <c r="I69" s="105"/>
      <c r="J69" s="105"/>
      <c r="K69" s="105"/>
    </row>
    <row r="70" spans="6:11" ht="12.5">
      <c r="F70" s="105"/>
      <c r="G70" s="105"/>
      <c r="H70" s="105"/>
      <c r="I70" s="105"/>
      <c r="J70" s="105"/>
      <c r="K70" s="105"/>
    </row>
    <row r="71" spans="6:11" ht="12.5">
      <c r="F71" s="105"/>
      <c r="G71" s="105"/>
      <c r="H71" s="105"/>
      <c r="I71" s="105"/>
      <c r="J71" s="105"/>
      <c r="K71" s="105"/>
    </row>
    <row r="72" spans="6:11" ht="12.5">
      <c r="F72" s="105"/>
      <c r="G72" s="105"/>
      <c r="H72" s="105"/>
      <c r="I72" s="105"/>
      <c r="J72" s="105"/>
      <c r="K72" s="105"/>
    </row>
    <row r="73" spans="6:11" ht="12.5">
      <c r="F73" s="105"/>
      <c r="G73" s="105"/>
      <c r="H73" s="105"/>
      <c r="I73" s="105"/>
      <c r="J73" s="105"/>
      <c r="K73" s="105"/>
    </row>
    <row r="74" spans="6:11" ht="12.5">
      <c r="F74" s="105"/>
      <c r="G74" s="105"/>
      <c r="H74" s="105"/>
      <c r="I74" s="105"/>
      <c r="J74" s="105"/>
      <c r="K74" s="105"/>
    </row>
    <row r="75" spans="6:11" ht="12.5">
      <c r="F75" s="105"/>
      <c r="G75" s="105"/>
      <c r="H75" s="105"/>
      <c r="I75" s="105"/>
      <c r="J75" s="105"/>
      <c r="K75" s="105"/>
    </row>
    <row r="76" spans="6:11" ht="12.5">
      <c r="F76" s="105"/>
      <c r="G76" s="105"/>
      <c r="H76" s="105"/>
      <c r="I76" s="105"/>
      <c r="J76" s="105"/>
      <c r="K76" s="105"/>
    </row>
    <row r="77" spans="6:11" ht="12.5">
      <c r="F77" s="105"/>
      <c r="G77" s="105"/>
      <c r="H77" s="105"/>
      <c r="I77" s="105"/>
      <c r="J77" s="105"/>
      <c r="K77" s="105"/>
    </row>
    <row r="78" spans="6:11" ht="12.5">
      <c r="F78" s="105"/>
      <c r="G78" s="105"/>
      <c r="H78" s="105"/>
      <c r="I78" s="105"/>
      <c r="J78" s="105"/>
      <c r="K78" s="105"/>
    </row>
    <row r="79" spans="6:11" ht="12.5">
      <c r="F79" s="105"/>
      <c r="G79" s="105"/>
      <c r="H79" s="105"/>
      <c r="I79" s="105"/>
      <c r="J79" s="105"/>
      <c r="K79" s="105"/>
    </row>
    <row r="80" spans="6:11" ht="12.5">
      <c r="F80" s="105"/>
      <c r="G80" s="105"/>
      <c r="H80" s="105"/>
      <c r="I80" s="105"/>
      <c r="J80" s="105"/>
      <c r="K80" s="105"/>
    </row>
    <row r="81" spans="6:11" ht="12.5">
      <c r="F81" s="105"/>
      <c r="G81" s="105"/>
      <c r="H81" s="105"/>
      <c r="I81" s="105"/>
      <c r="J81" s="105"/>
      <c r="K81" s="105"/>
    </row>
    <row r="82" spans="6:11" ht="12.5">
      <c r="F82" s="105"/>
      <c r="G82" s="105"/>
      <c r="H82" s="105"/>
      <c r="I82" s="105"/>
      <c r="J82" s="105"/>
      <c r="K82" s="105"/>
    </row>
    <row r="83" spans="6:11" ht="12.5">
      <c r="F83" s="105"/>
      <c r="G83" s="105"/>
      <c r="H83" s="105"/>
      <c r="I83" s="105"/>
      <c r="J83" s="105"/>
      <c r="K83" s="105"/>
    </row>
    <row r="84" spans="6:11" ht="12.5">
      <c r="F84" s="105"/>
      <c r="G84" s="105"/>
      <c r="H84" s="105"/>
      <c r="I84" s="105"/>
      <c r="J84" s="105"/>
      <c r="K84" s="105"/>
    </row>
    <row r="85" spans="6:11" ht="12.5">
      <c r="F85" s="105"/>
      <c r="G85" s="105"/>
      <c r="H85" s="105"/>
      <c r="I85" s="105"/>
      <c r="J85" s="105"/>
      <c r="K85" s="105"/>
    </row>
    <row r="86" spans="6:11" ht="12.5">
      <c r="F86" s="105"/>
      <c r="G86" s="105"/>
      <c r="H86" s="105"/>
      <c r="I86" s="105"/>
      <c r="J86" s="105"/>
      <c r="K86" s="105"/>
    </row>
    <row r="87" spans="6:11" ht="12.5">
      <c r="F87" s="105"/>
      <c r="G87" s="105"/>
      <c r="H87" s="105"/>
      <c r="I87" s="105"/>
      <c r="J87" s="105"/>
      <c r="K87" s="105"/>
    </row>
    <row r="88" spans="6:11" ht="12.5">
      <c r="F88" s="105"/>
      <c r="G88" s="105"/>
      <c r="H88" s="105"/>
      <c r="I88" s="105"/>
      <c r="J88" s="105"/>
      <c r="K88" s="105"/>
    </row>
    <row r="89" spans="6:11" ht="12.5">
      <c r="F89" s="105"/>
      <c r="G89" s="105"/>
      <c r="H89" s="105"/>
      <c r="I89" s="105"/>
      <c r="J89" s="105"/>
      <c r="K89" s="105"/>
    </row>
    <row r="90" spans="6:11" ht="12.5">
      <c r="F90" s="105"/>
      <c r="G90" s="105"/>
      <c r="H90" s="105"/>
      <c r="I90" s="105"/>
      <c r="J90" s="105"/>
      <c r="K90" s="105"/>
    </row>
    <row r="91" spans="6:11" ht="12.5">
      <c r="F91" s="105"/>
      <c r="G91" s="105"/>
      <c r="H91" s="105"/>
      <c r="I91" s="105"/>
      <c r="J91" s="105"/>
      <c r="K91" s="105"/>
    </row>
    <row r="92" spans="6:11" ht="12.5">
      <c r="F92" s="105"/>
      <c r="G92" s="105"/>
      <c r="H92" s="105"/>
      <c r="I92" s="105"/>
      <c r="J92" s="105"/>
      <c r="K92" s="105"/>
    </row>
    <row r="93" spans="6:11" ht="12.5">
      <c r="F93" s="105"/>
      <c r="G93" s="105"/>
      <c r="H93" s="105"/>
      <c r="I93" s="105"/>
      <c r="J93" s="105"/>
      <c r="K93" s="105"/>
    </row>
    <row r="94" spans="6:11" ht="12.5">
      <c r="F94" s="105"/>
      <c r="G94" s="105"/>
      <c r="H94" s="105"/>
      <c r="I94" s="105"/>
      <c r="J94" s="105"/>
      <c r="K94" s="105"/>
    </row>
    <row r="95" spans="6:11" ht="12.5">
      <c r="F95" s="105"/>
      <c r="G95" s="105"/>
      <c r="H95" s="105"/>
      <c r="I95" s="105"/>
      <c r="J95" s="105"/>
      <c r="K95" s="105"/>
    </row>
    <row r="96" spans="6:11" ht="12.5">
      <c r="F96" s="105"/>
      <c r="G96" s="105"/>
      <c r="H96" s="105"/>
      <c r="I96" s="105"/>
      <c r="J96" s="105"/>
      <c r="K96" s="105"/>
    </row>
    <row r="97" spans="6:11" ht="12.5">
      <c r="F97" s="105"/>
      <c r="G97" s="105"/>
      <c r="H97" s="105"/>
      <c r="I97" s="105"/>
      <c r="J97" s="105"/>
      <c r="K97" s="105"/>
    </row>
    <row r="98" spans="6:11" ht="12.5">
      <c r="F98" s="105"/>
      <c r="G98" s="105"/>
      <c r="H98" s="105"/>
      <c r="I98" s="105"/>
      <c r="J98" s="105"/>
      <c r="K98" s="105"/>
    </row>
    <row r="99" spans="6:11" ht="12.5">
      <c r="F99" s="105"/>
      <c r="G99" s="105"/>
      <c r="H99" s="105"/>
      <c r="I99" s="105"/>
      <c r="J99" s="105"/>
      <c r="K99" s="105"/>
    </row>
    <row r="100" spans="6:11" ht="12.5">
      <c r="F100" s="105"/>
      <c r="G100" s="105"/>
      <c r="H100" s="105"/>
      <c r="I100" s="105"/>
      <c r="J100" s="105"/>
      <c r="K100" s="105"/>
    </row>
    <row r="101" spans="6:11" ht="12.5">
      <c r="F101" s="105"/>
      <c r="G101" s="105"/>
      <c r="H101" s="105"/>
      <c r="I101" s="105"/>
      <c r="J101" s="105"/>
      <c r="K101" s="105"/>
    </row>
    <row r="102" spans="6:11" ht="12.5">
      <c r="F102" s="105"/>
      <c r="G102" s="105"/>
      <c r="H102" s="105"/>
      <c r="I102" s="105"/>
      <c r="J102" s="105"/>
      <c r="K102" s="105"/>
    </row>
    <row r="103" spans="6:11" ht="12.5">
      <c r="F103" s="105"/>
      <c r="G103" s="105"/>
      <c r="H103" s="105"/>
      <c r="I103" s="105"/>
      <c r="J103" s="105"/>
      <c r="K103" s="105"/>
    </row>
    <row r="104" spans="6:11" ht="12.5">
      <c r="F104" s="105"/>
      <c r="G104" s="105"/>
      <c r="H104" s="105"/>
      <c r="I104" s="105"/>
      <c r="J104" s="105"/>
      <c r="K104" s="105"/>
    </row>
    <row r="105" spans="6:11" ht="12.5">
      <c r="F105" s="105"/>
      <c r="G105" s="105"/>
      <c r="H105" s="105"/>
      <c r="I105" s="105"/>
      <c r="J105" s="105"/>
      <c r="K105" s="105"/>
    </row>
    <row r="106" spans="6:11" ht="12.5">
      <c r="F106" s="105"/>
      <c r="G106" s="105"/>
      <c r="H106" s="105"/>
      <c r="I106" s="105"/>
      <c r="J106" s="105"/>
      <c r="K106" s="105"/>
    </row>
    <row r="107" spans="6:11" ht="12.5">
      <c r="F107" s="105"/>
      <c r="G107" s="105"/>
      <c r="H107" s="105"/>
      <c r="I107" s="105"/>
      <c r="J107" s="105"/>
      <c r="K107" s="105"/>
    </row>
    <row r="108" spans="6:11" ht="12.5">
      <c r="F108" s="105"/>
      <c r="G108" s="105"/>
      <c r="H108" s="105"/>
      <c r="I108" s="105"/>
      <c r="J108" s="105"/>
      <c r="K108" s="105"/>
    </row>
    <row r="109" spans="6:11" ht="12.5">
      <c r="F109" s="105"/>
      <c r="G109" s="105"/>
      <c r="H109" s="105"/>
      <c r="I109" s="105"/>
      <c r="J109" s="105"/>
      <c r="K109" s="105"/>
    </row>
    <row r="110" spans="6:11" ht="12.5">
      <c r="F110" s="105"/>
      <c r="G110" s="105"/>
      <c r="H110" s="105"/>
      <c r="I110" s="105"/>
      <c r="J110" s="105"/>
      <c r="K110" s="105"/>
    </row>
    <row r="111" spans="6:11" ht="12.5">
      <c r="F111" s="105"/>
      <c r="G111" s="105"/>
      <c r="H111" s="105"/>
      <c r="I111" s="105"/>
      <c r="J111" s="105"/>
      <c r="K111" s="105"/>
    </row>
    <row r="112" spans="6:11" ht="12.5">
      <c r="F112" s="105"/>
      <c r="G112" s="105"/>
      <c r="H112" s="105"/>
      <c r="I112" s="105"/>
      <c r="J112" s="105"/>
      <c r="K112" s="105"/>
    </row>
    <row r="113" spans="6:11" ht="12.5">
      <c r="F113" s="105"/>
      <c r="G113" s="105"/>
      <c r="H113" s="105"/>
      <c r="I113" s="105"/>
      <c r="J113" s="105"/>
      <c r="K113" s="105"/>
    </row>
    <row r="114" spans="6:11" ht="12.5">
      <c r="F114" s="105"/>
      <c r="G114" s="105"/>
      <c r="H114" s="105"/>
      <c r="I114" s="105"/>
      <c r="J114" s="105"/>
      <c r="K114" s="105"/>
    </row>
    <row r="115" spans="6:11" ht="12.5">
      <c r="F115" s="105"/>
      <c r="G115" s="105"/>
      <c r="H115" s="105"/>
      <c r="I115" s="105"/>
      <c r="J115" s="105"/>
      <c r="K115" s="105"/>
    </row>
    <row r="116" spans="6:11" ht="12.5">
      <c r="F116" s="105"/>
      <c r="G116" s="105"/>
      <c r="H116" s="105"/>
      <c r="I116" s="105"/>
      <c r="J116" s="105"/>
      <c r="K116" s="105"/>
    </row>
    <row r="117" spans="6:11" ht="12.5">
      <c r="F117" s="105"/>
      <c r="G117" s="105"/>
      <c r="H117" s="105"/>
      <c r="I117" s="105"/>
      <c r="J117" s="105"/>
      <c r="K117" s="105"/>
    </row>
    <row r="118" spans="6:11" ht="12.5">
      <c r="F118" s="105"/>
      <c r="G118" s="105"/>
      <c r="H118" s="105"/>
      <c r="I118" s="105"/>
      <c r="J118" s="105"/>
      <c r="K118" s="105"/>
    </row>
    <row r="119" spans="6:11" ht="12.5">
      <c r="F119" s="105"/>
      <c r="G119" s="105"/>
      <c r="H119" s="105"/>
      <c r="I119" s="105"/>
      <c r="J119" s="105"/>
      <c r="K119" s="105"/>
    </row>
    <row r="120" spans="6:11" ht="12.5">
      <c r="F120" s="105"/>
      <c r="G120" s="105"/>
      <c r="H120" s="105"/>
      <c r="I120" s="105"/>
      <c r="J120" s="105"/>
      <c r="K120" s="105"/>
    </row>
    <row r="121" spans="6:11" ht="12.5">
      <c r="F121" s="105"/>
      <c r="G121" s="105"/>
      <c r="H121" s="105"/>
      <c r="I121" s="105"/>
      <c r="J121" s="105"/>
      <c r="K121" s="105"/>
    </row>
    <row r="122" spans="6:11" ht="12.5">
      <c r="F122" s="105"/>
      <c r="G122" s="105"/>
      <c r="H122" s="105"/>
      <c r="I122" s="105"/>
      <c r="J122" s="105"/>
      <c r="K122" s="105"/>
    </row>
    <row r="123" spans="6:11" ht="12.5">
      <c r="F123" s="105"/>
      <c r="G123" s="105"/>
      <c r="H123" s="105"/>
      <c r="I123" s="105"/>
      <c r="J123" s="105"/>
      <c r="K123" s="105"/>
    </row>
    <row r="124" spans="6:11" ht="12.5">
      <c r="F124" s="105"/>
      <c r="G124" s="105"/>
      <c r="H124" s="105"/>
      <c r="I124" s="105"/>
      <c r="J124" s="105"/>
      <c r="K124" s="105"/>
    </row>
    <row r="125" spans="6:11" ht="12.5">
      <c r="F125" s="105"/>
      <c r="G125" s="105"/>
      <c r="H125" s="105"/>
      <c r="I125" s="105"/>
      <c r="J125" s="105"/>
      <c r="K125" s="105"/>
    </row>
    <row r="126" spans="6:11" ht="12.5">
      <c r="F126" s="105"/>
      <c r="G126" s="105"/>
      <c r="H126" s="105"/>
      <c r="I126" s="105"/>
      <c r="J126" s="105"/>
      <c r="K126" s="105"/>
    </row>
    <row r="127" spans="6:11" ht="12.5">
      <c r="F127" s="105"/>
      <c r="G127" s="105"/>
      <c r="H127" s="105"/>
      <c r="I127" s="105"/>
      <c r="J127" s="105"/>
      <c r="K127" s="105"/>
    </row>
    <row r="128" spans="6:11" ht="12.5">
      <c r="F128" s="105"/>
      <c r="G128" s="105"/>
      <c r="H128" s="105"/>
      <c r="I128" s="105"/>
      <c r="J128" s="105"/>
      <c r="K128" s="105"/>
    </row>
    <row r="129" spans="6:11" ht="12.5">
      <c r="F129" s="105"/>
      <c r="G129" s="105"/>
      <c r="H129" s="105"/>
      <c r="I129" s="105"/>
      <c r="J129" s="105"/>
      <c r="K129" s="105"/>
    </row>
    <row r="130" spans="6:11" ht="12.5">
      <c r="F130" s="105"/>
      <c r="G130" s="105"/>
      <c r="H130" s="105"/>
      <c r="I130" s="105"/>
      <c r="J130" s="105"/>
      <c r="K130" s="105"/>
    </row>
    <row r="131" spans="6:11" ht="12.5">
      <c r="F131" s="105"/>
      <c r="G131" s="105"/>
      <c r="H131" s="105"/>
      <c r="I131" s="105"/>
      <c r="J131" s="105"/>
      <c r="K131" s="105"/>
    </row>
    <row r="132" spans="6:11" ht="12.5">
      <c r="F132" s="105"/>
      <c r="G132" s="105"/>
      <c r="H132" s="105"/>
      <c r="I132" s="105"/>
      <c r="J132" s="105"/>
      <c r="K132" s="105"/>
    </row>
    <row r="133" spans="6:11" ht="12.5">
      <c r="F133" s="105"/>
      <c r="G133" s="105"/>
      <c r="H133" s="105"/>
      <c r="I133" s="105"/>
      <c r="J133" s="105"/>
      <c r="K133" s="105"/>
    </row>
    <row r="134" spans="6:11" ht="12.5">
      <c r="F134" s="105"/>
      <c r="G134" s="105"/>
      <c r="H134" s="105"/>
      <c r="I134" s="105"/>
      <c r="J134" s="105"/>
      <c r="K134" s="105"/>
    </row>
    <row r="135" spans="6:11" ht="12.5">
      <c r="F135" s="105"/>
      <c r="G135" s="105"/>
      <c r="H135" s="105"/>
      <c r="I135" s="105"/>
      <c r="J135" s="105"/>
      <c r="K135" s="105"/>
    </row>
    <row r="136" spans="6:11" ht="12.5">
      <c r="F136" s="105"/>
      <c r="G136" s="105"/>
      <c r="H136" s="105"/>
      <c r="I136" s="105"/>
      <c r="J136" s="105"/>
      <c r="K136" s="105"/>
    </row>
    <row r="137" spans="6:11" ht="12.5">
      <c r="F137" s="105"/>
      <c r="G137" s="105"/>
      <c r="H137" s="105"/>
      <c r="I137" s="105"/>
      <c r="J137" s="105"/>
      <c r="K137" s="105"/>
    </row>
    <row r="138" spans="6:11" ht="12.5">
      <c r="F138" s="105"/>
      <c r="G138" s="105"/>
      <c r="H138" s="105"/>
      <c r="I138" s="105"/>
      <c r="J138" s="105"/>
      <c r="K138" s="105"/>
    </row>
    <row r="139" spans="6:11" ht="12.5">
      <c r="F139" s="105"/>
      <c r="G139" s="105"/>
      <c r="H139" s="105"/>
      <c r="I139" s="105"/>
      <c r="J139" s="105"/>
      <c r="K139" s="105"/>
    </row>
    <row r="140" spans="6:11" ht="12.5">
      <c r="F140" s="105"/>
      <c r="G140" s="105"/>
      <c r="H140" s="105"/>
      <c r="I140" s="105"/>
      <c r="J140" s="105"/>
      <c r="K140" s="105"/>
    </row>
    <row r="141" spans="6:11" ht="12.5">
      <c r="F141" s="105"/>
      <c r="G141" s="105"/>
      <c r="H141" s="105"/>
      <c r="I141" s="105"/>
      <c r="J141" s="105"/>
      <c r="K141" s="105"/>
    </row>
    <row r="142" spans="6:11" ht="12.5">
      <c r="F142" s="105"/>
      <c r="G142" s="105"/>
      <c r="H142" s="105"/>
      <c r="I142" s="105"/>
      <c r="J142" s="105"/>
      <c r="K142" s="105"/>
    </row>
    <row r="143" spans="6:11" ht="12.5">
      <c r="F143" s="105"/>
      <c r="G143" s="105"/>
      <c r="H143" s="105"/>
      <c r="I143" s="105"/>
      <c r="J143" s="105"/>
      <c r="K143" s="105"/>
    </row>
    <row r="144" spans="6:11" ht="12.5">
      <c r="F144" s="105"/>
      <c r="G144" s="105"/>
      <c r="H144" s="105"/>
      <c r="I144" s="105"/>
      <c r="J144" s="105"/>
      <c r="K144" s="105"/>
    </row>
    <row r="145" spans="6:11" ht="12.5">
      <c r="F145" s="105"/>
      <c r="G145" s="105"/>
      <c r="H145" s="105"/>
      <c r="I145" s="105"/>
      <c r="J145" s="105"/>
      <c r="K145" s="105"/>
    </row>
    <row r="146" spans="6:11" ht="12.5">
      <c r="F146" s="105"/>
      <c r="G146" s="105"/>
      <c r="H146" s="105"/>
      <c r="I146" s="105"/>
      <c r="J146" s="105"/>
      <c r="K146" s="105"/>
    </row>
    <row r="147" spans="6:11" ht="12.5">
      <c r="F147" s="105"/>
      <c r="G147" s="105"/>
      <c r="H147" s="105"/>
      <c r="I147" s="105"/>
      <c r="J147" s="105"/>
      <c r="K147" s="105"/>
    </row>
    <row r="148" spans="6:11" ht="12.5">
      <c r="F148" s="105"/>
      <c r="G148" s="105"/>
      <c r="H148" s="105"/>
      <c r="I148" s="105"/>
      <c r="J148" s="105"/>
      <c r="K148" s="105"/>
    </row>
    <row r="149" spans="6:11" ht="12.5">
      <c r="F149" s="105"/>
      <c r="G149" s="105"/>
      <c r="H149" s="105"/>
      <c r="I149" s="105"/>
      <c r="J149" s="105"/>
      <c r="K149" s="105"/>
    </row>
    <row r="150" spans="6:11" ht="12.5">
      <c r="F150" s="105"/>
      <c r="G150" s="105"/>
      <c r="H150" s="105"/>
      <c r="I150" s="105"/>
      <c r="J150" s="105"/>
      <c r="K150" s="105"/>
    </row>
    <row r="151" spans="6:11" ht="12.5">
      <c r="F151" s="105"/>
      <c r="G151" s="105"/>
      <c r="H151" s="105"/>
      <c r="I151" s="105"/>
      <c r="J151" s="105"/>
      <c r="K151" s="105"/>
    </row>
    <row r="152" spans="6:11" ht="12.5">
      <c r="F152" s="105"/>
      <c r="G152" s="105"/>
      <c r="H152" s="105"/>
      <c r="I152" s="105"/>
      <c r="J152" s="105"/>
      <c r="K152" s="105"/>
    </row>
    <row r="153" spans="6:11" ht="12.5">
      <c r="F153" s="105"/>
      <c r="G153" s="105"/>
      <c r="H153" s="105"/>
      <c r="I153" s="105"/>
      <c r="J153" s="105"/>
      <c r="K153" s="105"/>
    </row>
    <row r="154" spans="6:11" ht="12.5">
      <c r="F154" s="105"/>
      <c r="G154" s="105"/>
      <c r="H154" s="105"/>
      <c r="I154" s="105"/>
      <c r="J154" s="105"/>
      <c r="K154" s="105"/>
    </row>
    <row r="155" spans="6:11" ht="12.5">
      <c r="F155" s="105"/>
      <c r="G155" s="105"/>
      <c r="H155" s="105"/>
      <c r="I155" s="105"/>
      <c r="J155" s="105"/>
      <c r="K155" s="105"/>
    </row>
    <row r="156" spans="6:11" ht="12.5">
      <c r="F156" s="105"/>
      <c r="G156" s="105"/>
      <c r="H156" s="105"/>
      <c r="I156" s="105"/>
      <c r="J156" s="105"/>
      <c r="K156" s="105"/>
    </row>
    <row r="157" spans="6:11" ht="12.5">
      <c r="F157" s="105"/>
      <c r="G157" s="105"/>
      <c r="H157" s="105"/>
      <c r="I157" s="105"/>
      <c r="J157" s="105"/>
      <c r="K157" s="105"/>
    </row>
    <row r="158" spans="6:11" ht="12.5">
      <c r="F158" s="105"/>
      <c r="G158" s="105"/>
      <c r="H158" s="105"/>
      <c r="I158" s="105"/>
      <c r="J158" s="105"/>
      <c r="K158" s="105"/>
    </row>
    <row r="159" spans="6:11" ht="12.5">
      <c r="F159" s="105"/>
      <c r="G159" s="105"/>
      <c r="H159" s="105"/>
      <c r="I159" s="105"/>
      <c r="J159" s="105"/>
      <c r="K159" s="105"/>
    </row>
    <row r="160" spans="6:11" ht="12.5">
      <c r="F160" s="105"/>
      <c r="G160" s="105"/>
      <c r="H160" s="105"/>
      <c r="I160" s="105"/>
      <c r="J160" s="105"/>
      <c r="K160" s="105"/>
    </row>
    <row r="161" spans="6:11" ht="12.5">
      <c r="F161" s="105"/>
      <c r="G161" s="105"/>
      <c r="H161" s="105"/>
      <c r="I161" s="105"/>
      <c r="J161" s="105"/>
      <c r="K161" s="105"/>
    </row>
    <row r="162" spans="6:11" ht="12.5">
      <c r="F162" s="105"/>
      <c r="G162" s="105"/>
      <c r="H162" s="105"/>
      <c r="I162" s="105"/>
      <c r="J162" s="105"/>
      <c r="K162" s="105"/>
    </row>
    <row r="163" spans="6:11" ht="12.5">
      <c r="F163" s="105"/>
      <c r="G163" s="105"/>
      <c r="H163" s="105"/>
      <c r="I163" s="105"/>
      <c r="J163" s="105"/>
      <c r="K163" s="105"/>
    </row>
    <row r="164" spans="6:11" ht="12.5">
      <c r="F164" s="105"/>
      <c r="G164" s="105"/>
      <c r="H164" s="105"/>
      <c r="I164" s="105"/>
      <c r="J164" s="105"/>
      <c r="K164" s="105"/>
    </row>
    <row r="165" spans="6:11" ht="12.5">
      <c r="F165" s="105"/>
      <c r="G165" s="105"/>
      <c r="H165" s="105"/>
      <c r="I165" s="105"/>
      <c r="J165" s="105"/>
      <c r="K165" s="105"/>
    </row>
    <row r="166" spans="6:11" ht="12.5">
      <c r="F166" s="105"/>
      <c r="G166" s="105"/>
      <c r="H166" s="105"/>
      <c r="I166" s="105"/>
      <c r="J166" s="105"/>
      <c r="K166" s="105"/>
    </row>
    <row r="167" spans="6:11" ht="12.5">
      <c r="F167" s="105"/>
      <c r="G167" s="105"/>
      <c r="H167" s="105"/>
      <c r="I167" s="105"/>
      <c r="J167" s="105"/>
      <c r="K167" s="105"/>
    </row>
    <row r="168" spans="6:11" ht="12.5">
      <c r="F168" s="105"/>
      <c r="G168" s="105"/>
      <c r="H168" s="105"/>
      <c r="I168" s="105"/>
      <c r="J168" s="105"/>
      <c r="K168" s="105"/>
    </row>
    <row r="169" spans="6:11" ht="12.5">
      <c r="F169" s="105"/>
      <c r="G169" s="105"/>
      <c r="H169" s="105"/>
      <c r="I169" s="105"/>
      <c r="J169" s="105"/>
      <c r="K169" s="105"/>
    </row>
    <row r="170" spans="6:11" ht="12.5">
      <c r="F170" s="105"/>
      <c r="G170" s="105"/>
      <c r="H170" s="105"/>
      <c r="I170" s="105"/>
      <c r="J170" s="105"/>
      <c r="K170" s="105"/>
    </row>
    <row r="171" spans="6:11" ht="12.5">
      <c r="F171" s="105"/>
      <c r="G171" s="105"/>
      <c r="H171" s="105"/>
      <c r="I171" s="105"/>
      <c r="J171" s="105"/>
      <c r="K171" s="105"/>
    </row>
    <row r="172" spans="6:11" ht="12.5">
      <c r="F172" s="105"/>
      <c r="G172" s="105"/>
      <c r="H172" s="105"/>
      <c r="I172" s="105"/>
      <c r="J172" s="105"/>
      <c r="K172" s="105"/>
    </row>
    <row r="173" spans="6:11" ht="12.5">
      <c r="F173" s="105"/>
      <c r="G173" s="105"/>
      <c r="H173" s="105"/>
      <c r="I173" s="105"/>
      <c r="J173" s="105"/>
      <c r="K173" s="105"/>
    </row>
    <row r="174" spans="6:11" ht="12.5">
      <c r="F174" s="105"/>
      <c r="G174" s="105"/>
      <c r="H174" s="105"/>
      <c r="I174" s="105"/>
      <c r="J174" s="105"/>
      <c r="K174" s="105"/>
    </row>
    <row r="175" spans="6:11" ht="12.5">
      <c r="F175" s="105"/>
      <c r="G175" s="105"/>
      <c r="H175" s="105"/>
      <c r="I175" s="105"/>
      <c r="J175" s="105"/>
      <c r="K175" s="105"/>
    </row>
    <row r="176" spans="6:11" ht="12.5">
      <c r="F176" s="105"/>
      <c r="G176" s="105"/>
      <c r="H176" s="105"/>
      <c r="I176" s="105"/>
      <c r="J176" s="105"/>
      <c r="K176" s="105"/>
    </row>
    <row r="177" spans="6:11" ht="12.5">
      <c r="F177" s="105"/>
      <c r="G177" s="105"/>
      <c r="H177" s="105"/>
      <c r="I177" s="105"/>
      <c r="J177" s="105"/>
      <c r="K177" s="105"/>
    </row>
    <row r="178" spans="6:11" ht="12.5">
      <c r="F178" s="105"/>
      <c r="G178" s="105"/>
      <c r="H178" s="105"/>
      <c r="I178" s="105"/>
      <c r="J178" s="105"/>
      <c r="K178" s="105"/>
    </row>
    <row r="179" spans="6:11" ht="12.5">
      <c r="F179" s="105"/>
      <c r="G179" s="105"/>
      <c r="H179" s="105"/>
      <c r="I179" s="105"/>
      <c r="J179" s="105"/>
      <c r="K179" s="105"/>
    </row>
    <row r="180" spans="6:11" ht="12.5">
      <c r="F180" s="105"/>
      <c r="G180" s="105"/>
      <c r="H180" s="105"/>
      <c r="I180" s="105"/>
      <c r="J180" s="105"/>
      <c r="K180" s="105"/>
    </row>
    <row r="181" spans="6:11" ht="12.5">
      <c r="F181" s="105"/>
      <c r="G181" s="105"/>
      <c r="H181" s="105"/>
      <c r="I181" s="105"/>
      <c r="J181" s="105"/>
      <c r="K181" s="105"/>
    </row>
    <row r="182" spans="6:11" ht="12.5">
      <c r="F182" s="105"/>
      <c r="G182" s="105"/>
      <c r="H182" s="105"/>
      <c r="I182" s="105"/>
      <c r="J182" s="105"/>
      <c r="K182" s="105"/>
    </row>
    <row r="183" spans="6:11" ht="12.5">
      <c r="F183" s="105"/>
      <c r="G183" s="105"/>
      <c r="H183" s="105"/>
      <c r="I183" s="105"/>
      <c r="J183" s="105"/>
      <c r="K183" s="105"/>
    </row>
    <row r="184" spans="6:11" ht="12.5">
      <c r="F184" s="105"/>
      <c r="G184" s="105"/>
      <c r="H184" s="105"/>
      <c r="I184" s="105"/>
      <c r="J184" s="105"/>
      <c r="K184" s="105"/>
    </row>
    <row r="185" spans="6:11" ht="12.5">
      <c r="F185" s="105"/>
      <c r="G185" s="105"/>
      <c r="H185" s="105"/>
      <c r="I185" s="105"/>
      <c r="J185" s="105"/>
      <c r="K185" s="105"/>
    </row>
    <row r="186" spans="6:11" ht="12.5">
      <c r="F186" s="105"/>
      <c r="G186" s="105"/>
      <c r="H186" s="105"/>
      <c r="I186" s="105"/>
      <c r="J186" s="105"/>
      <c r="K186" s="105"/>
    </row>
    <row r="187" spans="6:11" ht="12.5">
      <c r="F187" s="105"/>
      <c r="G187" s="105"/>
      <c r="H187" s="105"/>
      <c r="I187" s="105"/>
      <c r="J187" s="105"/>
      <c r="K187" s="105"/>
    </row>
    <row r="188" spans="6:11" ht="12.5">
      <c r="F188" s="105"/>
      <c r="G188" s="105"/>
      <c r="H188" s="105"/>
      <c r="I188" s="105"/>
      <c r="J188" s="105"/>
      <c r="K188" s="105"/>
    </row>
    <row r="189" spans="6:11" ht="12.5">
      <c r="F189" s="105"/>
      <c r="G189" s="105"/>
      <c r="H189" s="105"/>
      <c r="I189" s="105"/>
      <c r="J189" s="105"/>
      <c r="K189" s="105"/>
    </row>
    <row r="190" spans="6:11" ht="12.5">
      <c r="F190" s="105"/>
      <c r="G190" s="105"/>
      <c r="H190" s="105"/>
      <c r="I190" s="105"/>
      <c r="J190" s="105"/>
      <c r="K190" s="105"/>
    </row>
    <row r="191" spans="6:11" ht="12.5">
      <c r="F191" s="105"/>
      <c r="G191" s="105"/>
      <c r="H191" s="105"/>
      <c r="I191" s="105"/>
      <c r="J191" s="105"/>
      <c r="K191" s="105"/>
    </row>
    <row r="192" spans="6:11" ht="12.5">
      <c r="F192" s="105"/>
      <c r="G192" s="105"/>
      <c r="H192" s="105"/>
      <c r="I192" s="105"/>
      <c r="J192" s="105"/>
      <c r="K192" s="105"/>
    </row>
    <row r="193" spans="6:11" ht="12.5">
      <c r="F193" s="105"/>
      <c r="G193" s="105"/>
      <c r="H193" s="105"/>
      <c r="I193" s="105"/>
      <c r="J193" s="105"/>
      <c r="K193" s="105"/>
    </row>
    <row r="194" spans="6:11" ht="12.5">
      <c r="F194" s="105"/>
      <c r="G194" s="105"/>
      <c r="H194" s="105"/>
      <c r="I194" s="105"/>
      <c r="J194" s="105"/>
      <c r="K194" s="105"/>
    </row>
    <row r="195" spans="6:11" ht="12.5">
      <c r="F195" s="105"/>
      <c r="G195" s="105"/>
      <c r="H195" s="105"/>
      <c r="I195" s="105"/>
      <c r="J195" s="105"/>
      <c r="K195" s="105"/>
    </row>
    <row r="196" spans="6:11" ht="12.5">
      <c r="F196" s="105"/>
      <c r="G196" s="105"/>
      <c r="H196" s="105"/>
      <c r="I196" s="105"/>
      <c r="J196" s="105"/>
      <c r="K196" s="105"/>
    </row>
    <row r="197" spans="6:11" ht="12.5">
      <c r="F197" s="105"/>
      <c r="G197" s="105"/>
      <c r="H197" s="105"/>
      <c r="I197" s="105"/>
      <c r="J197" s="105"/>
      <c r="K197" s="105"/>
    </row>
    <row r="198" spans="6:11" ht="12.5">
      <c r="F198" s="105"/>
      <c r="G198" s="105"/>
      <c r="H198" s="105"/>
      <c r="I198" s="105"/>
      <c r="J198" s="105"/>
      <c r="K198" s="105"/>
    </row>
    <row r="199" spans="6:11" ht="12.5">
      <c r="F199" s="105"/>
      <c r="G199" s="105"/>
      <c r="H199" s="105"/>
      <c r="I199" s="105"/>
      <c r="J199" s="105"/>
      <c r="K199" s="105"/>
    </row>
    <row r="200" spans="6:11" ht="12.5">
      <c r="F200" s="105"/>
      <c r="G200" s="105"/>
      <c r="H200" s="105"/>
      <c r="I200" s="105"/>
      <c r="J200" s="105"/>
      <c r="K200" s="105"/>
    </row>
    <row r="201" spans="6:11" ht="12.5">
      <c r="F201" s="105"/>
      <c r="G201" s="105"/>
      <c r="H201" s="105"/>
      <c r="I201" s="105"/>
      <c r="J201" s="105"/>
      <c r="K201" s="105"/>
    </row>
    <row r="202" spans="6:11" ht="12.5">
      <c r="F202" s="105"/>
      <c r="G202" s="105"/>
      <c r="H202" s="105"/>
      <c r="I202" s="105"/>
      <c r="J202" s="105"/>
      <c r="K202" s="105"/>
    </row>
    <row r="203" spans="6:11" ht="12.5">
      <c r="F203" s="105"/>
      <c r="G203" s="105"/>
      <c r="H203" s="105"/>
      <c r="I203" s="105"/>
      <c r="J203" s="105"/>
      <c r="K203" s="105"/>
    </row>
    <row r="204" spans="6:11" ht="12.5">
      <c r="F204" s="105"/>
      <c r="G204" s="105"/>
      <c r="H204" s="105"/>
      <c r="I204" s="105"/>
      <c r="J204" s="105"/>
      <c r="K204" s="105"/>
    </row>
    <row r="205" spans="6:11" ht="12.5">
      <c r="F205" s="105"/>
      <c r="G205" s="105"/>
      <c r="H205" s="105"/>
      <c r="I205" s="105"/>
      <c r="J205" s="105"/>
      <c r="K205" s="105"/>
    </row>
    <row r="206" spans="6:11" ht="12.5">
      <c r="F206" s="105"/>
      <c r="G206" s="105"/>
      <c r="H206" s="105"/>
      <c r="I206" s="105"/>
      <c r="J206" s="105"/>
      <c r="K206" s="105"/>
    </row>
    <row r="207" spans="6:11" ht="12.5">
      <c r="F207" s="105"/>
      <c r="G207" s="105"/>
      <c r="H207" s="105"/>
      <c r="I207" s="105"/>
      <c r="J207" s="105"/>
      <c r="K207" s="105"/>
    </row>
    <row r="208" spans="6:11" ht="12.5">
      <c r="F208" s="105"/>
      <c r="G208" s="105"/>
      <c r="H208" s="105"/>
      <c r="I208" s="105"/>
      <c r="J208" s="105"/>
      <c r="K208" s="105"/>
    </row>
    <row r="209" spans="6:11" ht="12.5">
      <c r="F209" s="105"/>
      <c r="G209" s="105"/>
      <c r="H209" s="105"/>
      <c r="I209" s="105"/>
      <c r="J209" s="105"/>
      <c r="K209" s="105"/>
    </row>
    <row r="210" spans="6:11" ht="12.5">
      <c r="F210" s="105"/>
      <c r="G210" s="105"/>
      <c r="H210" s="105"/>
      <c r="I210" s="105"/>
      <c r="J210" s="105"/>
      <c r="K210" s="105"/>
    </row>
    <row r="211" spans="6:11" ht="12.5">
      <c r="F211" s="105"/>
      <c r="G211" s="105"/>
      <c r="H211" s="105"/>
      <c r="I211" s="105"/>
      <c r="J211" s="105"/>
      <c r="K211" s="105"/>
    </row>
    <row r="212" spans="6:11" ht="12.5">
      <c r="F212" s="105"/>
      <c r="G212" s="105"/>
      <c r="H212" s="105"/>
      <c r="I212" s="105"/>
      <c r="J212" s="105"/>
      <c r="K212" s="105"/>
    </row>
    <row r="213" spans="6:11" ht="12.5">
      <c r="F213" s="105"/>
      <c r="G213" s="105"/>
      <c r="H213" s="105"/>
      <c r="I213" s="105"/>
      <c r="J213" s="105"/>
      <c r="K213" s="105"/>
    </row>
    <row r="214" spans="6:11" ht="12.5">
      <c r="F214" s="105"/>
      <c r="G214" s="105"/>
      <c r="H214" s="105"/>
      <c r="I214" s="105"/>
      <c r="J214" s="105"/>
      <c r="K214" s="105"/>
    </row>
    <row r="215" spans="6:11" ht="12.5">
      <c r="F215" s="105"/>
      <c r="G215" s="105"/>
      <c r="H215" s="105"/>
      <c r="I215" s="105"/>
      <c r="J215" s="105"/>
      <c r="K215" s="105"/>
    </row>
    <row r="216" spans="6:11" ht="12.5">
      <c r="F216" s="105"/>
      <c r="G216" s="105"/>
      <c r="H216" s="105"/>
      <c r="I216" s="105"/>
      <c r="J216" s="105"/>
      <c r="K216" s="105"/>
    </row>
    <row r="217" spans="6:11" ht="12.5">
      <c r="F217" s="105"/>
      <c r="G217" s="105"/>
      <c r="H217" s="105"/>
      <c r="I217" s="105"/>
      <c r="J217" s="105"/>
      <c r="K217" s="105"/>
    </row>
    <row r="218" spans="6:11" ht="12.5">
      <c r="F218" s="105"/>
      <c r="G218" s="105"/>
      <c r="H218" s="105"/>
      <c r="I218" s="105"/>
      <c r="J218" s="105"/>
      <c r="K218" s="105"/>
    </row>
    <row r="219" spans="6:11" ht="12.5">
      <c r="F219" s="105"/>
      <c r="G219" s="105"/>
      <c r="H219" s="105"/>
      <c r="I219" s="105"/>
      <c r="J219" s="105"/>
      <c r="K219" s="105"/>
    </row>
    <row r="220" spans="6:11" ht="12.5">
      <c r="F220" s="105"/>
      <c r="G220" s="105"/>
      <c r="H220" s="105"/>
      <c r="I220" s="105"/>
      <c r="J220" s="105"/>
      <c r="K220" s="105"/>
    </row>
    <row r="221" spans="6:11" ht="12.5">
      <c r="F221" s="105"/>
      <c r="G221" s="105"/>
      <c r="H221" s="105"/>
      <c r="I221" s="105"/>
      <c r="J221" s="105"/>
      <c r="K221" s="105"/>
    </row>
    <row r="222" spans="6:11" ht="12.5">
      <c r="F222" s="105"/>
      <c r="G222" s="105"/>
      <c r="H222" s="105"/>
      <c r="I222" s="105"/>
      <c r="J222" s="105"/>
      <c r="K222" s="105"/>
    </row>
    <row r="223" spans="6:11" ht="12.5">
      <c r="F223" s="105"/>
      <c r="G223" s="105"/>
      <c r="H223" s="105"/>
      <c r="I223" s="105"/>
      <c r="J223" s="105"/>
      <c r="K223" s="105"/>
    </row>
    <row r="224" spans="6:11" ht="12.5">
      <c r="F224" s="105"/>
      <c r="G224" s="105"/>
      <c r="H224" s="105"/>
      <c r="I224" s="105"/>
      <c r="J224" s="105"/>
      <c r="K224" s="105"/>
    </row>
    <row r="225" spans="6:11" ht="12.5">
      <c r="F225" s="105"/>
      <c r="G225" s="105"/>
      <c r="H225" s="105"/>
      <c r="I225" s="105"/>
      <c r="J225" s="105"/>
      <c r="K225" s="105"/>
    </row>
    <row r="226" spans="6:11" ht="12.5">
      <c r="F226" s="105"/>
      <c r="G226" s="105"/>
      <c r="H226" s="105"/>
      <c r="I226" s="105"/>
      <c r="J226" s="105"/>
      <c r="K226" s="105"/>
    </row>
    <row r="227" spans="6:11" ht="12.5">
      <c r="F227" s="105"/>
      <c r="G227" s="105"/>
      <c r="H227" s="105"/>
      <c r="I227" s="105"/>
      <c r="J227" s="105"/>
      <c r="K227" s="105"/>
    </row>
    <row r="228" spans="6:11" ht="12.5">
      <c r="F228" s="105"/>
      <c r="G228" s="105"/>
      <c r="H228" s="105"/>
      <c r="I228" s="105"/>
      <c r="J228" s="105"/>
      <c r="K228" s="105"/>
    </row>
    <row r="229" spans="6:11" ht="12.5">
      <c r="F229" s="105"/>
      <c r="G229" s="105"/>
      <c r="H229" s="105"/>
      <c r="I229" s="105"/>
      <c r="J229" s="105"/>
      <c r="K229" s="105"/>
    </row>
    <row r="230" spans="6:11" ht="12.5">
      <c r="F230" s="105"/>
      <c r="G230" s="105"/>
      <c r="H230" s="105"/>
      <c r="I230" s="105"/>
      <c r="J230" s="105"/>
      <c r="K230" s="105"/>
    </row>
    <row r="231" spans="6:11" ht="12.5">
      <c r="F231" s="105"/>
      <c r="G231" s="105"/>
      <c r="H231" s="105"/>
      <c r="I231" s="105"/>
      <c r="J231" s="105"/>
      <c r="K231" s="105"/>
    </row>
    <row r="232" spans="6:11" ht="12.5">
      <c r="F232" s="105"/>
      <c r="G232" s="105"/>
      <c r="H232" s="105"/>
      <c r="I232" s="105"/>
      <c r="J232" s="105"/>
      <c r="K232" s="105"/>
    </row>
    <row r="233" spans="6:11" ht="12.5">
      <c r="F233" s="105"/>
      <c r="G233" s="105"/>
      <c r="H233" s="105"/>
      <c r="I233" s="105"/>
      <c r="J233" s="105"/>
      <c r="K233" s="105"/>
    </row>
    <row r="234" spans="6:11" ht="12.5">
      <c r="F234" s="105"/>
      <c r="G234" s="105"/>
      <c r="H234" s="105"/>
      <c r="I234" s="105"/>
      <c r="J234" s="105"/>
      <c r="K234" s="105"/>
    </row>
    <row r="235" spans="6:11" ht="12.5">
      <c r="F235" s="105"/>
      <c r="G235" s="105"/>
      <c r="H235" s="105"/>
      <c r="I235" s="105"/>
      <c r="J235" s="105"/>
      <c r="K235" s="105"/>
    </row>
    <row r="236" spans="6:11" ht="12.5">
      <c r="F236" s="105"/>
      <c r="G236" s="105"/>
      <c r="H236" s="105"/>
      <c r="I236" s="105"/>
      <c r="J236" s="105"/>
      <c r="K236" s="105"/>
    </row>
    <row r="237" spans="6:11" ht="12.5">
      <c r="F237" s="105"/>
      <c r="G237" s="105"/>
      <c r="H237" s="105"/>
      <c r="I237" s="105"/>
      <c r="J237" s="105"/>
      <c r="K237" s="105"/>
    </row>
    <row r="238" spans="6:11" ht="12.5">
      <c r="F238" s="105"/>
      <c r="G238" s="105"/>
      <c r="H238" s="105"/>
      <c r="I238" s="105"/>
      <c r="J238" s="105"/>
      <c r="K238" s="105"/>
    </row>
    <row r="239" spans="6:11" ht="12.5">
      <c r="F239" s="105"/>
      <c r="G239" s="105"/>
      <c r="H239" s="105"/>
      <c r="I239" s="105"/>
      <c r="J239" s="105"/>
      <c r="K239" s="105"/>
    </row>
    <row r="240" spans="6:11" ht="12.5">
      <c r="F240" s="105"/>
      <c r="G240" s="105"/>
      <c r="H240" s="105"/>
      <c r="I240" s="105"/>
      <c r="J240" s="105"/>
      <c r="K240" s="105"/>
    </row>
  </sheetData>
  <mergeCells count="6">
    <mergeCell ref="C7:D7"/>
    <mergeCell ref="F7:G7"/>
    <mergeCell ref="I7:J7"/>
    <mergeCell ref="C8:D8"/>
    <mergeCell ref="F8:G8"/>
    <mergeCell ref="I8:J8"/>
  </mergeCell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2">
    <tabColor rgb="FF92D050"/>
    <pageSetUpPr fitToPage="1"/>
  </sheetPr>
  <dimension ref="A1:I17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9.14285714285714" style="119"/>
    <col min="2" max="2" width="17.4285714285714" style="119" customWidth="1"/>
    <col min="3" max="3" width="2" style="119" customWidth="1"/>
    <col min="4" max="4" width="14" style="120" customWidth="1"/>
    <col min="5" max="5" width="1.14285714285714" style="120" customWidth="1"/>
    <col min="6" max="6" width="19.1428571428571" style="121" customWidth="1"/>
    <col min="7" max="7" width="9.42857142857143" style="119" customWidth="1"/>
    <col min="8" max="8" width="15.8571428571429" style="119" customWidth="1"/>
    <col min="9" max="9" width="9.14285714285714" style="120"/>
    <col min="10" max="16384" width="9.14285714285714" style="119"/>
  </cols>
  <sheetData>
    <row r="1" spans="1:9" s="42" customFormat="1" ht="13">
      <c r="A1" s="181" t="s">
        <v>530</v>
      </c>
      <c r="C1" s="181"/>
      <c r="D1" s="131"/>
      <c r="E1" s="131"/>
      <c r="F1" s="131"/>
      <c r="I1" s="113"/>
    </row>
    <row r="2" spans="1:9" s="42" customFormat="1" ht="13">
      <c r="A2" s="181" t="str">
        <f>' '!A2</f>
        <v>ONCOR ELECTRIC DELIVERY COMPANY LLC</v>
      </c>
      <c r="C2" s="181"/>
      <c r="D2" s="131"/>
      <c r="E2" s="131"/>
      <c r="F2" s="131"/>
      <c r="I2" s="113"/>
    </row>
    <row r="3" spans="1:9" s="42" customFormat="1" ht="13">
      <c r="A3" s="181" t="s">
        <v>284</v>
      </c>
      <c r="C3" s="181"/>
      <c r="D3" s="131"/>
      <c r="E3" s="131"/>
      <c r="F3" s="131"/>
      <c r="I3" s="113"/>
    </row>
    <row r="4" spans="1:9" s="42" customFormat="1" ht="13">
      <c r="A4" s="817" t="s">
        <v>928</v>
      </c>
      <c r="C4" s="181"/>
      <c r="D4" s="131"/>
      <c r="E4" s="131"/>
      <c r="F4" s="131"/>
      <c r="I4" s="113"/>
    </row>
    <row r="5" spans="1:9" s="42" customFormat="1" ht="13">
      <c r="A5" s="181" t="s">
        <v>524</v>
      </c>
      <c r="C5" s="181"/>
      <c r="D5" s="131"/>
      <c r="E5" s="131"/>
      <c r="F5" s="131"/>
      <c r="I5" s="113"/>
    </row>
    <row r="7" spans="1:9" s="123" customFormat="1" ht="13">
      <c r="A7" s="202" t="s">
        <v>219</v>
      </c>
      <c r="B7" s="319"/>
      <c r="C7" s="319"/>
      <c r="D7" s="320"/>
      <c r="E7" s="320"/>
      <c r="F7" s="141"/>
      <c r="I7" s="319"/>
    </row>
    <row r="8" spans="1:6" ht="13">
      <c r="A8" s="203" t="s">
        <v>220</v>
      </c>
      <c r="B8" s="323" t="s">
        <v>98</v>
      </c>
      <c r="C8" s="324"/>
      <c r="D8" s="323" t="s">
        <v>26</v>
      </c>
      <c r="E8" s="323"/>
      <c r="F8" s="323" t="s">
        <v>149</v>
      </c>
    </row>
    <row r="9" spans="1:6" ht="13">
      <c r="A9" s="148"/>
      <c r="B9" s="40" t="s">
        <v>55</v>
      </c>
      <c r="C9" s="40"/>
      <c r="D9" s="40" t="s">
        <v>56</v>
      </c>
      <c r="E9" s="109"/>
      <c r="F9" s="40" t="s">
        <v>62</v>
      </c>
    </row>
    <row r="10" spans="1:6" ht="12.5">
      <c r="A10" s="150"/>
      <c r="B10" s="110"/>
      <c r="C10" s="125"/>
      <c r="D10" s="75"/>
      <c r="E10" s="75"/>
      <c r="F10" s="414"/>
    </row>
    <row r="11" spans="1:6" ht="12.5">
      <c r="A11" s="122">
        <v>1</v>
      </c>
      <c r="B11" s="120" t="s">
        <v>134</v>
      </c>
      <c r="C11" s="120"/>
      <c r="D11" s="75">
        <f>'13-3-1'!J26</f>
        <v>-781921.09092307673</v>
      </c>
      <c r="E11" s="387"/>
      <c r="F11" s="387" t="s">
        <v>366</v>
      </c>
    </row>
    <row r="12" spans="1:6" ht="12.5">
      <c r="A12" s="122">
        <v>2</v>
      </c>
      <c r="B12" s="120" t="s">
        <v>135</v>
      </c>
      <c r="C12" s="120"/>
      <c r="D12" s="389">
        <f>'13-3-2'!J27</f>
        <v>-7496982.6284615323</v>
      </c>
      <c r="E12" s="130"/>
      <c r="F12" s="129" t="s">
        <v>367</v>
      </c>
    </row>
    <row r="13" spans="1:6" ht="15.75" customHeight="1">
      <c r="A13" s="122">
        <f>A12+1</f>
        <v>3</v>
      </c>
      <c r="B13" s="120"/>
      <c r="C13" s="120"/>
      <c r="D13" s="119"/>
      <c r="F13" s="120"/>
    </row>
    <row r="14" spans="1:7" ht="13" thickBot="1">
      <c r="A14" s="122">
        <f>A13+1</f>
        <v>4</v>
      </c>
      <c r="B14" s="120" t="s">
        <v>27</v>
      </c>
      <c r="C14" s="120"/>
      <c r="D14" s="351">
        <f>ROUND(SUM(D11:D12),0)</f>
        <v>-8278904</v>
      </c>
      <c r="E14" s="387"/>
      <c r="F14" s="387"/>
      <c r="G14" s="120"/>
    </row>
    <row r="15" spans="2:7" ht="13" thickTop="1">
      <c r="B15" s="120"/>
      <c r="C15" s="120"/>
      <c r="G15" s="120"/>
    </row>
    <row r="16" spans="2:3" ht="12.5">
      <c r="B16" s="120"/>
      <c r="C16" s="120"/>
    </row>
    <row r="17" spans="2:3" ht="12.5">
      <c r="B17" s="120"/>
      <c r="C17" s="120"/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3">
    <tabColor rgb="FF92D050"/>
    <pageSetUpPr fitToPage="1"/>
  </sheetPr>
  <dimension ref="A1:J29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9.14285714285714" style="119"/>
    <col min="2" max="2" width="17.4285714285714" style="119" customWidth="1"/>
    <col min="3" max="3" width="2" style="119" customWidth="1"/>
    <col min="4" max="4" width="14" style="120" customWidth="1"/>
    <col min="5" max="5" width="1.57142857142857" style="120" customWidth="1"/>
    <col min="6" max="6" width="23" style="121" customWidth="1"/>
    <col min="7" max="7" width="14" style="119" customWidth="1"/>
    <col min="8" max="8" width="1.57142857142857" style="119" customWidth="1"/>
    <col min="9" max="9" width="23" style="122" customWidth="1"/>
    <col min="10" max="10" width="14" style="119" customWidth="1"/>
    <col min="11" max="12" width="9.42857142857143" style="119" customWidth="1"/>
    <col min="13" max="13" width="15.8571428571429" style="119" customWidth="1"/>
    <col min="14" max="16384" width="9.14285714285714" style="119"/>
  </cols>
  <sheetData>
    <row r="1" spans="1:9" s="42" customFormat="1" ht="13">
      <c r="A1" s="181" t="s">
        <v>530</v>
      </c>
      <c r="C1" s="181"/>
      <c r="D1" s="131"/>
      <c r="E1" s="131"/>
      <c r="F1" s="131"/>
      <c r="I1" s="300"/>
    </row>
    <row r="2" spans="1:9" s="42" customFormat="1" ht="13">
      <c r="A2" s="181" t="str">
        <f>' '!A2</f>
        <v>ONCOR ELECTRIC DELIVERY COMPANY LLC</v>
      </c>
      <c r="C2" s="181"/>
      <c r="D2" s="131"/>
      <c r="E2" s="131"/>
      <c r="F2" s="131"/>
      <c r="I2" s="300"/>
    </row>
    <row r="3" spans="1:9" s="42" customFormat="1" ht="13">
      <c r="A3" s="181" t="s">
        <v>190</v>
      </c>
      <c r="C3" s="181"/>
      <c r="D3" s="131"/>
      <c r="E3" s="131"/>
      <c r="F3" s="131"/>
      <c r="I3" s="300"/>
    </row>
    <row r="4" spans="1:9" s="42" customFormat="1" ht="13">
      <c r="A4" s="817" t="s">
        <v>928</v>
      </c>
      <c r="C4" s="181"/>
      <c r="D4" s="131"/>
      <c r="E4" s="131"/>
      <c r="F4" s="131"/>
      <c r="I4" s="300"/>
    </row>
    <row r="5" spans="1:9" s="42" customFormat="1" ht="13">
      <c r="A5" s="181" t="s">
        <v>524</v>
      </c>
      <c r="C5" s="181"/>
      <c r="D5" s="131"/>
      <c r="E5" s="131"/>
      <c r="F5" s="131"/>
      <c r="I5" s="300"/>
    </row>
    <row r="7" spans="1:10" s="123" customFormat="1" ht="13">
      <c r="A7" s="202" t="s">
        <v>219</v>
      </c>
      <c r="B7" s="319"/>
      <c r="C7" s="319"/>
      <c r="D7" s="320" t="s">
        <v>146</v>
      </c>
      <c r="E7" s="320"/>
      <c r="F7" s="141"/>
      <c r="G7" s="321" t="s">
        <v>147</v>
      </c>
      <c r="H7" s="321"/>
      <c r="I7" s="322"/>
      <c r="J7" s="319"/>
    </row>
    <row r="8" spans="1:10" ht="13">
      <c r="A8" s="203" t="s">
        <v>220</v>
      </c>
      <c r="B8" s="323" t="s">
        <v>98</v>
      </c>
      <c r="C8" s="324"/>
      <c r="D8" s="323" t="s">
        <v>148</v>
      </c>
      <c r="E8" s="323"/>
      <c r="F8" s="323" t="s">
        <v>149</v>
      </c>
      <c r="G8" s="325" t="s">
        <v>150</v>
      </c>
      <c r="H8" s="325"/>
      <c r="I8" s="323" t="s">
        <v>149</v>
      </c>
      <c r="J8" s="323" t="s">
        <v>26</v>
      </c>
    </row>
    <row r="9" spans="1:10" ht="13">
      <c r="A9" s="148"/>
      <c r="B9" s="40" t="s">
        <v>55</v>
      </c>
      <c r="C9" s="40"/>
      <c r="D9" s="40" t="s">
        <v>56</v>
      </c>
      <c r="E9" s="109"/>
      <c r="F9" s="40" t="s">
        <v>62</v>
      </c>
      <c r="G9" s="40" t="s">
        <v>57</v>
      </c>
      <c r="H9" s="109"/>
      <c r="I9" s="40" t="s">
        <v>58</v>
      </c>
      <c r="J9" s="40" t="s">
        <v>59</v>
      </c>
    </row>
    <row r="10" spans="1:10" ht="12.5">
      <c r="A10" s="150">
        <v>1</v>
      </c>
      <c r="B10" s="110" t="s">
        <v>142</v>
      </c>
      <c r="C10" s="125"/>
      <c r="D10" s="387">
        <f>'13-3-1-1'!D11</f>
        <v>1166285.95</v>
      </c>
      <c r="E10" s="387"/>
      <c r="F10" s="419" t="s">
        <v>368</v>
      </c>
      <c r="G10" s="415">
        <f>'13-3-1-2'!K11</f>
        <v>-1340292.6699999999</v>
      </c>
      <c r="H10" s="415"/>
      <c r="I10" s="419" t="s">
        <v>369</v>
      </c>
      <c r="J10" s="415">
        <f>SUM(D10:G10)</f>
        <v>-174006.71999999997</v>
      </c>
    </row>
    <row r="11" spans="1:10" ht="12.5">
      <c r="A11" s="122">
        <f t="shared" si="0" ref="A11:A29">A10+1</f>
        <v>2</v>
      </c>
      <c r="B11" s="125" t="s">
        <v>143</v>
      </c>
      <c r="C11" s="125"/>
      <c r="D11" s="132"/>
      <c r="E11" s="111"/>
      <c r="F11" s="126"/>
      <c r="G11" s="246"/>
      <c r="H11" s="246"/>
      <c r="I11" s="247"/>
      <c r="J11" s="246"/>
    </row>
    <row r="12" spans="1:10" ht="12.5">
      <c r="A12" s="122">
        <f t="shared" si="0"/>
        <v>3</v>
      </c>
      <c r="B12" s="697">
        <v>44197</v>
      </c>
      <c r="C12" s="125"/>
      <c r="D12" s="132">
        <f>'13-3-1-1'!D12</f>
        <v>0</v>
      </c>
      <c r="E12" s="111"/>
      <c r="F12" s="126" t="s">
        <v>368</v>
      </c>
      <c r="G12" s="642">
        <f>'13-3-1-2'!K13</f>
        <v>-1340292.6699999999</v>
      </c>
      <c r="H12" s="44"/>
      <c r="I12" s="126" t="s">
        <v>369</v>
      </c>
      <c r="J12" s="271">
        <f t="shared" si="1" ref="J12:J23">SUM(D12:G12)</f>
        <v>-1340292.6699999999</v>
      </c>
    </row>
    <row r="13" spans="1:10" ht="12.5">
      <c r="A13" s="122">
        <f t="shared" si="0"/>
        <v>4</v>
      </c>
      <c r="B13" s="697">
        <v>44255</v>
      </c>
      <c r="C13" s="125"/>
      <c r="D13" s="132">
        <f>'13-3-1-1'!D13</f>
        <v>0</v>
      </c>
      <c r="E13" s="111"/>
      <c r="F13" s="126" t="s">
        <v>368</v>
      </c>
      <c r="G13" s="642">
        <f>'13-3-1-2'!K14</f>
        <v>-1340292.6699999999</v>
      </c>
      <c r="H13" s="44"/>
      <c r="I13" s="126" t="s">
        <v>369</v>
      </c>
      <c r="J13" s="271">
        <f t="shared" si="1"/>
        <v>-1340292.6699999999</v>
      </c>
    </row>
    <row r="14" spans="1:10" ht="12.5">
      <c r="A14" s="122">
        <f t="shared" si="0"/>
        <v>5</v>
      </c>
      <c r="B14" s="697">
        <v>44286</v>
      </c>
      <c r="C14" s="125"/>
      <c r="D14" s="132">
        <f>'13-3-1-1'!D14</f>
        <v>1057451.3800000004</v>
      </c>
      <c r="E14" s="111"/>
      <c r="F14" s="126" t="s">
        <v>368</v>
      </c>
      <c r="G14" s="642">
        <f>'13-3-1-2'!K15</f>
        <v>-1067956.8799999999</v>
      </c>
      <c r="H14" s="44"/>
      <c r="I14" s="126" t="s">
        <v>369</v>
      </c>
      <c r="J14" s="271">
        <f t="shared" si="1"/>
        <v>-10505.499999999534</v>
      </c>
    </row>
    <row r="15" spans="1:10" ht="12.5">
      <c r="A15" s="122">
        <f t="shared" si="0"/>
        <v>6</v>
      </c>
      <c r="B15" s="697">
        <v>44316</v>
      </c>
      <c r="C15" s="125"/>
      <c r="D15" s="132">
        <f>'13-3-1-1'!D15</f>
        <v>0</v>
      </c>
      <c r="E15" s="111"/>
      <c r="F15" s="126" t="s">
        <v>368</v>
      </c>
      <c r="G15" s="642">
        <f>'13-3-1-2'!K16</f>
        <v>-1067956.8799999999</v>
      </c>
      <c r="H15" s="44"/>
      <c r="I15" s="126" t="s">
        <v>369</v>
      </c>
      <c r="J15" s="271">
        <f t="shared" si="1"/>
        <v>-1067956.8799999999</v>
      </c>
    </row>
    <row r="16" spans="1:10" ht="12.5">
      <c r="A16" s="122">
        <f t="shared" si="0"/>
        <v>7</v>
      </c>
      <c r="B16" s="697">
        <v>44347</v>
      </c>
      <c r="C16" s="125"/>
      <c r="D16" s="132">
        <f>'13-3-1-1'!D16</f>
        <v>0</v>
      </c>
      <c r="E16" s="111"/>
      <c r="F16" s="126" t="s">
        <v>368</v>
      </c>
      <c r="G16" s="642">
        <f>'13-3-1-2'!K17</f>
        <v>-1067956.8799999999</v>
      </c>
      <c r="H16" s="44"/>
      <c r="I16" s="126" t="s">
        <v>369</v>
      </c>
      <c r="J16" s="271">
        <f t="shared" si="1"/>
        <v>-1067956.8799999999</v>
      </c>
    </row>
    <row r="17" spans="1:10" ht="12.5">
      <c r="A17" s="122">
        <f t="shared" si="0"/>
        <v>8</v>
      </c>
      <c r="B17" s="697">
        <v>44377</v>
      </c>
      <c r="C17" s="125"/>
      <c r="D17" s="132">
        <f>'13-3-1-1'!D17</f>
        <v>203454.60000000056</v>
      </c>
      <c r="E17" s="111"/>
      <c r="F17" s="126" t="s">
        <v>368</v>
      </c>
      <c r="G17" s="642">
        <f>'13-3-1-2'!K18</f>
        <v>-1269344.9399999999</v>
      </c>
      <c r="H17" s="44"/>
      <c r="I17" s="126" t="s">
        <v>369</v>
      </c>
      <c r="J17" s="271">
        <f t="shared" si="1"/>
        <v>-1065890.3399999994</v>
      </c>
    </row>
    <row r="18" spans="1:10" ht="12.5">
      <c r="A18" s="122">
        <f t="shared" si="0"/>
        <v>9</v>
      </c>
      <c r="B18" s="697">
        <v>44408</v>
      </c>
      <c r="C18" s="125"/>
      <c r="D18" s="132">
        <f>'13-3-1-1'!D18</f>
        <v>0</v>
      </c>
      <c r="E18" s="111"/>
      <c r="F18" s="126" t="s">
        <v>368</v>
      </c>
      <c r="G18" s="642">
        <f>'13-3-1-2'!K19</f>
        <v>-1269344.9399999999</v>
      </c>
      <c r="H18" s="44"/>
      <c r="I18" s="126" t="s">
        <v>369</v>
      </c>
      <c r="J18" s="271">
        <f t="shared" si="1"/>
        <v>-1269344.9399999999</v>
      </c>
    </row>
    <row r="19" spans="1:10" ht="12.5">
      <c r="A19" s="122">
        <f t="shared" si="0"/>
        <v>10</v>
      </c>
      <c r="B19" s="697">
        <v>44439</v>
      </c>
      <c r="C19" s="125"/>
      <c r="D19" s="132">
        <f>'13-3-1-1'!D19</f>
        <v>0</v>
      </c>
      <c r="E19" s="111"/>
      <c r="F19" s="126" t="s">
        <v>368</v>
      </c>
      <c r="G19" s="642">
        <f>'13-3-1-2'!K20</f>
        <v>-1269344.9399999999</v>
      </c>
      <c r="H19" s="44"/>
      <c r="I19" s="126" t="s">
        <v>369</v>
      </c>
      <c r="J19" s="271">
        <f t="shared" si="1"/>
        <v>-1269344.9399999999</v>
      </c>
    </row>
    <row r="20" spans="1:10" ht="12.5">
      <c r="A20" s="122">
        <f t="shared" si="0"/>
        <v>11</v>
      </c>
      <c r="B20" s="697">
        <v>44469</v>
      </c>
      <c r="C20" s="125"/>
      <c r="D20" s="132">
        <f>'13-3-1-1'!D20</f>
        <v>152733.64000000013</v>
      </c>
      <c r="E20" s="111"/>
      <c r="F20" s="126" t="s">
        <v>368</v>
      </c>
      <c r="G20" s="642">
        <f>'13-3-1-2'!K21</f>
        <v>-1388751.4099999999</v>
      </c>
      <c r="H20" s="44"/>
      <c r="I20" s="126" t="s">
        <v>369</v>
      </c>
      <c r="J20" s="271">
        <f t="shared" si="1"/>
        <v>-1236017.7699999998</v>
      </c>
    </row>
    <row r="21" spans="1:10" ht="12.5">
      <c r="A21" s="122">
        <f t="shared" si="0"/>
        <v>12</v>
      </c>
      <c r="B21" s="697">
        <v>44500</v>
      </c>
      <c r="C21" s="125"/>
      <c r="D21" s="132">
        <f>'13-3-1-1'!D21</f>
        <v>0</v>
      </c>
      <c r="E21" s="111"/>
      <c r="F21" s="126" t="s">
        <v>368</v>
      </c>
      <c r="G21" s="642">
        <f>'13-3-1-2'!K22</f>
        <v>-1388751.4099999999</v>
      </c>
      <c r="H21" s="44"/>
      <c r="I21" s="126" t="s">
        <v>369</v>
      </c>
      <c r="J21" s="271">
        <f t="shared" si="1"/>
        <v>-1388751.4099999999</v>
      </c>
    </row>
    <row r="22" spans="1:10" ht="12.5">
      <c r="A22" s="122">
        <f t="shared" si="0"/>
        <v>13</v>
      </c>
      <c r="B22" s="697">
        <v>44530</v>
      </c>
      <c r="C22" s="125"/>
      <c r="D22" s="132">
        <f>'13-3-1-1'!D22</f>
        <v>0</v>
      </c>
      <c r="E22" s="111"/>
      <c r="F22" s="126" t="s">
        <v>368</v>
      </c>
      <c r="G22" s="642">
        <f>'13-3-1-2'!K23</f>
        <v>-1388751.4099999999</v>
      </c>
      <c r="H22" s="44"/>
      <c r="I22" s="126" t="s">
        <v>369</v>
      </c>
      <c r="J22" s="271">
        <f t="shared" si="1"/>
        <v>-1388751.4099999999</v>
      </c>
    </row>
    <row r="23" spans="1:10" ht="12.5">
      <c r="A23" s="122">
        <f t="shared" si="0"/>
        <v>14</v>
      </c>
      <c r="B23" s="697">
        <v>44561</v>
      </c>
      <c r="C23" s="125"/>
      <c r="D23" s="132">
        <f>'13-3-1-1'!D23</f>
        <v>121297.46000000017</v>
      </c>
      <c r="E23" s="111"/>
      <c r="F23" s="126" t="s">
        <v>368</v>
      </c>
      <c r="G23" s="642">
        <f>'13-3-1-2'!K24</f>
        <v>-1989116.3599999999</v>
      </c>
      <c r="H23" s="44"/>
      <c r="I23" s="126" t="s">
        <v>369</v>
      </c>
      <c r="J23" s="271">
        <f t="shared" si="1"/>
        <v>-1867818.8999999997</v>
      </c>
    </row>
    <row r="24" spans="1:10" ht="13">
      <c r="A24" s="122">
        <f t="shared" si="0"/>
        <v>15</v>
      </c>
      <c r="B24" s="125"/>
      <c r="C24" s="125"/>
      <c r="D24" s="135"/>
      <c r="E24" s="125"/>
      <c r="F24" s="133"/>
      <c r="G24" s="248"/>
      <c r="H24" s="44"/>
      <c r="I24" s="133"/>
      <c r="J24" s="249"/>
    </row>
    <row r="25" spans="1:10" ht="13">
      <c r="A25" s="122">
        <f t="shared" si="0"/>
        <v>16</v>
      </c>
      <c r="B25" s="125" t="s">
        <v>430</v>
      </c>
      <c r="C25" s="125"/>
      <c r="D25" s="416">
        <f>SUM(D10:D23)</f>
        <v>2701223.0300000007</v>
      </c>
      <c r="E25" s="416"/>
      <c r="F25" s="417"/>
      <c r="G25" s="416">
        <f>SUM(G10:G23)</f>
        <v>-17188154.059999999</v>
      </c>
      <c r="H25" s="350"/>
      <c r="I25" s="417"/>
      <c r="J25" s="350">
        <f>SUM(J10:J23)</f>
        <v>-14486931.029999998</v>
      </c>
    </row>
    <row r="26" spans="1:10" ht="13.5" thickBot="1">
      <c r="A26" s="122">
        <f t="shared" si="0"/>
        <v>17</v>
      </c>
      <c r="B26" s="125" t="s">
        <v>431</v>
      </c>
      <c r="C26" s="125"/>
      <c r="D26" s="702">
        <f>D25/5</f>
        <v>540244.60600000015</v>
      </c>
      <c r="E26" s="403"/>
      <c r="F26" s="418"/>
      <c r="G26" s="390">
        <f>G25/13</f>
        <v>-1322165.6969230769</v>
      </c>
      <c r="H26" s="390"/>
      <c r="I26" s="418"/>
      <c r="J26" s="403">
        <f>+G26+D26</f>
        <v>-781921.09092307673</v>
      </c>
    </row>
    <row r="27" spans="1:10" ht="13.5" thickTop="1">
      <c r="A27" s="122">
        <f t="shared" si="0"/>
        <v>18</v>
      </c>
      <c r="D27" s="124"/>
      <c r="F27" s="124"/>
      <c r="G27" s="124"/>
      <c r="J27" s="124"/>
    </row>
    <row r="28" spans="1:1" ht="12.5">
      <c r="A28" s="122">
        <f t="shared" si="0"/>
        <v>19</v>
      </c>
    </row>
    <row r="29" spans="1:2" ht="12.5">
      <c r="A29" s="122">
        <f t="shared" si="0"/>
        <v>20</v>
      </c>
      <c r="B29" s="562" t="s">
        <v>402</v>
      </c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4">
    <tabColor rgb="FF92D050"/>
    <pageSetUpPr fitToPage="1"/>
  </sheetPr>
  <dimension ref="A1:J30"/>
  <sheetViews>
    <sheetView workbookViewId="0" topLeftCell="A7">
      <selection pane="topLeft" activeCell="A4" sqref="A4"/>
    </sheetView>
  </sheetViews>
  <sheetFormatPr defaultColWidth="8.00428571428571" defaultRowHeight="12.75"/>
  <cols>
    <col min="1" max="1" width="9.42857142857143" style="136" bestFit="1" customWidth="1"/>
    <col min="2" max="2" width="21.4285714285714" style="136" customWidth="1"/>
    <col min="3" max="3" width="15.5714285714286" style="136" bestFit="1" customWidth="1"/>
    <col min="4" max="4" width="15.4285714285714" style="136" customWidth="1"/>
    <col min="5" max="5" width="12.4285714285714" style="136" bestFit="1" customWidth="1"/>
    <col min="6" max="16384" width="8" style="136"/>
  </cols>
  <sheetData>
    <row r="1" spans="1:5" s="42" customFormat="1" ht="13">
      <c r="A1" s="181" t="s">
        <v>530</v>
      </c>
      <c r="C1" s="181"/>
      <c r="D1" s="181"/>
      <c r="E1" s="181"/>
    </row>
    <row r="2" spans="1:5" s="42" customFormat="1" ht="13">
      <c r="A2" s="181" t="str">
        <f>' '!A2</f>
        <v>ONCOR ELECTRIC DELIVERY COMPANY LLC</v>
      </c>
      <c r="C2" s="181"/>
      <c r="D2" s="181"/>
      <c r="E2" s="181"/>
    </row>
    <row r="3" spans="1:5" s="42" customFormat="1" ht="13">
      <c r="A3" s="181" t="s">
        <v>192</v>
      </c>
      <c r="C3" s="181"/>
      <c r="D3" s="181"/>
      <c r="E3" s="181"/>
    </row>
    <row r="4" spans="1:5" s="42" customFormat="1" ht="13">
      <c r="A4" s="817" t="s">
        <v>928</v>
      </c>
      <c r="C4" s="181"/>
      <c r="D4" s="181"/>
      <c r="E4" s="181"/>
    </row>
    <row r="5" spans="1:5" s="42" customFormat="1" ht="13">
      <c r="A5" s="181" t="s">
        <v>524</v>
      </c>
      <c r="C5" s="181"/>
      <c r="D5" s="181"/>
      <c r="E5" s="181"/>
    </row>
    <row r="7" spans="1:4" s="137" customFormat="1" ht="13">
      <c r="A7" s="202" t="s">
        <v>219</v>
      </c>
      <c r="B7" s="326"/>
      <c r="C7" s="327" t="s">
        <v>151</v>
      </c>
      <c r="D7" s="327" t="s">
        <v>426</v>
      </c>
    </row>
    <row r="8" spans="1:4" ht="13">
      <c r="A8" s="203" t="s">
        <v>220</v>
      </c>
      <c r="B8" s="328" t="s">
        <v>98</v>
      </c>
      <c r="C8" s="328" t="s">
        <v>152</v>
      </c>
      <c r="D8" s="328" t="s">
        <v>151</v>
      </c>
    </row>
    <row r="9" spans="1:9" ht="13">
      <c r="A9" s="148"/>
      <c r="B9" s="40" t="s">
        <v>55</v>
      </c>
      <c r="C9" s="40" t="s">
        <v>56</v>
      </c>
      <c r="D9" s="40" t="s">
        <v>62</v>
      </c>
      <c r="E9" s="40"/>
      <c r="F9" s="40"/>
      <c r="G9" s="109"/>
      <c r="H9" s="40"/>
      <c r="I9" s="40"/>
    </row>
    <row r="10" spans="1:9" ht="13">
      <c r="A10" s="148"/>
      <c r="B10" s="40"/>
      <c r="C10" s="40"/>
      <c r="D10" s="109"/>
      <c r="E10" s="40"/>
      <c r="F10" s="40"/>
      <c r="G10" s="109"/>
      <c r="H10" s="40"/>
      <c r="I10" s="40"/>
    </row>
    <row r="11" spans="1:5" ht="12.5">
      <c r="A11" s="150">
        <v>1</v>
      </c>
      <c r="B11" s="138" t="s">
        <v>153</v>
      </c>
      <c r="C11" s="422">
        <v>1166285.95</v>
      </c>
      <c r="D11" s="422">
        <v>1166285.95</v>
      </c>
      <c r="E11" s="422"/>
    </row>
    <row r="12" spans="1:5" ht="12.5">
      <c r="A12" s="138">
        <f t="shared" si="0" ref="A12:A30">A11+1</f>
        <v>2</v>
      </c>
      <c r="B12" s="697">
        <v>44197</v>
      </c>
      <c r="C12" s="422">
        <v>20599761.789999999</v>
      </c>
      <c r="D12" s="422">
        <v>0</v>
      </c>
      <c r="E12" s="564"/>
    </row>
    <row r="13" spans="1:10" ht="13">
      <c r="A13" s="138">
        <f t="shared" si="0"/>
        <v>3</v>
      </c>
      <c r="B13" s="697">
        <v>44255</v>
      </c>
      <c r="C13" s="422">
        <v>2677534.4800000004</v>
      </c>
      <c r="D13" s="422">
        <v>0</v>
      </c>
      <c r="E13" s="563"/>
      <c r="F13" s="563"/>
      <c r="G13" s="563"/>
      <c r="H13" s="563"/>
      <c r="I13" s="563"/>
      <c r="J13" s="565"/>
    </row>
    <row r="14" spans="1:5" ht="12.5">
      <c r="A14" s="138">
        <f t="shared" si="0"/>
        <v>4</v>
      </c>
      <c r="B14" s="697">
        <v>44286</v>
      </c>
      <c r="C14" s="422">
        <v>1057451.3800000004</v>
      </c>
      <c r="D14" s="422">
        <v>1057451.3800000004</v>
      </c>
      <c r="E14" s="420"/>
    </row>
    <row r="15" spans="1:5" ht="12.5">
      <c r="A15" s="138">
        <f t="shared" si="0"/>
        <v>5</v>
      </c>
      <c r="B15" s="697">
        <v>44316</v>
      </c>
      <c r="C15" s="422">
        <v>3820540.3500000006</v>
      </c>
      <c r="D15" s="422">
        <v>0</v>
      </c>
      <c r="E15" s="420"/>
    </row>
    <row r="16" spans="1:5" ht="12.5">
      <c r="A16" s="138">
        <f t="shared" si="0"/>
        <v>6</v>
      </c>
      <c r="B16" s="697">
        <v>44347</v>
      </c>
      <c r="C16" s="422">
        <v>2970948.4400000004</v>
      </c>
      <c r="D16" s="422">
        <v>0</v>
      </c>
      <c r="E16" s="420"/>
    </row>
    <row r="17" spans="1:5" ht="12.5">
      <c r="A17" s="138">
        <f t="shared" si="0"/>
        <v>7</v>
      </c>
      <c r="B17" s="697">
        <v>44377</v>
      </c>
      <c r="C17" s="422">
        <v>203454.60000000056</v>
      </c>
      <c r="D17" s="422">
        <v>203454.60000000056</v>
      </c>
      <c r="E17" s="420"/>
    </row>
    <row r="18" spans="1:5" ht="12.5">
      <c r="A18" s="138">
        <f t="shared" si="0"/>
        <v>8</v>
      </c>
      <c r="B18" s="697">
        <v>44408</v>
      </c>
      <c r="C18" s="422">
        <v>3275642.7300000004</v>
      </c>
      <c r="D18" s="422">
        <v>0</v>
      </c>
      <c r="E18" s="420"/>
    </row>
    <row r="19" spans="1:9" ht="12.5">
      <c r="A19" s="138">
        <f t="shared" si="0"/>
        <v>9</v>
      </c>
      <c r="B19" s="697">
        <v>44439</v>
      </c>
      <c r="C19" s="422">
        <v>3057666.1300000004</v>
      </c>
      <c r="D19" s="422">
        <v>0</v>
      </c>
      <c r="E19" s="563"/>
      <c r="F19" s="563"/>
      <c r="G19" s="563"/>
      <c r="H19" s="563"/>
      <c r="I19" s="563"/>
    </row>
    <row r="20" spans="1:5" ht="12.5">
      <c r="A20" s="138">
        <f t="shared" si="0"/>
        <v>10</v>
      </c>
      <c r="B20" s="697">
        <v>44469</v>
      </c>
      <c r="C20" s="422">
        <v>152733.64000000013</v>
      </c>
      <c r="D20" s="422">
        <v>152733.64000000013</v>
      </c>
      <c r="E20" s="420"/>
    </row>
    <row r="21" spans="1:5" ht="12.5">
      <c r="A21" s="138">
        <f t="shared" si="0"/>
        <v>11</v>
      </c>
      <c r="B21" s="697">
        <v>44500</v>
      </c>
      <c r="C21" s="422">
        <v>272453.30000000016</v>
      </c>
      <c r="D21" s="422">
        <v>0</v>
      </c>
      <c r="E21" s="420"/>
    </row>
    <row r="22" spans="1:5" ht="12.5">
      <c r="A22" s="138">
        <f t="shared" si="0"/>
        <v>12</v>
      </c>
      <c r="B22" s="697">
        <v>44530</v>
      </c>
      <c r="C22" s="422">
        <v>-98793.939999999828</v>
      </c>
      <c r="D22" s="422">
        <v>0</v>
      </c>
      <c r="E22" s="420"/>
    </row>
    <row r="23" spans="1:5" ht="12.5">
      <c r="A23" s="138">
        <f t="shared" si="0"/>
        <v>13</v>
      </c>
      <c r="B23" s="697">
        <v>44561</v>
      </c>
      <c r="C23" s="422">
        <v>121297.46000000017</v>
      </c>
      <c r="D23" s="422">
        <v>121297.46000000017</v>
      </c>
      <c r="E23" s="420"/>
    </row>
    <row r="24" spans="1:4" ht="12.5">
      <c r="A24" s="138">
        <f t="shared" si="0"/>
        <v>14</v>
      </c>
      <c r="B24" s="139"/>
      <c r="C24" s="421"/>
      <c r="D24" s="422">
        <v>0</v>
      </c>
    </row>
    <row r="25" spans="1:4" ht="12.5">
      <c r="A25" s="138">
        <f t="shared" si="0"/>
        <v>15</v>
      </c>
      <c r="B25" s="105" t="s">
        <v>432</v>
      </c>
      <c r="C25" s="416">
        <f>SUM(C11:C23)</f>
        <v>39276976.310000002</v>
      </c>
      <c r="D25" s="416">
        <f>SUM(D11:D23)</f>
        <v>2701223.0300000007</v>
      </c>
    </row>
    <row r="26" spans="1:3" ht="13" thickBot="1">
      <c r="A26" s="138">
        <f t="shared" si="0"/>
        <v>16</v>
      </c>
      <c r="B26" s="105" t="s">
        <v>27</v>
      </c>
      <c r="C26" s="403">
        <f>+C25/13</f>
        <v>3021305.8700000001</v>
      </c>
    </row>
    <row r="27" spans="1:4" ht="13.5" thickTop="1" thickBot="1">
      <c r="A27" s="138">
        <f t="shared" si="0"/>
        <v>17</v>
      </c>
      <c r="B27" s="423" t="s">
        <v>427</v>
      </c>
      <c r="D27" s="403">
        <f>+D25/5</f>
        <v>540244.60600000015</v>
      </c>
    </row>
    <row r="28" spans="1:2" ht="26.25" customHeight="1" thickTop="1">
      <c r="A28" s="138">
        <f t="shared" si="0"/>
        <v>18</v>
      </c>
      <c r="B28" s="136" t="s">
        <v>428</v>
      </c>
    </row>
    <row r="29" spans="1:2" ht="12.5">
      <c r="A29" s="138">
        <f t="shared" si="0"/>
        <v>19</v>
      </c>
      <c r="B29" s="136" t="s">
        <v>429</v>
      </c>
    </row>
    <row r="30" spans="1:3" ht="24.75" customHeight="1">
      <c r="A30" s="138">
        <f t="shared" si="0"/>
        <v>20</v>
      </c>
      <c r="B30" s="31" t="s">
        <v>256</v>
      </c>
      <c r="C30" s="293" t="s">
        <v>476</v>
      </c>
    </row>
  </sheetData>
  <hyperlinks>
    <hyperlink ref="C30" r:id="rId1" display="Misc items - TRN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5">
    <tabColor rgb="FF92D050"/>
    <pageSetUpPr fitToPage="1"/>
  </sheetPr>
  <dimension ref="A1:S32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9.14285714285714" style="119"/>
    <col min="2" max="2" width="21.4285714285714" style="119" customWidth="1"/>
    <col min="3" max="3" width="1.57142857142857" style="119" customWidth="1"/>
    <col min="4" max="4" width="12" style="119" customWidth="1"/>
    <col min="5" max="5" width="14" style="119" customWidth="1"/>
    <col min="6" max="6" width="3" style="119" customWidth="1"/>
    <col min="7" max="7" width="12" style="120" customWidth="1"/>
    <col min="8" max="8" width="14" style="120" customWidth="1"/>
    <col min="9" max="9" width="3.14285714285714" style="119" customWidth="1"/>
    <col min="10" max="10" width="1.57142857142857" style="119" customWidth="1"/>
    <col min="11" max="11" width="15.8571428571429" style="119" bestFit="1" customWidth="1"/>
    <col min="12" max="12" width="7.57142857142857" style="119" customWidth="1"/>
    <col min="13" max="13" width="8.57142857142857" style="119" customWidth="1"/>
    <col min="14" max="14" width="12.1428571428571" style="119" customWidth="1"/>
    <col min="15" max="16384" width="9.14285714285714" style="119"/>
  </cols>
  <sheetData>
    <row r="1" spans="1:8" s="42" customFormat="1" ht="13">
      <c r="A1" s="181" t="s">
        <v>530</v>
      </c>
      <c r="C1" s="181"/>
      <c r="D1" s="181"/>
      <c r="E1" s="181"/>
      <c r="F1" s="181"/>
      <c r="G1" s="113"/>
      <c r="H1" s="113"/>
    </row>
    <row r="2" spans="1:16" s="42" customFormat="1" ht="13">
      <c r="A2" s="181" t="str">
        <f>' '!A2</f>
        <v>ONCOR ELECTRIC DELIVERY COMPANY LLC</v>
      </c>
      <c r="C2" s="181"/>
      <c r="D2" s="181"/>
      <c r="E2" s="181"/>
      <c r="F2" s="181"/>
      <c r="G2" s="113"/>
      <c r="H2" s="113"/>
      <c r="K2" s="563"/>
      <c r="L2" s="563"/>
      <c r="M2" s="563"/>
      <c r="N2" s="563"/>
      <c r="O2" s="563"/>
      <c r="P2" s="563"/>
    </row>
    <row r="3" spans="1:8" s="42" customFormat="1" ht="13">
      <c r="A3" s="181" t="s">
        <v>194</v>
      </c>
      <c r="C3" s="181"/>
      <c r="D3" s="181"/>
      <c r="E3" s="181"/>
      <c r="F3" s="181"/>
      <c r="G3" s="113"/>
      <c r="H3" s="113"/>
    </row>
    <row r="4" spans="1:16" s="42" customFormat="1" ht="13">
      <c r="A4" s="817" t="s">
        <v>928</v>
      </c>
      <c r="C4" s="181"/>
      <c r="D4" s="181"/>
      <c r="E4" s="181"/>
      <c r="F4" s="181"/>
      <c r="G4" s="113"/>
      <c r="H4" s="113"/>
      <c r="K4" s="563"/>
      <c r="L4" s="563"/>
      <c r="M4" s="563"/>
      <c r="N4" s="563"/>
      <c r="O4" s="563"/>
      <c r="P4" s="563"/>
    </row>
    <row r="5" spans="1:8" s="42" customFormat="1" ht="13">
      <c r="A5" s="181" t="s">
        <v>524</v>
      </c>
      <c r="C5" s="181"/>
      <c r="D5" s="181"/>
      <c r="E5" s="181"/>
      <c r="F5" s="181"/>
      <c r="G5" s="113"/>
      <c r="H5" s="113"/>
    </row>
    <row r="6" spans="12:19" ht="13">
      <c r="L6" s="563"/>
      <c r="M6" s="563"/>
      <c r="N6" s="563"/>
      <c r="O6" s="563"/>
      <c r="P6" s="563"/>
      <c r="Q6" s="563"/>
      <c r="R6" s="563"/>
      <c r="S6" s="565"/>
    </row>
    <row r="7" spans="1:15" s="123" customFormat="1" ht="27" customHeight="1">
      <c r="A7" s="202" t="s">
        <v>219</v>
      </c>
      <c r="B7" s="319"/>
      <c r="C7" s="319"/>
      <c r="D7" s="829" t="s">
        <v>154</v>
      </c>
      <c r="E7" s="829"/>
      <c r="F7" s="322"/>
      <c r="G7" s="829" t="s">
        <v>266</v>
      </c>
      <c r="H7" s="829"/>
      <c r="I7" s="320"/>
      <c r="J7" s="322"/>
      <c r="K7" s="322"/>
      <c r="L7" s="114"/>
      <c r="M7" s="114"/>
      <c r="N7" s="114"/>
      <c r="O7" s="114"/>
    </row>
    <row r="8" spans="1:15" ht="13">
      <c r="A8" s="203" t="s">
        <v>220</v>
      </c>
      <c r="B8" s="329" t="s">
        <v>98</v>
      </c>
      <c r="C8" s="330"/>
      <c r="D8" s="830" t="s">
        <v>155</v>
      </c>
      <c r="E8" s="830"/>
      <c r="F8" s="331"/>
      <c r="G8" s="830" t="s">
        <v>156</v>
      </c>
      <c r="H8" s="830"/>
      <c r="I8" s="332"/>
      <c r="J8" s="331"/>
      <c r="K8" s="325" t="s">
        <v>26</v>
      </c>
      <c r="L8" s="114"/>
      <c r="M8" s="114"/>
      <c r="N8" s="114"/>
      <c r="O8" s="114"/>
    </row>
    <row r="9" spans="1:15" ht="13">
      <c r="A9" s="148"/>
      <c r="B9" s="40" t="s">
        <v>55</v>
      </c>
      <c r="C9" s="40"/>
      <c r="D9" s="40" t="s">
        <v>56</v>
      </c>
      <c r="E9" s="40" t="s">
        <v>62</v>
      </c>
      <c r="F9" s="40"/>
      <c r="G9" s="40" t="s">
        <v>57</v>
      </c>
      <c r="H9" s="40" t="s">
        <v>58</v>
      </c>
      <c r="I9" s="40"/>
      <c r="J9" s="120"/>
      <c r="K9" s="40" t="s">
        <v>59</v>
      </c>
      <c r="L9" s="114"/>
      <c r="M9" s="114"/>
      <c r="N9" s="114"/>
      <c r="O9" s="114"/>
    </row>
    <row r="10" spans="1:15" ht="13">
      <c r="A10" s="148"/>
      <c r="B10" s="40"/>
      <c r="C10" s="40"/>
      <c r="D10" s="40"/>
      <c r="E10" s="40"/>
      <c r="F10" s="40"/>
      <c r="G10" s="40"/>
      <c r="H10" s="40"/>
      <c r="I10" s="40"/>
      <c r="J10" s="120"/>
      <c r="K10" s="40"/>
      <c r="L10" s="114"/>
      <c r="M10" s="114"/>
      <c r="N10" s="114"/>
      <c r="O10" s="114"/>
    </row>
    <row r="11" spans="1:15" ht="12.5">
      <c r="A11" s="150">
        <v>1</v>
      </c>
      <c r="B11" s="110" t="s">
        <v>142</v>
      </c>
      <c r="C11" s="125"/>
      <c r="D11" s="409"/>
      <c r="E11" s="409">
        <v>-1340292.6699999999</v>
      </c>
      <c r="F11" s="409"/>
      <c r="G11" s="409"/>
      <c r="H11" s="764">
        <v>0</v>
      </c>
      <c r="I11" s="409"/>
      <c r="J11" s="75"/>
      <c r="K11" s="75">
        <f>SUM(E11:I11)</f>
        <v>-1340292.6699999999</v>
      </c>
      <c r="L11" s="114"/>
      <c r="M11" s="114"/>
      <c r="N11" s="114"/>
      <c r="O11" s="114"/>
    </row>
    <row r="12" spans="1:15" ht="12.5">
      <c r="A12" s="122">
        <f t="shared" si="0" ref="A12:A32">A11+1</f>
        <v>2</v>
      </c>
      <c r="B12" s="125" t="s">
        <v>143</v>
      </c>
      <c r="C12" s="125"/>
      <c r="D12" s="424" t="s">
        <v>144</v>
      </c>
      <c r="E12" s="424"/>
      <c r="F12" s="393"/>
      <c r="G12" s="424" t="s">
        <v>144</v>
      </c>
      <c r="H12" s="424"/>
      <c r="I12" s="393"/>
      <c r="J12" s="29"/>
      <c r="K12" s="29"/>
      <c r="L12" s="114"/>
      <c r="M12" s="114"/>
      <c r="N12" s="114"/>
      <c r="O12" s="114"/>
    </row>
    <row r="13" spans="1:15" ht="12.5">
      <c r="A13" s="122">
        <f t="shared" si="0"/>
        <v>3</v>
      </c>
      <c r="B13" s="697">
        <v>44197</v>
      </c>
      <c r="C13" s="125"/>
      <c r="D13" s="424">
        <v>0</v>
      </c>
      <c r="E13" s="424">
        <f>E11+D13</f>
        <v>-1340292.6699999999</v>
      </c>
      <c r="F13" s="393"/>
      <c r="G13" s="424">
        <v>0</v>
      </c>
      <c r="H13" s="424">
        <f>G13+H11</f>
        <v>0</v>
      </c>
      <c r="I13" s="393"/>
      <c r="J13" s="29"/>
      <c r="K13" s="29">
        <f t="shared" si="1" ref="K13:K24">E13+H13</f>
        <v>-1340292.6699999999</v>
      </c>
      <c r="L13" s="114"/>
      <c r="M13" s="114"/>
      <c r="N13" s="114"/>
      <c r="O13" s="114"/>
    </row>
    <row r="14" spans="1:15" ht="12.5">
      <c r="A14" s="122">
        <f t="shared" si="0"/>
        <v>4</v>
      </c>
      <c r="B14" s="697">
        <v>44255</v>
      </c>
      <c r="C14" s="125"/>
      <c r="D14" s="424">
        <v>0</v>
      </c>
      <c r="E14" s="424">
        <f t="shared" si="2" ref="E14:E24">E13+D14</f>
        <v>-1340292.6699999999</v>
      </c>
      <c r="F14" s="411"/>
      <c r="G14" s="424">
        <v>0</v>
      </c>
      <c r="H14" s="411">
        <f t="shared" si="3" ref="H14:H24">H13+G14</f>
        <v>0</v>
      </c>
      <c r="I14" s="411"/>
      <c r="J14" s="29"/>
      <c r="K14" s="29">
        <f t="shared" si="1"/>
        <v>-1340292.6699999999</v>
      </c>
      <c r="L14" s="114"/>
      <c r="M14" s="114"/>
      <c r="N14" s="114"/>
      <c r="O14" s="114"/>
    </row>
    <row r="15" spans="1:15" ht="12.5">
      <c r="A15" s="122">
        <f t="shared" si="0"/>
        <v>5</v>
      </c>
      <c r="B15" s="697">
        <v>44286</v>
      </c>
      <c r="C15" s="125"/>
      <c r="D15" s="424">
        <v>272335.78999999998</v>
      </c>
      <c r="E15" s="424">
        <f t="shared" si="2"/>
        <v>-1067956.8799999999</v>
      </c>
      <c r="F15" s="411"/>
      <c r="G15" s="424">
        <v>0</v>
      </c>
      <c r="H15" s="411">
        <f t="shared" si="3"/>
        <v>0</v>
      </c>
      <c r="I15" s="411"/>
      <c r="J15" s="29"/>
      <c r="K15" s="29">
        <f t="shared" si="1"/>
        <v>-1067956.8799999999</v>
      </c>
      <c r="L15" s="114"/>
      <c r="M15" s="114"/>
      <c r="N15" s="114"/>
      <c r="O15" s="114"/>
    </row>
    <row r="16" spans="1:15" ht="12.5">
      <c r="A16" s="122">
        <f t="shared" si="0"/>
        <v>6</v>
      </c>
      <c r="B16" s="697">
        <v>44316</v>
      </c>
      <c r="C16" s="125"/>
      <c r="D16" s="701">
        <v>0</v>
      </c>
      <c r="E16" s="424">
        <f t="shared" si="2"/>
        <v>-1067956.8799999999</v>
      </c>
      <c r="F16" s="411"/>
      <c r="G16" s="701">
        <v>0</v>
      </c>
      <c r="H16" s="411">
        <f t="shared" si="3"/>
        <v>0</v>
      </c>
      <c r="I16" s="411"/>
      <c r="J16" s="29"/>
      <c r="K16" s="29">
        <f t="shared" si="1"/>
        <v>-1067956.8799999999</v>
      </c>
      <c r="L16" s="114"/>
      <c r="M16" s="114"/>
      <c r="N16" s="114"/>
      <c r="O16" s="114"/>
    </row>
    <row r="17" spans="1:15" ht="12.5">
      <c r="A17" s="122">
        <f t="shared" si="0"/>
        <v>7</v>
      </c>
      <c r="B17" s="697">
        <v>44347</v>
      </c>
      <c r="C17" s="125"/>
      <c r="D17" s="424">
        <v>0</v>
      </c>
      <c r="E17" s="424">
        <f t="shared" si="2"/>
        <v>-1067956.8799999999</v>
      </c>
      <c r="F17" s="411"/>
      <c r="G17" s="424">
        <v>0</v>
      </c>
      <c r="H17" s="411">
        <f t="shared" si="3"/>
        <v>0</v>
      </c>
      <c r="I17" s="411"/>
      <c r="J17" s="29"/>
      <c r="K17" s="29">
        <f t="shared" si="1"/>
        <v>-1067956.8799999999</v>
      </c>
      <c r="L17" s="114"/>
      <c r="M17" s="114"/>
      <c r="N17" s="114"/>
      <c r="O17" s="114"/>
    </row>
    <row r="18" spans="1:15" ht="12.5">
      <c r="A18" s="122">
        <f t="shared" si="0"/>
        <v>8</v>
      </c>
      <c r="B18" s="697">
        <v>44377</v>
      </c>
      <c r="C18" s="125"/>
      <c r="D18" s="424">
        <v>-201388.06</v>
      </c>
      <c r="E18" s="424">
        <f t="shared" si="2"/>
        <v>-1269344.9399999999</v>
      </c>
      <c r="F18" s="411"/>
      <c r="G18" s="424">
        <v>0</v>
      </c>
      <c r="H18" s="411">
        <f t="shared" si="3"/>
        <v>0</v>
      </c>
      <c r="I18" s="411"/>
      <c r="J18" s="29"/>
      <c r="K18" s="29">
        <f t="shared" si="1"/>
        <v>-1269344.9399999999</v>
      </c>
      <c r="L18" s="114"/>
      <c r="M18" s="114"/>
      <c r="N18" s="114"/>
      <c r="O18" s="114"/>
    </row>
    <row r="19" spans="1:15" ht="12.5">
      <c r="A19" s="122">
        <f t="shared" si="0"/>
        <v>9</v>
      </c>
      <c r="B19" s="697">
        <v>44408</v>
      </c>
      <c r="C19" s="125"/>
      <c r="D19" s="424">
        <v>0</v>
      </c>
      <c r="E19" s="424">
        <f t="shared" si="2"/>
        <v>-1269344.9399999999</v>
      </c>
      <c r="F19" s="411"/>
      <c r="G19" s="701">
        <v>0</v>
      </c>
      <c r="H19" s="411">
        <f t="shared" si="3"/>
        <v>0</v>
      </c>
      <c r="I19" s="411"/>
      <c r="J19" s="29"/>
      <c r="K19" s="29">
        <f t="shared" si="1"/>
        <v>-1269344.9399999999</v>
      </c>
      <c r="L19" s="114"/>
      <c r="M19" s="114"/>
      <c r="N19" s="114"/>
      <c r="O19" s="114"/>
    </row>
    <row r="20" spans="1:15" ht="12.5">
      <c r="A20" s="122">
        <f t="shared" si="0"/>
        <v>10</v>
      </c>
      <c r="B20" s="697">
        <v>44439</v>
      </c>
      <c r="C20" s="125"/>
      <c r="D20" s="424">
        <v>0</v>
      </c>
      <c r="E20" s="424">
        <f t="shared" si="2"/>
        <v>-1269344.9399999999</v>
      </c>
      <c r="F20" s="411"/>
      <c r="G20" s="424">
        <v>0</v>
      </c>
      <c r="H20" s="411">
        <f t="shared" si="3"/>
        <v>0</v>
      </c>
      <c r="I20" s="411"/>
      <c r="J20" s="29"/>
      <c r="K20" s="29">
        <f t="shared" si="1"/>
        <v>-1269344.9399999999</v>
      </c>
      <c r="L20" s="114"/>
      <c r="M20" s="114"/>
      <c r="N20" s="114"/>
      <c r="O20" s="114"/>
    </row>
    <row r="21" spans="1:15" ht="12.5">
      <c r="A21" s="122">
        <f t="shared" si="0"/>
        <v>11</v>
      </c>
      <c r="B21" s="697">
        <v>44469</v>
      </c>
      <c r="C21" s="125"/>
      <c r="D21" s="424">
        <v>-119406.47</v>
      </c>
      <c r="E21" s="424">
        <f t="shared" si="2"/>
        <v>-1388751.4099999999</v>
      </c>
      <c r="F21" s="411"/>
      <c r="G21" s="424">
        <v>0</v>
      </c>
      <c r="H21" s="411">
        <f t="shared" si="3"/>
        <v>0</v>
      </c>
      <c r="I21" s="411"/>
      <c r="J21" s="29"/>
      <c r="K21" s="29">
        <f t="shared" si="1"/>
        <v>-1388751.4099999999</v>
      </c>
      <c r="L21" s="114"/>
      <c r="M21" s="114"/>
      <c r="N21" s="114"/>
      <c r="O21" s="114"/>
    </row>
    <row r="22" spans="1:15" ht="12.5">
      <c r="A22" s="122">
        <f t="shared" si="0"/>
        <v>12</v>
      </c>
      <c r="B22" s="697">
        <v>44500</v>
      </c>
      <c r="C22" s="125"/>
      <c r="D22" s="424">
        <v>0</v>
      </c>
      <c r="E22" s="424">
        <f t="shared" si="2"/>
        <v>-1388751.4099999999</v>
      </c>
      <c r="F22" s="411"/>
      <c r="G22" s="424">
        <v>0</v>
      </c>
      <c r="H22" s="411">
        <f t="shared" si="3"/>
        <v>0</v>
      </c>
      <c r="I22" s="411"/>
      <c r="J22" s="29"/>
      <c r="K22" s="29">
        <f t="shared" si="1"/>
        <v>-1388751.4099999999</v>
      </c>
      <c r="L22" s="114"/>
      <c r="M22" s="114"/>
      <c r="N22" s="114"/>
      <c r="O22" s="114"/>
    </row>
    <row r="23" spans="1:15" ht="12.5">
      <c r="A23" s="122">
        <f t="shared" si="0"/>
        <v>13</v>
      </c>
      <c r="B23" s="697">
        <v>44530</v>
      </c>
      <c r="C23" s="125"/>
      <c r="D23" s="424">
        <v>0</v>
      </c>
      <c r="E23" s="424">
        <f t="shared" si="2"/>
        <v>-1388751.4099999999</v>
      </c>
      <c r="F23" s="411"/>
      <c r="G23" s="424">
        <v>0</v>
      </c>
      <c r="H23" s="411">
        <f t="shared" si="3"/>
        <v>0</v>
      </c>
      <c r="I23" s="411"/>
      <c r="J23" s="29"/>
      <c r="K23" s="29">
        <f t="shared" si="1"/>
        <v>-1388751.4099999999</v>
      </c>
      <c r="L23" s="114"/>
      <c r="M23" s="114"/>
      <c r="N23" s="114"/>
      <c r="O23" s="114"/>
    </row>
    <row r="24" spans="1:15" ht="12.5">
      <c r="A24" s="122">
        <f t="shared" si="0"/>
        <v>14</v>
      </c>
      <c r="B24" s="697">
        <v>44561</v>
      </c>
      <c r="C24" s="125"/>
      <c r="D24" s="424">
        <v>-600364.95000000007</v>
      </c>
      <c r="E24" s="424">
        <f t="shared" si="2"/>
        <v>-1989116.3599999999</v>
      </c>
      <c r="F24" s="411"/>
      <c r="G24" s="424">
        <v>0</v>
      </c>
      <c r="H24" s="411">
        <f t="shared" si="3"/>
        <v>0</v>
      </c>
      <c r="I24" s="411"/>
      <c r="J24" s="29"/>
      <c r="K24" s="29">
        <f t="shared" si="1"/>
        <v>-1989116.3599999999</v>
      </c>
      <c r="L24" s="114"/>
      <c r="M24" s="114"/>
      <c r="N24" s="114"/>
      <c r="O24" s="114"/>
    </row>
    <row r="25" spans="1:15" ht="12.5">
      <c r="A25" s="122">
        <f t="shared" si="0"/>
        <v>15</v>
      </c>
      <c r="B25" s="666" t="s">
        <v>690</v>
      </c>
      <c r="C25" s="125"/>
      <c r="D25" s="411">
        <f>SUM(D13:D24)+E11</f>
        <v>-1989116.3599999999</v>
      </c>
      <c r="E25" s="411"/>
      <c r="F25" s="411"/>
      <c r="G25" s="411">
        <v>0</v>
      </c>
      <c r="H25" s="411"/>
      <c r="I25" s="411"/>
      <c r="J25" s="29"/>
      <c r="K25" s="29"/>
      <c r="L25" s="114"/>
      <c r="M25" s="114"/>
      <c r="N25" s="114"/>
      <c r="O25" s="114"/>
    </row>
    <row r="26" spans="1:15" ht="12.5">
      <c r="A26" s="122">
        <f t="shared" si="0"/>
        <v>16</v>
      </c>
      <c r="B26" s="125" t="s">
        <v>145</v>
      </c>
      <c r="C26" s="416"/>
      <c r="D26" s="416"/>
      <c r="E26" s="416">
        <f>SUM(E11:E24)</f>
        <v>-17188154.059999999</v>
      </c>
      <c r="F26" s="416"/>
      <c r="G26" s="416"/>
      <c r="H26" s="416">
        <f>SUM(H11:H24)</f>
        <v>0</v>
      </c>
      <c r="I26" s="416"/>
      <c r="J26" s="416"/>
      <c r="K26" s="416">
        <f>SUM(K11:K24)</f>
        <v>-17188154.059999999</v>
      </c>
      <c r="L26" s="114"/>
      <c r="M26" s="114"/>
      <c r="N26" s="114"/>
      <c r="O26" s="114"/>
    </row>
    <row r="27" spans="1:15" ht="13" thickBot="1">
      <c r="A27" s="122">
        <f t="shared" si="0"/>
        <v>17</v>
      </c>
      <c r="B27" s="125" t="s">
        <v>27</v>
      </c>
      <c r="C27" s="425"/>
      <c r="D27" s="426"/>
      <c r="E27" s="403">
        <f>E26/13</f>
        <v>-1322165.6969230769</v>
      </c>
      <c r="F27" s="403"/>
      <c r="G27" s="403"/>
      <c r="H27" s="403">
        <f>H26/13</f>
        <v>0</v>
      </c>
      <c r="I27" s="403"/>
      <c r="J27" s="390"/>
      <c r="K27" s="427">
        <f>K26/13</f>
        <v>-1322165.6969230769</v>
      </c>
      <c r="L27" s="415"/>
      <c r="M27" s="114"/>
      <c r="N27" s="114"/>
      <c r="O27" s="114"/>
    </row>
    <row r="28" spans="1:15" ht="13.5" thickTop="1">
      <c r="A28" s="122">
        <f t="shared" si="0"/>
        <v>18</v>
      </c>
      <c r="B28" s="120"/>
      <c r="K28" s="143"/>
      <c r="L28" s="114"/>
      <c r="M28" s="114"/>
      <c r="N28" s="114"/>
      <c r="O28" s="114"/>
    </row>
    <row r="29" spans="1:2" ht="12.5">
      <c r="A29" s="122">
        <f t="shared" si="0"/>
        <v>19</v>
      </c>
      <c r="B29" s="125" t="s">
        <v>157</v>
      </c>
    </row>
    <row r="30" spans="1:2" ht="12.5">
      <c r="A30" s="122">
        <f t="shared" si="0"/>
        <v>20</v>
      </c>
      <c r="B30" s="136" t="s">
        <v>158</v>
      </c>
    </row>
    <row r="31" spans="1:1" ht="12.5">
      <c r="A31" s="122">
        <f t="shared" si="0"/>
        <v>21</v>
      </c>
    </row>
    <row r="32" spans="1:4" ht="12.5">
      <c r="A32" s="122">
        <f t="shared" si="0"/>
        <v>22</v>
      </c>
      <c r="B32" s="31" t="s">
        <v>256</v>
      </c>
      <c r="D32" s="293" t="s">
        <v>476</v>
      </c>
    </row>
  </sheetData>
  <mergeCells count="4">
    <mergeCell ref="D7:E7"/>
    <mergeCell ref="G7:H7"/>
    <mergeCell ref="D8:E8"/>
    <mergeCell ref="G8:H8"/>
  </mergeCells>
  <hyperlinks>
    <hyperlink ref="D32" r:id="rId1" display="Misc items - TRN.xlsx"/>
  </hyperlinks>
  <printOptions horizontalCentered="1"/>
  <pageMargins left="0.5" right="0.5" top="1.5" bottom="0.5" header="1" footer="0.5"/>
  <pageSetup orientation="landscape" r:id="rId3"/>
  <headerFooter alignWithMargins="0">
    <oddHeader>&amp;RWP/II-B-9/&amp;A
Page &amp;P of &amp;N</oddHead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6">
    <tabColor rgb="FF92D050"/>
    <pageSetUpPr fitToPage="1"/>
  </sheetPr>
  <dimension ref="A1:J30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9.42857142857143" style="119" bestFit="1" customWidth="1"/>
    <col min="2" max="2" width="17.5714285714286" style="119" customWidth="1"/>
    <col min="3" max="3" width="2" style="119" customWidth="1"/>
    <col min="4" max="4" width="15.4285714285714" style="120" bestFit="1" customWidth="1"/>
    <col min="5" max="5" width="2" style="120" customWidth="1"/>
    <col min="6" max="6" width="22.8571428571429" style="120" customWidth="1"/>
    <col min="7" max="7" width="15.5714285714286" style="119" bestFit="1" customWidth="1"/>
    <col min="8" max="8" width="2" style="119" customWidth="1"/>
    <col min="9" max="9" width="23.8571428571429" style="119" customWidth="1"/>
    <col min="10" max="10" width="15.1428571428571" style="119" bestFit="1" customWidth="1"/>
    <col min="11" max="12" width="9.42857142857143" style="119" customWidth="1"/>
    <col min="13" max="13" width="15.8571428571429" style="119" customWidth="1"/>
    <col min="14" max="16384" width="9.14285714285714" style="119"/>
  </cols>
  <sheetData>
    <row r="1" spans="1:6" s="42" customFormat="1" ht="13">
      <c r="A1" s="181" t="s">
        <v>530</v>
      </c>
      <c r="C1" s="181"/>
      <c r="D1" s="131"/>
      <c r="E1" s="131"/>
      <c r="F1" s="131"/>
    </row>
    <row r="2" spans="1:6" s="42" customFormat="1" ht="13">
      <c r="A2" s="181" t="str">
        <f>' '!A2</f>
        <v>ONCOR ELECTRIC DELIVERY COMPANY LLC</v>
      </c>
      <c r="C2" s="181"/>
      <c r="D2" s="131"/>
      <c r="E2" s="131"/>
      <c r="F2" s="131"/>
    </row>
    <row r="3" spans="1:6" s="42" customFormat="1" ht="13">
      <c r="A3" s="181" t="s">
        <v>191</v>
      </c>
      <c r="C3" s="181"/>
      <c r="D3" s="131"/>
      <c r="E3" s="131"/>
      <c r="F3" s="131"/>
    </row>
    <row r="4" spans="1:6" s="42" customFormat="1" ht="13">
      <c r="A4" s="817" t="s">
        <v>928</v>
      </c>
      <c r="C4" s="181"/>
      <c r="D4" s="131"/>
      <c r="E4" s="131"/>
      <c r="F4" s="131"/>
    </row>
    <row r="5" spans="1:6" s="42" customFormat="1" ht="13">
      <c r="A5" s="181" t="s">
        <v>524</v>
      </c>
      <c r="C5" s="181"/>
      <c r="D5" s="131"/>
      <c r="E5" s="131"/>
      <c r="F5" s="131"/>
    </row>
    <row r="7" spans="1:10" s="123" customFormat="1" ht="13">
      <c r="A7" s="202" t="s">
        <v>219</v>
      </c>
      <c r="B7" s="319"/>
      <c r="C7" s="319"/>
      <c r="D7" s="320" t="s">
        <v>146</v>
      </c>
      <c r="E7" s="320"/>
      <c r="F7" s="141"/>
      <c r="G7" s="321" t="s">
        <v>147</v>
      </c>
      <c r="H7" s="321"/>
      <c r="I7" s="322"/>
      <c r="J7" s="319"/>
    </row>
    <row r="8" spans="1:10" ht="13">
      <c r="A8" s="203" t="s">
        <v>220</v>
      </c>
      <c r="B8" s="323" t="s">
        <v>98</v>
      </c>
      <c r="C8" s="324"/>
      <c r="D8" s="323" t="s">
        <v>148</v>
      </c>
      <c r="E8" s="323"/>
      <c r="F8" s="323" t="s">
        <v>149</v>
      </c>
      <c r="G8" s="325" t="s">
        <v>150</v>
      </c>
      <c r="H8" s="325"/>
      <c r="I8" s="323" t="s">
        <v>149</v>
      </c>
      <c r="J8" s="323" t="s">
        <v>26</v>
      </c>
    </row>
    <row r="9" spans="1:10" ht="13">
      <c r="A9" s="148"/>
      <c r="B9" s="40" t="s">
        <v>55</v>
      </c>
      <c r="C9" s="40"/>
      <c r="D9" s="40" t="s">
        <v>56</v>
      </c>
      <c r="E9" s="109"/>
      <c r="F9" s="40" t="s">
        <v>62</v>
      </c>
      <c r="G9" s="40" t="s">
        <v>57</v>
      </c>
      <c r="H9" s="109"/>
      <c r="I9" s="40" t="s">
        <v>58</v>
      </c>
      <c r="J9" s="40" t="s">
        <v>59</v>
      </c>
    </row>
    <row r="10" spans="1:10" ht="13">
      <c r="A10" s="148"/>
      <c r="B10" s="40"/>
      <c r="C10" s="40"/>
      <c r="D10" s="40"/>
      <c r="E10" s="109"/>
      <c r="F10" s="40"/>
      <c r="G10" s="40"/>
      <c r="H10" s="109"/>
      <c r="I10" s="40"/>
      <c r="J10" s="40"/>
    </row>
    <row r="11" spans="1:10" ht="12.5">
      <c r="A11" s="150">
        <v>1</v>
      </c>
      <c r="B11" s="110" t="s">
        <v>142</v>
      </c>
      <c r="C11" s="125"/>
      <c r="D11" s="387">
        <f>+'13-3-2-1'!D11</f>
        <v>3902241.3599999999</v>
      </c>
      <c r="E11" s="387"/>
      <c r="F11" s="419" t="s">
        <v>370</v>
      </c>
      <c r="G11" s="415">
        <f>'13-3-2-2'!J11</f>
        <v>-11142647.33</v>
      </c>
      <c r="H11" s="415"/>
      <c r="I11" s="419" t="s">
        <v>371</v>
      </c>
      <c r="J11" s="415">
        <f>SUM(D11:I11)</f>
        <v>-7240405.9700000007</v>
      </c>
    </row>
    <row r="12" spans="1:10" ht="12.5">
      <c r="A12" s="122">
        <f t="shared" si="0" ref="A12:A30">A11+1</f>
        <v>2</v>
      </c>
      <c r="B12" s="125" t="s">
        <v>143</v>
      </c>
      <c r="C12" s="125"/>
      <c r="D12" s="132"/>
      <c r="E12" s="111"/>
      <c r="F12" s="126"/>
      <c r="G12" s="246"/>
      <c r="H12" s="246"/>
      <c r="I12" s="247"/>
      <c r="J12" s="246"/>
    </row>
    <row r="13" spans="1:10" ht="12.5">
      <c r="A13" s="122">
        <f t="shared" si="0"/>
        <v>3</v>
      </c>
      <c r="B13" s="697">
        <v>44197</v>
      </c>
      <c r="C13" s="125"/>
      <c r="D13" s="132">
        <f>+'13-3-2-1'!D12</f>
        <v>0</v>
      </c>
      <c r="E13" s="111"/>
      <c r="F13" s="126" t="s">
        <v>370</v>
      </c>
      <c r="G13" s="642">
        <f>'13-3-2-2'!J13</f>
        <v>-11142647.33</v>
      </c>
      <c r="H13" s="44"/>
      <c r="I13" s="126" t="s">
        <v>371</v>
      </c>
      <c r="J13" s="271">
        <f t="shared" si="1" ref="J13:J24">SUM(D13:G13)</f>
        <v>-11142647.33</v>
      </c>
    </row>
    <row r="14" spans="1:10" ht="12.5">
      <c r="A14" s="122">
        <f t="shared" si="0"/>
        <v>4</v>
      </c>
      <c r="B14" s="697">
        <v>44255</v>
      </c>
      <c r="C14" s="125"/>
      <c r="D14" s="132">
        <f>+'13-3-2-1'!D13</f>
        <v>0</v>
      </c>
      <c r="E14" s="111"/>
      <c r="F14" s="126" t="s">
        <v>370</v>
      </c>
      <c r="G14" s="642">
        <f>'13-3-2-2'!J14</f>
        <v>-11142647.33</v>
      </c>
      <c r="H14" s="44"/>
      <c r="I14" s="126" t="s">
        <v>371</v>
      </c>
      <c r="J14" s="271">
        <f t="shared" si="1"/>
        <v>-11142647.33</v>
      </c>
    </row>
    <row r="15" spans="1:10" ht="12.5">
      <c r="A15" s="122">
        <f t="shared" si="0"/>
        <v>5</v>
      </c>
      <c r="B15" s="697">
        <v>44286</v>
      </c>
      <c r="C15" s="125"/>
      <c r="D15" s="132">
        <f>+'13-3-2-1'!D14</f>
        <v>3865088.7199999988</v>
      </c>
      <c r="E15" s="111"/>
      <c r="F15" s="126" t="s">
        <v>370</v>
      </c>
      <c r="G15" s="642">
        <f>'13-3-2-2'!J15</f>
        <v>-9721883.120000001</v>
      </c>
      <c r="H15" s="44"/>
      <c r="I15" s="126" t="s">
        <v>371</v>
      </c>
      <c r="J15" s="271">
        <f t="shared" si="1"/>
        <v>-5856794.4000000022</v>
      </c>
    </row>
    <row r="16" spans="1:10" ht="12.5">
      <c r="A16" s="122">
        <f t="shared" si="0"/>
        <v>6</v>
      </c>
      <c r="B16" s="697">
        <v>44316</v>
      </c>
      <c r="C16" s="125"/>
      <c r="D16" s="132">
        <f>+'13-3-2-1'!D15</f>
        <v>0</v>
      </c>
      <c r="E16" s="111"/>
      <c r="F16" s="126" t="s">
        <v>370</v>
      </c>
      <c r="G16" s="642">
        <f>'13-3-2-2'!J16</f>
        <v>-9721883.120000001</v>
      </c>
      <c r="H16" s="44"/>
      <c r="I16" s="126" t="s">
        <v>371</v>
      </c>
      <c r="J16" s="271">
        <f t="shared" si="1"/>
        <v>-9721883.120000001</v>
      </c>
    </row>
    <row r="17" spans="1:10" ht="12.5">
      <c r="A17" s="122">
        <f t="shared" si="0"/>
        <v>7</v>
      </c>
      <c r="B17" s="697">
        <v>44347</v>
      </c>
      <c r="C17" s="125"/>
      <c r="D17" s="132">
        <f>+'13-3-2-1'!D16</f>
        <v>0</v>
      </c>
      <c r="E17" s="111"/>
      <c r="F17" s="126" t="s">
        <v>370</v>
      </c>
      <c r="G17" s="642">
        <f>'13-3-2-2'!J17</f>
        <v>-9721883.120000001</v>
      </c>
      <c r="H17" s="44"/>
      <c r="I17" s="126" t="s">
        <v>371</v>
      </c>
      <c r="J17" s="271">
        <f t="shared" si="1"/>
        <v>-9721883.120000001</v>
      </c>
    </row>
    <row r="18" spans="1:10" ht="12.5">
      <c r="A18" s="122">
        <f t="shared" si="0"/>
        <v>8</v>
      </c>
      <c r="B18" s="697">
        <v>44377</v>
      </c>
      <c r="C18" s="125"/>
      <c r="D18" s="132">
        <f>+'13-3-2-1'!D17</f>
        <v>5816330.8299999982</v>
      </c>
      <c r="E18" s="111"/>
      <c r="F18" s="126" t="s">
        <v>370</v>
      </c>
      <c r="G18" s="642">
        <f>'13-3-2-2'!J18</f>
        <v>-13234595.060000001</v>
      </c>
      <c r="H18" s="44"/>
      <c r="I18" s="126" t="s">
        <v>371</v>
      </c>
      <c r="J18" s="271">
        <f t="shared" si="1"/>
        <v>-7418264.2300000023</v>
      </c>
    </row>
    <row r="19" spans="1:10" ht="12.5">
      <c r="A19" s="122">
        <f t="shared" si="0"/>
        <v>9</v>
      </c>
      <c r="B19" s="697">
        <v>44408</v>
      </c>
      <c r="C19" s="125"/>
      <c r="D19" s="132">
        <f>+'13-3-2-1'!D18</f>
        <v>0</v>
      </c>
      <c r="E19" s="111"/>
      <c r="F19" s="126" t="s">
        <v>370</v>
      </c>
      <c r="G19" s="642">
        <f>'13-3-2-2'!J19</f>
        <v>-13234595.060000001</v>
      </c>
      <c r="H19" s="44"/>
      <c r="I19" s="126" t="s">
        <v>371</v>
      </c>
      <c r="J19" s="271">
        <f t="shared" si="1"/>
        <v>-13234595.060000001</v>
      </c>
    </row>
    <row r="20" spans="1:10" ht="12.5">
      <c r="A20" s="122">
        <f t="shared" si="0"/>
        <v>10</v>
      </c>
      <c r="B20" s="697">
        <v>44439</v>
      </c>
      <c r="C20" s="125"/>
      <c r="D20" s="132">
        <f>+'13-3-2-1'!D19</f>
        <v>0</v>
      </c>
      <c r="E20" s="111"/>
      <c r="F20" s="126" t="s">
        <v>370</v>
      </c>
      <c r="G20" s="642">
        <f>'13-3-2-2'!J20</f>
        <v>-13234595.060000001</v>
      </c>
      <c r="H20" s="44"/>
      <c r="I20" s="126" t="s">
        <v>371</v>
      </c>
      <c r="J20" s="271">
        <f t="shared" si="1"/>
        <v>-13234595.060000001</v>
      </c>
    </row>
    <row r="21" spans="1:10" ht="12.5">
      <c r="A21" s="122">
        <f t="shared" si="0"/>
        <v>11</v>
      </c>
      <c r="B21" s="697">
        <v>44469</v>
      </c>
      <c r="C21" s="125"/>
      <c r="D21" s="132">
        <f>+'13-3-2-1'!D20</f>
        <v>6010722.7000000179</v>
      </c>
      <c r="E21" s="111"/>
      <c r="F21" s="126" t="s">
        <v>370</v>
      </c>
      <c r="G21" s="642">
        <f>'13-3-2-2'!J21</f>
        <v>-13650788.59</v>
      </c>
      <c r="H21" s="44"/>
      <c r="I21" s="126" t="s">
        <v>371</v>
      </c>
      <c r="J21" s="271">
        <f t="shared" si="1"/>
        <v>-7640065.889999982</v>
      </c>
    </row>
    <row r="22" spans="1:10" ht="12.5">
      <c r="A22" s="122">
        <f t="shared" si="0"/>
        <v>12</v>
      </c>
      <c r="B22" s="697">
        <v>44500</v>
      </c>
      <c r="C22" s="125"/>
      <c r="D22" s="132">
        <f>+'13-3-2-1'!D21</f>
        <v>0</v>
      </c>
      <c r="E22" s="111"/>
      <c r="F22" s="126" t="s">
        <v>370</v>
      </c>
      <c r="G22" s="642">
        <f>'13-3-2-2'!J22</f>
        <v>-13650788.59</v>
      </c>
      <c r="H22" s="44"/>
      <c r="I22" s="126" t="s">
        <v>371</v>
      </c>
      <c r="J22" s="271">
        <f t="shared" si="1"/>
        <v>-13650788.59</v>
      </c>
    </row>
    <row r="23" spans="1:10" ht="12.5">
      <c r="A23" s="122">
        <f t="shared" si="0"/>
        <v>13</v>
      </c>
      <c r="B23" s="697">
        <v>44530</v>
      </c>
      <c r="C23" s="125"/>
      <c r="D23" s="132">
        <f>+'13-3-2-1'!D22</f>
        <v>0</v>
      </c>
      <c r="E23" s="111"/>
      <c r="F23" s="126" t="s">
        <v>370</v>
      </c>
      <c r="G23" s="642">
        <f>'13-3-2-2'!J23</f>
        <v>-13650788.59</v>
      </c>
      <c r="H23" s="44"/>
      <c r="I23" s="126" t="s">
        <v>371</v>
      </c>
      <c r="J23" s="271">
        <f t="shared" si="1"/>
        <v>-13650788.59</v>
      </c>
    </row>
    <row r="24" spans="1:10" ht="12.5">
      <c r="A24" s="122">
        <f t="shared" si="0"/>
        <v>14</v>
      </c>
      <c r="B24" s="697">
        <v>44561</v>
      </c>
      <c r="C24" s="125"/>
      <c r="D24" s="132">
        <f>+'13-3-2-1'!D23</f>
        <v>2843497.8400000185</v>
      </c>
      <c r="E24" s="111"/>
      <c r="F24" s="126" t="s">
        <v>370</v>
      </c>
      <c r="G24" s="642">
        <f>'13-3-2-2'!J24</f>
        <v>-12549523.640000001</v>
      </c>
      <c r="H24" s="44"/>
      <c r="I24" s="126" t="s">
        <v>371</v>
      </c>
      <c r="J24" s="271">
        <f t="shared" si="1"/>
        <v>-9706025.7999999821</v>
      </c>
    </row>
    <row r="25" spans="1:10" ht="13">
      <c r="A25" s="122">
        <f t="shared" si="0"/>
        <v>15</v>
      </c>
      <c r="B25" s="125"/>
      <c r="C25" s="125"/>
      <c r="D25" s="135"/>
      <c r="E25" s="125"/>
      <c r="F25" s="133"/>
      <c r="G25" s="248"/>
      <c r="H25" s="44"/>
      <c r="I25" s="133"/>
      <c r="J25" s="249"/>
    </row>
    <row r="26" spans="1:10" ht="13">
      <c r="A26" s="122">
        <f t="shared" si="0"/>
        <v>16</v>
      </c>
      <c r="B26" s="125" t="s">
        <v>430</v>
      </c>
      <c r="C26" s="125"/>
      <c r="D26" s="416">
        <f>SUM(D11:D24)</f>
        <v>22437881.450000033</v>
      </c>
      <c r="E26" s="416"/>
      <c r="F26" s="417"/>
      <c r="G26" s="416">
        <f>SUM(G11:G24)</f>
        <v>-155799265.94</v>
      </c>
      <c r="H26" s="350"/>
      <c r="I26" s="417"/>
      <c r="J26" s="350">
        <f>SUM(J11:J24)</f>
        <v>-133361384.49</v>
      </c>
    </row>
    <row r="27" spans="1:10" ht="13.5" thickBot="1">
      <c r="A27" s="122">
        <f t="shared" si="0"/>
        <v>17</v>
      </c>
      <c r="B27" s="125" t="s">
        <v>431</v>
      </c>
      <c r="C27" s="125"/>
      <c r="D27" s="702">
        <f>D26/5</f>
        <v>4487576.2900000066</v>
      </c>
      <c r="E27" s="403"/>
      <c r="F27" s="418"/>
      <c r="G27" s="390">
        <f>G26/13</f>
        <v>-11984558.918461539</v>
      </c>
      <c r="H27" s="390"/>
      <c r="I27" s="418"/>
      <c r="J27" s="403">
        <f>+D27+G27</f>
        <v>-7496982.6284615323</v>
      </c>
    </row>
    <row r="28" spans="1:10" ht="13.5" thickTop="1">
      <c r="A28" s="122">
        <f t="shared" si="0"/>
        <v>18</v>
      </c>
      <c r="B28" s="120"/>
      <c r="C28" s="120"/>
      <c r="D28" s="124"/>
      <c r="F28" s="134"/>
      <c r="G28" s="124"/>
      <c r="J28" s="124"/>
    </row>
    <row r="29" spans="1:6" ht="13">
      <c r="A29" s="122">
        <f t="shared" si="0"/>
        <v>19</v>
      </c>
      <c r="B29" s="120"/>
      <c r="C29" s="120"/>
      <c r="F29" s="134"/>
    </row>
    <row r="30" spans="1:4" ht="12.5">
      <c r="A30" s="122">
        <f t="shared" si="0"/>
        <v>20</v>
      </c>
      <c r="B30" s="562" t="s">
        <v>403</v>
      </c>
      <c r="C30" s="562"/>
      <c r="D30" s="566"/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8">
    <tabColor rgb="FF92D050"/>
    <pageSetUpPr fitToPage="1"/>
  </sheetPr>
  <dimension ref="A1:I30"/>
  <sheetViews>
    <sheetView workbookViewId="0" topLeftCell="A1">
      <selection pane="topLeft" activeCell="A4" sqref="A4"/>
    </sheetView>
  </sheetViews>
  <sheetFormatPr defaultColWidth="8.00428571428571" defaultRowHeight="12.75"/>
  <cols>
    <col min="1" max="1" width="9.42857142857143" style="136" bestFit="1" customWidth="1"/>
    <col min="2" max="2" width="22.4285714285714" style="136" customWidth="1"/>
    <col min="3" max="3" width="15.4285714285714" style="136" bestFit="1" customWidth="1"/>
    <col min="4" max="4" width="15.5714285714286" style="136" customWidth="1"/>
    <col min="5" max="5" width="13.5714285714286" style="136" bestFit="1" customWidth="1"/>
    <col min="6" max="16384" width="8" style="136"/>
  </cols>
  <sheetData>
    <row r="1" spans="1:4" s="42" customFormat="1" ht="13">
      <c r="A1" s="181" t="s">
        <v>530</v>
      </c>
      <c r="C1" s="181"/>
      <c r="D1" s="181"/>
    </row>
    <row r="2" spans="1:4" s="42" customFormat="1" ht="13">
      <c r="A2" s="181" t="str">
        <f>' '!A2</f>
        <v>ONCOR ELECTRIC DELIVERY COMPANY LLC</v>
      </c>
      <c r="C2" s="181"/>
      <c r="D2" s="181"/>
    </row>
    <row r="3" spans="1:4" s="42" customFormat="1" ht="13">
      <c r="A3" s="181" t="s">
        <v>193</v>
      </c>
      <c r="C3" s="181"/>
      <c r="D3" s="181"/>
    </row>
    <row r="4" spans="1:4" s="42" customFormat="1" ht="13">
      <c r="A4" s="817" t="s">
        <v>928</v>
      </c>
      <c r="C4" s="181"/>
      <c r="D4" s="181"/>
    </row>
    <row r="5" spans="1:9" s="42" customFormat="1" ht="13">
      <c r="A5" s="181" t="s">
        <v>524</v>
      </c>
      <c r="C5" s="563"/>
      <c r="D5" s="563"/>
      <c r="E5" s="563"/>
      <c r="F5" s="563"/>
      <c r="G5" s="563"/>
      <c r="H5" s="563"/>
      <c r="I5" s="565"/>
    </row>
    <row r="7" spans="1:4" s="137" customFormat="1" ht="42" customHeight="1">
      <c r="A7" s="202" t="s">
        <v>219</v>
      </c>
      <c r="B7" s="326"/>
      <c r="C7" s="327" t="s">
        <v>151</v>
      </c>
      <c r="D7" s="327" t="s">
        <v>426</v>
      </c>
    </row>
    <row r="8" spans="1:4" ht="13">
      <c r="A8" s="203" t="s">
        <v>220</v>
      </c>
      <c r="B8" s="328" t="s">
        <v>98</v>
      </c>
      <c r="C8" s="328" t="s">
        <v>152</v>
      </c>
      <c r="D8" s="328" t="s">
        <v>151</v>
      </c>
    </row>
    <row r="9" spans="1:4" ht="13">
      <c r="A9" s="148"/>
      <c r="B9" s="40" t="s">
        <v>55</v>
      </c>
      <c r="C9" s="40" t="s">
        <v>56</v>
      </c>
      <c r="D9" s="40" t="s">
        <v>62</v>
      </c>
    </row>
    <row r="10" spans="1:4" ht="13">
      <c r="A10" s="148"/>
      <c r="B10" s="40"/>
      <c r="C10" s="40"/>
      <c r="D10" s="109"/>
    </row>
    <row r="11" spans="1:5" ht="12.5">
      <c r="A11" s="150">
        <v>1</v>
      </c>
      <c r="B11" s="138" t="s">
        <v>153</v>
      </c>
      <c r="C11" s="765">
        <v>3902241.3599999999</v>
      </c>
      <c r="D11" s="422">
        <v>3902241.3599999999</v>
      </c>
      <c r="E11" s="422"/>
    </row>
    <row r="12" spans="1:5" ht="12.5">
      <c r="A12" s="138">
        <f t="shared" si="0" ref="A12:A28">A11+1</f>
        <v>2</v>
      </c>
      <c r="B12" s="697">
        <v>44197</v>
      </c>
      <c r="C12" s="765">
        <v>27320329.16</v>
      </c>
      <c r="D12" s="422">
        <v>0</v>
      </c>
      <c r="E12" s="420"/>
    </row>
    <row r="13" spans="1:5" ht="12.5">
      <c r="A13" s="138">
        <f t="shared" si="0"/>
        <v>3</v>
      </c>
      <c r="B13" s="697">
        <v>44255</v>
      </c>
      <c r="C13" s="765">
        <v>53074756.890000001</v>
      </c>
      <c r="D13" s="422">
        <v>0</v>
      </c>
      <c r="E13" s="420"/>
    </row>
    <row r="14" spans="1:5" ht="12.5">
      <c r="A14" s="138">
        <f t="shared" si="0"/>
        <v>4</v>
      </c>
      <c r="B14" s="697">
        <v>44286</v>
      </c>
      <c r="C14" s="765">
        <v>-80432238.689999998</v>
      </c>
      <c r="D14" s="422">
        <v>3865088.7199999988</v>
      </c>
      <c r="E14" s="420"/>
    </row>
    <row r="15" spans="1:5" ht="12.5">
      <c r="A15" s="138">
        <f t="shared" si="0"/>
        <v>5</v>
      </c>
      <c r="B15" s="697">
        <v>44316</v>
      </c>
      <c r="C15" s="765">
        <v>119218584.94</v>
      </c>
      <c r="D15" s="422">
        <v>0</v>
      </c>
      <c r="E15" s="420"/>
    </row>
    <row r="16" spans="1:5" ht="12.5">
      <c r="A16" s="138">
        <f t="shared" si="0"/>
        <v>6</v>
      </c>
      <c r="B16" s="697">
        <v>44347</v>
      </c>
      <c r="C16" s="765">
        <v>-3447407.25</v>
      </c>
      <c r="D16" s="422">
        <v>0</v>
      </c>
      <c r="E16" s="564"/>
    </row>
    <row r="17" spans="1:5" ht="12.5">
      <c r="A17" s="138">
        <f t="shared" si="0"/>
        <v>7</v>
      </c>
      <c r="B17" s="697">
        <v>44377</v>
      </c>
      <c r="C17" s="765">
        <v>-113819935.58</v>
      </c>
      <c r="D17" s="422">
        <v>5816330.8299999982</v>
      </c>
      <c r="E17" s="420"/>
    </row>
    <row r="18" spans="1:5" ht="12.5">
      <c r="A18" s="138">
        <f t="shared" si="0"/>
        <v>8</v>
      </c>
      <c r="B18" s="697">
        <v>44408</v>
      </c>
      <c r="C18" s="765">
        <v>135918147.83000001</v>
      </c>
      <c r="D18" s="422">
        <v>0</v>
      </c>
      <c r="E18" s="420"/>
    </row>
    <row r="19" spans="1:5" ht="12.5">
      <c r="A19" s="138">
        <f t="shared" si="0"/>
        <v>9</v>
      </c>
      <c r="B19" s="697">
        <v>44439</v>
      </c>
      <c r="C19" s="765">
        <v>2264407.2599999998</v>
      </c>
      <c r="D19" s="422">
        <v>0</v>
      </c>
      <c r="E19" s="420"/>
    </row>
    <row r="20" spans="1:5" ht="12.5">
      <c r="A20" s="138">
        <f t="shared" si="0"/>
        <v>10</v>
      </c>
      <c r="B20" s="697">
        <v>44469</v>
      </c>
      <c r="C20" s="765">
        <v>-137988163.22</v>
      </c>
      <c r="D20" s="422">
        <v>6010722.7000000179</v>
      </c>
      <c r="E20" s="420"/>
    </row>
    <row r="21" spans="1:5" ht="12.5">
      <c r="A21" s="138">
        <f t="shared" si="0"/>
        <v>11</v>
      </c>
      <c r="B21" s="697">
        <v>44500</v>
      </c>
      <c r="C21" s="765">
        <v>30390857.370000001</v>
      </c>
      <c r="D21" s="422">
        <v>0</v>
      </c>
      <c r="E21" s="420"/>
    </row>
    <row r="22" spans="1:5" ht="12.5">
      <c r="A22" s="138">
        <f t="shared" si="0"/>
        <v>12</v>
      </c>
      <c r="B22" s="697">
        <v>44530</v>
      </c>
      <c r="C22" s="765">
        <v>3697121.8599999999</v>
      </c>
      <c r="D22" s="422">
        <v>0</v>
      </c>
      <c r="E22" s="420"/>
    </row>
    <row r="23" spans="1:5" ht="12.5">
      <c r="A23" s="138">
        <f t="shared" si="0"/>
        <v>13</v>
      </c>
      <c r="B23" s="697">
        <v>44561</v>
      </c>
      <c r="C23" s="765">
        <v>-37255204.090000004</v>
      </c>
      <c r="D23" s="422">
        <v>2843497.8400000185</v>
      </c>
      <c r="E23" s="420"/>
    </row>
    <row r="24" spans="1:3" ht="12.5">
      <c r="A24" s="138">
        <f t="shared" si="0"/>
        <v>14</v>
      </c>
      <c r="B24" s="139"/>
      <c r="C24" s="421"/>
    </row>
    <row r="25" spans="1:4" ht="12.5">
      <c r="A25" s="138">
        <f t="shared" si="0"/>
        <v>15</v>
      </c>
      <c r="B25" s="105" t="s">
        <v>432</v>
      </c>
      <c r="C25" s="416">
        <f>SUM(C11:C23)</f>
        <v>2843497.8400000185</v>
      </c>
      <c r="D25" s="416">
        <f>SUM(D11:D23)</f>
        <v>22437881.450000033</v>
      </c>
    </row>
    <row r="26" spans="1:3" ht="13" thickBot="1">
      <c r="A26" s="138">
        <f t="shared" si="0"/>
        <v>16</v>
      </c>
      <c r="B26" s="105" t="s">
        <v>27</v>
      </c>
      <c r="C26" s="403">
        <f>+C25/13</f>
        <v>218730.60307692451</v>
      </c>
    </row>
    <row r="27" spans="1:4" ht="13.5" thickTop="1" thickBot="1">
      <c r="A27" s="138">
        <f t="shared" si="0"/>
        <v>17</v>
      </c>
      <c r="B27" s="423" t="s">
        <v>427</v>
      </c>
      <c r="D27" s="403">
        <f>+D25/5</f>
        <v>4487576.2900000066</v>
      </c>
    </row>
    <row r="28" spans="1:2" ht="24.75" customHeight="1" thickTop="1">
      <c r="A28" s="138">
        <f t="shared" si="0"/>
        <v>18</v>
      </c>
      <c r="B28" s="136" t="s">
        <v>428</v>
      </c>
    </row>
    <row r="29" spans="1:2" ht="12.5">
      <c r="A29" s="138">
        <f>+A28+1</f>
        <v>19</v>
      </c>
      <c r="B29" s="136" t="s">
        <v>429</v>
      </c>
    </row>
    <row r="30" spans="1:3" ht="26.25" customHeight="1">
      <c r="A30" s="138">
        <f>+A29+1</f>
        <v>20</v>
      </c>
      <c r="B30" s="31" t="s">
        <v>256</v>
      </c>
      <c r="C30" s="293" t="s">
        <v>475</v>
      </c>
    </row>
  </sheetData>
  <hyperlinks>
    <hyperlink ref="C30" r:id="rId1" display="Misc items - ESD.xlsx"/>
  </hyperlinks>
  <printOptions horizontalCentered="1"/>
  <pageMargins left="0.5" right="0.5" top="1.5" bottom="0.5" header="1" footer="0.5"/>
  <pageSetup orientation="landscape" r:id="rId3"/>
  <headerFooter alignWithMargins="0">
    <oddHeader>&amp;RWP/II-B-9/&amp;A
Page &amp;P of &amp;N</oddHead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9">
    <tabColor rgb="FF92D050"/>
    <pageSetUpPr fitToPage="1"/>
  </sheetPr>
  <dimension ref="A1:AH40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9.14285714285714" style="119"/>
    <col min="2" max="2" width="22" style="119" customWidth="1"/>
    <col min="3" max="3" width="2" style="119" customWidth="1"/>
    <col min="4" max="4" width="14.5714285714286" style="119" bestFit="1" customWidth="1"/>
    <col min="5" max="5" width="16.1428571428571" style="119" bestFit="1" customWidth="1"/>
    <col min="6" max="6" width="3.57142857142857" style="119" customWidth="1"/>
    <col min="7" max="7" width="13.5714285714286" style="119" bestFit="1" customWidth="1"/>
    <col min="8" max="8" width="14.4285714285714" style="119" customWidth="1"/>
    <col min="9" max="9" width="3.14285714285714" style="119" customWidth="1"/>
    <col min="10" max="10" width="17.5714285714286" style="119" bestFit="1" customWidth="1"/>
    <col min="11" max="11" width="9.14285714285714" style="119"/>
    <col min="12" max="12" width="34.8571428571429" style="119" bestFit="1" customWidth="1"/>
    <col min="13" max="16384" width="9.14285714285714" style="119"/>
  </cols>
  <sheetData>
    <row r="1" spans="1:6" s="42" customFormat="1" ht="13">
      <c r="A1" s="181" t="s">
        <v>530</v>
      </c>
      <c r="C1" s="181"/>
      <c r="D1" s="181"/>
      <c r="E1" s="181"/>
      <c r="F1" s="181"/>
    </row>
    <row r="2" spans="1:6" s="42" customFormat="1" ht="13">
      <c r="A2" s="181" t="str">
        <f>' '!A2</f>
        <v>ONCOR ELECTRIC DELIVERY COMPANY LLC</v>
      </c>
      <c r="C2" s="181"/>
      <c r="D2" s="181"/>
      <c r="E2" s="181"/>
      <c r="F2" s="181"/>
    </row>
    <row r="3" spans="1:11" s="42" customFormat="1" ht="13">
      <c r="A3" s="181" t="s">
        <v>195</v>
      </c>
      <c r="C3" s="181"/>
      <c r="D3" s="181"/>
      <c r="E3" s="563"/>
      <c r="F3" s="563"/>
      <c r="G3" s="563"/>
      <c r="H3" s="563"/>
      <c r="I3" s="563"/>
      <c r="J3" s="563"/>
      <c r="K3" s="565"/>
    </row>
    <row r="4" spans="1:6" s="42" customFormat="1" ht="13">
      <c r="A4" s="817" t="s">
        <v>928</v>
      </c>
      <c r="C4" s="181"/>
      <c r="D4" s="181"/>
      <c r="E4" s="181"/>
      <c r="F4" s="181"/>
    </row>
    <row r="5" spans="1:6" s="42" customFormat="1" ht="13">
      <c r="A5" s="181" t="s">
        <v>524</v>
      </c>
      <c r="C5" s="181"/>
      <c r="D5" s="181"/>
      <c r="E5" s="181"/>
      <c r="F5" s="181"/>
    </row>
    <row r="7" spans="1:14" s="123" customFormat="1" ht="26.25" customHeight="1">
      <c r="A7" s="202" t="s">
        <v>219</v>
      </c>
      <c r="B7" s="319"/>
      <c r="C7" s="319"/>
      <c r="D7" s="829" t="s">
        <v>154</v>
      </c>
      <c r="E7" s="829"/>
      <c r="F7" s="322"/>
      <c r="G7" s="829" t="s">
        <v>266</v>
      </c>
      <c r="H7" s="829"/>
      <c r="I7" s="320"/>
      <c r="J7" s="322"/>
      <c r="K7" s="119"/>
      <c r="L7" s="119"/>
      <c r="M7" s="119"/>
      <c r="N7" s="119"/>
    </row>
    <row r="8" spans="1:34" ht="13">
      <c r="A8" s="203" t="s">
        <v>220</v>
      </c>
      <c r="B8" s="329" t="s">
        <v>98</v>
      </c>
      <c r="C8" s="330"/>
      <c r="D8" s="830" t="s">
        <v>155</v>
      </c>
      <c r="E8" s="830"/>
      <c r="F8" s="331"/>
      <c r="G8" s="830" t="s">
        <v>156</v>
      </c>
      <c r="H8" s="830"/>
      <c r="I8" s="332"/>
      <c r="J8" s="325" t="s">
        <v>26</v>
      </c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</row>
    <row r="9" spans="1:34" ht="13">
      <c r="A9" s="148"/>
      <c r="B9" s="40" t="s">
        <v>55</v>
      </c>
      <c r="C9" s="40"/>
      <c r="D9" s="40" t="s">
        <v>56</v>
      </c>
      <c r="E9" s="40" t="s">
        <v>62</v>
      </c>
      <c r="F9" s="40"/>
      <c r="G9" s="40" t="s">
        <v>57</v>
      </c>
      <c r="H9" s="40" t="s">
        <v>58</v>
      </c>
      <c r="I9" s="40"/>
      <c r="J9" s="40" t="s">
        <v>59</v>
      </c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</row>
    <row r="10" spans="1:34" ht="13">
      <c r="A10" s="148"/>
      <c r="B10" s="40"/>
      <c r="C10" s="40"/>
      <c r="D10" s="40"/>
      <c r="E10" s="40"/>
      <c r="F10" s="40"/>
      <c r="G10" s="40"/>
      <c r="H10" s="40"/>
      <c r="I10" s="40"/>
      <c r="J10" s="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</row>
    <row r="11" spans="1:13" ht="12.5">
      <c r="A11" s="150">
        <v>1</v>
      </c>
      <c r="B11" s="110" t="s">
        <v>142</v>
      </c>
      <c r="C11" s="125"/>
      <c r="D11" s="567"/>
      <c r="E11" s="409">
        <v>-4559407.3300000001</v>
      </c>
      <c r="F11" s="409"/>
      <c r="G11" s="409"/>
      <c r="H11" s="409">
        <v>-6583240</v>
      </c>
      <c r="I11" s="409"/>
      <c r="J11" s="75">
        <f>E11+H11</f>
        <v>-11142647.33</v>
      </c>
      <c r="L11" s="111"/>
      <c r="M11" s="111"/>
    </row>
    <row r="12" spans="1:13" ht="12.5">
      <c r="A12" s="122">
        <f t="shared" si="0" ref="A12:A32">A11+1</f>
        <v>2</v>
      </c>
      <c r="B12" s="125"/>
      <c r="C12" s="125"/>
      <c r="D12" s="424" t="s">
        <v>144</v>
      </c>
      <c r="E12" s="424"/>
      <c r="F12" s="393"/>
      <c r="G12" s="424" t="s">
        <v>144</v>
      </c>
      <c r="H12" s="424"/>
      <c r="I12" s="393"/>
      <c r="J12" s="29"/>
      <c r="L12" s="111"/>
      <c r="M12" s="111"/>
    </row>
    <row r="13" spans="1:13" ht="12.5">
      <c r="A13" s="122">
        <f t="shared" si="0"/>
        <v>3</v>
      </c>
      <c r="B13" s="697">
        <v>44197</v>
      </c>
      <c r="C13" s="125"/>
      <c r="D13" s="424">
        <v>0</v>
      </c>
      <c r="E13" s="424">
        <f>E11+D13</f>
        <v>-4559407.3300000001</v>
      </c>
      <c r="F13" s="393"/>
      <c r="G13" s="424">
        <v>0</v>
      </c>
      <c r="H13" s="424">
        <f>H11+G13</f>
        <v>-6583240</v>
      </c>
      <c r="I13" s="393"/>
      <c r="J13" s="29">
        <f t="shared" si="1" ref="J13:J24">E13+H13</f>
        <v>-11142647.33</v>
      </c>
      <c r="L13" s="111"/>
      <c r="M13" s="111"/>
    </row>
    <row r="14" spans="1:13" ht="12.5">
      <c r="A14" s="122">
        <f t="shared" si="0"/>
        <v>4</v>
      </c>
      <c r="B14" s="697">
        <v>44255</v>
      </c>
      <c r="C14" s="125"/>
      <c r="D14" s="424">
        <v>0</v>
      </c>
      <c r="E14" s="424">
        <f t="shared" si="2" ref="E14:E24">E13+D14</f>
        <v>-4559407.3300000001</v>
      </c>
      <c r="F14" s="411"/>
      <c r="G14" s="424">
        <v>0</v>
      </c>
      <c r="H14" s="411">
        <f t="shared" si="3" ref="H14:H24">H13+G14</f>
        <v>-6583240</v>
      </c>
      <c r="I14" s="411"/>
      <c r="J14" s="29">
        <f t="shared" si="1"/>
        <v>-11142647.33</v>
      </c>
      <c r="L14" s="114"/>
      <c r="M14" s="114"/>
    </row>
    <row r="15" spans="1:13" ht="12.5">
      <c r="A15" s="122">
        <f t="shared" si="0"/>
        <v>5</v>
      </c>
      <c r="B15" s="697">
        <v>44286</v>
      </c>
      <c r="C15" s="125"/>
      <c r="D15" s="424">
        <v>1020764.21</v>
      </c>
      <c r="E15" s="424">
        <f t="shared" si="2"/>
        <v>-3538643.1200000001</v>
      </c>
      <c r="F15" s="411"/>
      <c r="G15" s="424">
        <v>400000</v>
      </c>
      <c r="H15" s="411">
        <f t="shared" si="3"/>
        <v>-6183240</v>
      </c>
      <c r="I15" s="411"/>
      <c r="J15" s="29">
        <f t="shared" si="1"/>
        <v>-9721883.120000001</v>
      </c>
      <c r="L15" s="114"/>
      <c r="M15" s="114"/>
    </row>
    <row r="16" spans="1:13" ht="12.5">
      <c r="A16" s="122">
        <f t="shared" si="0"/>
        <v>6</v>
      </c>
      <c r="B16" s="697">
        <v>44316</v>
      </c>
      <c r="C16" s="125"/>
      <c r="D16" s="424">
        <v>0</v>
      </c>
      <c r="E16" s="424">
        <f t="shared" si="2"/>
        <v>-3538643.1200000001</v>
      </c>
      <c r="F16" s="411"/>
      <c r="G16" s="424">
        <v>0</v>
      </c>
      <c r="H16" s="411">
        <f t="shared" si="3"/>
        <v>-6183240</v>
      </c>
      <c r="I16" s="411"/>
      <c r="J16" s="29">
        <f t="shared" si="1"/>
        <v>-9721883.120000001</v>
      </c>
      <c r="L16" s="116"/>
      <c r="M16" s="114"/>
    </row>
    <row r="17" spans="1:13" ht="12.5">
      <c r="A17" s="122">
        <f t="shared" si="0"/>
        <v>7</v>
      </c>
      <c r="B17" s="697">
        <v>44347</v>
      </c>
      <c r="C17" s="125"/>
      <c r="D17" s="424">
        <v>0</v>
      </c>
      <c r="E17" s="424">
        <f t="shared" si="2"/>
        <v>-3538643.1200000001</v>
      </c>
      <c r="F17" s="411"/>
      <c r="G17" s="424">
        <v>0</v>
      </c>
      <c r="H17" s="411">
        <f t="shared" si="3"/>
        <v>-6183240</v>
      </c>
      <c r="I17" s="411"/>
      <c r="J17" s="29">
        <f t="shared" si="1"/>
        <v>-9721883.120000001</v>
      </c>
      <c r="L17" s="114"/>
      <c r="M17" s="114"/>
    </row>
    <row r="18" spans="1:13" ht="12.5">
      <c r="A18" s="122">
        <f t="shared" si="0"/>
        <v>8</v>
      </c>
      <c r="B18" s="697">
        <v>44377</v>
      </c>
      <c r="C18" s="125"/>
      <c r="D18" s="424">
        <v>-512711.94</v>
      </c>
      <c r="E18" s="424">
        <f t="shared" si="2"/>
        <v>-4051355.0600000001</v>
      </c>
      <c r="F18" s="411"/>
      <c r="G18" s="424">
        <v>-3000000</v>
      </c>
      <c r="H18" s="411">
        <f t="shared" si="3"/>
        <v>-9183240</v>
      </c>
      <c r="I18" s="411"/>
      <c r="J18" s="29">
        <f t="shared" si="1"/>
        <v>-13234595.060000001</v>
      </c>
      <c r="L18" s="114"/>
      <c r="M18" s="114"/>
    </row>
    <row r="19" spans="1:13" ht="12.5">
      <c r="A19" s="122">
        <f t="shared" si="0"/>
        <v>9</v>
      </c>
      <c r="B19" s="697">
        <v>44408</v>
      </c>
      <c r="C19" s="125"/>
      <c r="D19" s="424">
        <v>0</v>
      </c>
      <c r="E19" s="424">
        <f t="shared" si="2"/>
        <v>-4051355.0600000001</v>
      </c>
      <c r="F19" s="411"/>
      <c r="G19" s="424">
        <v>0</v>
      </c>
      <c r="H19" s="411">
        <f t="shared" si="3"/>
        <v>-9183240</v>
      </c>
      <c r="I19" s="411"/>
      <c r="J19" s="29">
        <f t="shared" si="1"/>
        <v>-13234595.060000001</v>
      </c>
      <c r="L19" s="114"/>
      <c r="M19" s="114"/>
    </row>
    <row r="20" spans="1:13" ht="12.5">
      <c r="A20" s="122">
        <f t="shared" si="0"/>
        <v>10</v>
      </c>
      <c r="B20" s="697">
        <v>44439</v>
      </c>
      <c r="C20" s="125"/>
      <c r="D20" s="424">
        <v>0</v>
      </c>
      <c r="E20" s="424">
        <f t="shared" si="2"/>
        <v>-4051355.0600000001</v>
      </c>
      <c r="F20" s="411"/>
      <c r="G20" s="424">
        <v>0</v>
      </c>
      <c r="H20" s="411">
        <f t="shared" si="3"/>
        <v>-9183240</v>
      </c>
      <c r="I20" s="411"/>
      <c r="J20" s="29">
        <f t="shared" si="1"/>
        <v>-13234595.060000001</v>
      </c>
      <c r="L20" s="114"/>
      <c r="M20" s="114"/>
    </row>
    <row r="21" spans="1:13" ht="12.5">
      <c r="A21" s="122">
        <f t="shared" si="0"/>
        <v>11</v>
      </c>
      <c r="B21" s="697">
        <v>44469</v>
      </c>
      <c r="C21" s="125"/>
      <c r="D21" s="424">
        <v>-416193.53000000003</v>
      </c>
      <c r="E21" s="424">
        <f t="shared" si="2"/>
        <v>-4467548.5899999999</v>
      </c>
      <c r="F21" s="411"/>
      <c r="G21" s="424">
        <v>0</v>
      </c>
      <c r="H21" s="411">
        <f t="shared" si="3"/>
        <v>-9183240</v>
      </c>
      <c r="I21" s="411"/>
      <c r="J21" s="29">
        <f t="shared" si="1"/>
        <v>-13650788.59</v>
      </c>
      <c r="L21" s="114"/>
      <c r="M21" s="114"/>
    </row>
    <row r="22" spans="1:13" ht="12.5">
      <c r="A22" s="122">
        <f t="shared" si="0"/>
        <v>12</v>
      </c>
      <c r="B22" s="697">
        <v>44500</v>
      </c>
      <c r="C22" s="125"/>
      <c r="D22" s="424">
        <v>0</v>
      </c>
      <c r="E22" s="424">
        <f t="shared" si="2"/>
        <v>-4467548.5899999999</v>
      </c>
      <c r="F22" s="411"/>
      <c r="G22" s="424">
        <v>0</v>
      </c>
      <c r="H22" s="411">
        <f t="shared" si="3"/>
        <v>-9183240</v>
      </c>
      <c r="I22" s="411"/>
      <c r="J22" s="29">
        <f t="shared" si="1"/>
        <v>-13650788.59</v>
      </c>
      <c r="L22" s="114"/>
      <c r="M22" s="114"/>
    </row>
    <row r="23" spans="1:13" ht="12.5">
      <c r="A23" s="122">
        <f t="shared" si="0"/>
        <v>13</v>
      </c>
      <c r="B23" s="697">
        <v>44530</v>
      </c>
      <c r="C23" s="125"/>
      <c r="D23" s="424">
        <v>0</v>
      </c>
      <c r="E23" s="424">
        <f t="shared" si="2"/>
        <v>-4467548.5899999999</v>
      </c>
      <c r="F23" s="411"/>
      <c r="G23" s="424">
        <v>0</v>
      </c>
      <c r="H23" s="411">
        <f t="shared" si="3"/>
        <v>-9183240</v>
      </c>
      <c r="I23" s="411"/>
      <c r="J23" s="29">
        <f t="shared" si="1"/>
        <v>-13650788.59</v>
      </c>
      <c r="L23" s="114"/>
      <c r="M23" s="114"/>
    </row>
    <row r="24" spans="1:13" ht="12.5">
      <c r="A24" s="122">
        <f t="shared" si="0"/>
        <v>14</v>
      </c>
      <c r="B24" s="697">
        <v>44561</v>
      </c>
      <c r="C24" s="125"/>
      <c r="D24" s="424">
        <v>-1868735.0500000001</v>
      </c>
      <c r="E24" s="424">
        <f t="shared" si="2"/>
        <v>-6336283.6399999997</v>
      </c>
      <c r="F24" s="411"/>
      <c r="G24" s="424">
        <v>2970000</v>
      </c>
      <c r="H24" s="411">
        <f t="shared" si="3"/>
        <v>-6213240</v>
      </c>
      <c r="I24" s="411"/>
      <c r="J24" s="29">
        <f t="shared" si="1"/>
        <v>-12549523.640000001</v>
      </c>
      <c r="L24" s="114"/>
      <c r="M24" s="114"/>
    </row>
    <row r="25" spans="1:10" ht="12.5">
      <c r="A25" s="122">
        <f t="shared" si="0"/>
        <v>15</v>
      </c>
      <c r="B25" s="667" t="s">
        <v>690</v>
      </c>
      <c r="C25" s="125"/>
      <c r="D25" s="411">
        <f>E11+D15+D18+D21+D24</f>
        <v>-6336283.6399999997</v>
      </c>
      <c r="E25" s="411"/>
      <c r="F25" s="411"/>
      <c r="G25" s="700">
        <f>+H11+G13+G14+G15+G16+G17+G18+G19+G20+G21+G22+G23+G24</f>
        <v>-6213240</v>
      </c>
      <c r="H25" s="411"/>
      <c r="I25" s="411"/>
      <c r="J25" s="29"/>
    </row>
    <row r="26" spans="1:10" ht="12.5">
      <c r="A26" s="122">
        <f t="shared" si="0"/>
        <v>16</v>
      </c>
      <c r="B26" s="125" t="s">
        <v>145</v>
      </c>
      <c r="C26" s="416"/>
      <c r="D26" s="416"/>
      <c r="E26" s="416">
        <f>SUM(E11:E24)</f>
        <v>-56187145.940000013</v>
      </c>
      <c r="F26" s="416"/>
      <c r="G26" s="416"/>
      <c r="H26" s="416">
        <f>SUM(H11:H24)</f>
        <v>-99612120</v>
      </c>
      <c r="I26" s="416"/>
      <c r="J26" s="416">
        <f>SUM(J11:J24)</f>
        <v>-155799265.94</v>
      </c>
    </row>
    <row r="27" spans="1:10" ht="13" thickBot="1">
      <c r="A27" s="122">
        <f t="shared" si="0"/>
        <v>17</v>
      </c>
      <c r="B27" s="125" t="s">
        <v>27</v>
      </c>
      <c r="C27" s="425"/>
      <c r="D27" s="426"/>
      <c r="E27" s="403">
        <f>E26/13</f>
        <v>-4322088.1492307698</v>
      </c>
      <c r="F27" s="403"/>
      <c r="G27" s="403"/>
      <c r="H27" s="403">
        <f>H26/13</f>
        <v>-7662470.769230769</v>
      </c>
      <c r="I27" s="403"/>
      <c r="J27" s="427">
        <f>J26/13</f>
        <v>-11984558.918461539</v>
      </c>
    </row>
    <row r="28" spans="1:10" ht="13.5" thickTop="1">
      <c r="A28" s="122">
        <f t="shared" si="0"/>
        <v>18</v>
      </c>
      <c r="B28" s="125"/>
      <c r="C28" s="125"/>
      <c r="D28" s="142"/>
      <c r="E28" s="142"/>
      <c r="F28" s="142"/>
      <c r="G28" s="142"/>
      <c r="H28" s="142"/>
      <c r="I28" s="142"/>
      <c r="J28" s="143"/>
    </row>
    <row r="29" spans="1:10" ht="12.5">
      <c r="A29" s="122">
        <f t="shared" si="0"/>
        <v>19</v>
      </c>
      <c r="B29" s="125" t="s">
        <v>157</v>
      </c>
      <c r="C29" s="125"/>
      <c r="D29" s="142"/>
      <c r="E29" s="142"/>
      <c r="F29" s="142"/>
      <c r="G29" s="142"/>
      <c r="H29" s="142"/>
      <c r="I29" s="142"/>
      <c r="J29" s="142"/>
    </row>
    <row r="30" spans="1:10" ht="12.5">
      <c r="A30" s="122">
        <f t="shared" si="0"/>
        <v>20</v>
      </c>
      <c r="B30" s="136" t="s">
        <v>158</v>
      </c>
      <c r="C30" s="125"/>
      <c r="D30" s="142"/>
      <c r="E30" s="142"/>
      <c r="F30" s="142"/>
      <c r="G30" s="142"/>
      <c r="H30" s="142"/>
      <c r="I30" s="142"/>
      <c r="J30" s="142"/>
    </row>
    <row r="31" spans="1:10" ht="12.5">
      <c r="A31" s="122">
        <f t="shared" si="0"/>
        <v>21</v>
      </c>
      <c r="B31" s="136"/>
      <c r="C31" s="125"/>
      <c r="D31" s="142"/>
      <c r="E31" s="142"/>
      <c r="F31" s="142"/>
      <c r="G31" s="142"/>
      <c r="H31" s="142"/>
      <c r="I31" s="142"/>
      <c r="J31" s="142"/>
    </row>
    <row r="32" spans="1:10" ht="12.5">
      <c r="A32" s="122">
        <f t="shared" si="0"/>
        <v>22</v>
      </c>
      <c r="B32" s="31" t="s">
        <v>256</v>
      </c>
      <c r="D32" s="293" t="s">
        <v>475</v>
      </c>
      <c r="E32" s="142"/>
      <c r="F32" s="142"/>
      <c r="G32" s="142"/>
      <c r="H32" s="142"/>
      <c r="I32" s="142"/>
      <c r="J32" s="142"/>
    </row>
    <row r="33" spans="2:10" ht="12.5">
      <c r="B33" s="217"/>
      <c r="C33" s="125"/>
      <c r="D33" s="142"/>
      <c r="E33" s="142"/>
      <c r="F33" s="142"/>
      <c r="G33" s="142"/>
      <c r="H33" s="142"/>
      <c r="I33" s="142"/>
      <c r="J33" s="142"/>
    </row>
    <row r="34" spans="3:10" ht="12.5">
      <c r="C34" s="125"/>
      <c r="D34" s="142"/>
      <c r="E34" s="142"/>
      <c r="F34" s="142"/>
      <c r="G34" s="142"/>
      <c r="H34" s="142"/>
      <c r="I34" s="142"/>
      <c r="J34" s="142"/>
    </row>
    <row r="35" spans="2:10" ht="12.5">
      <c r="B35" s="136"/>
      <c r="C35" s="125"/>
      <c r="D35" s="142"/>
      <c r="E35" s="142"/>
      <c r="F35" s="142"/>
      <c r="G35" s="142"/>
      <c r="H35" s="142"/>
      <c r="I35" s="142"/>
      <c r="J35" s="142"/>
    </row>
    <row r="36" spans="2:10" ht="12.5">
      <c r="B36" s="125"/>
      <c r="C36" s="125"/>
      <c r="D36" s="142"/>
      <c r="E36" s="142"/>
      <c r="F36" s="142"/>
      <c r="G36" s="142"/>
      <c r="H36" s="142"/>
      <c r="I36" s="142"/>
      <c r="J36" s="142"/>
    </row>
    <row r="37" spans="2:10" ht="12.5">
      <c r="B37" s="136"/>
      <c r="C37" s="125"/>
      <c r="D37" s="142"/>
      <c r="E37" s="142"/>
      <c r="F37" s="142"/>
      <c r="G37" s="142"/>
      <c r="H37" s="142"/>
      <c r="I37" s="142"/>
      <c r="J37" s="142"/>
    </row>
    <row r="38" spans="2:10" ht="12.5">
      <c r="B38" s="125"/>
      <c r="C38" s="125"/>
      <c r="D38" s="142"/>
      <c r="E38" s="142"/>
      <c r="F38" s="142"/>
      <c r="G38" s="142"/>
      <c r="H38" s="142"/>
      <c r="I38" s="142"/>
      <c r="J38" s="142"/>
    </row>
    <row r="39" spans="2:10" ht="12.5">
      <c r="B39" s="125"/>
      <c r="C39" s="125"/>
      <c r="D39" s="142"/>
      <c r="E39" s="142"/>
      <c r="F39" s="142"/>
      <c r="G39" s="142"/>
      <c r="H39" s="142"/>
      <c r="I39" s="142"/>
      <c r="J39" s="142"/>
    </row>
    <row r="40" spans="2:10" ht="12.5">
      <c r="B40" s="125"/>
      <c r="C40" s="125"/>
      <c r="D40" s="142"/>
      <c r="E40" s="142"/>
      <c r="F40" s="142"/>
      <c r="G40" s="142"/>
      <c r="H40" s="142"/>
      <c r="I40" s="142"/>
      <c r="J40" s="142"/>
    </row>
  </sheetData>
  <mergeCells count="4">
    <mergeCell ref="D7:E7"/>
    <mergeCell ref="G7:H7"/>
    <mergeCell ref="D8:E8"/>
    <mergeCell ref="G8:H8"/>
  </mergeCells>
  <hyperlinks>
    <hyperlink ref="D32" r:id="rId1" display="Misc items - ESD.xlsx"/>
  </hyperlinks>
  <printOptions horizontalCentered="1"/>
  <pageMargins left="0.5" right="0.5" top="1.5" bottom="0.5" header="1" footer="0.5"/>
  <pageSetup orientation="landscape" r:id="rId3"/>
  <headerFooter alignWithMargins="0">
    <oddHeader>&amp;RWP/II-B-9/&amp;A
Page &amp;P of &amp;N</oddHead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0">
    <tabColor rgb="FF92D050"/>
    <pageSetUpPr fitToPage="1"/>
  </sheetPr>
  <dimension ref="A1:R30"/>
  <sheetViews>
    <sheetView workbookViewId="0" topLeftCell="A1">
      <selection pane="topLeft" activeCell="A4" sqref="A4"/>
    </sheetView>
  </sheetViews>
  <sheetFormatPr defaultColWidth="8.00428571428571" defaultRowHeight="12.75"/>
  <cols>
    <col min="1" max="1" width="9.14285714285714" style="217" customWidth="1"/>
    <col min="2" max="2" width="21.4285714285714" style="217" customWidth="1"/>
    <col min="3" max="3" width="1.57142857142857" style="217" customWidth="1"/>
    <col min="4" max="4" width="13.4285714285714" style="217" customWidth="1"/>
    <col min="5" max="5" width="15.5714285714286" style="217" customWidth="1"/>
    <col min="6" max="6" width="1.57142857142857" style="217" customWidth="1"/>
    <col min="7" max="7" width="14" style="217" customWidth="1"/>
    <col min="8" max="8" width="15.8571428571429" style="217" customWidth="1"/>
    <col min="9" max="9" width="1.57142857142857" style="217" customWidth="1"/>
    <col min="10" max="10" width="18.4285714285714" style="217" customWidth="1"/>
    <col min="11" max="16384" width="8" style="217"/>
  </cols>
  <sheetData>
    <row r="1" spans="1:8" s="44" customFormat="1" ht="13">
      <c r="A1" s="184" t="s">
        <v>530</v>
      </c>
      <c r="C1" s="184"/>
      <c r="D1" s="184"/>
      <c r="E1" s="184"/>
      <c r="F1" s="184"/>
      <c r="G1" s="184"/>
      <c r="H1" s="184"/>
    </row>
    <row r="2" spans="1:8" s="44" customFormat="1" ht="13">
      <c r="A2" s="184" t="str">
        <f>' '!A2</f>
        <v>ONCOR ELECTRIC DELIVERY COMPANY LLC</v>
      </c>
      <c r="C2" s="184"/>
      <c r="D2" s="184"/>
      <c r="E2" s="184"/>
      <c r="F2" s="184"/>
      <c r="G2" s="184"/>
      <c r="H2" s="184"/>
    </row>
    <row r="3" spans="1:11" s="44" customFormat="1" ht="13">
      <c r="A3" s="184" t="s">
        <v>7</v>
      </c>
      <c r="C3" s="184"/>
      <c r="D3" s="184"/>
      <c r="E3" s="184"/>
      <c r="F3" s="184"/>
      <c r="G3" s="563"/>
      <c r="H3" s="563"/>
      <c r="I3" s="563"/>
      <c r="J3" s="563"/>
      <c r="K3" s="563"/>
    </row>
    <row r="4" spans="1:13" s="44" customFormat="1" ht="13">
      <c r="A4" s="817" t="s">
        <v>928</v>
      </c>
      <c r="C4" s="184"/>
      <c r="D4" s="184"/>
      <c r="E4" s="563"/>
      <c r="F4" s="563"/>
      <c r="G4" s="563"/>
      <c r="H4" s="563"/>
      <c r="I4" s="563"/>
      <c r="J4" s="563"/>
      <c r="K4" s="563"/>
      <c r="L4" s="563"/>
      <c r="M4" s="563"/>
    </row>
    <row r="5" spans="1:11" s="44" customFormat="1" ht="13">
      <c r="A5" s="184" t="s">
        <v>524</v>
      </c>
      <c r="C5" s="184"/>
      <c r="D5" s="184"/>
      <c r="E5" s="563"/>
      <c r="F5" s="563"/>
      <c r="G5" s="563"/>
      <c r="H5" s="563"/>
      <c r="I5" s="563"/>
      <c r="J5" s="563"/>
      <c r="K5" s="565"/>
    </row>
    <row r="6" spans="1:10" s="218" customFormat="1" ht="12.5">
      <c r="A6" s="333"/>
      <c r="B6" s="223"/>
      <c r="C6" s="223"/>
      <c r="D6" s="223"/>
      <c r="E6" s="223"/>
      <c r="F6" s="223"/>
      <c r="G6" s="223"/>
      <c r="H6" s="223"/>
      <c r="I6" s="223"/>
      <c r="J6" s="223"/>
    </row>
    <row r="7" spans="1:12" ht="26.5" thickBot="1">
      <c r="A7" s="201" t="s">
        <v>45</v>
      </c>
      <c r="B7" s="219" t="s">
        <v>98</v>
      </c>
      <c r="C7" s="219"/>
      <c r="D7" s="568" t="s">
        <v>404</v>
      </c>
      <c r="E7" s="219" t="s">
        <v>134</v>
      </c>
      <c r="F7" s="219"/>
      <c r="G7" s="568" t="s">
        <v>405</v>
      </c>
      <c r="H7" s="219" t="s">
        <v>135</v>
      </c>
      <c r="I7" s="219"/>
      <c r="J7" s="219" t="s">
        <v>26</v>
      </c>
      <c r="L7" s="220"/>
    </row>
    <row r="8" spans="1:12" ht="13">
      <c r="A8" s="202"/>
      <c r="B8" s="220"/>
      <c r="C8" s="220"/>
      <c r="D8" s="220"/>
      <c r="E8" s="569" t="s">
        <v>406</v>
      </c>
      <c r="F8" s="220"/>
      <c r="G8" s="220"/>
      <c r="H8" s="569" t="s">
        <v>406</v>
      </c>
      <c r="I8" s="220"/>
      <c r="J8" s="220"/>
      <c r="L8" s="220"/>
    </row>
    <row r="9" spans="1:18" ht="18.75" customHeight="1">
      <c r="A9" s="202"/>
      <c r="B9" s="52" t="s">
        <v>55</v>
      </c>
      <c r="C9" s="52"/>
      <c r="D9" s="52"/>
      <c r="E9" s="52" t="s">
        <v>56</v>
      </c>
      <c r="F9" s="52"/>
      <c r="G9" s="52"/>
      <c r="H9" s="52" t="s">
        <v>62</v>
      </c>
      <c r="I9" s="52"/>
      <c r="J9" s="52" t="s">
        <v>57</v>
      </c>
      <c r="K9" s="52"/>
      <c r="L9" s="52"/>
      <c r="M9" s="52"/>
      <c r="N9" s="221"/>
      <c r="O9" s="52"/>
      <c r="P9" s="52"/>
      <c r="Q9" s="125"/>
      <c r="R9" s="52"/>
    </row>
    <row r="10" spans="1:18" ht="18.75" customHeight="1">
      <c r="A10" s="20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221"/>
      <c r="O10" s="52"/>
      <c r="P10" s="52"/>
      <c r="Q10" s="125"/>
      <c r="R10" s="52"/>
    </row>
    <row r="11" spans="1:12" ht="12.5">
      <c r="A11" s="222">
        <v>1</v>
      </c>
      <c r="B11" s="217" t="s">
        <v>159</v>
      </c>
      <c r="D11" s="36">
        <v>121192.41</v>
      </c>
      <c r="E11" s="698">
        <f>+D11</f>
        <v>121192.41</v>
      </c>
      <c r="F11" s="179"/>
      <c r="G11" s="179">
        <v>525239.97999999998</v>
      </c>
      <c r="H11" s="415">
        <f>+G11</f>
        <v>525239.97999999998</v>
      </c>
      <c r="I11" s="179"/>
      <c r="J11" s="428">
        <f>+H11+E11</f>
        <v>646432.39000000001</v>
      </c>
      <c r="L11" s="44"/>
    </row>
    <row r="12" spans="1:12" ht="12.5">
      <c r="A12" s="223">
        <f t="shared" si="0" ref="A12:A30">A11+1</f>
        <v>2</v>
      </c>
      <c r="B12" s="697">
        <v>44197</v>
      </c>
      <c r="C12" s="224"/>
      <c r="D12" s="518">
        <v>-101435.24000000001</v>
      </c>
      <c r="E12" s="699">
        <f t="shared" si="1" ref="E12:E23">E11+D12</f>
        <v>19757.169999999998</v>
      </c>
      <c r="F12" s="248"/>
      <c r="G12" s="518">
        <v>0</v>
      </c>
      <c r="H12" s="248">
        <f t="shared" si="2" ref="H12:H23">H11+G12</f>
        <v>525239.97999999998</v>
      </c>
      <c r="I12" s="248"/>
      <c r="J12" s="428">
        <f t="shared" si="3" ref="J12:J23">+H12+E12</f>
        <v>544997.15000000002</v>
      </c>
      <c r="L12" s="44"/>
    </row>
    <row r="13" spans="1:12" ht="12.5">
      <c r="A13" s="223">
        <f t="shared" si="0"/>
        <v>3</v>
      </c>
      <c r="B13" s="697">
        <v>44255</v>
      </c>
      <c r="C13" s="224"/>
      <c r="D13" s="518">
        <v>0</v>
      </c>
      <c r="E13" s="699">
        <f t="shared" si="1"/>
        <v>19757.169999999998</v>
      </c>
      <c r="F13" s="248"/>
      <c r="G13" s="518">
        <v>0</v>
      </c>
      <c r="H13" s="248">
        <f t="shared" si="2"/>
        <v>525239.97999999998</v>
      </c>
      <c r="I13" s="248"/>
      <c r="J13" s="428">
        <f t="shared" si="3"/>
        <v>544997.15000000002</v>
      </c>
      <c r="L13" s="44"/>
    </row>
    <row r="14" spans="1:12" ht="12.5">
      <c r="A14" s="223">
        <f t="shared" si="0"/>
        <v>4</v>
      </c>
      <c r="B14" s="697">
        <v>44286</v>
      </c>
      <c r="C14" s="224"/>
      <c r="D14" s="518">
        <v>0</v>
      </c>
      <c r="E14" s="699">
        <f t="shared" si="1"/>
        <v>19757.169999999998</v>
      </c>
      <c r="F14" s="248"/>
      <c r="G14" s="518">
        <v>128949.58</v>
      </c>
      <c r="H14" s="248">
        <f t="shared" si="2"/>
        <v>654189.55999999994</v>
      </c>
      <c r="I14" s="248"/>
      <c r="J14" s="428">
        <f t="shared" si="3"/>
        <v>673946.72999999998</v>
      </c>
      <c r="L14" s="44"/>
    </row>
    <row r="15" spans="1:12" ht="12.5">
      <c r="A15" s="223">
        <f t="shared" si="0"/>
        <v>5</v>
      </c>
      <c r="B15" s="697">
        <v>44316</v>
      </c>
      <c r="C15" s="224"/>
      <c r="D15" s="518">
        <v>0</v>
      </c>
      <c r="E15" s="699">
        <f t="shared" si="1"/>
        <v>19757.169999999998</v>
      </c>
      <c r="F15" s="248"/>
      <c r="G15" s="518">
        <v>-470973.89000000001</v>
      </c>
      <c r="H15" s="248">
        <f t="shared" si="2"/>
        <v>183215.66999999993</v>
      </c>
      <c r="I15" s="248"/>
      <c r="J15" s="428">
        <f t="shared" si="3"/>
        <v>202972.83999999991</v>
      </c>
      <c r="L15" s="44"/>
    </row>
    <row r="16" spans="1:12" ht="12.5">
      <c r="A16" s="223">
        <f t="shared" si="0"/>
        <v>6</v>
      </c>
      <c r="B16" s="697">
        <v>44347</v>
      </c>
      <c r="C16" s="224"/>
      <c r="D16" s="518">
        <v>268696.47999999998</v>
      </c>
      <c r="E16" s="699">
        <f t="shared" si="1"/>
        <v>288453.64999999997</v>
      </c>
      <c r="F16" s="248"/>
      <c r="G16" s="518">
        <v>-162328.04000000001</v>
      </c>
      <c r="H16" s="248">
        <f t="shared" si="2"/>
        <v>20887.629999999917</v>
      </c>
      <c r="I16" s="248"/>
      <c r="J16" s="428">
        <f t="shared" si="3"/>
        <v>309341.27999999991</v>
      </c>
      <c r="L16" s="44"/>
    </row>
    <row r="17" spans="1:12" ht="12.5">
      <c r="A17" s="223">
        <f t="shared" si="0"/>
        <v>7</v>
      </c>
      <c r="B17" s="697">
        <v>44377</v>
      </c>
      <c r="C17" s="224"/>
      <c r="D17" s="518">
        <v>-268696.47999999998</v>
      </c>
      <c r="E17" s="699">
        <f t="shared" si="1"/>
        <v>19757.169999999984</v>
      </c>
      <c r="F17" s="248"/>
      <c r="G17" s="518">
        <v>0</v>
      </c>
      <c r="H17" s="248">
        <f t="shared" si="2"/>
        <v>20887.629999999917</v>
      </c>
      <c r="I17" s="248"/>
      <c r="J17" s="428">
        <f t="shared" si="3"/>
        <v>40644.799999999901</v>
      </c>
      <c r="L17" s="44"/>
    </row>
    <row r="18" spans="1:12" ht="12.5">
      <c r="A18" s="223">
        <f t="shared" si="0"/>
        <v>8</v>
      </c>
      <c r="B18" s="697">
        <v>44408</v>
      </c>
      <c r="C18" s="224"/>
      <c r="D18" s="518">
        <v>0</v>
      </c>
      <c r="E18" s="699">
        <f t="shared" si="1"/>
        <v>19757.169999999984</v>
      </c>
      <c r="F18" s="248"/>
      <c r="G18" s="518">
        <v>0</v>
      </c>
      <c r="H18" s="248">
        <f t="shared" si="2"/>
        <v>20887.629999999917</v>
      </c>
      <c r="I18" s="248"/>
      <c r="J18" s="428">
        <f t="shared" si="3"/>
        <v>40644.799999999901</v>
      </c>
      <c r="L18" s="44"/>
    </row>
    <row r="19" spans="1:12" ht="12.5">
      <c r="A19" s="223">
        <f t="shared" si="0"/>
        <v>9</v>
      </c>
      <c r="B19" s="697">
        <v>44439</v>
      </c>
      <c r="C19" s="224"/>
      <c r="D19" s="518">
        <v>0</v>
      </c>
      <c r="E19" s="699">
        <f t="shared" si="1"/>
        <v>19757.169999999984</v>
      </c>
      <c r="F19" s="248"/>
      <c r="G19" s="518">
        <v>0</v>
      </c>
      <c r="H19" s="248">
        <f t="shared" si="2"/>
        <v>20887.629999999917</v>
      </c>
      <c r="I19" s="248"/>
      <c r="J19" s="428">
        <f t="shared" si="3"/>
        <v>40644.799999999901</v>
      </c>
      <c r="L19" s="44"/>
    </row>
    <row r="20" spans="1:12" ht="12.5">
      <c r="A20" s="223">
        <f t="shared" si="0"/>
        <v>10</v>
      </c>
      <c r="B20" s="697">
        <v>44469</v>
      </c>
      <c r="C20" s="224"/>
      <c r="D20" s="518">
        <v>180672.31</v>
      </c>
      <c r="E20" s="699">
        <f t="shared" si="1"/>
        <v>200429.47999999998</v>
      </c>
      <c r="F20" s="248"/>
      <c r="G20" s="518">
        <v>0</v>
      </c>
      <c r="H20" s="248">
        <f t="shared" si="2"/>
        <v>20887.629999999917</v>
      </c>
      <c r="I20" s="248"/>
      <c r="J20" s="428">
        <f t="shared" si="3"/>
        <v>221317.1099999999</v>
      </c>
      <c r="L20" s="44"/>
    </row>
    <row r="21" spans="1:12" ht="12.5">
      <c r="A21" s="223">
        <f t="shared" si="0"/>
        <v>11</v>
      </c>
      <c r="B21" s="697">
        <v>44500</v>
      </c>
      <c r="C21" s="224"/>
      <c r="D21" s="518">
        <v>32418.459999999999</v>
      </c>
      <c r="E21" s="699">
        <f t="shared" si="1"/>
        <v>232847.93999999997</v>
      </c>
      <c r="F21" s="248"/>
      <c r="G21" s="518">
        <v>27717.52</v>
      </c>
      <c r="H21" s="248">
        <f t="shared" si="2"/>
        <v>48605.149999999921</v>
      </c>
      <c r="I21" s="248"/>
      <c r="J21" s="428">
        <f t="shared" si="3"/>
        <v>281453.08999999991</v>
      </c>
      <c r="L21" s="44"/>
    </row>
    <row r="22" spans="1:15" ht="12.5">
      <c r="A22" s="223">
        <f t="shared" si="0"/>
        <v>12</v>
      </c>
      <c r="B22" s="697">
        <v>44530</v>
      </c>
      <c r="C22" s="224"/>
      <c r="D22" s="518">
        <v>57811.25</v>
      </c>
      <c r="E22" s="699">
        <f t="shared" si="1"/>
        <v>290659.18999999994</v>
      </c>
      <c r="F22" s="248"/>
      <c r="G22" s="518">
        <v>31685.43</v>
      </c>
      <c r="H22" s="248">
        <f t="shared" si="2"/>
        <v>80290.579999999929</v>
      </c>
      <c r="I22" s="248"/>
      <c r="J22" s="428">
        <f t="shared" si="3"/>
        <v>370949.7699999999</v>
      </c>
      <c r="K22" s="128"/>
      <c r="L22" s="114"/>
      <c r="M22" s="128"/>
      <c r="N22" s="128"/>
      <c r="O22" s="128"/>
    </row>
    <row r="23" spans="1:15" ht="12.5">
      <c r="A23" s="223">
        <f t="shared" si="0"/>
        <v>13</v>
      </c>
      <c r="B23" s="697">
        <v>44561</v>
      </c>
      <c r="C23" s="224"/>
      <c r="D23" s="518">
        <v>0</v>
      </c>
      <c r="E23" s="699">
        <f t="shared" si="1"/>
        <v>290659.18999999994</v>
      </c>
      <c r="F23" s="248"/>
      <c r="G23" s="518">
        <v>-59402.950000000004</v>
      </c>
      <c r="H23" s="248">
        <f t="shared" si="2"/>
        <v>20887.629999999925</v>
      </c>
      <c r="I23" s="248"/>
      <c r="J23" s="428">
        <f t="shared" si="3"/>
        <v>311546.81999999989</v>
      </c>
      <c r="K23" s="128"/>
      <c r="L23" s="114"/>
      <c r="M23" s="128"/>
      <c r="N23" s="128"/>
      <c r="O23" s="128"/>
    </row>
    <row r="24" spans="1:15" ht="12.5">
      <c r="A24" s="223">
        <f t="shared" si="0"/>
        <v>14</v>
      </c>
      <c r="B24" s="667" t="s">
        <v>690</v>
      </c>
      <c r="D24" s="570">
        <f>SUM(D11:D23)</f>
        <v>290659.18999999994</v>
      </c>
      <c r="G24" s="669">
        <f>SUM(G11:G23)</f>
        <v>20887.629999999925</v>
      </c>
      <c r="K24" s="128"/>
      <c r="L24" s="128"/>
      <c r="M24" s="128"/>
      <c r="N24" s="128"/>
      <c r="O24" s="128"/>
    </row>
    <row r="25" spans="1:15" ht="12.5">
      <c r="A25" s="223">
        <f t="shared" si="0"/>
        <v>15</v>
      </c>
      <c r="B25" s="125" t="s">
        <v>145</v>
      </c>
      <c r="C25" s="416"/>
      <c r="D25" s="416"/>
      <c r="E25" s="416">
        <f>SUM(E11:E23)</f>
        <v>1562542.0499999996</v>
      </c>
      <c r="F25" s="416"/>
      <c r="G25" s="416"/>
      <c r="H25" s="416">
        <f>SUM(H11:H23)</f>
        <v>2667346.6799999992</v>
      </c>
      <c r="I25" s="416"/>
      <c r="J25" s="416">
        <f>SUM(J11:J23)</f>
        <v>4229888.7299999986</v>
      </c>
      <c r="K25" s="415"/>
      <c r="L25" s="415"/>
      <c r="M25" s="128"/>
      <c r="N25" s="128"/>
      <c r="O25" s="128"/>
    </row>
    <row r="26" spans="1:15" ht="13" thickBot="1">
      <c r="A26" s="223">
        <f t="shared" si="0"/>
        <v>16</v>
      </c>
      <c r="B26" s="125" t="s">
        <v>160</v>
      </c>
      <c r="C26" s="425"/>
      <c r="D26" s="425"/>
      <c r="E26" s="403">
        <f>E25/13</f>
        <v>120195.54230769227</v>
      </c>
      <c r="F26" s="403"/>
      <c r="G26" s="403"/>
      <c r="H26" s="403">
        <f>H25/13</f>
        <v>205180.5138461538</v>
      </c>
      <c r="I26" s="403"/>
      <c r="J26" s="403">
        <f>ROUND(J25/13,0)</f>
        <v>325376</v>
      </c>
      <c r="K26" s="415"/>
      <c r="L26" s="415"/>
      <c r="M26" s="128"/>
      <c r="N26" s="128"/>
      <c r="O26" s="128"/>
    </row>
    <row r="27" spans="1:15" ht="13.5" thickTop="1">
      <c r="A27" s="223">
        <f t="shared" si="0"/>
        <v>17</v>
      </c>
      <c r="F27" s="225"/>
      <c r="G27" s="225"/>
      <c r="H27" s="225"/>
      <c r="I27" s="226"/>
      <c r="J27" s="225"/>
      <c r="K27" s="128"/>
      <c r="L27" s="128"/>
      <c r="M27" s="128"/>
      <c r="N27" s="128"/>
      <c r="O27" s="128"/>
    </row>
    <row r="28" spans="1:1" ht="12.5">
      <c r="A28" s="223">
        <f t="shared" si="0"/>
        <v>18</v>
      </c>
    </row>
    <row r="29" spans="1:5" ht="12.5">
      <c r="A29" s="223">
        <f t="shared" si="0"/>
        <v>19</v>
      </c>
      <c r="B29" s="290" t="s">
        <v>256</v>
      </c>
      <c r="D29" s="293" t="s">
        <v>476</v>
      </c>
      <c r="E29" s="571"/>
    </row>
    <row r="30" spans="1:4" ht="12.5">
      <c r="A30" s="223">
        <f t="shared" si="0"/>
        <v>20</v>
      </c>
      <c r="B30" s="31"/>
      <c r="D30" s="293" t="s">
        <v>475</v>
      </c>
    </row>
  </sheetData>
  <hyperlinks>
    <hyperlink ref="D30" r:id="rId1" display="Misc items - ESD.xlsx"/>
    <hyperlink ref="D29" r:id="rId2" display="Misc items - TRN.xlsx"/>
  </hyperlinks>
  <printOptions horizontalCentered="1"/>
  <pageMargins left="0.5" right="0.5" top="1.5" bottom="0.5" header="1" footer="0.5"/>
  <pageSetup orientation="landscape" r:id="rId4"/>
  <headerFooter alignWithMargins="0">
    <oddHeader>&amp;RWP/II-B-9/&amp;A
Page &amp;P of &amp;N</oddHeader>
  </headerFooter>
  <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1">
    <tabColor rgb="FF92D050"/>
    <pageSetUpPr fitToPage="1"/>
  </sheetPr>
  <dimension ref="A1:G14"/>
  <sheetViews>
    <sheetView workbookViewId="0" topLeftCell="A1">
      <selection pane="topLeft" activeCell="A4" sqref="A4"/>
    </sheetView>
  </sheetViews>
  <sheetFormatPr defaultColWidth="9.09428571428571" defaultRowHeight="12.75"/>
  <cols>
    <col min="1" max="1" width="9.14285714285714" style="144"/>
    <col min="2" max="2" width="25.1428571428571" style="144" customWidth="1"/>
    <col min="3" max="3" width="18.8571428571429" style="144" customWidth="1"/>
    <col min="4" max="4" width="19.4285714285714" style="144" customWidth="1"/>
    <col min="5" max="5" width="3.85714285714286" style="146" customWidth="1"/>
    <col min="6" max="6" width="16.5714285714286" style="144" bestFit="1" customWidth="1"/>
    <col min="7" max="16384" width="9.14285714285714" style="144"/>
  </cols>
  <sheetData>
    <row r="1" spans="1:5" s="42" customFormat="1" ht="13">
      <c r="A1" s="184" t="s">
        <v>530</v>
      </c>
      <c r="C1" s="181"/>
      <c r="D1" s="181"/>
      <c r="E1" s="113"/>
    </row>
    <row r="2" spans="1:5" s="42" customFormat="1" ht="13">
      <c r="A2" s="184" t="str">
        <f>' '!A2</f>
        <v>ONCOR ELECTRIC DELIVERY COMPANY LLC</v>
      </c>
      <c r="C2" s="181"/>
      <c r="D2" s="181"/>
      <c r="E2" s="113"/>
    </row>
    <row r="3" spans="1:5" s="42" customFormat="1" ht="13">
      <c r="A3" s="127" t="s">
        <v>6</v>
      </c>
      <c r="C3" s="181"/>
      <c r="D3" s="181"/>
      <c r="E3" s="113"/>
    </row>
    <row r="4" spans="1:5" s="42" customFormat="1" ht="13">
      <c r="A4" s="817" t="s">
        <v>928</v>
      </c>
      <c r="C4" s="181"/>
      <c r="D4" s="181"/>
      <c r="E4" s="113"/>
    </row>
    <row r="5" spans="1:5" s="42" customFormat="1" ht="13">
      <c r="A5" s="184" t="s">
        <v>524</v>
      </c>
      <c r="C5" s="181"/>
      <c r="D5" s="181"/>
      <c r="E5" s="113"/>
    </row>
    <row r="6" spans="1:1" ht="12.5">
      <c r="A6" s="146"/>
    </row>
    <row r="7" spans="1:7" ht="13.5" thickBot="1">
      <c r="A7" s="201" t="s">
        <v>45</v>
      </c>
      <c r="B7" s="219" t="s">
        <v>23</v>
      </c>
      <c r="C7" s="219" t="s">
        <v>24</v>
      </c>
      <c r="D7" s="219" t="s">
        <v>25</v>
      </c>
      <c r="E7" s="148"/>
      <c r="F7" s="148"/>
      <c r="G7" s="146"/>
    </row>
    <row r="8" spans="1:7" ht="13">
      <c r="A8" s="202"/>
      <c r="B8" s="40" t="s">
        <v>55</v>
      </c>
      <c r="C8" s="150" t="s">
        <v>56</v>
      </c>
      <c r="D8" s="40" t="s">
        <v>62</v>
      </c>
      <c r="E8" s="148"/>
      <c r="F8" s="148"/>
      <c r="G8" s="146"/>
    </row>
    <row r="9" spans="1:7" ht="13">
      <c r="A9" s="202"/>
      <c r="B9" s="40"/>
      <c r="C9" s="40"/>
      <c r="D9" s="40"/>
      <c r="E9" s="148"/>
      <c r="F9" s="148"/>
      <c r="G9" s="146"/>
    </row>
    <row r="10" spans="1:7" ht="12.5">
      <c r="A10" s="150">
        <v>1</v>
      </c>
      <c r="B10" s="146" t="s">
        <v>8</v>
      </c>
      <c r="C10" s="387">
        <f>'13-5-1'!K26</f>
        <v>120608.23384615385</v>
      </c>
      <c r="D10" s="146" t="s">
        <v>372</v>
      </c>
      <c r="F10" s="146"/>
      <c r="G10" s="146"/>
    </row>
    <row r="11" spans="1:6" ht="12.5">
      <c r="A11" s="150">
        <v>2</v>
      </c>
      <c r="B11" s="146" t="s">
        <v>178</v>
      </c>
      <c r="C11" s="393">
        <f>'13-5-2'!K26</f>
        <v>420012.836153846</v>
      </c>
      <c r="D11" s="146" t="s">
        <v>373</v>
      </c>
      <c r="F11" s="146"/>
    </row>
    <row r="12" spans="1:7" s="146" customFormat="1" ht="13" thickBot="1">
      <c r="A12" s="150">
        <f>A11+1</f>
        <v>3</v>
      </c>
      <c r="B12" s="146" t="s">
        <v>27</v>
      </c>
      <c r="C12" s="390">
        <f>ROUND(SUM(C10:C11),0)</f>
        <v>540621</v>
      </c>
      <c r="G12" s="144"/>
    </row>
    <row r="13" spans="2:6" ht="13" thickTop="1">
      <c r="B13" s="146"/>
      <c r="C13" s="146"/>
      <c r="D13" s="146"/>
      <c r="F13" s="146"/>
    </row>
    <row r="14" spans="2:6" ht="12.5">
      <c r="B14" s="146"/>
      <c r="C14" s="146"/>
      <c r="D14" s="146"/>
      <c r="F14" s="146"/>
    </row>
  </sheetData>
  <printOptions horizontalCentered="1"/>
  <pageMargins left="0.5" right="0.5" top="1.5" bottom="0.5" header="1" footer="0.5"/>
  <pageSetup orientation="landscape" r:id="rId1"/>
  <headerFooter alignWithMargins="0">
    <oddHeader>&amp;RWP/II-B-9/&amp;A
Page &amp;P of &amp;N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2">
    <tabColor rgb="FF92D050"/>
    <pageSetUpPr fitToPage="1"/>
  </sheetPr>
  <dimension ref="A1:T40"/>
  <sheetViews>
    <sheetView zoomScaleSheetLayoutView="100" workbookViewId="0" topLeftCell="A1">
      <selection pane="topLeft" activeCell="A4" sqref="A4"/>
    </sheetView>
  </sheetViews>
  <sheetFormatPr defaultColWidth="9.09428571428571" defaultRowHeight="13.5"/>
  <cols>
    <col min="1" max="1" width="9.42857142857143" style="144" bestFit="1" customWidth="1"/>
    <col min="2" max="2" width="20.8571428571429" style="144" customWidth="1"/>
    <col min="3" max="3" width="14" style="144" bestFit="1" customWidth="1"/>
    <col min="4" max="4" width="11.5714285714286" style="144" customWidth="1"/>
    <col min="5" max="6" width="12.1428571428571" style="144" bestFit="1" customWidth="1"/>
    <col min="7" max="7" width="13.5714285714286" style="144" bestFit="1" customWidth="1"/>
    <col min="8" max="8" width="12.5714285714286" style="144" bestFit="1" customWidth="1"/>
    <col min="9" max="10" width="12.4285714285714" style="144" bestFit="1" customWidth="1"/>
    <col min="11" max="11" width="13.1428571428571" style="144" bestFit="1" customWidth="1"/>
    <col min="12" max="12" width="3.85714285714286" style="145" customWidth="1"/>
    <col min="13" max="16384" width="9.14285714285714" style="144"/>
  </cols>
  <sheetData>
    <row r="1" spans="1:12" s="42" customFormat="1" ht="13">
      <c r="A1" s="181" t="s">
        <v>530</v>
      </c>
      <c r="D1" s="181"/>
      <c r="E1" s="181"/>
      <c r="F1" s="181"/>
      <c r="G1" s="181"/>
      <c r="L1" s="299"/>
    </row>
    <row r="2" spans="1:12" s="42" customFormat="1" ht="13">
      <c r="A2" s="181" t="str">
        <f>' '!A2</f>
        <v>ONCOR ELECTRIC DELIVERY COMPANY LLC</v>
      </c>
      <c r="D2" s="181"/>
      <c r="E2" s="181"/>
      <c r="F2" s="181"/>
      <c r="G2" s="181"/>
      <c r="L2" s="299"/>
    </row>
    <row r="3" spans="1:12" s="42" customFormat="1" ht="13">
      <c r="A3" s="127" t="s">
        <v>285</v>
      </c>
      <c r="D3" s="181"/>
      <c r="E3" s="181"/>
      <c r="F3" s="181"/>
      <c r="G3" s="181"/>
      <c r="L3" s="299"/>
    </row>
    <row r="4" spans="1:12" s="42" customFormat="1" ht="13">
      <c r="A4" s="817" t="s">
        <v>928</v>
      </c>
      <c r="D4" s="181"/>
      <c r="E4" s="563"/>
      <c r="F4" s="563"/>
      <c r="G4" s="563"/>
      <c r="H4" s="563"/>
      <c r="I4" s="563"/>
      <c r="J4" s="563"/>
      <c r="K4" s="565"/>
      <c r="L4" s="299"/>
    </row>
    <row r="5" spans="1:12" s="42" customFormat="1" ht="13">
      <c r="A5" s="181" t="s">
        <v>524</v>
      </c>
      <c r="D5" s="181"/>
      <c r="E5" s="181"/>
      <c r="F5" s="181"/>
      <c r="G5" s="181"/>
      <c r="L5" s="299"/>
    </row>
    <row r="7" spans="1:15" s="153" customFormat="1" ht="52">
      <c r="A7" s="202" t="s">
        <v>219</v>
      </c>
      <c r="B7" s="202"/>
      <c r="C7" s="202" t="s">
        <v>407</v>
      </c>
      <c r="D7" s="202" t="s">
        <v>162</v>
      </c>
      <c r="E7" s="202" t="s">
        <v>474</v>
      </c>
      <c r="F7" s="202" t="s">
        <v>473</v>
      </c>
      <c r="G7" s="202" t="s">
        <v>408</v>
      </c>
      <c r="H7" s="202" t="s">
        <v>163</v>
      </c>
      <c r="I7" s="202" t="s">
        <v>409</v>
      </c>
      <c r="J7" s="202" t="s">
        <v>164</v>
      </c>
      <c r="K7" s="334"/>
      <c r="L7" s="152"/>
      <c r="M7" s="152"/>
      <c r="N7" s="152"/>
      <c r="O7" s="152"/>
    </row>
    <row r="8" spans="1:15" s="148" customFormat="1" ht="13">
      <c r="A8" s="203" t="s">
        <v>220</v>
      </c>
      <c r="B8" s="203" t="s">
        <v>98</v>
      </c>
      <c r="C8" s="335">
        <v>1431060</v>
      </c>
      <c r="D8" s="335">
        <v>1431060</v>
      </c>
      <c r="E8" s="335">
        <v>1431000</v>
      </c>
      <c r="F8" s="335">
        <v>1431000</v>
      </c>
      <c r="G8" s="335">
        <v>1431110</v>
      </c>
      <c r="H8" s="335">
        <v>1431110</v>
      </c>
      <c r="I8" s="335">
        <v>1431600</v>
      </c>
      <c r="J8" s="335">
        <v>1431600</v>
      </c>
      <c r="K8" s="203" t="s">
        <v>26</v>
      </c>
      <c r="L8" s="149"/>
      <c r="M8" s="149"/>
      <c r="N8" s="149"/>
      <c r="O8" s="149"/>
    </row>
    <row r="9" spans="2:20" s="148" customFormat="1" ht="13">
      <c r="B9" s="40" t="s">
        <v>55</v>
      </c>
      <c r="C9" s="40"/>
      <c r="D9" s="40" t="s">
        <v>56</v>
      </c>
      <c r="E9" s="40"/>
      <c r="F9" s="40" t="s">
        <v>62</v>
      </c>
      <c r="G9" s="40"/>
      <c r="H9" s="40" t="s">
        <v>57</v>
      </c>
      <c r="I9" s="40"/>
      <c r="J9" s="40" t="s">
        <v>58</v>
      </c>
      <c r="K9" s="40" t="s">
        <v>59</v>
      </c>
      <c r="M9" s="40"/>
      <c r="O9" s="40"/>
      <c r="P9" s="141"/>
      <c r="Q9" s="40"/>
      <c r="R9" s="40"/>
      <c r="S9" s="120"/>
      <c r="T9" s="40"/>
    </row>
    <row r="10" spans="2:20" s="148" customFormat="1" ht="13">
      <c r="B10" s="40"/>
      <c r="C10" s="40"/>
      <c r="D10" s="40"/>
      <c r="E10" s="40"/>
      <c r="F10" s="40"/>
      <c r="G10" s="40"/>
      <c r="H10" s="40"/>
      <c r="I10" s="40"/>
      <c r="J10" s="40"/>
      <c r="K10" s="40"/>
      <c r="M10" s="40"/>
      <c r="O10" s="40"/>
      <c r="P10" s="141"/>
      <c r="Q10" s="40"/>
      <c r="R10" s="40"/>
      <c r="S10" s="120"/>
      <c r="T10" s="40"/>
    </row>
    <row r="11" spans="1:12" ht="13">
      <c r="A11" s="150">
        <v>1</v>
      </c>
      <c r="B11" s="150" t="s">
        <v>159</v>
      </c>
      <c r="C11" s="414">
        <v>57081.370000000003</v>
      </c>
      <c r="D11" s="409">
        <f>C11</f>
        <v>57081.370000000003</v>
      </c>
      <c r="E11" s="572">
        <v>0</v>
      </c>
      <c r="F11" s="409">
        <f>+E11</f>
        <v>0</v>
      </c>
      <c r="G11" s="409">
        <v>70559.190000000002</v>
      </c>
      <c r="H11" s="409">
        <f>G11</f>
        <v>70559.190000000002</v>
      </c>
      <c r="I11" s="572"/>
      <c r="J11" s="409">
        <v>0</v>
      </c>
      <c r="K11" s="409">
        <f t="shared" si="0" ref="K11:K23">D11+F11+H11+J11</f>
        <v>127640.56</v>
      </c>
      <c r="L11" s="154"/>
    </row>
    <row r="12" spans="1:12" ht="13">
      <c r="A12" s="150">
        <f t="shared" si="1" ref="A12:A35">A11+1</f>
        <v>2</v>
      </c>
      <c r="B12" s="697">
        <v>44227</v>
      </c>
      <c r="C12" s="518">
        <v>4663.7200000000003</v>
      </c>
      <c r="D12" s="424">
        <f t="shared" si="2" ref="D12:D23">D11+C12</f>
        <v>61745.090000000004</v>
      </c>
      <c r="E12" s="424">
        <v>0</v>
      </c>
      <c r="F12" s="573">
        <f t="shared" si="3" ref="F12:H23">F11+E12</f>
        <v>0</v>
      </c>
      <c r="G12" s="518">
        <v>-1405.28</v>
      </c>
      <c r="H12" s="573">
        <f t="shared" si="3"/>
        <v>69153.910000000003</v>
      </c>
      <c r="I12" s="424"/>
      <c r="J12" s="424">
        <v>0</v>
      </c>
      <c r="K12" s="424">
        <f t="shared" si="0"/>
        <v>130899</v>
      </c>
      <c r="L12" s="154"/>
    </row>
    <row r="13" spans="1:12" ht="13">
      <c r="A13" s="150">
        <f t="shared" si="1"/>
        <v>3</v>
      </c>
      <c r="B13" s="697">
        <v>44255</v>
      </c>
      <c r="C13" s="518">
        <v>-2160.9200000000001</v>
      </c>
      <c r="D13" s="424">
        <f t="shared" si="2"/>
        <v>59584.170000000006</v>
      </c>
      <c r="E13" s="424">
        <v>1656.3700000000001</v>
      </c>
      <c r="F13" s="573">
        <f t="shared" si="3"/>
        <v>1656.3700000000001</v>
      </c>
      <c r="G13" s="518">
        <v>1175.79</v>
      </c>
      <c r="H13" s="573">
        <f t="shared" si="3"/>
        <v>70329.699999999997</v>
      </c>
      <c r="I13" s="424"/>
      <c r="J13" s="424">
        <v>0</v>
      </c>
      <c r="K13" s="424">
        <f t="shared" si="0"/>
        <v>131570.23999999999</v>
      </c>
      <c r="L13" s="154"/>
    </row>
    <row r="14" spans="1:13" ht="13">
      <c r="A14" s="150">
        <f t="shared" si="1"/>
        <v>4</v>
      </c>
      <c r="B14" s="697">
        <v>44286</v>
      </c>
      <c r="C14" s="518">
        <v>1251.5799999999999</v>
      </c>
      <c r="D14" s="424">
        <f t="shared" si="2"/>
        <v>60835.750000000007</v>
      </c>
      <c r="E14" s="411">
        <v>-2000</v>
      </c>
      <c r="F14" s="573">
        <f t="shared" si="3"/>
        <v>-343.62999999999988</v>
      </c>
      <c r="G14" s="518">
        <v>-3976.8200000000002</v>
      </c>
      <c r="H14" s="573">
        <f t="shared" si="3"/>
        <v>66352.87999999999</v>
      </c>
      <c r="I14" s="411"/>
      <c r="J14" s="411">
        <v>0</v>
      </c>
      <c r="K14" s="424">
        <f t="shared" si="0"/>
        <v>126845</v>
      </c>
      <c r="L14" s="154"/>
      <c r="M14" s="574"/>
    </row>
    <row r="15" spans="1:16" ht="13">
      <c r="A15" s="150">
        <f t="shared" si="1"/>
        <v>5</v>
      </c>
      <c r="B15" s="697">
        <v>44316</v>
      </c>
      <c r="C15" s="518">
        <v>2127.1599999999999</v>
      </c>
      <c r="D15" s="424">
        <f t="shared" si="2"/>
        <v>62962.910000000003</v>
      </c>
      <c r="E15" s="411">
        <v>343.63</v>
      </c>
      <c r="F15" s="573">
        <f t="shared" si="3"/>
        <v>0</v>
      </c>
      <c r="G15" s="518">
        <v>-5171.0500000000002</v>
      </c>
      <c r="H15" s="573">
        <f t="shared" si="3"/>
        <v>61181.829999999987</v>
      </c>
      <c r="I15" s="411"/>
      <c r="J15" s="411">
        <v>0</v>
      </c>
      <c r="K15" s="424">
        <f t="shared" si="0"/>
        <v>124144.73999999999</v>
      </c>
      <c r="L15" s="154"/>
      <c r="P15" s="671"/>
    </row>
    <row r="16" spans="1:12" ht="13">
      <c r="A16" s="150">
        <f t="shared" si="1"/>
        <v>6</v>
      </c>
      <c r="B16" s="697">
        <v>44347</v>
      </c>
      <c r="C16" s="518">
        <v>-2335.9200000000001</v>
      </c>
      <c r="D16" s="424">
        <f t="shared" si="2"/>
        <v>60626.990000000005</v>
      </c>
      <c r="E16" s="411">
        <v>-5541</v>
      </c>
      <c r="F16" s="573">
        <f t="shared" si="3"/>
        <v>-5541</v>
      </c>
      <c r="G16" s="518">
        <v>-3903.8099999999999</v>
      </c>
      <c r="H16" s="573">
        <f t="shared" si="3"/>
        <v>57278.01999999999</v>
      </c>
      <c r="I16" s="411"/>
      <c r="J16" s="411">
        <v>0</v>
      </c>
      <c r="K16" s="424">
        <f t="shared" si="0"/>
        <v>112364.01</v>
      </c>
      <c r="L16" s="154"/>
    </row>
    <row r="17" spans="1:12" ht="13">
      <c r="A17" s="150">
        <f t="shared" si="1"/>
        <v>7</v>
      </c>
      <c r="B17" s="697">
        <v>44377</v>
      </c>
      <c r="C17" s="518">
        <v>617.36000000000001</v>
      </c>
      <c r="D17" s="424">
        <f t="shared" si="2"/>
        <v>61244.350000000006</v>
      </c>
      <c r="E17" s="411">
        <v>0</v>
      </c>
      <c r="F17" s="573">
        <f t="shared" si="3"/>
        <v>-5541</v>
      </c>
      <c r="G17" s="518">
        <v>-4506.8199999999997</v>
      </c>
      <c r="H17" s="573">
        <f t="shared" si="3"/>
        <v>52771.19999999999</v>
      </c>
      <c r="I17" s="411"/>
      <c r="J17" s="411">
        <v>0</v>
      </c>
      <c r="K17" s="424">
        <f t="shared" si="0"/>
        <v>108474.54999999999</v>
      </c>
      <c r="L17" s="154"/>
    </row>
    <row r="18" spans="1:12" ht="13">
      <c r="A18" s="150">
        <f t="shared" si="1"/>
        <v>8</v>
      </c>
      <c r="B18" s="697">
        <v>44408</v>
      </c>
      <c r="C18" s="518">
        <v>168.28</v>
      </c>
      <c r="D18" s="424">
        <f t="shared" si="2"/>
        <v>61412.630000000005</v>
      </c>
      <c r="E18" s="411">
        <v>0</v>
      </c>
      <c r="F18" s="573">
        <f t="shared" si="3"/>
        <v>-5541</v>
      </c>
      <c r="G18" s="518">
        <v>2162.1100000000001</v>
      </c>
      <c r="H18" s="573">
        <f t="shared" si="3"/>
        <v>54933.30999999999</v>
      </c>
      <c r="I18" s="411"/>
      <c r="J18" s="411">
        <v>0</v>
      </c>
      <c r="K18" s="424">
        <f t="shared" si="0"/>
        <v>110804.94</v>
      </c>
      <c r="L18" s="154"/>
    </row>
    <row r="19" spans="1:12" ht="13">
      <c r="A19" s="150">
        <f t="shared" si="1"/>
        <v>9</v>
      </c>
      <c r="B19" s="697">
        <v>44439</v>
      </c>
      <c r="C19" s="518">
        <v>-2110.5</v>
      </c>
      <c r="D19" s="424">
        <f t="shared" si="2"/>
        <v>59302.130000000005</v>
      </c>
      <c r="E19" s="411">
        <v>5541</v>
      </c>
      <c r="F19" s="573">
        <f t="shared" si="3"/>
        <v>0</v>
      </c>
      <c r="G19" s="518">
        <v>3926.5100000000002</v>
      </c>
      <c r="H19" s="573">
        <f t="shared" si="3"/>
        <v>58859.819999999992</v>
      </c>
      <c r="I19" s="411"/>
      <c r="J19" s="411">
        <v>0</v>
      </c>
      <c r="K19" s="424">
        <f t="shared" si="0"/>
        <v>118161.95</v>
      </c>
      <c r="L19" s="154"/>
    </row>
    <row r="20" spans="1:12" ht="13">
      <c r="A20" s="150">
        <f t="shared" si="1"/>
        <v>10</v>
      </c>
      <c r="B20" s="697">
        <v>44469</v>
      </c>
      <c r="C20" s="518">
        <v>-4094.98</v>
      </c>
      <c r="D20" s="424">
        <f t="shared" si="2"/>
        <v>55207.150000000001</v>
      </c>
      <c r="E20" s="411">
        <v>1836.02</v>
      </c>
      <c r="F20" s="573">
        <f t="shared" si="3"/>
        <v>1836.02</v>
      </c>
      <c r="G20" s="518">
        <v>4557.3400000000001</v>
      </c>
      <c r="H20" s="573">
        <f t="shared" si="3"/>
        <v>63417.159999999989</v>
      </c>
      <c r="I20" s="411"/>
      <c r="J20" s="411">
        <v>0</v>
      </c>
      <c r="K20" s="424">
        <f t="shared" si="0"/>
        <v>120460.32999999999</v>
      </c>
      <c r="L20" s="154"/>
    </row>
    <row r="21" spans="1:12" ht="13">
      <c r="A21" s="150">
        <f t="shared" si="1"/>
        <v>11</v>
      </c>
      <c r="B21" s="697">
        <v>44500</v>
      </c>
      <c r="C21" s="518">
        <v>1517.8199999999999</v>
      </c>
      <c r="D21" s="424">
        <f t="shared" si="2"/>
        <v>56724.970000000001</v>
      </c>
      <c r="E21" s="411">
        <v>-389.24000000000001</v>
      </c>
      <c r="F21" s="573">
        <f t="shared" si="3"/>
        <v>1446.78</v>
      </c>
      <c r="G21" s="518">
        <v>-3663.04</v>
      </c>
      <c r="H21" s="573">
        <f t="shared" si="3"/>
        <v>59754.119999999988</v>
      </c>
      <c r="I21" s="411"/>
      <c r="J21" s="411">
        <v>0</v>
      </c>
      <c r="K21" s="424">
        <f t="shared" si="0"/>
        <v>117925.87</v>
      </c>
      <c r="L21" s="154"/>
    </row>
    <row r="22" spans="1:12" ht="13">
      <c r="A22" s="150">
        <f t="shared" si="1"/>
        <v>12</v>
      </c>
      <c r="B22" s="697">
        <v>44530</v>
      </c>
      <c r="C22" s="518">
        <v>1459.48</v>
      </c>
      <c r="D22" s="424">
        <f t="shared" si="2"/>
        <v>58184.450000000004</v>
      </c>
      <c r="E22" s="411">
        <v>0</v>
      </c>
      <c r="F22" s="573">
        <f t="shared" si="3"/>
        <v>1446.78</v>
      </c>
      <c r="G22" s="518">
        <v>-334.44999999999999</v>
      </c>
      <c r="H22" s="573">
        <f t="shared" si="3"/>
        <v>59419.669999999991</v>
      </c>
      <c r="I22" s="411"/>
      <c r="J22" s="411">
        <v>0</v>
      </c>
      <c r="K22" s="424">
        <f t="shared" si="0"/>
        <v>119050.89999999999</v>
      </c>
      <c r="L22" s="154"/>
    </row>
    <row r="23" spans="1:12" ht="13">
      <c r="A23" s="150">
        <f t="shared" si="1"/>
        <v>13</v>
      </c>
      <c r="B23" s="697">
        <v>44561</v>
      </c>
      <c r="C23" s="518">
        <v>1429.49</v>
      </c>
      <c r="D23" s="424">
        <f t="shared" si="2"/>
        <v>59613.940000000002</v>
      </c>
      <c r="E23" s="411">
        <v>0</v>
      </c>
      <c r="F23" s="573">
        <f t="shared" si="3"/>
        <v>1446.78</v>
      </c>
      <c r="G23" s="518">
        <v>-915.44000000000005</v>
      </c>
      <c r="H23" s="573">
        <f t="shared" si="3"/>
        <v>58504.229999999989</v>
      </c>
      <c r="I23" s="411"/>
      <c r="J23" s="411">
        <v>0</v>
      </c>
      <c r="K23" s="424">
        <f t="shared" si="0"/>
        <v>119564.94999999998</v>
      </c>
      <c r="L23" s="154"/>
    </row>
    <row r="24" spans="1:12" ht="13">
      <c r="A24" s="150">
        <f t="shared" si="1"/>
        <v>14</v>
      </c>
      <c r="B24" s="668" t="s">
        <v>690</v>
      </c>
      <c r="C24" s="670">
        <f>SUM(C11:C23)</f>
        <v>59613.940000000002</v>
      </c>
      <c r="D24" s="411"/>
      <c r="E24" s="411"/>
      <c r="F24" s="411"/>
      <c r="G24" s="387">
        <f>SUM(G11:G23)</f>
        <v>58504.229999999989</v>
      </c>
      <c r="H24" s="411"/>
      <c r="I24" s="411"/>
      <c r="J24" s="411"/>
      <c r="K24" s="411"/>
      <c r="L24" s="154"/>
    </row>
    <row r="25" spans="1:13" ht="13">
      <c r="A25" s="150">
        <f t="shared" si="1"/>
        <v>15</v>
      </c>
      <c r="B25" s="430" t="s">
        <v>145</v>
      </c>
      <c r="C25" s="575"/>
      <c r="D25" s="416">
        <f>SUM(D11:D23)</f>
        <v>774525.89999999991</v>
      </c>
      <c r="E25" s="416"/>
      <c r="F25" s="416">
        <f>SUM(F11:F23)</f>
        <v>-9133.8999999999978</v>
      </c>
      <c r="G25" s="416"/>
      <c r="H25" s="416">
        <f>SUM(H11:H23)</f>
        <v>802515.04000000004</v>
      </c>
      <c r="I25" s="416"/>
      <c r="J25" s="416">
        <f>SUM(J11:J23)</f>
        <v>0</v>
      </c>
      <c r="K25" s="416">
        <f>SUM(D25:J25)</f>
        <v>1567907.04</v>
      </c>
      <c r="L25" s="147"/>
      <c r="M25" s="146"/>
    </row>
    <row r="26" spans="1:12" s="150" customFormat="1" ht="13.5" thickBot="1">
      <c r="A26" s="150">
        <f t="shared" si="1"/>
        <v>16</v>
      </c>
      <c r="B26" s="430" t="s">
        <v>161</v>
      </c>
      <c r="C26" s="576"/>
      <c r="D26" s="403">
        <f>D25/13</f>
        <v>59578.915384615379</v>
      </c>
      <c r="E26" s="403"/>
      <c r="F26" s="403">
        <f>F25/13</f>
        <v>-702.6076923076921</v>
      </c>
      <c r="G26" s="403"/>
      <c r="H26" s="403">
        <f>H25/13</f>
        <v>61731.926153846158</v>
      </c>
      <c r="I26" s="403"/>
      <c r="J26" s="403">
        <f>J25/13</f>
        <v>0</v>
      </c>
      <c r="K26" s="403">
        <f>K25/13</f>
        <v>120608.23384615385</v>
      </c>
      <c r="L26" s="151"/>
    </row>
    <row r="27" spans="1:13" ht="13.5" thickTop="1">
      <c r="A27" s="150">
        <f t="shared" si="1"/>
        <v>17</v>
      </c>
      <c r="B27" s="146"/>
      <c r="C27" s="146"/>
      <c r="D27" s="415"/>
      <c r="E27" s="415"/>
      <c r="F27" s="155"/>
      <c r="G27" s="155"/>
      <c r="H27" s="155"/>
      <c r="I27" s="155"/>
      <c r="J27" s="155"/>
      <c r="K27" s="155"/>
      <c r="L27" s="147"/>
      <c r="M27" s="146"/>
    </row>
    <row r="28" spans="1:13" ht="13">
      <c r="A28" s="150">
        <f t="shared" si="1"/>
        <v>18</v>
      </c>
      <c r="B28" s="185">
        <v>1431060</v>
      </c>
      <c r="C28" s="146" t="s">
        <v>165</v>
      </c>
      <c r="E28" s="146"/>
      <c r="F28" s="155"/>
      <c r="G28" s="155"/>
      <c r="H28" s="155"/>
      <c r="I28" s="155"/>
      <c r="J28" s="155"/>
      <c r="K28" s="155"/>
      <c r="L28" s="147"/>
      <c r="M28" s="146"/>
    </row>
    <row r="29" spans="1:13" ht="13">
      <c r="A29" s="150">
        <f t="shared" si="1"/>
        <v>19</v>
      </c>
      <c r="B29" s="146"/>
      <c r="C29" s="146" t="s">
        <v>166</v>
      </c>
      <c r="E29" s="146"/>
      <c r="F29" s="155"/>
      <c r="G29" s="155"/>
      <c r="H29" s="155"/>
      <c r="I29" s="155"/>
      <c r="J29" s="155"/>
      <c r="K29" s="155"/>
      <c r="L29" s="147"/>
      <c r="M29" s="146"/>
    </row>
    <row r="30" spans="1:13" ht="13">
      <c r="A30" s="150">
        <f t="shared" si="1"/>
        <v>20</v>
      </c>
      <c r="B30" s="185">
        <v>1431000</v>
      </c>
      <c r="C30" s="146" t="s">
        <v>477</v>
      </c>
      <c r="E30" s="146"/>
      <c r="F30" s="155"/>
      <c r="G30" s="155"/>
      <c r="H30" s="155"/>
      <c r="I30" s="155"/>
      <c r="J30" s="155"/>
      <c r="K30" s="155"/>
      <c r="L30" s="147"/>
      <c r="M30" s="146"/>
    </row>
    <row r="31" spans="1:13" ht="13">
      <c r="A31" s="150">
        <f t="shared" si="1"/>
        <v>21</v>
      </c>
      <c r="B31" s="185">
        <v>1431110</v>
      </c>
      <c r="C31" s="146" t="s">
        <v>296</v>
      </c>
      <c r="E31" s="146"/>
      <c r="F31" s="155"/>
      <c r="G31" s="155"/>
      <c r="H31" s="155"/>
      <c r="I31" s="155"/>
      <c r="J31" s="155"/>
      <c r="K31" s="155"/>
      <c r="L31" s="147"/>
      <c r="M31" s="146"/>
    </row>
    <row r="32" spans="1:13" ht="13">
      <c r="A32" s="150">
        <f t="shared" si="1"/>
        <v>22</v>
      </c>
      <c r="B32" s="185">
        <v>1431600</v>
      </c>
      <c r="C32" s="146" t="s">
        <v>167</v>
      </c>
      <c r="E32" s="155"/>
      <c r="F32" s="155"/>
      <c r="G32" s="155"/>
      <c r="H32" s="155"/>
      <c r="I32" s="155"/>
      <c r="J32" s="155"/>
      <c r="K32" s="155"/>
      <c r="L32" s="147"/>
      <c r="M32" s="146"/>
    </row>
    <row r="33" spans="1:13" ht="13">
      <c r="A33" s="150">
        <f t="shared" si="1"/>
        <v>23</v>
      </c>
      <c r="B33" s="150"/>
      <c r="C33" s="156"/>
      <c r="D33" s="155"/>
      <c r="E33" s="155"/>
      <c r="F33" s="155"/>
      <c r="G33" s="155"/>
      <c r="H33" s="155"/>
      <c r="I33" s="155"/>
      <c r="J33" s="155"/>
      <c r="K33" s="155"/>
      <c r="L33" s="147"/>
      <c r="M33" s="146"/>
    </row>
    <row r="34" spans="1:13" ht="13">
      <c r="A34" s="150">
        <f t="shared" si="1"/>
        <v>24</v>
      </c>
      <c r="B34" s="150"/>
      <c r="C34" s="156"/>
      <c r="D34" s="155"/>
      <c r="E34" s="155"/>
      <c r="F34" s="155"/>
      <c r="G34" s="155"/>
      <c r="H34" s="155"/>
      <c r="I34" s="155"/>
      <c r="J34" s="155"/>
      <c r="K34" s="155"/>
      <c r="L34" s="147"/>
      <c r="M34" s="146"/>
    </row>
    <row r="35" spans="1:12" ht="13">
      <c r="A35" s="150">
        <f t="shared" si="1"/>
        <v>25</v>
      </c>
      <c r="B35" s="31" t="s">
        <v>256</v>
      </c>
      <c r="C35" s="293" t="s">
        <v>500</v>
      </c>
      <c r="D35" s="155"/>
      <c r="E35" s="155"/>
      <c r="F35" s="155"/>
      <c r="G35" s="155"/>
      <c r="H35" s="155"/>
      <c r="I35" s="155"/>
      <c r="J35" s="155"/>
      <c r="K35" s="147"/>
      <c r="L35" s="146"/>
    </row>
    <row r="36" spans="2:13" ht="13">
      <c r="B36" s="146"/>
      <c r="C36" s="146"/>
      <c r="D36" s="155"/>
      <c r="E36" s="155"/>
      <c r="F36" s="155"/>
      <c r="G36" s="155"/>
      <c r="H36" s="155"/>
      <c r="I36" s="155"/>
      <c r="J36" s="155"/>
      <c r="K36" s="155"/>
      <c r="L36" s="147"/>
      <c r="M36" s="146"/>
    </row>
    <row r="37" spans="2:13" ht="13">
      <c r="B37" s="146"/>
      <c r="C37" s="146"/>
      <c r="D37" s="155"/>
      <c r="E37" s="155"/>
      <c r="F37" s="155"/>
      <c r="G37" s="155"/>
      <c r="H37" s="155"/>
      <c r="I37" s="155"/>
      <c r="J37" s="155"/>
      <c r="K37" s="155"/>
      <c r="L37" s="147"/>
      <c r="M37" s="146"/>
    </row>
    <row r="38" spans="2:13" ht="13">
      <c r="B38" s="146"/>
      <c r="C38" s="146"/>
      <c r="D38" s="155"/>
      <c r="E38" s="155"/>
      <c r="F38" s="155"/>
      <c r="G38" s="155"/>
      <c r="H38" s="155"/>
      <c r="I38" s="155"/>
      <c r="J38" s="155"/>
      <c r="K38" s="155"/>
      <c r="L38" s="147"/>
      <c r="M38" s="146"/>
    </row>
    <row r="40" spans="4:11" ht="13">
      <c r="D40" s="157"/>
      <c r="E40" s="157"/>
      <c r="F40" s="157"/>
      <c r="G40" s="157"/>
      <c r="H40" s="158"/>
      <c r="I40" s="158"/>
      <c r="J40" s="157"/>
      <c r="K40" s="157"/>
    </row>
  </sheetData>
  <hyperlinks>
    <hyperlink ref="C35" r:id="rId1" display="Misc. items - TRN.xlsx"/>
  </hyperlinks>
  <printOptions horizontalCentered="1"/>
  <pageMargins left="0.5" right="0.5" top="1.5" bottom="0.5" header="1" footer="0.5"/>
  <pageSetup orientation="landscape" scale="87" r:id="rId3"/>
  <headerFooter alignWithMargins="0">
    <oddHeader>&amp;RWP/II-B-9/&amp;A
Page &amp;P of &amp;N</oddHead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3">
    <tabColor rgb="FF92D050"/>
    <pageSetUpPr fitToPage="1"/>
  </sheetPr>
  <dimension ref="A1:O49"/>
  <sheetViews>
    <sheetView workbookViewId="0" topLeftCell="A1">
      <selection pane="topLeft" activeCell="A4" sqref="A4"/>
    </sheetView>
  </sheetViews>
  <sheetFormatPr defaultColWidth="9.09428571428571" defaultRowHeight="13.5"/>
  <cols>
    <col min="1" max="1" width="9.14285714285714" style="144"/>
    <col min="2" max="2" width="21.4285714285714" style="144" customWidth="1"/>
    <col min="3" max="3" width="13.5714285714286" style="144" bestFit="1" customWidth="1"/>
    <col min="4" max="4" width="14" style="144" customWidth="1"/>
    <col min="5" max="6" width="12" style="144" bestFit="1" customWidth="1"/>
    <col min="7" max="7" width="13.1428571428571" style="144" bestFit="1" customWidth="1"/>
    <col min="8" max="8" width="13.4285714285714" style="144" bestFit="1" customWidth="1"/>
    <col min="9" max="10" width="12.1428571428571" style="144" bestFit="1" customWidth="1"/>
    <col min="11" max="11" width="12.5714285714286" style="144" bestFit="1" customWidth="1"/>
    <col min="12" max="12" width="7" style="145" customWidth="1"/>
    <col min="13" max="16384" width="9.14285714285714" style="144"/>
  </cols>
  <sheetData>
    <row r="1" spans="1:12" s="42" customFormat="1" ht="13">
      <c r="A1" s="181" t="s">
        <v>530</v>
      </c>
      <c r="D1" s="181"/>
      <c r="E1" s="181"/>
      <c r="F1" s="181"/>
      <c r="G1" s="181"/>
      <c r="L1" s="299"/>
    </row>
    <row r="2" spans="1:12" s="42" customFormat="1" ht="13">
      <c r="A2" s="181" t="str">
        <f>' '!A2</f>
        <v>ONCOR ELECTRIC DELIVERY COMPANY LLC</v>
      </c>
      <c r="D2" s="181"/>
      <c r="E2" s="181"/>
      <c r="F2" s="181"/>
      <c r="G2" s="181"/>
      <c r="L2" s="299"/>
    </row>
    <row r="3" spans="1:12" s="42" customFormat="1" ht="13">
      <c r="A3" s="127" t="s">
        <v>410</v>
      </c>
      <c r="D3" s="181"/>
      <c r="E3" s="563"/>
      <c r="F3" s="563"/>
      <c r="G3" s="563"/>
      <c r="H3" s="563"/>
      <c r="I3" s="563"/>
      <c r="J3" s="563"/>
      <c r="K3" s="565"/>
      <c r="L3" s="299"/>
    </row>
    <row r="4" spans="1:12" s="42" customFormat="1" ht="13">
      <c r="A4" s="817" t="s">
        <v>928</v>
      </c>
      <c r="D4" s="181"/>
      <c r="E4" s="181"/>
      <c r="F4" s="181"/>
      <c r="G4" s="181"/>
      <c r="L4" s="299"/>
    </row>
    <row r="5" spans="1:12" s="42" customFormat="1" ht="13">
      <c r="A5" s="181" t="s">
        <v>524</v>
      </c>
      <c r="D5" s="181"/>
      <c r="E5" s="181"/>
      <c r="F5" s="181"/>
      <c r="G5" s="181"/>
      <c r="L5" s="299"/>
    </row>
    <row r="7" spans="1:15" s="153" customFormat="1" ht="52">
      <c r="A7" s="202" t="s">
        <v>219</v>
      </c>
      <c r="B7" s="202"/>
      <c r="C7" s="202" t="s">
        <v>407</v>
      </c>
      <c r="D7" s="202" t="s">
        <v>162</v>
      </c>
      <c r="E7" s="202" t="s">
        <v>474</v>
      </c>
      <c r="F7" s="202" t="s">
        <v>473</v>
      </c>
      <c r="G7" s="202" t="s">
        <v>408</v>
      </c>
      <c r="H7" s="202" t="s">
        <v>163</v>
      </c>
      <c r="I7" s="202" t="s">
        <v>409</v>
      </c>
      <c r="J7" s="202" t="s">
        <v>164</v>
      </c>
      <c r="K7" s="334"/>
      <c r="L7" s="152"/>
      <c r="M7" s="152"/>
      <c r="N7" s="152"/>
      <c r="O7" s="152"/>
    </row>
    <row r="8" spans="1:15" s="148" customFormat="1" ht="18" customHeight="1">
      <c r="A8" s="203" t="s">
        <v>220</v>
      </c>
      <c r="B8" s="203" t="s">
        <v>98</v>
      </c>
      <c r="C8" s="335">
        <v>1431060</v>
      </c>
      <c r="D8" s="335">
        <v>1431060</v>
      </c>
      <c r="E8" s="335">
        <v>1431000</v>
      </c>
      <c r="F8" s="335">
        <v>1431000</v>
      </c>
      <c r="G8" s="335">
        <v>1431110</v>
      </c>
      <c r="H8" s="335">
        <v>1431110</v>
      </c>
      <c r="I8" s="335">
        <v>1431600</v>
      </c>
      <c r="J8" s="335">
        <v>1431600</v>
      </c>
      <c r="K8" s="203" t="s">
        <v>26</v>
      </c>
      <c r="L8" s="149"/>
      <c r="M8" s="149"/>
      <c r="N8" s="149"/>
      <c r="O8" s="149"/>
    </row>
    <row r="9" spans="2:15" s="148" customFormat="1" ht="18" customHeight="1">
      <c r="B9" s="40" t="s">
        <v>55</v>
      </c>
      <c r="C9" s="40"/>
      <c r="D9" s="40" t="s">
        <v>56</v>
      </c>
      <c r="E9" s="40"/>
      <c r="F9" s="40" t="s">
        <v>62</v>
      </c>
      <c r="G9" s="40"/>
      <c r="H9" s="40" t="s">
        <v>57</v>
      </c>
      <c r="I9" s="40"/>
      <c r="J9" s="40" t="s">
        <v>58</v>
      </c>
      <c r="K9" s="40" t="s">
        <v>59</v>
      </c>
      <c r="L9" s="149"/>
      <c r="M9" s="149"/>
      <c r="N9" s="149"/>
      <c r="O9" s="149"/>
    </row>
    <row r="10" spans="2:15" s="148" customFormat="1" ht="18" customHeight="1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149"/>
      <c r="M10" s="149"/>
      <c r="N10" s="149"/>
      <c r="O10" s="149"/>
    </row>
    <row r="11" spans="1:12" ht="13">
      <c r="A11" s="150">
        <v>1</v>
      </c>
      <c r="B11" s="150" t="s">
        <v>159</v>
      </c>
      <c r="C11" s="414">
        <v>198853.78</v>
      </c>
      <c r="D11" s="409">
        <f>C11</f>
        <v>198853.78</v>
      </c>
      <c r="E11" s="409">
        <v>0</v>
      </c>
      <c r="F11" s="409">
        <f>E11</f>
        <v>0</v>
      </c>
      <c r="G11" s="409">
        <v>248996.92999999999</v>
      </c>
      <c r="H11" s="409">
        <f>G11</f>
        <v>248996.92999999999</v>
      </c>
      <c r="I11" s="572"/>
      <c r="J11" s="409">
        <v>0</v>
      </c>
      <c r="K11" s="409">
        <f t="shared" si="0" ref="K11:K23">D11+F11+H11+J11</f>
        <v>447850.70999999996</v>
      </c>
      <c r="L11" s="154"/>
    </row>
    <row r="12" spans="1:12" ht="13">
      <c r="A12" s="150">
        <f t="shared" si="1" ref="A12:A35">A11+1</f>
        <v>2</v>
      </c>
      <c r="B12" s="697">
        <v>44227</v>
      </c>
      <c r="C12" s="518">
        <v>-8956.2600000000002</v>
      </c>
      <c r="D12" s="424">
        <f t="shared" si="2" ref="D12:F23">D11+C12</f>
        <v>189897.51999999999</v>
      </c>
      <c r="E12" s="424">
        <v>329.01999999999998</v>
      </c>
      <c r="F12" s="424">
        <f t="shared" si="2"/>
        <v>329.01999999999998</v>
      </c>
      <c r="G12" s="518">
        <v>3936.3099999999999</v>
      </c>
      <c r="H12" s="424">
        <f t="shared" si="3" ref="H12:H23">H11+G12</f>
        <v>252933.23999999999</v>
      </c>
      <c r="I12" s="424"/>
      <c r="J12" s="424">
        <v>0</v>
      </c>
      <c r="K12" s="424">
        <f t="shared" si="0"/>
        <v>443159.77999999997</v>
      </c>
      <c r="L12" s="154"/>
    </row>
    <row r="13" spans="1:12" ht="13">
      <c r="A13" s="150">
        <f t="shared" si="1"/>
        <v>3</v>
      </c>
      <c r="B13" s="697">
        <v>44255</v>
      </c>
      <c r="C13" s="518">
        <v>-5719.8500000000004</v>
      </c>
      <c r="D13" s="424">
        <f t="shared" si="2"/>
        <v>184177.66999999998</v>
      </c>
      <c r="E13" s="424">
        <v>4807.21</v>
      </c>
      <c r="F13" s="424">
        <f t="shared" si="2"/>
        <v>5136.2299999999996</v>
      </c>
      <c r="G13" s="518">
        <v>-13334.09</v>
      </c>
      <c r="H13" s="424">
        <f t="shared" si="3"/>
        <v>239599.14999999999</v>
      </c>
      <c r="I13" s="424"/>
      <c r="J13" s="424">
        <v>0</v>
      </c>
      <c r="K13" s="424">
        <f t="shared" si="0"/>
        <v>428913.04999999999</v>
      </c>
      <c r="L13" s="154"/>
    </row>
    <row r="14" spans="1:12" ht="13">
      <c r="A14" s="150">
        <f t="shared" si="1"/>
        <v>4</v>
      </c>
      <c r="B14" s="697">
        <v>44282</v>
      </c>
      <c r="C14" s="518">
        <v>2069.75</v>
      </c>
      <c r="D14" s="424">
        <f t="shared" si="2"/>
        <v>186247.41999999998</v>
      </c>
      <c r="E14" s="424">
        <v>-329.01999999999998</v>
      </c>
      <c r="F14" s="424">
        <f t="shared" si="2"/>
        <v>4807.2099999999991</v>
      </c>
      <c r="G14" s="518">
        <v>664.73000000000002</v>
      </c>
      <c r="H14" s="424">
        <f t="shared" si="3"/>
        <v>240263.88000000001</v>
      </c>
      <c r="I14" s="411"/>
      <c r="J14" s="411">
        <v>0</v>
      </c>
      <c r="K14" s="424">
        <f t="shared" si="0"/>
        <v>431318.51000000001</v>
      </c>
      <c r="L14" s="154"/>
    </row>
    <row r="15" spans="1:12" ht="13">
      <c r="A15" s="150">
        <f t="shared" si="1"/>
        <v>5</v>
      </c>
      <c r="B15" s="697">
        <v>44310</v>
      </c>
      <c r="C15" s="518">
        <v>5288.8299999999999</v>
      </c>
      <c r="D15" s="424">
        <f t="shared" si="2"/>
        <v>191536.24999999997</v>
      </c>
      <c r="E15" s="424">
        <v>-4807.21</v>
      </c>
      <c r="F15" s="424">
        <f t="shared" si="2"/>
        <v>0</v>
      </c>
      <c r="G15" s="518">
        <v>-6484.8500000000004</v>
      </c>
      <c r="H15" s="424">
        <f t="shared" si="3"/>
        <v>233779.03</v>
      </c>
      <c r="I15" s="411"/>
      <c r="J15" s="411">
        <v>0</v>
      </c>
      <c r="K15" s="424">
        <f t="shared" si="0"/>
        <v>425315.27999999997</v>
      </c>
      <c r="L15" s="154"/>
    </row>
    <row r="16" spans="1:12" ht="13">
      <c r="A16" s="150">
        <f t="shared" si="1"/>
        <v>6</v>
      </c>
      <c r="B16" s="697">
        <v>44338</v>
      </c>
      <c r="C16" s="518">
        <v>-4112.4200000000001</v>
      </c>
      <c r="D16" s="424">
        <f t="shared" si="2"/>
        <v>187423.82999999996</v>
      </c>
      <c r="E16" s="424">
        <v>-2849.0799999999999</v>
      </c>
      <c r="F16" s="424">
        <f t="shared" si="2"/>
        <v>-2849.0799999999999</v>
      </c>
      <c r="G16" s="518">
        <v>-6150.3900000000003</v>
      </c>
      <c r="H16" s="424">
        <f t="shared" si="3"/>
        <v>227628.63999999999</v>
      </c>
      <c r="I16" s="411"/>
      <c r="J16" s="411">
        <v>0</v>
      </c>
      <c r="K16" s="424">
        <f t="shared" si="0"/>
        <v>412203.38999999996</v>
      </c>
      <c r="L16" s="154"/>
    </row>
    <row r="17" spans="1:12" ht="13">
      <c r="A17" s="150">
        <f t="shared" si="1"/>
        <v>7</v>
      </c>
      <c r="B17" s="697">
        <v>44366</v>
      </c>
      <c r="C17" s="518">
        <v>2133.1500000000001</v>
      </c>
      <c r="D17" s="424">
        <f t="shared" si="2"/>
        <v>189556.97999999995</v>
      </c>
      <c r="E17" s="424">
        <v>-3275.0300000000002</v>
      </c>
      <c r="F17" s="424">
        <f t="shared" si="2"/>
        <v>-6124.1100000000006</v>
      </c>
      <c r="G17" s="518">
        <v>-4241.75</v>
      </c>
      <c r="H17" s="424">
        <f t="shared" si="3"/>
        <v>223386.88999999999</v>
      </c>
      <c r="I17" s="411"/>
      <c r="J17" s="411">
        <v>0</v>
      </c>
      <c r="K17" s="424">
        <f t="shared" si="0"/>
        <v>406819.75999999989</v>
      </c>
      <c r="L17" s="154"/>
    </row>
    <row r="18" spans="1:12" ht="13">
      <c r="A18" s="150">
        <f t="shared" si="1"/>
        <v>8</v>
      </c>
      <c r="B18" s="697">
        <v>44394</v>
      </c>
      <c r="C18" s="518">
        <v>-3564.8699999999999</v>
      </c>
      <c r="D18" s="424">
        <f t="shared" si="2"/>
        <v>185992.10999999996</v>
      </c>
      <c r="E18" s="424">
        <v>-5858.3400000000001</v>
      </c>
      <c r="F18" s="424">
        <f t="shared" si="2"/>
        <v>-11982.450000000001</v>
      </c>
      <c r="G18" s="518">
        <v>2610.8600000000001</v>
      </c>
      <c r="H18" s="424">
        <f t="shared" si="3"/>
        <v>225997.74999999997</v>
      </c>
      <c r="I18" s="411"/>
      <c r="J18" s="411">
        <v>0</v>
      </c>
      <c r="K18" s="424">
        <f t="shared" si="0"/>
        <v>400007.40999999992</v>
      </c>
      <c r="L18" s="577"/>
    </row>
    <row r="19" spans="1:12" ht="13">
      <c r="A19" s="150">
        <f t="shared" si="1"/>
        <v>9</v>
      </c>
      <c r="B19" s="697">
        <v>44422</v>
      </c>
      <c r="C19" s="518">
        <v>-3434.1800000000003</v>
      </c>
      <c r="D19" s="424">
        <f t="shared" si="2"/>
        <v>182557.92999999996</v>
      </c>
      <c r="E19" s="424">
        <v>0</v>
      </c>
      <c r="F19" s="424">
        <f t="shared" si="2"/>
        <v>-11982.450000000001</v>
      </c>
      <c r="G19" s="518">
        <v>-9078.7000000000007</v>
      </c>
      <c r="H19" s="424">
        <f t="shared" si="3"/>
        <v>216919.04999999996</v>
      </c>
      <c r="I19" s="411"/>
      <c r="J19" s="411">
        <v>0</v>
      </c>
      <c r="K19" s="424">
        <f t="shared" si="0"/>
        <v>387494.52999999991</v>
      </c>
      <c r="L19" s="154"/>
    </row>
    <row r="20" spans="1:12" ht="13">
      <c r="A20" s="150">
        <f t="shared" si="1"/>
        <v>10</v>
      </c>
      <c r="B20" s="697">
        <v>44450</v>
      </c>
      <c r="C20" s="518">
        <v>-7389.5799999999999</v>
      </c>
      <c r="D20" s="424">
        <f t="shared" si="2"/>
        <v>175168.34999999998</v>
      </c>
      <c r="E20" s="424">
        <v>37592.410000000003</v>
      </c>
      <c r="F20" s="424">
        <f t="shared" si="2"/>
        <v>25609.960000000003</v>
      </c>
      <c r="G20" s="518">
        <v>1516.9300000000001</v>
      </c>
      <c r="H20" s="424">
        <f t="shared" si="3"/>
        <v>218435.97999999995</v>
      </c>
      <c r="I20" s="411"/>
      <c r="J20" s="411">
        <v>0</v>
      </c>
      <c r="K20" s="424">
        <f t="shared" si="0"/>
        <v>419214.28999999992</v>
      </c>
      <c r="L20" s="154"/>
    </row>
    <row r="21" spans="1:12" ht="13">
      <c r="A21" s="150">
        <f t="shared" si="1"/>
        <v>11</v>
      </c>
      <c r="B21" s="697">
        <v>44478</v>
      </c>
      <c r="C21" s="518">
        <v>-3861.75</v>
      </c>
      <c r="D21" s="424">
        <f t="shared" si="2"/>
        <v>171306.59999999998</v>
      </c>
      <c r="E21" s="424">
        <v>-1127.8199999999999</v>
      </c>
      <c r="F21" s="424">
        <f t="shared" si="2"/>
        <v>24482.140000000003</v>
      </c>
      <c r="G21" s="518">
        <v>6524.6900000000005</v>
      </c>
      <c r="H21" s="424">
        <f t="shared" si="3"/>
        <v>224960.66999999996</v>
      </c>
      <c r="I21" s="411"/>
      <c r="J21" s="411">
        <v>0</v>
      </c>
      <c r="K21" s="424">
        <f t="shared" si="0"/>
        <v>420749.40999999992</v>
      </c>
      <c r="L21" s="154"/>
    </row>
    <row r="22" spans="1:12" ht="13">
      <c r="A22" s="150">
        <f t="shared" si="1"/>
        <v>12</v>
      </c>
      <c r="B22" s="697">
        <v>44506</v>
      </c>
      <c r="C22" s="518">
        <v>-3917.7200000000003</v>
      </c>
      <c r="D22" s="424">
        <f t="shared" si="2"/>
        <v>167388.87999999998</v>
      </c>
      <c r="E22" s="424">
        <v>-14676.85</v>
      </c>
      <c r="F22" s="424">
        <f t="shared" si="2"/>
        <v>9805.2900000000027</v>
      </c>
      <c r="G22" s="518">
        <v>8512.9500000000007</v>
      </c>
      <c r="H22" s="424">
        <f t="shared" si="3"/>
        <v>233473.61999999997</v>
      </c>
      <c r="I22" s="411"/>
      <c r="J22" s="411">
        <v>0</v>
      </c>
      <c r="K22" s="424">
        <f t="shared" si="0"/>
        <v>410667.78999999992</v>
      </c>
      <c r="L22" s="154"/>
    </row>
    <row r="23" spans="1:12" ht="13">
      <c r="A23" s="150">
        <f t="shared" si="1"/>
        <v>13</v>
      </c>
      <c r="B23" s="697">
        <v>44534</v>
      </c>
      <c r="C23" s="518">
        <v>-2731.6599999999999</v>
      </c>
      <c r="D23" s="424">
        <f t="shared" si="2"/>
        <v>164657.21999999997</v>
      </c>
      <c r="E23" s="424">
        <v>22436.25</v>
      </c>
      <c r="F23" s="424">
        <f t="shared" si="2"/>
        <v>32241.540000000001</v>
      </c>
      <c r="G23" s="518">
        <v>-3919.4200000000001</v>
      </c>
      <c r="H23" s="424">
        <f t="shared" si="3"/>
        <v>229554.19999999995</v>
      </c>
      <c r="I23" s="411"/>
      <c r="J23" s="411">
        <v>0</v>
      </c>
      <c r="K23" s="424">
        <f t="shared" si="0"/>
        <v>426452.95999999996</v>
      </c>
      <c r="L23" s="154"/>
    </row>
    <row r="24" spans="1:12" ht="13">
      <c r="A24" s="150">
        <f t="shared" si="1"/>
        <v>14</v>
      </c>
      <c r="B24" s="668" t="s">
        <v>690</v>
      </c>
      <c r="C24" s="670">
        <f>SUM(C11:C23)</f>
        <v>164657.21999999997</v>
      </c>
      <c r="D24" s="672"/>
      <c r="E24" s="670">
        <f>SUM(E11:E23)</f>
        <v>32241.540000000001</v>
      </c>
      <c r="F24" s="672"/>
      <c r="G24" s="670">
        <f>SUM(G11:G23)</f>
        <v>229554.19999999995</v>
      </c>
      <c r="H24" s="672"/>
      <c r="I24" s="411"/>
      <c r="J24" s="411"/>
      <c r="K24" s="411"/>
      <c r="L24" s="154"/>
    </row>
    <row r="25" spans="1:13" ht="13">
      <c r="A25" s="150">
        <f t="shared" si="1"/>
        <v>15</v>
      </c>
      <c r="B25" s="430" t="s">
        <v>145</v>
      </c>
      <c r="C25" s="578"/>
      <c r="D25" s="416">
        <f>SUM(D11:D23)</f>
        <v>2374764.5399999991</v>
      </c>
      <c r="E25" s="416"/>
      <c r="F25" s="416">
        <f>SUM(F11:F23)</f>
        <v>69473.300000000003</v>
      </c>
      <c r="G25" s="416"/>
      <c r="H25" s="416">
        <f>SUM(H11:H23)</f>
        <v>3015929.0299999993</v>
      </c>
      <c r="I25" s="416"/>
      <c r="J25" s="416">
        <f>SUM(J11:J23)</f>
        <v>0</v>
      </c>
      <c r="K25" s="416">
        <f>SUM(D25:J25)</f>
        <v>5460166.8699999982</v>
      </c>
      <c r="L25" s="147"/>
      <c r="M25" s="146"/>
    </row>
    <row r="26" spans="1:12" s="150" customFormat="1" ht="13.5" thickBot="1">
      <c r="A26" s="150">
        <f t="shared" si="1"/>
        <v>16</v>
      </c>
      <c r="B26" s="430" t="s">
        <v>161</v>
      </c>
      <c r="C26" s="579"/>
      <c r="D26" s="403">
        <f>D25/13</f>
        <v>182674.19538461531</v>
      </c>
      <c r="E26" s="403"/>
      <c r="F26" s="403">
        <f>F25/13</f>
        <v>5344.1000000000004</v>
      </c>
      <c r="G26" s="403"/>
      <c r="H26" s="403">
        <f>H25/13</f>
        <v>231994.54076923072</v>
      </c>
      <c r="I26" s="403"/>
      <c r="J26" s="403">
        <f>J25/13</f>
        <v>0</v>
      </c>
      <c r="K26" s="403">
        <f>K25/13</f>
        <v>420012.836153846</v>
      </c>
      <c r="L26" s="151"/>
    </row>
    <row r="27" spans="1:13" ht="13.5" thickTop="1">
      <c r="A27" s="150">
        <f t="shared" si="1"/>
        <v>17</v>
      </c>
      <c r="B27" s="146"/>
      <c r="C27" s="146"/>
      <c r="D27" s="155"/>
      <c r="E27" s="155"/>
      <c r="F27" s="155"/>
      <c r="G27" s="155"/>
      <c r="H27" s="155"/>
      <c r="I27" s="155"/>
      <c r="J27" s="155"/>
      <c r="K27" s="155"/>
      <c r="L27" s="147"/>
      <c r="M27" s="146"/>
    </row>
    <row r="28" spans="1:13" ht="13">
      <c r="A28" s="150">
        <f t="shared" si="1"/>
        <v>18</v>
      </c>
      <c r="B28" s="185">
        <v>1431060</v>
      </c>
      <c r="C28" s="185"/>
      <c r="D28" s="146" t="s">
        <v>433</v>
      </c>
      <c r="E28" s="146"/>
      <c r="F28" s="155"/>
      <c r="G28" s="155"/>
      <c r="H28" s="155"/>
      <c r="I28" s="155"/>
      <c r="J28" s="155"/>
      <c r="K28" s="155"/>
      <c r="L28" s="147"/>
      <c r="M28" s="146"/>
    </row>
    <row r="29" spans="1:13" ht="13">
      <c r="A29" s="150">
        <f t="shared" si="1"/>
        <v>19</v>
      </c>
      <c r="B29" s="146"/>
      <c r="C29" s="146"/>
      <c r="D29" s="146" t="s">
        <v>434</v>
      </c>
      <c r="E29" s="146"/>
      <c r="F29" s="155"/>
      <c r="G29" s="155"/>
      <c r="H29" s="155"/>
      <c r="I29" s="155"/>
      <c r="J29" s="155"/>
      <c r="K29" s="155"/>
      <c r="L29" s="147"/>
      <c r="M29" s="146"/>
    </row>
    <row r="30" spans="1:13" ht="13">
      <c r="A30" s="150">
        <f t="shared" si="1"/>
        <v>20</v>
      </c>
      <c r="B30" s="185">
        <v>1431000</v>
      </c>
      <c r="C30" s="185"/>
      <c r="D30" s="146" t="s">
        <v>477</v>
      </c>
      <c r="E30" s="146"/>
      <c r="F30" s="155"/>
      <c r="G30" s="155"/>
      <c r="H30" s="155"/>
      <c r="I30" s="155"/>
      <c r="J30" s="155"/>
      <c r="K30" s="155"/>
      <c r="L30" s="147"/>
      <c r="M30" s="146"/>
    </row>
    <row r="31" spans="1:13" ht="13">
      <c r="A31" s="150">
        <f t="shared" si="1"/>
        <v>21</v>
      </c>
      <c r="B31" s="185">
        <v>1431110</v>
      </c>
      <c r="C31" s="185"/>
      <c r="D31" s="146" t="s">
        <v>296</v>
      </c>
      <c r="E31" s="146"/>
      <c r="F31" s="155"/>
      <c r="G31" s="155"/>
      <c r="H31" s="155"/>
      <c r="I31" s="155"/>
      <c r="J31" s="155"/>
      <c r="K31" s="155"/>
      <c r="L31" s="147"/>
      <c r="M31" s="146"/>
    </row>
    <row r="32" spans="1:13" ht="13">
      <c r="A32" s="150">
        <f t="shared" si="1"/>
        <v>22</v>
      </c>
      <c r="B32" s="185">
        <v>1431600</v>
      </c>
      <c r="C32" s="185"/>
      <c r="D32" s="146" t="s">
        <v>167</v>
      </c>
      <c r="E32" s="146"/>
      <c r="F32" s="155"/>
      <c r="G32" s="155"/>
      <c r="H32" s="155"/>
      <c r="I32" s="155"/>
      <c r="J32" s="155"/>
      <c r="K32" s="155"/>
      <c r="L32" s="147"/>
      <c r="M32" s="146"/>
    </row>
    <row r="33" spans="1:13" ht="13">
      <c r="A33" s="150">
        <f t="shared" si="1"/>
        <v>23</v>
      </c>
      <c r="B33" s="156"/>
      <c r="C33" s="156"/>
      <c r="D33" s="155"/>
      <c r="E33" s="155"/>
      <c r="F33" s="155"/>
      <c r="G33" s="155"/>
      <c r="H33" s="155"/>
      <c r="I33" s="155"/>
      <c r="J33" s="155"/>
      <c r="K33" s="155"/>
      <c r="L33" s="147"/>
      <c r="M33" s="146"/>
    </row>
    <row r="34" spans="1:13" ht="13">
      <c r="A34" s="150">
        <f t="shared" si="1"/>
        <v>24</v>
      </c>
      <c r="C34" s="146"/>
      <c r="D34" s="155"/>
      <c r="E34" s="155"/>
      <c r="F34" s="155"/>
      <c r="G34" s="155"/>
      <c r="H34" s="155"/>
      <c r="I34" s="155"/>
      <c r="J34" s="155"/>
      <c r="K34" s="155"/>
      <c r="L34" s="147"/>
      <c r="M34" s="146"/>
    </row>
    <row r="35" spans="1:13" ht="13">
      <c r="A35" s="150">
        <f t="shared" si="1"/>
        <v>25</v>
      </c>
      <c r="B35" s="31" t="s">
        <v>256</v>
      </c>
      <c r="C35" s="293" t="s">
        <v>475</v>
      </c>
      <c r="D35" s="155"/>
      <c r="E35" s="155"/>
      <c r="F35" s="155"/>
      <c r="G35" s="155"/>
      <c r="H35" s="155"/>
      <c r="I35" s="155"/>
      <c r="J35" s="155"/>
      <c r="K35" s="155"/>
      <c r="L35" s="147"/>
      <c r="M35" s="146"/>
    </row>
    <row r="36" spans="2:13" ht="13">
      <c r="B36" s="146"/>
      <c r="C36" s="146"/>
      <c r="D36" s="155"/>
      <c r="E36" s="155"/>
      <c r="F36" s="155"/>
      <c r="G36" s="155"/>
      <c r="H36" s="155"/>
      <c r="I36" s="155"/>
      <c r="J36" s="155"/>
      <c r="K36" s="155"/>
      <c r="L36" s="147"/>
      <c r="M36" s="146"/>
    </row>
    <row r="37" spans="2:13" ht="13">
      <c r="B37" s="146"/>
      <c r="C37" s="146"/>
      <c r="D37" s="155"/>
      <c r="E37" s="155"/>
      <c r="F37" s="155"/>
      <c r="G37" s="155"/>
      <c r="H37" s="155"/>
      <c r="I37" s="155"/>
      <c r="J37" s="155"/>
      <c r="K37" s="155"/>
      <c r="L37" s="147"/>
      <c r="M37" s="146"/>
    </row>
    <row r="38" spans="2:13" ht="13">
      <c r="B38" s="146"/>
      <c r="C38" s="146"/>
      <c r="D38" s="155"/>
      <c r="E38" s="155"/>
      <c r="F38" s="155"/>
      <c r="G38" s="155"/>
      <c r="H38" s="155"/>
      <c r="I38" s="155"/>
      <c r="J38" s="155"/>
      <c r="K38" s="155"/>
      <c r="L38" s="147"/>
      <c r="M38" s="146"/>
    </row>
    <row r="39" spans="2:13" ht="13">
      <c r="B39" s="146"/>
      <c r="C39" s="146"/>
      <c r="D39" s="155"/>
      <c r="E39" s="155"/>
      <c r="F39" s="155"/>
      <c r="G39" s="155"/>
      <c r="H39" s="155"/>
      <c r="I39" s="155"/>
      <c r="J39" s="155"/>
      <c r="K39" s="155"/>
      <c r="L39" s="147"/>
      <c r="M39" s="146"/>
    </row>
    <row r="40" spans="2:13" ht="13">
      <c r="B40" s="146"/>
      <c r="C40" s="146"/>
      <c r="D40" s="155"/>
      <c r="E40" s="155"/>
      <c r="F40" s="155"/>
      <c r="G40" s="155"/>
      <c r="H40" s="155"/>
      <c r="I40" s="155"/>
      <c r="J40" s="155"/>
      <c r="K40" s="155"/>
      <c r="L40" s="147"/>
      <c r="M40" s="146"/>
    </row>
    <row r="41" spans="2:13" ht="13">
      <c r="B41" s="146"/>
      <c r="C41" s="146"/>
      <c r="D41" s="155"/>
      <c r="E41" s="155"/>
      <c r="F41" s="155"/>
      <c r="G41" s="155"/>
      <c r="H41" s="155"/>
      <c r="I41" s="155"/>
      <c r="J41" s="155"/>
      <c r="K41" s="155"/>
      <c r="L41" s="147"/>
      <c r="M41" s="146"/>
    </row>
    <row r="42" spans="2:13" ht="13">
      <c r="B42" s="146"/>
      <c r="C42" s="146"/>
      <c r="D42" s="155"/>
      <c r="E42" s="155"/>
      <c r="F42" s="155"/>
      <c r="G42" s="155"/>
      <c r="H42" s="155"/>
      <c r="I42" s="155"/>
      <c r="J42" s="155"/>
      <c r="K42" s="155"/>
      <c r="L42" s="147"/>
      <c r="M42" s="146"/>
    </row>
    <row r="43" spans="2:13" ht="13">
      <c r="B43" s="146"/>
      <c r="C43" s="146"/>
      <c r="D43" s="155"/>
      <c r="E43" s="155"/>
      <c r="F43" s="155"/>
      <c r="G43" s="155"/>
      <c r="H43" s="155"/>
      <c r="I43" s="155"/>
      <c r="J43" s="155"/>
      <c r="K43" s="155"/>
      <c r="L43" s="147"/>
      <c r="M43" s="146"/>
    </row>
    <row r="44" spans="2:13" ht="13">
      <c r="B44" s="146"/>
      <c r="C44" s="146"/>
      <c r="D44" s="155"/>
      <c r="E44" s="155"/>
      <c r="F44" s="155"/>
      <c r="G44" s="155"/>
      <c r="H44" s="155"/>
      <c r="I44" s="155"/>
      <c r="J44" s="155"/>
      <c r="K44" s="155"/>
      <c r="L44" s="147"/>
      <c r="M44" s="146"/>
    </row>
    <row r="45" spans="2:13" ht="13">
      <c r="B45" s="146"/>
      <c r="C45" s="146"/>
      <c r="D45" s="155"/>
      <c r="E45" s="155"/>
      <c r="F45" s="155"/>
      <c r="G45" s="155"/>
      <c r="H45" s="155"/>
      <c r="I45" s="155"/>
      <c r="J45" s="155"/>
      <c r="K45" s="155"/>
      <c r="L45" s="147"/>
      <c r="M45" s="146"/>
    </row>
    <row r="46" spans="2:13" ht="13">
      <c r="B46" s="146"/>
      <c r="C46" s="146"/>
      <c r="D46" s="155"/>
      <c r="E46" s="155"/>
      <c r="F46" s="155"/>
      <c r="G46" s="155"/>
      <c r="H46" s="155"/>
      <c r="I46" s="155"/>
      <c r="J46" s="155"/>
      <c r="K46" s="155"/>
      <c r="L46" s="147"/>
      <c r="M46" s="146"/>
    </row>
    <row r="47" spans="2:13" ht="13">
      <c r="B47" s="146"/>
      <c r="C47" s="146"/>
      <c r="D47" s="155"/>
      <c r="E47" s="155"/>
      <c r="F47" s="155"/>
      <c r="G47" s="155"/>
      <c r="H47" s="155"/>
      <c r="I47" s="155"/>
      <c r="J47" s="155"/>
      <c r="K47" s="155"/>
      <c r="L47" s="147"/>
      <c r="M47" s="146"/>
    </row>
    <row r="49" spans="4:11" ht="13">
      <c r="D49" s="157"/>
      <c r="E49" s="157"/>
      <c r="F49" s="157"/>
      <c r="G49" s="157"/>
      <c r="H49" s="158"/>
      <c r="I49" s="158"/>
      <c r="J49" s="157"/>
      <c r="K49" s="157"/>
    </row>
  </sheetData>
  <hyperlinks>
    <hyperlink ref="C35" r:id="rId1" display="Misc items - ESD.xlsx"/>
  </hyperlinks>
  <printOptions horizontalCentered="1"/>
  <pageMargins left="0.5" right="0.5" top="1.5" bottom="0.5" header="1" footer="0.5"/>
  <pageSetup orientation="landscape" scale="89" r:id="rId3"/>
  <headerFooter alignWithMargins="0">
    <oddHeader>&amp;RWP/II-B-9/&amp;A
Page &amp;P of &amp;N</oddHead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4">
    <tabColor rgb="FF92D050"/>
    <pageSetUpPr fitToPage="1"/>
  </sheetPr>
  <dimension ref="A1:G36"/>
  <sheetViews>
    <sheetView workbookViewId="0" topLeftCell="A13">
      <selection pane="topLeft" activeCell="B33" sqref="B33"/>
    </sheetView>
  </sheetViews>
  <sheetFormatPr defaultColWidth="9.09428571428571" defaultRowHeight="12.75"/>
  <cols>
    <col min="1" max="1" width="6" style="1" customWidth="1"/>
    <col min="2" max="2" width="34.5714285714286" style="1" customWidth="1"/>
    <col min="3" max="3" width="2" style="1" customWidth="1"/>
    <col min="4" max="4" width="11.8571428571429" style="1" customWidth="1"/>
    <col min="5" max="5" width="2" style="1" customWidth="1"/>
    <col min="6" max="6" width="18.4285714285714" style="42" customWidth="1"/>
    <col min="7" max="7" width="9.14285714285714" style="1" customWidth="1"/>
    <col min="8" max="16384" width="9.14285714285714" style="1"/>
  </cols>
  <sheetData>
    <row r="1" spans="1:6" s="42" customFormat="1" ht="13">
      <c r="A1" s="181" t="s">
        <v>530</v>
      </c>
      <c r="C1" s="181"/>
      <c r="D1" s="181"/>
      <c r="E1" s="181"/>
      <c r="F1" s="181"/>
    </row>
    <row r="2" spans="1:6" s="42" customFormat="1" ht="13">
      <c r="A2" s="181" t="str">
        <f>' '!A2</f>
        <v>ONCOR ELECTRIC DELIVERY COMPANY LLC</v>
      </c>
      <c r="C2" s="181"/>
      <c r="D2" s="181"/>
      <c r="E2" s="181"/>
      <c r="F2" s="181"/>
    </row>
    <row r="3" spans="1:6" s="42" customFormat="1" ht="13">
      <c r="A3" s="181" t="s">
        <v>286</v>
      </c>
      <c r="C3" s="181"/>
      <c r="D3" s="181"/>
      <c r="E3" s="181"/>
      <c r="F3" s="181"/>
    </row>
    <row r="4" spans="1:6" s="42" customFormat="1" ht="13">
      <c r="A4" s="817" t="s">
        <v>928</v>
      </c>
      <c r="C4" s="181"/>
      <c r="D4" s="181"/>
      <c r="E4" s="181"/>
      <c r="F4" s="181"/>
    </row>
    <row r="5" spans="1:6" s="42" customFormat="1" ht="13">
      <c r="A5" s="181" t="s">
        <v>524</v>
      </c>
      <c r="C5" s="181"/>
      <c r="D5" s="181"/>
      <c r="E5" s="181"/>
      <c r="F5" s="181"/>
    </row>
    <row r="7" spans="1:6" ht="26">
      <c r="A7" s="32" t="s">
        <v>80</v>
      </c>
      <c r="B7" s="62" t="s">
        <v>23</v>
      </c>
      <c r="C7" s="76"/>
      <c r="D7" s="32" t="s">
        <v>0</v>
      </c>
      <c r="E7" s="62"/>
      <c r="F7" s="33" t="s">
        <v>1</v>
      </c>
    </row>
    <row r="8" spans="1:6" ht="13">
      <c r="A8" s="38"/>
      <c r="B8" s="40" t="s">
        <v>55</v>
      </c>
      <c r="C8" s="26"/>
      <c r="D8" s="40" t="s">
        <v>56</v>
      </c>
      <c r="E8" s="25"/>
      <c r="F8" s="40" t="s">
        <v>62</v>
      </c>
    </row>
    <row r="9" spans="1:6" ht="13">
      <c r="A9" s="38"/>
      <c r="B9" s="40"/>
      <c r="C9" s="26"/>
      <c r="D9" s="40"/>
      <c r="E9" s="25"/>
      <c r="F9" s="40"/>
    </row>
    <row r="10" spans="1:7" ht="12.5">
      <c r="A10" s="3">
        <v>1</v>
      </c>
      <c r="B10" s="250" t="s">
        <v>2</v>
      </c>
      <c r="C10" s="31"/>
      <c r="D10" s="91"/>
      <c r="E10" s="31"/>
      <c r="F10" s="248"/>
      <c r="G10" s="31"/>
    </row>
    <row r="11" spans="1:7" ht="12.5">
      <c r="A11" s="3">
        <f t="shared" si="0" ref="A11:A33">A10+1</f>
        <v>2</v>
      </c>
      <c r="B11" s="433" t="s">
        <v>134</v>
      </c>
      <c r="C11" s="31"/>
      <c r="D11" s="91">
        <v>9240000</v>
      </c>
      <c r="E11" s="31"/>
      <c r="F11" s="428">
        <v>2139391.2399999998</v>
      </c>
      <c r="G11" s="31"/>
    </row>
    <row r="12" spans="1:7" ht="12.5">
      <c r="A12" s="3">
        <f t="shared" si="0"/>
        <v>3</v>
      </c>
      <c r="B12" s="31"/>
      <c r="C12" s="31"/>
      <c r="D12" s="91">
        <v>9250000</v>
      </c>
      <c r="E12" s="31"/>
      <c r="F12" s="429">
        <v>5135246.5000000009</v>
      </c>
      <c r="G12" s="31"/>
    </row>
    <row r="13" spans="1:7" ht="12.5">
      <c r="A13" s="3">
        <f t="shared" si="0"/>
        <v>4</v>
      </c>
      <c r="B13" s="433" t="s">
        <v>135</v>
      </c>
      <c r="C13" s="31"/>
      <c r="D13" s="91">
        <v>9240000</v>
      </c>
      <c r="E13" s="31"/>
      <c r="F13" s="429">
        <v>1981529.8799999999</v>
      </c>
      <c r="G13" s="31"/>
    </row>
    <row r="14" spans="1:7" ht="12.5">
      <c r="A14" s="3">
        <f t="shared" si="0"/>
        <v>5</v>
      </c>
      <c r="B14" s="31"/>
      <c r="C14" s="31"/>
      <c r="D14" s="91">
        <v>9250000</v>
      </c>
      <c r="E14" s="31"/>
      <c r="F14" s="410">
        <v>7360668.6100000003</v>
      </c>
      <c r="G14" s="31"/>
    </row>
    <row r="15" spans="1:7" ht="12.5">
      <c r="A15" s="3">
        <f t="shared" si="0"/>
        <v>6</v>
      </c>
      <c r="B15" s="434" t="s">
        <v>26</v>
      </c>
      <c r="C15" s="31"/>
      <c r="D15" s="91"/>
      <c r="E15" s="31"/>
      <c r="F15" s="179">
        <f>SUM(F11:F14)</f>
        <v>16616836.23</v>
      </c>
      <c r="G15" s="31"/>
    </row>
    <row r="16" spans="1:7" ht="12.5">
      <c r="A16" s="3">
        <f t="shared" si="0"/>
        <v>7</v>
      </c>
      <c r="B16" s="31"/>
      <c r="C16" s="31"/>
      <c r="D16" s="91"/>
      <c r="E16" s="31"/>
      <c r="F16" s="248"/>
      <c r="G16" s="31"/>
    </row>
    <row r="17" spans="1:7" ht="12.5">
      <c r="A17" s="3">
        <f t="shared" si="0"/>
        <v>8</v>
      </c>
      <c r="B17" s="250" t="s">
        <v>3</v>
      </c>
      <c r="C17" s="31"/>
      <c r="D17" s="91"/>
      <c r="E17" s="31"/>
      <c r="F17" s="248"/>
      <c r="G17" s="31"/>
    </row>
    <row r="18" spans="1:7" ht="12.5">
      <c r="A18" s="3">
        <f t="shared" si="0"/>
        <v>9</v>
      </c>
      <c r="B18" s="820" t="s">
        <v>134</v>
      </c>
      <c r="C18" s="31"/>
      <c r="D18" s="91">
        <v>9302000</v>
      </c>
      <c r="E18" s="31"/>
      <c r="F18" s="432">
        <v>0</v>
      </c>
      <c r="G18" s="31"/>
    </row>
    <row r="19" spans="1:7" ht="12.5">
      <c r="A19" s="3">
        <f t="shared" si="0"/>
        <v>10</v>
      </c>
      <c r="B19" s="433" t="s">
        <v>135</v>
      </c>
      <c r="C19" s="31"/>
      <c r="D19" s="91">
        <v>9302000</v>
      </c>
      <c r="E19" s="31"/>
      <c r="F19" s="398">
        <v>1341023.7499999998</v>
      </c>
      <c r="G19" s="31"/>
    </row>
    <row r="20" spans="1:7" ht="12.5">
      <c r="A20" s="3">
        <f t="shared" si="0"/>
        <v>11</v>
      </c>
      <c r="B20" s="434" t="s">
        <v>26</v>
      </c>
      <c r="C20" s="31"/>
      <c r="D20" s="91"/>
      <c r="E20" s="31"/>
      <c r="F20" s="179">
        <f>SUM(F18:F19)</f>
        <v>1341023.7499999998</v>
      </c>
      <c r="G20" s="31"/>
    </row>
    <row r="21" spans="1:7" ht="12.5">
      <c r="A21" s="3">
        <f t="shared" si="0"/>
        <v>12</v>
      </c>
      <c r="B21" s="434"/>
      <c r="C21" s="31"/>
      <c r="D21" s="91"/>
      <c r="E21" s="31"/>
      <c r="F21" s="179"/>
      <c r="G21" s="31"/>
    </row>
    <row r="22" spans="1:7" ht="12.5">
      <c r="A22" s="3">
        <f t="shared" si="0"/>
        <v>13</v>
      </c>
      <c r="B22" s="581" t="s">
        <v>412</v>
      </c>
      <c r="C22" s="31"/>
      <c r="D22" s="91"/>
      <c r="E22" s="31"/>
      <c r="F22" s="248"/>
      <c r="G22" s="31"/>
    </row>
    <row r="23" spans="1:7" ht="12.5">
      <c r="A23" s="3">
        <f t="shared" si="0"/>
        <v>14</v>
      </c>
      <c r="B23" s="821" t="s">
        <v>129</v>
      </c>
      <c r="C23" s="31"/>
      <c r="D23" s="91">
        <v>9230000</v>
      </c>
      <c r="E23" s="31"/>
      <c r="F23" s="179">
        <v>2924394.5900000008</v>
      </c>
      <c r="G23" s="31"/>
    </row>
    <row r="24" spans="1:7" ht="12.5">
      <c r="A24" s="3">
        <f t="shared" si="0"/>
        <v>15</v>
      </c>
      <c r="B24" s="433" t="s">
        <v>135</v>
      </c>
      <c r="C24" s="31"/>
      <c r="D24" s="91">
        <v>9230000</v>
      </c>
      <c r="E24" s="31"/>
      <c r="F24" s="447">
        <v>26116872.199999992</v>
      </c>
      <c r="G24" s="31"/>
    </row>
    <row r="25" spans="1:7" ht="12.5">
      <c r="A25" s="3">
        <f t="shared" si="0"/>
        <v>16</v>
      </c>
      <c r="B25" s="434" t="s">
        <v>26</v>
      </c>
      <c r="C25" s="31"/>
      <c r="D25" s="91"/>
      <c r="E25" s="31"/>
      <c r="F25" s="179">
        <f>SUM(F23:F24)</f>
        <v>29041266.789999992</v>
      </c>
      <c r="G25" s="31"/>
    </row>
    <row r="26" spans="1:7" ht="12.5">
      <c r="A26" s="3">
        <f t="shared" si="0"/>
        <v>17</v>
      </c>
      <c r="B26" s="434"/>
      <c r="C26" s="31"/>
      <c r="D26" s="91"/>
      <c r="E26" s="31"/>
      <c r="F26" s="179"/>
      <c r="G26" s="31"/>
    </row>
    <row r="27" spans="1:7" ht="13" thickBot="1">
      <c r="A27" s="3">
        <f t="shared" si="0"/>
        <v>18</v>
      </c>
      <c r="B27" s="31" t="s">
        <v>26</v>
      </c>
      <c r="C27" s="31"/>
      <c r="D27" s="31"/>
      <c r="E27" s="31"/>
      <c r="F27" s="435">
        <f>+F15+F20+F25</f>
        <v>46999126.769999996</v>
      </c>
      <c r="G27" s="31"/>
    </row>
    <row r="28" spans="1:7" ht="13" thickTop="1">
      <c r="A28" s="3">
        <f t="shared" si="0"/>
        <v>19</v>
      </c>
      <c r="B28" s="3"/>
      <c r="C28" s="31"/>
      <c r="D28" s="31"/>
      <c r="E28" s="31"/>
      <c r="F28" s="415"/>
      <c r="G28" s="31"/>
    </row>
    <row r="29" spans="1:7" ht="12.5">
      <c r="A29" s="3">
        <f t="shared" si="0"/>
        <v>20</v>
      </c>
      <c r="B29" s="675" t="s">
        <v>930</v>
      </c>
      <c r="C29" s="31"/>
      <c r="D29" s="31"/>
      <c r="E29" s="31"/>
      <c r="F29" s="415">
        <v>1108749.01</v>
      </c>
      <c r="G29" s="31"/>
    </row>
    <row r="30" spans="1:7" ht="12.5">
      <c r="A30" s="3">
        <f t="shared" si="0"/>
        <v>21</v>
      </c>
      <c r="B30" s="1" t="s">
        <v>263</v>
      </c>
      <c r="C30" s="31"/>
      <c r="D30" s="31"/>
      <c r="E30" s="31"/>
      <c r="F30" s="822">
        <v>45890377.75999999</v>
      </c>
      <c r="G30" s="31"/>
    </row>
    <row r="31" spans="1:6" ht="12.5">
      <c r="A31" s="3">
        <f t="shared" si="0"/>
        <v>22</v>
      </c>
      <c r="D31" s="31"/>
      <c r="F31"/>
    </row>
    <row r="32" spans="1:6" ht="12.5">
      <c r="A32" s="3">
        <f t="shared" si="0"/>
        <v>23</v>
      </c>
      <c r="B32" s="628"/>
      <c r="D32" s="407"/>
      <c r="F32"/>
    </row>
    <row r="33" spans="1:6" ht="12.5">
      <c r="A33" s="3">
        <f t="shared" si="0"/>
        <v>24</v>
      </c>
      <c r="B33" s="9" t="s">
        <v>256</v>
      </c>
      <c r="D33" s="293" t="s">
        <v>481</v>
      </c>
      <c r="F33" s="172"/>
    </row>
    <row r="34" spans="1:6" ht="12.5">
      <c r="A34" s="3"/>
      <c r="B34" s="628"/>
      <c r="D34" s="407"/>
      <c r="F34" s="172"/>
    </row>
    <row r="35" spans="1:6" ht="12.5">
      <c r="A35" s="3"/>
      <c r="B35" s="628"/>
      <c r="D35" s="407"/>
      <c r="F35" s="172"/>
    </row>
    <row r="36" spans="2:2" ht="12.5">
      <c r="B36" s="31"/>
    </row>
  </sheetData>
  <hyperlinks>
    <hyperlink ref="D33" r:id="rId1" display="Amortization of Prepaids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55">
    <tabColor rgb="FF92D050"/>
    <pageSetUpPr fitToPage="1"/>
  </sheetPr>
  <dimension ref="A1:F17"/>
  <sheetViews>
    <sheetView workbookViewId="0" topLeftCell="A1">
      <selection pane="topLeft" activeCell="A4" sqref="A4"/>
    </sheetView>
  </sheetViews>
  <sheetFormatPr defaultRowHeight="12.75"/>
  <cols>
    <col min="1" max="1" width="6.57142857142857" customWidth="1"/>
    <col min="2" max="2" width="33.8571428571429" customWidth="1"/>
    <col min="3" max="3" width="15.1428571428571" customWidth="1"/>
    <col min="4" max="4" width="1.57142857142857" customWidth="1"/>
    <col min="5" max="5" width="18.5714285714286" customWidth="1"/>
  </cols>
  <sheetData>
    <row r="1" spans="1:5" s="295" customFormat="1" ht="13">
      <c r="A1" s="181" t="s">
        <v>530</v>
      </c>
      <c r="C1" s="181"/>
      <c r="D1" s="181"/>
      <c r="E1" s="181"/>
    </row>
    <row r="2" spans="1:5" s="295" customFormat="1" ht="13">
      <c r="A2" s="181" t="str">
        <f>' '!A2</f>
        <v>ONCOR ELECTRIC DELIVERY COMPANY LLC</v>
      </c>
      <c r="C2" s="181"/>
      <c r="D2" s="181"/>
      <c r="E2" s="181"/>
    </row>
    <row r="3" spans="1:5" s="295" customFormat="1" ht="13">
      <c r="A3" s="181" t="s">
        <v>210</v>
      </c>
      <c r="C3" s="181"/>
      <c r="D3" s="181"/>
      <c r="E3" s="181"/>
    </row>
    <row r="4" spans="1:5" s="295" customFormat="1" ht="13">
      <c r="A4" s="817" t="s">
        <v>928</v>
      </c>
      <c r="C4" s="181"/>
      <c r="D4" s="181"/>
      <c r="E4" s="181"/>
    </row>
    <row r="5" spans="1:5" s="295" customFormat="1" ht="13">
      <c r="A5" s="181" t="s">
        <v>524</v>
      </c>
      <c r="C5" s="181"/>
      <c r="D5" s="181"/>
      <c r="E5" s="181"/>
    </row>
    <row r="7" spans="1:6" ht="26">
      <c r="A7" s="32" t="s">
        <v>80</v>
      </c>
      <c r="B7" s="62" t="s">
        <v>23</v>
      </c>
      <c r="C7" s="32" t="s">
        <v>0</v>
      </c>
      <c r="D7" s="5"/>
      <c r="E7" s="33" t="s">
        <v>1</v>
      </c>
      <c r="F7" s="1"/>
    </row>
    <row r="8" spans="1:6" ht="13">
      <c r="A8" s="38"/>
      <c r="B8" s="40" t="s">
        <v>55</v>
      </c>
      <c r="C8" s="40" t="s">
        <v>56</v>
      </c>
      <c r="D8" s="25"/>
      <c r="E8" s="40" t="s">
        <v>62</v>
      </c>
      <c r="F8" s="1"/>
    </row>
    <row r="9" spans="1:6" ht="13">
      <c r="A9" s="38"/>
      <c r="B9" s="40"/>
      <c r="C9" s="40"/>
      <c r="D9" s="25"/>
      <c r="E9" s="40"/>
      <c r="F9" s="1"/>
    </row>
    <row r="10" spans="1:5" ht="12.5">
      <c r="A10" s="2">
        <v>1</v>
      </c>
      <c r="B10" s="173" t="s">
        <v>211</v>
      </c>
      <c r="C10" s="2"/>
      <c r="E10" s="74"/>
    </row>
    <row r="11" spans="1:5" ht="12.5">
      <c r="A11" s="2">
        <f t="shared" si="0" ref="A11:A17">A10+1</f>
        <v>2</v>
      </c>
      <c r="B11" s="433" t="s">
        <v>135</v>
      </c>
      <c r="C11" s="91">
        <v>4082410</v>
      </c>
      <c r="D11" s="31"/>
      <c r="E11" s="92">
        <v>204512084.24380049</v>
      </c>
    </row>
    <row r="12" spans="1:5" ht="12.5">
      <c r="A12" s="2">
        <f t="shared" si="0"/>
        <v>3</v>
      </c>
      <c r="B12" s="433" t="s">
        <v>134</v>
      </c>
      <c r="C12" s="91">
        <v>4082410</v>
      </c>
      <c r="D12" s="31"/>
      <c r="E12" s="431">
        <v>0</v>
      </c>
    </row>
    <row r="13" spans="1:5" ht="12.5">
      <c r="A13" s="2">
        <f t="shared" si="0"/>
        <v>4</v>
      </c>
      <c r="B13" s="433" t="s">
        <v>137</v>
      </c>
      <c r="C13" s="91">
        <v>4082500</v>
      </c>
      <c r="D13" s="31"/>
      <c r="E13" s="431">
        <v>0</v>
      </c>
    </row>
    <row r="14" spans="1:5" ht="13" thickBot="1">
      <c r="A14" s="2">
        <f t="shared" si="0"/>
        <v>5</v>
      </c>
      <c r="B14" s="436" t="s">
        <v>26</v>
      </c>
      <c r="C14" s="2"/>
      <c r="E14" s="390">
        <f>ROUND(SUM(E11:E12),0)</f>
        <v>204512084</v>
      </c>
    </row>
    <row r="15" spans="1:5" ht="13" thickTop="1">
      <c r="A15" s="2">
        <f t="shared" si="0"/>
        <v>6</v>
      </c>
      <c r="C15" s="2"/>
      <c r="E15" s="74"/>
    </row>
    <row r="16" spans="1:5" ht="12.5">
      <c r="A16" s="2">
        <f t="shared" si="0"/>
        <v>7</v>
      </c>
      <c r="B16" s="189" t="s">
        <v>256</v>
      </c>
      <c r="E16" s="74"/>
    </row>
    <row r="17" spans="1:5" ht="12.5">
      <c r="A17" s="2">
        <f t="shared" si="0"/>
        <v>8</v>
      </c>
      <c r="B17" s="293" t="s">
        <v>466</v>
      </c>
      <c r="E17" s="74"/>
    </row>
  </sheetData>
  <hyperlinks>
    <hyperlink ref="B17" r:id="rId1" display="Amortization of prepaids - Local Gross Receipts tax.xlsx"/>
  </hyperlinks>
  <printOptions horizontalCentered="1"/>
  <pageMargins left="0.5" right="0.5" top="1.5" bottom="0.5" header="1" footer="0.5"/>
  <pageSetup orientation="landscape" r:id="rId2"/>
  <headerFooter alignWithMargins="0">
    <oddHeader>&amp;RWP/II-B-9/&amp;A
Page &amp;P of &amp;N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7"/>
  <dimension ref="A1"/>
  <sheetViews>
    <sheetView workbookViewId="0" topLeftCell="A1">
      <selection pane="topLeft" activeCell="D21" sqref="D21"/>
    </sheetView>
  </sheetViews>
  <sheetFormatPr defaultRowHeight="12.7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 </vt:lpstr>
      <vt:lpstr>1</vt:lpstr>
      <vt:lpstr>1-1</vt:lpstr>
      <vt:lpstr>1-1-2</vt:lpstr>
      <vt:lpstr>1-1-2-1</vt:lpstr>
      <vt:lpstr>1-1-3</vt:lpstr>
      <vt:lpstr>1-1-3-1</vt:lpstr>
      <vt:lpstr>1-1-3-1-1</vt:lpstr>
      <vt:lpstr>2</vt:lpstr>
      <vt:lpstr>2-1</vt:lpstr>
      <vt:lpstr>2-2</vt:lpstr>
      <vt:lpstr>2-2-1</vt:lpstr>
      <vt:lpstr>2-3</vt:lpstr>
      <vt:lpstr>2-3-1</vt:lpstr>
      <vt:lpstr>2-4</vt:lpstr>
      <vt:lpstr>2-5</vt:lpstr>
      <vt:lpstr>2-6</vt:lpstr>
      <vt:lpstr>3</vt:lpstr>
      <vt:lpstr>3-1</vt:lpstr>
      <vt:lpstr>3-2</vt:lpstr>
      <vt:lpstr>4</vt:lpstr>
      <vt:lpstr>5</vt:lpstr>
      <vt:lpstr>6</vt:lpstr>
      <vt:lpstr>6-1</vt:lpstr>
      <vt:lpstr>6-1-1</vt:lpstr>
      <vt:lpstr>6-1-2</vt:lpstr>
      <vt:lpstr>6-1-3</vt:lpstr>
      <vt:lpstr>6-2</vt:lpstr>
      <vt:lpstr>6-2-1</vt:lpstr>
      <vt:lpstr>6-2-2</vt:lpstr>
      <vt:lpstr>6-2-3</vt:lpstr>
      <vt:lpstr>6-3</vt:lpstr>
      <vt:lpstr>6-4</vt:lpstr>
      <vt:lpstr>6-5</vt:lpstr>
      <vt:lpstr>7</vt:lpstr>
      <vt:lpstr>8</vt:lpstr>
      <vt:lpstr>8-1</vt:lpstr>
      <vt:lpstr>8-1-2</vt:lpstr>
      <vt:lpstr>8-2</vt:lpstr>
      <vt:lpstr>8-2-1</vt:lpstr>
      <vt:lpstr>9</vt:lpstr>
      <vt:lpstr>10</vt:lpstr>
      <vt:lpstr>11</vt:lpstr>
      <vt:lpstr>12</vt:lpstr>
      <vt:lpstr>13</vt:lpstr>
      <vt:lpstr>13-1</vt:lpstr>
      <vt:lpstr>13-1-1</vt:lpstr>
      <vt:lpstr>13-1-2</vt:lpstr>
      <vt:lpstr>13-1-3</vt:lpstr>
      <vt:lpstr>13-1-4</vt:lpstr>
      <vt:lpstr>13-1-5</vt:lpstr>
      <vt:lpstr>13-1-6</vt:lpstr>
      <vt:lpstr>13-2</vt:lpstr>
      <vt:lpstr>13-2-1</vt:lpstr>
      <vt:lpstr>13-2-2</vt:lpstr>
      <vt:lpstr>13-2-3</vt:lpstr>
      <vt:lpstr>13-3</vt:lpstr>
      <vt:lpstr>13-3-1</vt:lpstr>
      <vt:lpstr>13-3-1-1</vt:lpstr>
      <vt:lpstr>13-3-1-2</vt:lpstr>
      <vt:lpstr>13-3-2</vt:lpstr>
      <vt:lpstr>13-3-2-1</vt:lpstr>
      <vt:lpstr>13-3-2-2</vt:lpstr>
      <vt:lpstr>13-4</vt:lpstr>
      <vt:lpstr>13-5</vt:lpstr>
      <vt:lpstr>13-5-1</vt:lpstr>
      <vt:lpstr>13-5-2</vt:lpstr>
      <vt:lpstr>14</vt:lpstr>
      <vt:lpstr>15</vt:lpstr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