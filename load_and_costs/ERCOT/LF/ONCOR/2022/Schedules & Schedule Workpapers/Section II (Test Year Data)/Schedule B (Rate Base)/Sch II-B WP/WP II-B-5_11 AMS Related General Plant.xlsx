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 Related Files\"/>
    </mc:Choice>
  </mc:AlternateContent>
  <bookViews>
    <workbookView xWindow="0" yWindow="0" windowWidth="18217" windowHeight="8613" activeTab="0"/>
  </bookViews>
  <sheets>
    <sheet name="WP II-B-5_11" sheetId="1" r:id="rId2"/>
  </sheets>
  <definedNames/>
  <calcPr calcId="152511" iterate="1" iterateCount="100" iterateDelta="0.001"/>
</workbook>
</file>

<file path=xl/calcChain.xml><?xml version="1.0" encoding="utf-8"?>
<calcChain xmlns="http://schemas.openxmlformats.org/spreadsheetml/2006/main">
  <c r="H19" i="1" l="1"/>
</calcChain>
</file>

<file path=xl/sharedStrings.xml><?xml version="1.0" encoding="utf-8"?>
<sst xmlns="http://schemas.openxmlformats.org/spreadsheetml/2006/main" count="62" uniqueCount="24">
  <si>
    <t>ESD</t>
  </si>
  <si>
    <t>1010796</t>
  </si>
  <si>
    <t>AMG</t>
  </si>
  <si>
    <t>2008</t>
  </si>
  <si>
    <t>2009</t>
  </si>
  <si>
    <t>2010</t>
  </si>
  <si>
    <t>2011</t>
  </si>
  <si>
    <t>2012</t>
  </si>
  <si>
    <t>2016</t>
  </si>
  <si>
    <t>2017</t>
  </si>
  <si>
    <t>TRN</t>
  </si>
  <si>
    <t>ESD Total</t>
  </si>
  <si>
    <t>TRN Total</t>
  </si>
  <si>
    <t>Grand Total</t>
  </si>
  <si>
    <t>391 Total</t>
  </si>
  <si>
    <t>397 Total</t>
  </si>
  <si>
    <t>Business Unit</t>
  </si>
  <si>
    <t>GL Account</t>
  </si>
  <si>
    <t>Function</t>
  </si>
  <si>
    <t>FERC Account</t>
  </si>
  <si>
    <t>Vintage</t>
  </si>
  <si>
    <t>Investment</t>
  </si>
  <si>
    <t>Accumulated Depreciation</t>
  </si>
  <si>
    <t>Net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</si>
</sst>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 applyFill="1" applyBorder="1"/>
    <xf numFmtId="39" fontId="3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39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39" fontId="2" fillId="0" borderId="0" xfId="0" applyNumberFormat="1" applyFont="1" applyFill="1" applyBorder="1" applyAlignment="1">
      <alignment horizontal="center" wrapText="1"/>
    </xf>
    <xf numFmtId="39" fontId="4" fillId="0" borderId="0" xfId="0" applyNumberFormat="1" applyFont="1" applyFill="1" applyBorder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19"/>
  <sheetViews>
    <sheetView tabSelected="1" workbookViewId="0" topLeftCell="A1">
      <pane ySplit="1" topLeftCell="A2" activePane="bottomLeft" state="frozen"/>
      <selection pane="topLeft" activeCell="A1" sqref="A1"/>
      <selection pane="bottomLeft" activeCell="H20" sqref="H20"/>
    </sheetView>
  </sheetViews>
  <sheetFormatPr defaultColWidth="10.0042857142857" defaultRowHeight="13.5" outlineLevelRow="3"/>
  <cols>
    <col min="1" max="1" width="11.4285714285714" style="3" bestFit="1" customWidth="1"/>
    <col min="2" max="2" width="7.85714285714286" style="3" bestFit="1" customWidth="1"/>
    <col min="3" max="3" width="9.57142857142857" style="3" bestFit="1" customWidth="1"/>
    <col min="4" max="4" width="9.14285714285714" style="3" bestFit="1" customWidth="1"/>
    <col min="5" max="5" width="7.71428571428571" style="3" customWidth="1"/>
    <col min="6" max="6" width="13.2857142857143" style="2" bestFit="1" customWidth="1"/>
    <col min="7" max="7" width="13.7142857142857" style="2" bestFit="1" customWidth="1"/>
    <col min="8" max="8" width="12" style="2" bestFit="1" customWidth="1"/>
    <col min="9" max="10" width="10" style="2"/>
    <col min="11" max="16384" width="10" style="1"/>
  </cols>
  <sheetData>
    <row r="1" spans="1:8" ht="40.7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7" t="s">
        <v>21</v>
      </c>
      <c r="G1" s="8" t="s">
        <v>22</v>
      </c>
      <c r="H1" s="8" t="s">
        <v>23</v>
      </c>
    </row>
    <row r="2" spans="1:6" ht="12.9" outlineLevel="3">
      <c r="A2" s="3" t="s">
        <v>0</v>
      </c>
      <c r="B2" s="3" t="s">
        <v>1</v>
      </c>
      <c r="C2" s="3" t="s">
        <v>2</v>
      </c>
      <c r="D2" s="3">
        <v>391</v>
      </c>
      <c r="E2" s="3" t="s">
        <v>8</v>
      </c>
      <c r="F2" s="2">
        <v>15590047.43</v>
      </c>
    </row>
    <row r="3" spans="1:6" ht="12.9" outlineLevel="3">
      <c r="A3" s="3" t="s">
        <v>0</v>
      </c>
      <c r="B3" s="3" t="s">
        <v>1</v>
      </c>
      <c r="C3" s="3" t="s">
        <v>2</v>
      </c>
      <c r="D3" s="3">
        <v>391</v>
      </c>
      <c r="E3" s="3" t="s">
        <v>9</v>
      </c>
      <c r="F3" s="2">
        <v>580038.81999999995</v>
      </c>
    </row>
    <row r="4" spans="4:8" ht="13.6" outlineLevel="2">
      <c r="D4" s="4" t="s">
        <v>14</v>
      </c>
      <c r="F4" s="2">
        <f>SUBTOTAL(9,F2:F3)</f>
        <v>16170086.25</v>
      </c>
      <c r="G4" s="2">
        <v>-12803165.57</v>
      </c>
      <c r="H4" s="2">
        <f>SUM(F4:G4)</f>
        <v>3366920.6799999997</v>
      </c>
    </row>
    <row r="5" spans="1:6" ht="12.9" outlineLevel="3">
      <c r="A5" s="3" t="s">
        <v>0</v>
      </c>
      <c r="B5" s="3" t="s">
        <v>1</v>
      </c>
      <c r="C5" s="3" t="s">
        <v>2</v>
      </c>
      <c r="D5" s="3">
        <v>397</v>
      </c>
      <c r="E5" s="3" t="s">
        <v>3</v>
      </c>
      <c r="F5" s="2">
        <v>345726.39000000001</v>
      </c>
    </row>
    <row r="6" spans="1:6" ht="12.9" outlineLevel="3">
      <c r="A6" s="3" t="s">
        <v>0</v>
      </c>
      <c r="B6" s="3" t="s">
        <v>1</v>
      </c>
      <c r="C6" s="3" t="s">
        <v>2</v>
      </c>
      <c r="D6" s="3">
        <v>397</v>
      </c>
      <c r="E6" s="3" t="s">
        <v>4</v>
      </c>
      <c r="F6" s="2">
        <v>5105006.9500000002</v>
      </c>
    </row>
    <row r="7" spans="1:6" ht="12.9" outlineLevel="3">
      <c r="A7" s="3" t="s">
        <v>0</v>
      </c>
      <c r="B7" s="3" t="s">
        <v>1</v>
      </c>
      <c r="C7" s="3" t="s">
        <v>2</v>
      </c>
      <c r="D7" s="3">
        <v>397</v>
      </c>
      <c r="E7" s="3" t="s">
        <v>5</v>
      </c>
      <c r="F7" s="2">
        <v>10420159.52</v>
      </c>
    </row>
    <row r="8" spans="1:6" ht="12.9" outlineLevel="3">
      <c r="A8" s="3" t="s">
        <v>0</v>
      </c>
      <c r="B8" s="3" t="s">
        <v>1</v>
      </c>
      <c r="C8" s="3" t="s">
        <v>2</v>
      </c>
      <c r="D8" s="3">
        <v>397</v>
      </c>
      <c r="E8" s="3" t="s">
        <v>6</v>
      </c>
      <c r="F8" s="2">
        <v>8746556.4299999997</v>
      </c>
    </row>
    <row r="9" spans="1:6" ht="12.9" outlineLevel="3">
      <c r="A9" s="3" t="s">
        <v>0</v>
      </c>
      <c r="B9" s="3" t="s">
        <v>1</v>
      </c>
      <c r="C9" s="3" t="s">
        <v>2</v>
      </c>
      <c r="D9" s="3">
        <v>397</v>
      </c>
      <c r="E9" s="3" t="s">
        <v>7</v>
      </c>
      <c r="F9" s="2">
        <v>8524643.4800000004</v>
      </c>
    </row>
    <row r="10" spans="4:8" ht="13.6" outlineLevel="2">
      <c r="D10" s="5" t="s">
        <v>15</v>
      </c>
      <c r="F10" s="2">
        <f>SUBTOTAL(9,F5:F9)</f>
        <v>33142092.77</v>
      </c>
      <c r="G10" s="2">
        <v>-33142125.969999999</v>
      </c>
      <c r="H10" s="2">
        <f>SUM(F10:G10)</f>
        <v>-33.199999999254942</v>
      </c>
    </row>
    <row r="11" spans="1:8" ht="13.6" outlineLevel="1">
      <c r="A11" s="4" t="s">
        <v>11</v>
      </c>
      <c r="F11" s="2">
        <f>SUBTOTAL(9,F2:F9)</f>
        <v>49312179.019999996</v>
      </c>
      <c r="G11" s="2">
        <v>-45945291.539999999</v>
      </c>
      <c r="H11" s="2">
        <f>SUM(F11:G11)</f>
        <v>3366887.4799999967</v>
      </c>
    </row>
    <row r="12" spans="1:6" ht="12.9" outlineLevel="3">
      <c r="A12" s="3" t="s">
        <v>10</v>
      </c>
      <c r="B12" s="3" t="s">
        <v>1</v>
      </c>
      <c r="C12" s="3" t="s">
        <v>2</v>
      </c>
      <c r="D12" s="3">
        <v>397</v>
      </c>
      <c r="E12" s="3" t="s">
        <v>3</v>
      </c>
      <c r="F12" s="2">
        <v>135035.51000000001</v>
      </c>
    </row>
    <row r="13" spans="1:6" ht="12.9" outlineLevel="3">
      <c r="A13" s="3" t="s">
        <v>10</v>
      </c>
      <c r="B13" s="3" t="s">
        <v>1</v>
      </c>
      <c r="C13" s="3" t="s">
        <v>2</v>
      </c>
      <c r="D13" s="3">
        <v>397</v>
      </c>
      <c r="E13" s="3" t="s">
        <v>4</v>
      </c>
      <c r="F13" s="2">
        <v>1485949.46</v>
      </c>
    </row>
    <row r="14" spans="1:6" ht="12.9" outlineLevel="3">
      <c r="A14" s="3" t="s">
        <v>10</v>
      </c>
      <c r="B14" s="3" t="s">
        <v>1</v>
      </c>
      <c r="C14" s="3" t="s">
        <v>2</v>
      </c>
      <c r="D14" s="3">
        <v>397</v>
      </c>
      <c r="E14" s="3" t="s">
        <v>5</v>
      </c>
      <c r="F14" s="2">
        <v>2150429.1800000002</v>
      </c>
    </row>
    <row r="15" spans="1:6" ht="12.9" outlineLevel="3">
      <c r="A15" s="3" t="s">
        <v>10</v>
      </c>
      <c r="B15" s="3" t="s">
        <v>1</v>
      </c>
      <c r="C15" s="3" t="s">
        <v>2</v>
      </c>
      <c r="D15" s="3">
        <v>397</v>
      </c>
      <c r="E15" s="3" t="s">
        <v>6</v>
      </c>
      <c r="F15" s="2">
        <v>1658406.3600000001</v>
      </c>
    </row>
    <row r="16" spans="1:6" ht="12.9" outlineLevel="3">
      <c r="A16" s="3" t="s">
        <v>10</v>
      </c>
      <c r="B16" s="3" t="s">
        <v>1</v>
      </c>
      <c r="C16" s="3" t="s">
        <v>2</v>
      </c>
      <c r="D16" s="3">
        <v>397</v>
      </c>
      <c r="E16" s="3" t="s">
        <v>7</v>
      </c>
      <c r="F16" s="2">
        <v>2976591.1499999999</v>
      </c>
    </row>
    <row r="17" spans="4:8" ht="13.6" outlineLevel="2">
      <c r="D17" s="5" t="s">
        <v>15</v>
      </c>
      <c r="F17" s="2">
        <f>SUBTOTAL(9,F12:F16)</f>
        <v>8406411.6600000001</v>
      </c>
      <c r="G17" s="2">
        <v>-8406378.4600000009</v>
      </c>
      <c r="H17" s="2">
        <f>SUM(F17:G17)</f>
        <v>33.199999999254942</v>
      </c>
    </row>
    <row r="18" spans="1:8" ht="13.6" outlineLevel="1">
      <c r="A18" s="5" t="s">
        <v>12</v>
      </c>
      <c r="F18" s="2">
        <f>SUBTOTAL(9,F12:F16)</f>
        <v>8406411.6600000001</v>
      </c>
      <c r="G18" s="2">
        <v>-8406378.4600000009</v>
      </c>
      <c r="H18" s="2">
        <f>SUM(F18:G18)</f>
        <v>33.199999999254942</v>
      </c>
    </row>
    <row r="19" spans="1:8" ht="13.6">
      <c r="A19" s="5" t="s">
        <v>13</v>
      </c>
      <c r="F19" s="2">
        <f>SUBTOTAL(9,F2:F16)</f>
        <v>57718590.679999992</v>
      </c>
      <c r="G19" s="2">
        <f>G11+G18</f>
        <v>-54351670</v>
      </c>
      <c r="H19" s="2">
        <f>H11+H18</f>
        <v>3366920.679999996</v>
      </c>
    </row>
  </sheetData>
  <sortState ref="A2:F13">
    <sortCondition sortBy="value" ref="A2:A13"/>
    <sortCondition sortBy="value" ref="D2:D13"/>
    <sortCondition sortBy="value" ref="E2:E13"/>
  </sortState>
  <pageMargins left="1.5" right="0.75" top="2.25" bottom="0.5" header="0.5" footer="0.5"/>
  <pageSetup orientation="portrait" scale="94" r:id="rId1"/>
  <headerFooter>
    <oddHeader>&amp;C&amp;"Arial,Bold"
2022 RATE CASE
ONCOR ELECTRIC DELIVERY COMPANY LLC
AMS RELATED GENERAL PLANT
FOR TEST YEAR ENDING DECEMBER 31, 2021
SPONSOR: D. A. WATSON&amp;R&amp;"Arial,Bold"WP/II-B-5/11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II-B-5_11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