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28678" yWindow="-122" windowWidth="29045" windowHeight="15840" activeTab="0"/>
  </bookViews>
  <sheets>
    <sheet name="WP II-B-5_06" sheetId="1" r:id="rId2"/>
  </sheets>
  <definedNames>
    <definedName name="_xlnm.Print_Area" localSheetId="0">'WP II-B-5_06'!$A$2:$N$34</definedName>
    <definedName name="_xlnm.Print_Titles" localSheetId="0">'WP II-B-5_06'!$A:$A,'WP II-B-5_06'!$1:$1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</calcChain>
</file>

<file path=xl/sharedStrings.xml><?xml version="1.0" encoding="utf-8"?>
<sst xmlns="http://schemas.openxmlformats.org/spreadsheetml/2006/main" count="65" uniqueCount="33">
  <si>
    <t>Row Labels</t>
  </si>
  <si>
    <t>NTU DIST</t>
  </si>
  <si>
    <t>NTU TRAN</t>
  </si>
  <si>
    <t>Grand Total</t>
  </si>
  <si>
    <t>364</t>
  </si>
  <si>
    <t>2018</t>
  </si>
  <si>
    <t>2017</t>
  </si>
  <si>
    <t>2015</t>
  </si>
  <si>
    <t>2014</t>
  </si>
  <si>
    <t>2013</t>
  </si>
  <si>
    <t>365</t>
  </si>
  <si>
    <t>2016</t>
  </si>
  <si>
    <t>366</t>
  </si>
  <si>
    <t>367</t>
  </si>
  <si>
    <t>2004</t>
  </si>
  <si>
    <t>368</t>
  </si>
  <si>
    <t>373</t>
  </si>
  <si>
    <t>Acct</t>
  </si>
  <si>
    <t>ASL</t>
  </si>
  <si>
    <t>RL</t>
  </si>
  <si>
    <t>Net Salvage</t>
  </si>
  <si>
    <t>Theo Res</t>
  </si>
  <si>
    <t>Proration Factor</t>
  </si>
  <si>
    <t>Alloc Reserve</t>
  </si>
  <si>
    <t>Proration</t>
  </si>
  <si>
    <t>Book  Reserve</t>
  </si>
  <si>
    <t>364 Total</t>
  </si>
  <si>
    <t>365 Total</t>
  </si>
  <si>
    <t>366 Total</t>
  </si>
  <si>
    <t>367 Total</t>
  </si>
  <si>
    <t>368 Total</t>
  </si>
  <si>
    <t>373 Total</t>
  </si>
  <si>
    <t>Reserve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</si>
</sst>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39" fontId="0" fillId="0" borderId="0" xfId="0" applyNumberFormat="1"/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10" fontId="0" fillId="0" borderId="0" xfId="0" applyNumberFormat="1"/>
    <xf numFmtId="43" fontId="2" fillId="0" borderId="0" xfId="18" applyFont="1"/>
    <xf numFmtId="10" fontId="3" fillId="0" borderId="0" xfId="0" applyNumberFormat="1" applyFont="1"/>
    <xf numFmtId="43" fontId="3" fillId="0" borderId="0" xfId="18" applyFont="1"/>
    <xf numFmtId="0" fontId="4" fillId="0" borderId="0" xfId="0" applyFont="1"/>
    <xf numFmtId="43" fontId="0" fillId="0" borderId="0" xfId="18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N34"/>
  <sheetViews>
    <sheetView tabSelected="1" workbookViewId="0" topLeftCell="A1">
      <selection pane="topLeft" activeCell="L28" sqref="L28"/>
    </sheetView>
  </sheetViews>
  <sheetFormatPr defaultRowHeight="15" outlineLevelRow="2"/>
  <cols>
    <col min="1" max="1" width="14.1428571428571" bestFit="1" customWidth="1"/>
    <col min="2" max="3" width="14.2857142857143" bestFit="1" customWidth="1"/>
    <col min="4" max="4" width="16.1428571428571" style="10" bestFit="1" customWidth="1"/>
    <col min="5" max="5" width="13.1428571428571" bestFit="1" customWidth="1"/>
    <col min="6" max="6" width="8.71428571428571" bestFit="1" customWidth="1"/>
    <col min="7" max="7" width="5.85714285714286" bestFit="1" customWidth="1"/>
    <col min="8" max="8" width="12.8571428571429" bestFit="1" customWidth="1"/>
    <col min="9" max="9" width="14.4285714285714" style="5" bestFit="1" customWidth="1"/>
    <col min="10" max="10" width="19.5714285714286" customWidth="1"/>
    <col min="11" max="11" width="20.7142857142857" bestFit="1" customWidth="1"/>
    <col min="12" max="12" width="18" bestFit="1" customWidth="1"/>
    <col min="13" max="13" width="14.2857142857143" bestFit="1" customWidth="1"/>
    <col min="14" max="14" width="14.7142857142857" bestFit="1" customWidth="1"/>
  </cols>
  <sheetData>
    <row r="1" spans="1:14" s="9" customFormat="1" ht="15.65">
      <c r="A1" s="3" t="s">
        <v>17</v>
      </c>
      <c r="B1" s="3" t="s">
        <v>0</v>
      </c>
      <c r="C1" s="3" t="s">
        <v>3</v>
      </c>
      <c r="D1" s="8" t="s">
        <v>1</v>
      </c>
      <c r="E1" s="3" t="s">
        <v>2</v>
      </c>
      <c r="F1" s="3"/>
      <c r="G1" s="3" t="s">
        <v>18</v>
      </c>
      <c r="H1" s="3" t="s">
        <v>19</v>
      </c>
      <c r="I1" s="7" t="s">
        <v>20</v>
      </c>
      <c r="J1" s="8" t="s">
        <v>21</v>
      </c>
      <c r="K1" s="8" t="s">
        <v>22</v>
      </c>
      <c r="L1" s="8" t="s">
        <v>23</v>
      </c>
      <c r="M1" s="8" t="s">
        <v>1</v>
      </c>
      <c r="N1" s="8" t="s">
        <v>2</v>
      </c>
    </row>
    <row r="2" spans="1:13" ht="15.65" outlineLevel="2">
      <c r="A2" s="2" t="s">
        <v>4</v>
      </c>
      <c r="B2" s="2" t="s">
        <v>5</v>
      </c>
      <c r="C2" s="2">
        <v>123778.92</v>
      </c>
      <c r="D2" s="6">
        <v>123778.92</v>
      </c>
      <c r="E2" s="2"/>
      <c r="F2" s="2"/>
      <c r="G2" s="2">
        <v>54</v>
      </c>
      <c r="H2" s="2">
        <v>51.833652999999998</v>
      </c>
      <c r="I2" s="4">
        <v>-1</v>
      </c>
      <c r="J2" s="6">
        <f>+C2*(1-H2/G2)*(1-I2)</f>
        <v>9931.410815008885</v>
      </c>
      <c r="K2" s="6">
        <f>$J$33</f>
        <v>1.2591083754171988</v>
      </c>
      <c r="L2" s="6">
        <f>IF((C2*(1-I2)-J2*K2)&lt;0,C2*(1-I2),J2*K2)</f>
        <v>12504.722536886635</v>
      </c>
      <c r="M2" s="6">
        <f>+L2</f>
        <v>12504.722536886635</v>
      </c>
    </row>
    <row r="3" spans="1:13" ht="15.65" outlineLevel="2">
      <c r="A3" s="2" t="s">
        <v>4</v>
      </c>
      <c r="B3" s="2" t="s">
        <v>6</v>
      </c>
      <c r="C3" s="2">
        <v>10497.860000000001</v>
      </c>
      <c r="D3" s="6">
        <v>10497.860000000001</v>
      </c>
      <c r="E3" s="2"/>
      <c r="F3" s="2"/>
      <c r="G3" s="2">
        <v>54</v>
      </c>
      <c r="H3" s="2">
        <v>51.218271999999999</v>
      </c>
      <c r="I3" s="4">
        <v>-1</v>
      </c>
      <c r="J3" s="6">
        <f>+C3*(1-H3/G3)*(1-I3)</f>
        <v>1081.5626334103706</v>
      </c>
      <c r="K3" s="6">
        <f>$J$33</f>
        <v>1.2591083754171988</v>
      </c>
      <c r="L3" s="6">
        <f>IF((C3*(1-I3)-J3*K3)&lt;0,C3*(1-I3),J3*K3)</f>
        <v>1361.8045702652792</v>
      </c>
      <c r="M3" s="6">
        <f t="shared" si="0" ref="M3:M29">+L3</f>
        <v>1361.8045702652792</v>
      </c>
    </row>
    <row r="4" spans="1:13" ht="15.65" outlineLevel="2">
      <c r="A4" s="2" t="s">
        <v>4</v>
      </c>
      <c r="B4" s="2" t="s">
        <v>7</v>
      </c>
      <c r="C4" s="2">
        <v>226911.25</v>
      </c>
      <c r="D4" s="6">
        <v>226911.25</v>
      </c>
      <c r="E4" s="2"/>
      <c r="F4" s="2"/>
      <c r="G4" s="2">
        <v>54</v>
      </c>
      <c r="H4" s="2">
        <v>49.992114999999998</v>
      </c>
      <c r="I4" s="4">
        <v>-1</v>
      </c>
      <c r="J4" s="6">
        <f>+C4*(1-H4/G4)*(1-I4)</f>
        <v>33682.747970601878</v>
      </c>
      <c r="K4" s="6">
        <f>$J$33</f>
        <v>1.2591083754171988</v>
      </c>
      <c r="L4" s="6">
        <f>IF((C4*(1-I4)-J4*K4)&lt;0,C4*(1-I4),J4*K4)</f>
        <v>42410.230076851483</v>
      </c>
      <c r="M4" s="6">
        <f t="shared" si="0"/>
        <v>42410.230076851483</v>
      </c>
    </row>
    <row r="5" spans="1:13" ht="15.65" outlineLevel="2">
      <c r="A5" s="2" t="s">
        <v>4</v>
      </c>
      <c r="B5" s="2" t="s">
        <v>8</v>
      </c>
      <c r="C5" s="2">
        <v>148152.95000000001</v>
      </c>
      <c r="D5" s="6">
        <v>148152.95000000001</v>
      </c>
      <c r="E5" s="2"/>
      <c r="F5" s="2"/>
      <c r="G5" s="2">
        <v>54</v>
      </c>
      <c r="H5" s="2">
        <v>49.381390000000003</v>
      </c>
      <c r="I5" s="4">
        <v>-1</v>
      </c>
      <c r="J5" s="6">
        <f>+C5*(1-H5/G5)*(1-I5)</f>
        <v>25342.988755537037</v>
      </c>
      <c r="K5" s="6">
        <f>$J$33</f>
        <v>1.2591083754171988</v>
      </c>
      <c r="L5" s="6">
        <f>IF((C5*(1-I5)-J5*K5)&lt;0,C5*(1-I5),J5*K5)</f>
        <v>31909.569400200573</v>
      </c>
      <c r="M5" s="6">
        <f t="shared" si="0"/>
        <v>31909.569400200573</v>
      </c>
    </row>
    <row r="6" spans="1:13" ht="15.65" outlineLevel="2">
      <c r="A6" s="2" t="s">
        <v>4</v>
      </c>
      <c r="B6" s="2" t="s">
        <v>9</v>
      </c>
      <c r="C6" s="2">
        <v>139588.51000000001</v>
      </c>
      <c r="D6" s="6">
        <v>139588.51000000001</v>
      </c>
      <c r="E6" s="2"/>
      <c r="F6" s="2"/>
      <c r="G6" s="2">
        <v>54</v>
      </c>
      <c r="H6" s="2">
        <v>48.772151000000001</v>
      </c>
      <c r="I6" s="4">
        <v>-1</v>
      </c>
      <c r="J6" s="6">
        <f>+C6*(1-H6/G6)*(1-I6)</f>
        <v>27027.690830184813</v>
      </c>
      <c r="K6" s="6">
        <f>$J$33</f>
        <v>1.2591083754171988</v>
      </c>
      <c r="L6" s="6">
        <f>IF((C6*(1-I6)-J6*K6)&lt;0,C6*(1-I6),J6*K6)</f>
        <v>34030.79189247232</v>
      </c>
      <c r="M6" s="6">
        <f t="shared" si="0"/>
        <v>34030.79189247232</v>
      </c>
    </row>
    <row r="7" spans="1:13" ht="15.65" outlineLevel="1">
      <c r="A7" s="3" t="s">
        <v>26</v>
      </c>
      <c r="B7" s="2"/>
      <c r="C7" s="2">
        <f>SUBTOTAL(9,C2:C6)</f>
        <v>648929.48999999999</v>
      </c>
      <c r="D7" s="6">
        <f>SUBTOTAL(9,D2:D6)</f>
        <v>648929.48999999999</v>
      </c>
      <c r="E7" s="2"/>
      <c r="F7" s="2"/>
      <c r="G7" s="2"/>
      <c r="H7" s="2"/>
      <c r="I7" s="4"/>
      <c r="J7" s="6">
        <f>SUBTOTAL(9,J2:J6)</f>
        <v>97066.401004742991</v>
      </c>
      <c r="K7" s="6"/>
      <c r="L7" s="6">
        <f>SUBTOTAL(9,L2:L6)</f>
        <v>122217.11847667629</v>
      </c>
      <c r="M7" s="6">
        <f t="shared" si="0"/>
        <v>122217.11847667629</v>
      </c>
    </row>
    <row r="8" spans="1:13" ht="15.65" outlineLevel="2">
      <c r="A8" s="2" t="s">
        <v>10</v>
      </c>
      <c r="B8" s="2" t="s">
        <v>6</v>
      </c>
      <c r="C8" s="2">
        <v>987.97000000000003</v>
      </c>
      <c r="D8" s="6">
        <v>987.97000000000003</v>
      </c>
      <c r="E8" s="2"/>
      <c r="F8" s="2"/>
      <c r="G8" s="2">
        <v>52</v>
      </c>
      <c r="H8" s="2">
        <v>49.218893000000001</v>
      </c>
      <c r="I8" s="4">
        <v>-0.75</v>
      </c>
      <c r="J8" s="6">
        <f>+C8*(1-H8/G8)*(1-I8)</f>
        <v>92.468999901586557</v>
      </c>
      <c r="K8" s="6">
        <f>$J$33</f>
        <v>1.2591083754171988</v>
      </c>
      <c r="L8" s="6">
        <f>IF((C8*(1-I8)-J8*K8)&lt;0,C8*(1-I8),J8*K8)</f>
        <v>116.42849224253976</v>
      </c>
      <c r="M8" s="6">
        <f t="shared" si="0"/>
        <v>116.42849224253976</v>
      </c>
    </row>
    <row r="9" spans="1:13" ht="15.65" outlineLevel="2">
      <c r="A9" s="2" t="s">
        <v>10</v>
      </c>
      <c r="B9" s="2" t="s">
        <v>11</v>
      </c>
      <c r="C9" s="2">
        <v>55340.330000000002</v>
      </c>
      <c r="D9" s="6">
        <v>55340.330000000002</v>
      </c>
      <c r="E9" s="2"/>
      <c r="F9" s="2"/>
      <c r="G9" s="2">
        <v>52</v>
      </c>
      <c r="H9" s="2">
        <v>48.605398000000001</v>
      </c>
      <c r="I9" s="4">
        <v>-0.75</v>
      </c>
      <c r="J9" s="6">
        <f>+C9*(1-H9/G9)*(1-I9)</f>
        <v>6322.1575206279822</v>
      </c>
      <c r="K9" s="6">
        <f>$J$33</f>
        <v>1.2591083754171988</v>
      </c>
      <c r="L9" s="6">
        <f>IF((C9*(1-I9)-J9*K9)&lt;0,C9*(1-I9),J9*K9)</f>
        <v>7960.2814849295237</v>
      </c>
      <c r="M9" s="6">
        <f t="shared" si="0"/>
        <v>7960.2814849295237</v>
      </c>
    </row>
    <row r="10" spans="1:13" ht="15.65" outlineLevel="2">
      <c r="A10" s="2" t="s">
        <v>10</v>
      </c>
      <c r="B10" s="2" t="s">
        <v>7</v>
      </c>
      <c r="C10" s="2">
        <v>904611.65000000002</v>
      </c>
      <c r="D10" s="6">
        <v>904611.65000000002</v>
      </c>
      <c r="E10" s="2"/>
      <c r="F10" s="2"/>
      <c r="G10" s="2">
        <v>52</v>
      </c>
      <c r="H10" s="2">
        <v>47.993487999999999</v>
      </c>
      <c r="I10" s="4">
        <v>-0.75</v>
      </c>
      <c r="J10" s="6">
        <f>+C10*(1-H10/G10)*(1-I10)</f>
        <v>121972.89431468086</v>
      </c>
      <c r="K10" s="6">
        <f>$J$33</f>
        <v>1.2591083754171988</v>
      </c>
      <c r="L10" s="6">
        <f>IF((C10*(1-I10)-J10*K10)&lt;0,C10*(1-I10),J10*K10)</f>
        <v>153577.0928054915</v>
      </c>
      <c r="M10" s="6">
        <f t="shared" si="0"/>
        <v>153577.0928054915</v>
      </c>
    </row>
    <row r="11" spans="1:13" ht="15.65" outlineLevel="2">
      <c r="A11" s="2" t="s">
        <v>10</v>
      </c>
      <c r="B11" s="2" t="s">
        <v>8</v>
      </c>
      <c r="C11" s="2">
        <v>83011.199999999997</v>
      </c>
      <c r="D11" s="6">
        <v>83011.199999999997</v>
      </c>
      <c r="E11" s="2"/>
      <c r="F11" s="2"/>
      <c r="G11" s="2">
        <v>52</v>
      </c>
      <c r="H11" s="2">
        <v>47.383128999999997</v>
      </c>
      <c r="I11" s="4">
        <v>-0.75</v>
      </c>
      <c r="J11" s="6">
        <f>+C11*(1-H11/G11)*(1-I11)</f>
        <v>12897.903911953854</v>
      </c>
      <c r="K11" s="6">
        <f>$J$33</f>
        <v>1.2591083754171988</v>
      </c>
      <c r="L11" s="6">
        <f>IF((C11*(1-I11)-J11*K11)&lt;0,C11*(1-I11),J11*K11)</f>
        <v>16239.85884086735</v>
      </c>
      <c r="M11" s="6">
        <f t="shared" si="0"/>
        <v>16239.85884086735</v>
      </c>
    </row>
    <row r="12" spans="1:13" ht="15.65" outlineLevel="2">
      <c r="A12" s="2" t="s">
        <v>10</v>
      </c>
      <c r="B12" s="2" t="s">
        <v>9</v>
      </c>
      <c r="C12" s="2">
        <v>60442.489999999998</v>
      </c>
      <c r="D12" s="6">
        <v>60442.489999999998</v>
      </c>
      <c r="E12" s="2"/>
      <c r="F12" s="2"/>
      <c r="G12" s="2">
        <v>52</v>
      </c>
      <c r="H12" s="2">
        <v>46.774287000000001</v>
      </c>
      <c r="I12" s="4">
        <v>-0.75</v>
      </c>
      <c r="J12" s="6">
        <f>+C12*(1-H12/G12)*(1-I12)</f>
        <v>10629.739135661486</v>
      </c>
      <c r="K12" s="6">
        <f>$J$33</f>
        <v>1.2591083754171988</v>
      </c>
      <c r="L12" s="6">
        <f>IF((C12*(1-I12)-J12*K12)&lt;0,C12*(1-I12),J12*K12)</f>
        <v>13383.993574211352</v>
      </c>
      <c r="M12" s="6">
        <f t="shared" si="0"/>
        <v>13383.993574211352</v>
      </c>
    </row>
    <row r="13" spans="1:13" ht="15.65" outlineLevel="1">
      <c r="A13" s="3" t="s">
        <v>27</v>
      </c>
      <c r="B13" s="2"/>
      <c r="C13" s="2">
        <f>SUBTOTAL(9,C8:C12)</f>
        <v>1104393.6400000001</v>
      </c>
      <c r="D13" s="6">
        <f>SUBTOTAL(9,D8:D12)</f>
        <v>1104393.6400000001</v>
      </c>
      <c r="E13" s="2"/>
      <c r="F13" s="2"/>
      <c r="G13" s="2"/>
      <c r="H13" s="2"/>
      <c r="I13" s="4"/>
      <c r="J13" s="6">
        <f>SUBTOTAL(9,J8:J12)</f>
        <v>151915.16388282576</v>
      </c>
      <c r="K13" s="6"/>
      <c r="L13" s="6">
        <f>SUBTOTAL(9,L8:L12)</f>
        <v>191277.65519774225</v>
      </c>
      <c r="M13" s="6">
        <f t="shared" si="0"/>
        <v>191277.65519774225</v>
      </c>
    </row>
    <row r="14" spans="1:13" ht="15.65" outlineLevel="2">
      <c r="A14" s="2" t="s">
        <v>12</v>
      </c>
      <c r="B14" s="2" t="s">
        <v>6</v>
      </c>
      <c r="C14" s="2">
        <v>300649.22999999998</v>
      </c>
      <c r="D14" s="6">
        <v>300649.22999999998</v>
      </c>
      <c r="E14" s="2"/>
      <c r="F14" s="2"/>
      <c r="G14" s="2">
        <v>60</v>
      </c>
      <c r="H14" s="2">
        <v>55.774943999999998</v>
      </c>
      <c r="I14" s="4">
        <v>-0.40000000000000002</v>
      </c>
      <c r="J14" s="6">
        <f>+C14*(1-H14/G14)*(1-I14)</f>
        <v>29639.396105827229</v>
      </c>
      <c r="K14" s="6">
        <f>$J$33</f>
        <v>1.2591083754171988</v>
      </c>
      <c r="L14" s="6">
        <f>IF((C14*(1-I14)-J14*K14)&lt;0,C14*(1-I14),J14*K14)</f>
        <v>37319.211879154973</v>
      </c>
      <c r="M14" s="6">
        <f t="shared" si="0"/>
        <v>37319.211879154973</v>
      </c>
    </row>
    <row r="15" spans="1:13" ht="15.65" outlineLevel="2">
      <c r="A15" s="2" t="s">
        <v>12</v>
      </c>
      <c r="B15" s="2" t="s">
        <v>11</v>
      </c>
      <c r="C15" s="2">
        <v>239643.82999999999</v>
      </c>
      <c r="D15" s="6">
        <v>239643.82999999999</v>
      </c>
      <c r="E15" s="2"/>
      <c r="F15" s="2"/>
      <c r="G15" s="2">
        <v>60</v>
      </c>
      <c r="H15" s="2">
        <v>54.845230000000001</v>
      </c>
      <c r="I15" s="4">
        <v>-0.40000000000000002</v>
      </c>
      <c r="J15" s="6">
        <f>+C15*(1-H15/G15)*(1-I15)</f>
        <v>28823.872596612331</v>
      </c>
      <c r="K15" s="6">
        <f>$J$33</f>
        <v>1.2591083754171988</v>
      </c>
      <c r="L15" s="6">
        <f>IF((C15*(1-I15)-J15*K15)&lt;0,C15*(1-I15),J15*K15)</f>
        <v>36292.379398352867</v>
      </c>
      <c r="M15" s="6">
        <f t="shared" si="0"/>
        <v>36292.379398352867</v>
      </c>
    </row>
    <row r="16" spans="1:13" ht="15.65" outlineLevel="2">
      <c r="A16" s="2" t="s">
        <v>12</v>
      </c>
      <c r="B16" s="2" t="s">
        <v>8</v>
      </c>
      <c r="C16" s="2">
        <v>3524.6199999999999</v>
      </c>
      <c r="D16" s="6">
        <v>3524.6199999999999</v>
      </c>
      <c r="E16" s="2"/>
      <c r="F16" s="2"/>
      <c r="G16" s="2">
        <v>60</v>
      </c>
      <c r="H16" s="2">
        <v>52.997393000000002</v>
      </c>
      <c r="I16" s="4">
        <v>-0.40000000000000002</v>
      </c>
      <c r="J16" s="6">
        <f>+C16*(1-H16/G16)*(1-I16)</f>
        <v>575.90233596793314</v>
      </c>
      <c r="K16" s="6">
        <f>$J$33</f>
        <v>1.2591083754171988</v>
      </c>
      <c r="L16" s="6">
        <f>IF((C16*(1-I16)-J16*K16)&lt;0,C16*(1-I16),J16*K16)</f>
        <v>725.1234546395541</v>
      </c>
      <c r="M16" s="6">
        <f t="shared" si="0"/>
        <v>725.1234546395541</v>
      </c>
    </row>
    <row r="17" spans="1:13" ht="15.65" outlineLevel="1">
      <c r="A17" s="3" t="s">
        <v>28</v>
      </c>
      <c r="B17" s="2"/>
      <c r="C17" s="2">
        <f>SUBTOTAL(9,C14:C16)</f>
        <v>543817.67999999993</v>
      </c>
      <c r="D17" s="6">
        <f>SUBTOTAL(9,D14:D16)</f>
        <v>543817.67999999993</v>
      </c>
      <c r="E17" s="2"/>
      <c r="F17" s="2"/>
      <c r="G17" s="2"/>
      <c r="H17" s="2"/>
      <c r="I17" s="4"/>
      <c r="J17" s="6">
        <f>SUBTOTAL(9,J14:J16)</f>
        <v>59039.17103840749</v>
      </c>
      <c r="K17" s="6"/>
      <c r="L17" s="6">
        <f>SUBTOTAL(9,L14:L16)</f>
        <v>74336.714732147389</v>
      </c>
      <c r="M17" s="6">
        <f t="shared" si="0"/>
        <v>74336.714732147389</v>
      </c>
    </row>
    <row r="18" spans="1:13" ht="15.65" outlineLevel="2">
      <c r="A18" s="2" t="s">
        <v>13</v>
      </c>
      <c r="B18" s="2" t="s">
        <v>6</v>
      </c>
      <c r="C18" s="2">
        <v>195090.64999999999</v>
      </c>
      <c r="D18" s="6">
        <v>195090.64999999999</v>
      </c>
      <c r="E18" s="2"/>
      <c r="F18" s="2"/>
      <c r="G18" s="2">
        <v>52</v>
      </c>
      <c r="H18" s="2">
        <v>49.218893000000001</v>
      </c>
      <c r="I18" s="4">
        <v>-0.20000000000000001</v>
      </c>
      <c r="J18" s="6">
        <f>+C18*(1-H18/G18)*(1-I18)</f>
        <v>12520.799361912692</v>
      </c>
      <c r="K18" s="6">
        <f>$J$33</f>
        <v>1.2591083754171988</v>
      </c>
      <c r="L18" s="6">
        <f>IF((C18*(1-I18)-J18*K18)&lt;0,C18*(1-I18),J18*K18)</f>
        <v>15765.043343502588</v>
      </c>
      <c r="M18" s="6">
        <f t="shared" si="0"/>
        <v>15765.043343502588</v>
      </c>
    </row>
    <row r="19" spans="1:13" ht="15.65" outlineLevel="2">
      <c r="A19" s="2" t="s">
        <v>13</v>
      </c>
      <c r="B19" s="2" t="s">
        <v>11</v>
      </c>
      <c r="C19" s="2">
        <v>184333.5</v>
      </c>
      <c r="D19" s="6">
        <v>184333.5</v>
      </c>
      <c r="E19" s="2"/>
      <c r="F19" s="2"/>
      <c r="G19" s="2">
        <v>52</v>
      </c>
      <c r="H19" s="2">
        <v>48.605398000000001</v>
      </c>
      <c r="I19" s="4">
        <v>-0.20000000000000001</v>
      </c>
      <c r="J19" s="6">
        <f>+C19*(1-H19/G19)*(1-I19)</f>
        <v>14440.127717700003</v>
      </c>
      <c r="K19" s="6">
        <f>$J$33</f>
        <v>1.2591083754171988</v>
      </c>
      <c r="L19" s="6">
        <f>IF((C19*(1-I19)-J19*K19)&lt;0,C19*(1-I19),J19*K19)</f>
        <v>18181.685751450113</v>
      </c>
      <c r="M19" s="6">
        <f t="shared" si="0"/>
        <v>18181.685751450113</v>
      </c>
    </row>
    <row r="20" spans="1:13" ht="15.65" outlineLevel="2">
      <c r="A20" s="2" t="s">
        <v>13</v>
      </c>
      <c r="B20" s="2" t="s">
        <v>7</v>
      </c>
      <c r="C20" s="2">
        <v>14607.790000000001</v>
      </c>
      <c r="D20" s="6">
        <v>14607.790000000001</v>
      </c>
      <c r="E20" s="2"/>
      <c r="F20" s="2"/>
      <c r="G20" s="2">
        <v>52</v>
      </c>
      <c r="H20" s="2">
        <v>47.993487999999999</v>
      </c>
      <c r="I20" s="4">
        <v>-0.20000000000000001</v>
      </c>
      <c r="J20" s="6">
        <f>+C20*(1-H20/G20)*(1-I20)</f>
        <v>1350.6065983495396</v>
      </c>
      <c r="K20" s="6">
        <f>$J$33</f>
        <v>1.2591083754171988</v>
      </c>
      <c r="L20" s="6">
        <f>IF((C20*(1-I20)-J20*K20)&lt;0,C20*(1-I20),J20*K20)</f>
        <v>1700.5600798756379</v>
      </c>
      <c r="M20" s="6">
        <f t="shared" si="0"/>
        <v>1700.5600798756379</v>
      </c>
    </row>
    <row r="21" spans="1:13" ht="15.65" outlineLevel="2">
      <c r="A21" s="2" t="s">
        <v>13</v>
      </c>
      <c r="B21" s="2" t="s">
        <v>9</v>
      </c>
      <c r="C21" s="2">
        <v>151</v>
      </c>
      <c r="D21" s="6">
        <v>151</v>
      </c>
      <c r="E21" s="2"/>
      <c r="F21" s="2"/>
      <c r="G21" s="2">
        <v>52</v>
      </c>
      <c r="H21" s="2">
        <v>46.774287000000001</v>
      </c>
      <c r="I21" s="4">
        <v>-0.20000000000000001</v>
      </c>
      <c r="J21" s="6">
        <f>+C21*(1-H21/G21)*(1-I21)</f>
        <v>18.209599915384608</v>
      </c>
      <c r="K21" s="6">
        <f>$J$33</f>
        <v>1.2591083754171988</v>
      </c>
      <c r="L21" s="6">
        <f>IF((C21*(1-I21)-J21*K21)&lt;0,C21*(1-I21),J21*K21)</f>
        <v>22.927859766457075</v>
      </c>
      <c r="M21" s="6">
        <f t="shared" si="0"/>
        <v>22.927859766457075</v>
      </c>
    </row>
    <row r="22" spans="1:13" ht="15.65" outlineLevel="2">
      <c r="A22" s="2" t="s">
        <v>13</v>
      </c>
      <c r="B22" s="2" t="s">
        <v>14</v>
      </c>
      <c r="C22" s="2">
        <v>1445929.1200000001</v>
      </c>
      <c r="D22" s="6">
        <v>1445929.1200000001</v>
      </c>
      <c r="E22" s="2"/>
      <c r="F22" s="2"/>
      <c r="G22" s="2">
        <v>52</v>
      </c>
      <c r="H22" s="2">
        <v>41.356321999999999</v>
      </c>
      <c r="I22" s="4">
        <v>-0.20000000000000001</v>
      </c>
      <c r="J22" s="6">
        <f>+C22*(1-H22/G22)*(1-I22)</f>
        <v>355153.93763315462</v>
      </c>
      <c r="K22" s="6">
        <f>$J$33</f>
        <v>1.2591083754171988</v>
      </c>
      <c r="L22" s="6">
        <f>IF((C22*(1-I22)-J22*K22)&lt;0,C22*(1-I22),J22*K22)</f>
        <v>447177.29743630247</v>
      </c>
      <c r="M22" s="6">
        <f t="shared" si="0"/>
        <v>447177.29743630247</v>
      </c>
    </row>
    <row r="23" spans="1:13" ht="15.65" outlineLevel="1">
      <c r="A23" s="3" t="s">
        <v>29</v>
      </c>
      <c r="B23" s="2"/>
      <c r="C23" s="2">
        <f>SUBTOTAL(9,C18:C22)</f>
        <v>1840112.0600000001</v>
      </c>
      <c r="D23" s="6">
        <f>SUBTOTAL(9,D18:D22)</f>
        <v>1840112.0600000001</v>
      </c>
      <c r="E23" s="2"/>
      <c r="F23" s="2"/>
      <c r="G23" s="2"/>
      <c r="H23" s="2"/>
      <c r="I23" s="4"/>
      <c r="J23" s="6">
        <f>SUBTOTAL(9,J18:J22)</f>
        <v>383483.68091103225</v>
      </c>
      <c r="K23" s="6"/>
      <c r="L23" s="6">
        <f>SUBTOTAL(9,L18:L22)</f>
        <v>482847.51447089727</v>
      </c>
      <c r="M23" s="6">
        <f t="shared" si="0"/>
        <v>482847.51447089727</v>
      </c>
    </row>
    <row r="24" spans="1:13" ht="15.65" outlineLevel="2">
      <c r="A24" s="2" t="s">
        <v>15</v>
      </c>
      <c r="B24" s="2" t="s">
        <v>6</v>
      </c>
      <c r="C24" s="2">
        <v>1294.1199999999999</v>
      </c>
      <c r="D24" s="6">
        <v>1294.1199999999999</v>
      </c>
      <c r="E24" s="2"/>
      <c r="F24" s="2"/>
      <c r="G24" s="2">
        <v>50</v>
      </c>
      <c r="H24" s="2">
        <v>46.299014999999997</v>
      </c>
      <c r="I24" s="4">
        <v>-0.20000000000000001</v>
      </c>
      <c r="J24" s="6">
        <f>+C24*(1-H24/G24)*(1-I24)</f>
        <v>114.94844899680001</v>
      </c>
      <c r="K24" s="6">
        <f>$J$33</f>
        <v>1.2591083754171988</v>
      </c>
      <c r="L24" s="6">
        <f>IF((C24*(1-I24)-J24*K24)&lt;0,C24*(1-I24),J24*K24)</f>
        <v>144.73255487308759</v>
      </c>
      <c r="M24" s="6">
        <f t="shared" si="0"/>
        <v>144.73255487308759</v>
      </c>
    </row>
    <row r="25" spans="1:13" ht="15.65" outlineLevel="2">
      <c r="A25" s="2" t="s">
        <v>15</v>
      </c>
      <c r="B25" s="2" t="s">
        <v>11</v>
      </c>
      <c r="C25" s="2">
        <v>3750</v>
      </c>
      <c r="D25" s="6">
        <v>3750</v>
      </c>
      <c r="E25" s="2"/>
      <c r="F25" s="2"/>
      <c r="G25" s="2">
        <v>50</v>
      </c>
      <c r="H25" s="2">
        <v>45.554161000000001</v>
      </c>
      <c r="I25" s="4">
        <v>-0.20000000000000001</v>
      </c>
      <c r="J25" s="6">
        <f>+C25*(1-H25/G25)*(1-I25)</f>
        <v>400.12551000000013</v>
      </c>
      <c r="K25" s="6">
        <f>$J$33</f>
        <v>1.2591083754171988</v>
      </c>
      <c r="L25" s="6">
        <f>IF((C25*(1-I25)-J25*K25)&lt;0,C25*(1-I25),J25*K25)</f>
        <v>503.80138085907828</v>
      </c>
      <c r="M25" s="6">
        <f t="shared" si="0"/>
        <v>503.80138085907828</v>
      </c>
    </row>
    <row r="26" spans="1:13" ht="15.65" outlineLevel="1">
      <c r="A26" s="3" t="s">
        <v>30</v>
      </c>
      <c r="B26" s="2"/>
      <c r="C26" s="2">
        <f>SUBTOTAL(9,C24:C25)</f>
        <v>5044.1199999999999</v>
      </c>
      <c r="D26" s="6">
        <f>SUBTOTAL(9,D24:D25)</f>
        <v>5044.1199999999999</v>
      </c>
      <c r="E26" s="2"/>
      <c r="F26" s="2"/>
      <c r="G26" s="2"/>
      <c r="H26" s="2"/>
      <c r="I26" s="4"/>
      <c r="J26" s="6">
        <f>SUBTOTAL(9,J24:J25)</f>
        <v>515.07395899680012</v>
      </c>
      <c r="K26" s="6"/>
      <c r="L26" s="6">
        <f>SUBTOTAL(9,L24:L25)</f>
        <v>648.5339357321659</v>
      </c>
      <c r="M26" s="6">
        <f t="shared" si="0"/>
        <v>648.5339357321659</v>
      </c>
    </row>
    <row r="27" spans="1:13" ht="15.65" outlineLevel="2">
      <c r="A27" s="2" t="s">
        <v>16</v>
      </c>
      <c r="B27" s="2" t="s">
        <v>6</v>
      </c>
      <c r="C27" s="2">
        <v>7252.1499999999996</v>
      </c>
      <c r="D27" s="6">
        <v>7252.1499999999996</v>
      </c>
      <c r="E27" s="2"/>
      <c r="F27" s="2"/>
      <c r="G27" s="2">
        <v>25</v>
      </c>
      <c r="H27" s="2">
        <v>20.5</v>
      </c>
      <c r="I27" s="4">
        <v>-0.40000000000000002</v>
      </c>
      <c r="J27" s="6">
        <f>+C27*(1-H27/G27)*(1-I27)</f>
        <v>1827.5418000000004</v>
      </c>
      <c r="K27" s="6">
        <f>$J$33</f>
        <v>1.2591083754171988</v>
      </c>
      <c r="L27" s="6">
        <f>IF((C27*(1-I27)-J27*K27)&lt;0,C27*(1-I27),J27*K27)</f>
        <v>2301.0731868050239</v>
      </c>
      <c r="M27" s="6">
        <f t="shared" si="0"/>
        <v>2301.0731868050239</v>
      </c>
    </row>
    <row r="28" spans="1:13" ht="15.65" outlineLevel="1">
      <c r="A28" s="3" t="s">
        <v>31</v>
      </c>
      <c r="B28" s="2"/>
      <c r="C28" s="2">
        <f>SUBTOTAL(9,C27:C27)</f>
        <v>7252.1499999999996</v>
      </c>
      <c r="D28" s="6">
        <f>SUBTOTAL(9,D27:D27)</f>
        <v>7252.1499999999996</v>
      </c>
      <c r="E28" s="2"/>
      <c r="F28" s="2"/>
      <c r="G28" s="2"/>
      <c r="H28" s="2"/>
      <c r="I28" s="4"/>
      <c r="J28" s="6">
        <f>SUBTOTAL(9,J27:J27)</f>
        <v>1827.5418000000004</v>
      </c>
      <c r="K28" s="6"/>
      <c r="L28" s="6">
        <f>SUBTOTAL(9,L27:L27)</f>
        <v>2301.0731868050239</v>
      </c>
      <c r="M28" s="6">
        <f t="shared" si="0"/>
        <v>2301.0731868050239</v>
      </c>
    </row>
    <row r="29" spans="1:13" ht="15.65">
      <c r="A29" s="3" t="s">
        <v>3</v>
      </c>
      <c r="B29" s="2"/>
      <c r="C29" s="2">
        <f>SUBTOTAL(9,C2:C27)</f>
        <v>4149549.1400000001</v>
      </c>
      <c r="D29" s="6">
        <f>SUBTOTAL(9,D2:D27)</f>
        <v>4149549.1400000001</v>
      </c>
      <c r="E29" s="2"/>
      <c r="F29" s="2"/>
      <c r="G29" s="2"/>
      <c r="H29" s="2"/>
      <c r="I29" s="4"/>
      <c r="J29" s="6">
        <f>SUBTOTAL(9,J2:J27)</f>
        <v>693847.03259600524</v>
      </c>
      <c r="K29" s="6"/>
      <c r="L29" s="6">
        <f>SUBTOTAL(9,L2:L27)</f>
        <v>873628.61000000045</v>
      </c>
      <c r="M29" s="6">
        <f t="shared" si="0"/>
        <v>873628.61000000045</v>
      </c>
    </row>
    <row r="32" spans="9:10" ht="15.65">
      <c r="I32" s="2" t="s">
        <v>32</v>
      </c>
      <c r="J32" s="1">
        <f>+L29+-J34</f>
        <v>0</v>
      </c>
    </row>
    <row r="33" spans="9:10" ht="15.65">
      <c r="I33" s="2" t="s">
        <v>24</v>
      </c>
      <c r="J33" s="2">
        <v>1.2591083754171988</v>
      </c>
    </row>
    <row r="34" spans="9:10" ht="15.65">
      <c r="I34" s="2" t="s">
        <v>25</v>
      </c>
      <c r="J34" s="6">
        <v>873628.60999999999</v>
      </c>
    </row>
  </sheetData>
  <sortState ref="A2:J31">
    <sortCondition sortBy="value" ref="A2:A31"/>
    <sortCondition descending="1" sortBy="value" ref="B2:B31"/>
  </sortState>
  <pageMargins left="0.75" right="0.75" top="2" bottom="1" header="0.75" footer="0.5"/>
  <pageSetup orientation="landscape" scale="56" r:id="rId1"/>
  <headerFooter>
    <oddHeader>&amp;C
&amp;"Arial,Bold"2022 RATE CASE
ONCOR ELECTRIC DELIVERY COMPANY, LLC
WP II-B-5_06 NTUSU DISTRIBUTION FUNCTION
TEST YEAR ENDING DECEMBER 31, 2021
SPONSOR: D.A. WATSON&amp;R&amp;"Arial,Bold"WP/II-B-5/06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II-B-5_06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