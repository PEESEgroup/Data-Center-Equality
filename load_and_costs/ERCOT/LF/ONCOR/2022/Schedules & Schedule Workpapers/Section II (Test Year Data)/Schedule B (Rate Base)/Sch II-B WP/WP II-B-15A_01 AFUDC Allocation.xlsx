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B (Rate Base)\Sch II-B WP\"/>
    </mc:Choice>
  </mc:AlternateContent>
  <bookViews>
    <workbookView xWindow="1956" yWindow="4442" windowWidth="22741" windowHeight="8069" activeTab="0"/>
  </bookViews>
  <sheets>
    <sheet name="WP II-B-15A_01 AFUDC Generated" sheetId="4" r:id="rId2"/>
    <sheet name="WP II-B-15A_01 AFUDC To Plant" sheetId="5" r:id="rId3"/>
  </sheets>
  <definedNames>
    <definedName name="_xlnm._FilterDatabase" localSheetId="0" hidden="1">'WP II-B-15A_01 AFUDC Generated'!$A$1:$I$85</definedName>
    <definedName name="_xlnm._FilterDatabase" localSheetId="1" hidden="1">'WP II-B-15A_01 AFUDC To Plant'!$A$1:$I$81</definedName>
    <definedName name="_xlnm.Print_Titles" localSheetId="0">'WP II-B-15A_01 AFUDC Generated'!$1:$1</definedName>
    <definedName name="_xlnm.Print_Titles" localSheetId="1">'WP II-B-15A_01 AFUDC To Plant'!$1:$1</definedName>
  </definedNames>
  <calcPr calcId="152511"/>
</workbook>
</file>

<file path=xl/calcChain.xml><?xml version="1.0" encoding="utf-8"?>
<calcChain xmlns="http://schemas.openxmlformats.org/spreadsheetml/2006/main">
  <c r="H87" i="4" l="1"/>
</calcChain>
</file>

<file path=xl/sharedStrings.xml><?xml version="1.0" encoding="utf-8"?>
<sst xmlns="http://schemas.openxmlformats.org/spreadsheetml/2006/main" count="527" uniqueCount="38">
  <si>
    <t>Unit</t>
  </si>
  <si>
    <t>I</t>
  </si>
  <si>
    <t>DISTRIBUTION</t>
  </si>
  <si>
    <t>DISTRIBUTION - ALLO</t>
  </si>
  <si>
    <t>AMS</t>
  </si>
  <si>
    <t>TD-CUSTOMER</t>
  </si>
  <si>
    <t>TRANSMISSION</t>
  </si>
  <si>
    <t>Year</t>
  </si>
  <si>
    <t>Distribution</t>
  </si>
  <si>
    <t>Transmission</t>
  </si>
  <si>
    <t>Metering</t>
  </si>
  <si>
    <t>Customer Service &amp; Billing</t>
  </si>
  <si>
    <t>NTUSU</t>
  </si>
  <si>
    <t>DS</t>
  </si>
  <si>
    <t>T</t>
  </si>
  <si>
    <t>TS</t>
  </si>
  <si>
    <t>Oncor</t>
  </si>
  <si>
    <t>D</t>
  </si>
  <si>
    <t>G</t>
  </si>
  <si>
    <t>T R</t>
  </si>
  <si>
    <t>DSR</t>
  </si>
  <si>
    <t>TSR</t>
  </si>
  <si>
    <t>Function code</t>
  </si>
  <si>
    <t>Direct Assigned</t>
  </si>
  <si>
    <t>Assigned based on Business Unit</t>
  </si>
  <si>
    <t>Functionalization for Intangible only</t>
  </si>
  <si>
    <t>Grand Total</t>
  </si>
  <si>
    <t>2019  Total</t>
  </si>
  <si>
    <t>2020  Total</t>
  </si>
  <si>
    <t>2021  Total</t>
  </si>
  <si>
    <t>2017  Total</t>
  </si>
  <si>
    <t>2018  Total</t>
  </si>
  <si>
    <t>Allocation Methodology</t>
  </si>
  <si>
    <t>Follows allocation in WP II-B1_10 TCOS Allocation of FERC Account 362 NTUSU only</t>
  </si>
  <si>
    <t>Follows allocation in WP II-B1_06 TCOS Allocation of FERC Account 353 NTUSU only</t>
  </si>
  <si>
    <t>Follows allocation in WP II-B1_09 TCOS Allocation of FERC Account 362 without NTUSU</t>
  </si>
  <si>
    <t>Follows allocation in WP II-B1_01 Net Plant Factors for Intagible Plant</t>
  </si>
  <si>
    <t>Follows allocation in WP II-B1_05 TCOS Allocation of FERC Account 353 without NTUSU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</si>
</sst>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[Red]\(0\)"/>
  </numFmts>
  <fonts count="5">
    <font>
      <sz val="10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>
      <alignment/>
      <protection/>
    </xf>
    <xf numFmtId="0" fontId="0" fillId="0" borderId="0">
      <alignment/>
      <protection/>
    </xf>
  </cellStyleXfs>
  <cellXfs count="15">
    <xf numFmtId="0" fontId="0" fillId="0" borderId="0" xfId="0"/>
    <xf numFmtId="40" fontId="3" fillId="0" borderId="1" xfId="21" applyNumberFormat="1" applyFont="1" applyFill="1" applyBorder="1" applyAlignment="1">
      <alignment horizontal="center" vertical="top" wrapText="1"/>
      <protection/>
    </xf>
    <xf numFmtId="164" fontId="3" fillId="0" borderId="1" xfId="21" applyNumberFormat="1" applyFont="1" applyFill="1" applyBorder="1" applyAlignment="1">
      <alignment horizontal="center" vertical="top" wrapText="1"/>
      <protection/>
    </xf>
    <xf numFmtId="39" fontId="3" fillId="0" borderId="1" xfId="21" applyNumberFormat="1" applyFont="1" applyFill="1" applyBorder="1" applyAlignment="1">
      <alignment horizontal="center" vertical="top" wrapText="1"/>
      <protection/>
    </xf>
    <xf numFmtId="38" fontId="3" fillId="0" borderId="1" xfId="21" applyNumberFormat="1" applyFont="1" applyFill="1" applyBorder="1" applyAlignment="1">
      <alignment horizontal="center" vertical="top" wrapText="1"/>
      <protection/>
    </xf>
    <xf numFmtId="38" fontId="2" fillId="0" borderId="0" xfId="21" applyNumberFormat="1" applyFont="1" applyFill="1" applyAlignment="1">
      <alignment vertical="top"/>
      <protection/>
    </xf>
    <xf numFmtId="0" fontId="2" fillId="0" borderId="0" xfId="21" applyFont="1" applyFill="1" applyAlignment="1">
      <alignment vertical="top"/>
      <protection/>
    </xf>
    <xf numFmtId="40" fontId="2" fillId="0" borderId="0" xfId="21" applyNumberFormat="1" applyFont="1" applyFill="1" applyAlignment="1">
      <alignment vertical="top"/>
      <protection/>
    </xf>
    <xf numFmtId="164" fontId="2" fillId="0" borderId="0" xfId="21" applyNumberFormat="1" applyFont="1" applyFill="1" applyAlignment="1">
      <alignment vertical="top"/>
      <protection/>
    </xf>
    <xf numFmtId="39" fontId="2" fillId="0" borderId="0" xfId="21" applyNumberFormat="1" applyFont="1" applyFill="1" applyAlignment="1">
      <alignment vertical="top"/>
      <protection/>
    </xf>
    <xf numFmtId="164" fontId="3" fillId="0" borderId="0" xfId="21" applyNumberFormat="1" applyFont="1" applyFill="1" applyAlignment="1">
      <alignment vertical="top"/>
      <protection/>
    </xf>
    <xf numFmtId="0" fontId="2" fillId="0" borderId="0" xfId="21" applyFont="1">
      <alignment/>
      <protection/>
    </xf>
    <xf numFmtId="0" fontId="0" fillId="0" borderId="0" xfId="21">
      <alignment/>
      <protection/>
    </xf>
    <xf numFmtId="39" fontId="3" fillId="0" borderId="0" xfId="21" applyNumberFormat="1" applyFont="1" applyFill="1" applyBorder="1" applyAlignment="1">
      <alignment horizontal="center" vertical="top" wrapText="1"/>
      <protection/>
    </xf>
    <xf numFmtId="39" fontId="3" fillId="0" borderId="2" xfId="21" applyNumberFormat="1" applyFont="1" applyFill="1" applyBorder="1" applyAlignment="1">
      <alignment vertical="top"/>
      <protection/>
    </xf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 2" xfId="20"/>
    <cellStyle name="Normal 2" xfId="2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3.xml" /><Relationship Id="rId4" Type="http://schemas.openxmlformats.org/officeDocument/2006/relationships/styles" Target="styles.xml" /><Relationship Id="rId9" Type="http://schemas.openxmlformats.org/officeDocument/2006/relationships/customXml" Target="../customXml/item4.xml" /><Relationship Id="rId6" Type="http://schemas.openxmlformats.org/officeDocument/2006/relationships/customXml" Target="../customXml/item1.xml" /><Relationship Id="rId10" Type="http://schemas.openxmlformats.org/officeDocument/2006/relationships/calcChain" Target="calcChain.xml" /><Relationship Id="rId3" Type="http://schemas.openxmlformats.org/officeDocument/2006/relationships/worksheet" Target="worksheets/sheet2.xml" /><Relationship Id="rId7" Type="http://schemas.openxmlformats.org/officeDocument/2006/relationships/customXml" Target="../customXml/item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J91"/>
  <sheetViews>
    <sheetView tabSelected="1" workbookViewId="0" topLeftCell="A1">
      <pane xSplit="3" ySplit="1" topLeftCell="D2" activePane="bottomRight" state="frozen"/>
      <selection pane="topLeft" activeCell="A1" sqref="A1"/>
      <selection pane="bottomLeft" activeCell="A2" sqref="A2"/>
      <selection pane="topRight" activeCell="D1" sqref="D1"/>
      <selection pane="bottomRight" activeCell="D2" sqref="D2"/>
    </sheetView>
  </sheetViews>
  <sheetFormatPr defaultColWidth="9.12428571428571" defaultRowHeight="15.75" outlineLevelRow="2"/>
  <cols>
    <col min="1" max="1" width="15" style="7" bestFit="1" customWidth="1"/>
    <col min="2" max="2" width="17.4285714285714" style="8" bestFit="1" customWidth="1"/>
    <col min="3" max="3" width="16.8571428571429" style="7" bestFit="1" customWidth="1"/>
    <col min="4" max="4" width="24.5714285714286" style="9" bestFit="1" customWidth="1"/>
    <col min="5" max="5" width="23.4285714285714" style="9" bestFit="1" customWidth="1"/>
    <col min="6" max="6" width="22.1428571428571" style="9" bestFit="1" customWidth="1"/>
    <col min="7" max="7" width="15.4285714285714" style="9" bestFit="1" customWidth="1"/>
    <col min="8" max="8" width="31.1428571428571" style="9" customWidth="1"/>
    <col min="9" max="9" width="90.4285714285714" style="5" bestFit="1" customWidth="1"/>
    <col min="10" max="16384" width="9.14285714285714" style="6"/>
  </cols>
  <sheetData>
    <row r="1" spans="1:10" ht="31.25">
      <c r="A1" s="1" t="s">
        <v>0</v>
      </c>
      <c r="B1" s="2" t="s">
        <v>7</v>
      </c>
      <c r="C1" s="1" t="s">
        <v>22</v>
      </c>
      <c r="D1" s="3" t="s">
        <v>25</v>
      </c>
      <c r="E1" s="3" t="s">
        <v>8</v>
      </c>
      <c r="F1" s="3" t="s">
        <v>9</v>
      </c>
      <c r="G1" s="3" t="s">
        <v>10</v>
      </c>
      <c r="H1" s="3" t="s">
        <v>11</v>
      </c>
      <c r="I1" s="4" t="s">
        <v>32</v>
      </c>
      <c r="J1" s="5"/>
    </row>
    <row r="2" spans="1:10" ht="15.65" outlineLevel="2">
      <c r="A2" s="7" t="s">
        <v>12</v>
      </c>
      <c r="B2" s="8">
        <v>2017</v>
      </c>
      <c r="C2" s="7" t="s">
        <v>13</v>
      </c>
      <c r="D2" s="13"/>
      <c r="E2" s="9">
        <v>-4832.9799999999996</v>
      </c>
      <c r="F2" s="9">
        <v>-2805.46</v>
      </c>
      <c r="G2" s="9">
        <v>0</v>
      </c>
      <c r="H2" s="9">
        <v>0</v>
      </c>
      <c r="I2" s="5" t="s">
        <v>33</v>
      </c>
      <c r="J2" s="5"/>
    </row>
    <row r="3" spans="1:10" ht="15.65" outlineLevel="2">
      <c r="A3" s="7" t="s">
        <v>12</v>
      </c>
      <c r="B3" s="8">
        <v>2017</v>
      </c>
      <c r="C3" s="7" t="s">
        <v>14</v>
      </c>
      <c r="D3" s="13"/>
      <c r="E3" s="9">
        <v>0</v>
      </c>
      <c r="F3" s="9">
        <v>503548.44</v>
      </c>
      <c r="G3" s="9">
        <v>0</v>
      </c>
      <c r="H3" s="9">
        <v>0</v>
      </c>
      <c r="I3" s="5" t="s">
        <v>23</v>
      </c>
      <c r="J3" s="5"/>
    </row>
    <row r="4" spans="1:10" ht="15.65" outlineLevel="2">
      <c r="A4" s="7" t="s">
        <v>12</v>
      </c>
      <c r="B4" s="8">
        <v>2017</v>
      </c>
      <c r="C4" s="7" t="s">
        <v>15</v>
      </c>
      <c r="D4" s="13"/>
      <c r="E4" s="9">
        <v>357555.56</v>
      </c>
      <c r="F4" s="9">
        <v>2001932.54</v>
      </c>
      <c r="G4" s="9">
        <v>0</v>
      </c>
      <c r="H4" s="9">
        <v>0</v>
      </c>
      <c r="I4" s="5" t="s">
        <v>34</v>
      </c>
      <c r="J4" s="5"/>
    </row>
    <row r="5" spans="1:10" ht="15.65" outlineLevel="2">
      <c r="A5" s="7" t="s">
        <v>12</v>
      </c>
      <c r="B5" s="8">
        <v>2017</v>
      </c>
      <c r="C5" s="7" t="s">
        <v>19</v>
      </c>
      <c r="D5" s="13"/>
      <c r="E5" s="9">
        <v>0</v>
      </c>
      <c r="F5" s="9">
        <v>0.27000000000000002</v>
      </c>
      <c r="G5" s="9">
        <v>0</v>
      </c>
      <c r="H5" s="9">
        <v>0</v>
      </c>
      <c r="I5" s="5" t="s">
        <v>23</v>
      </c>
      <c r="J5" s="5"/>
    </row>
    <row r="6" spans="2:10" ht="15.65" outlineLevel="1">
      <c r="B6" s="10" t="s">
        <v>30</v>
      </c>
      <c r="D6" s="13"/>
      <c r="E6" s="14">
        <f>SUBTOTAL(9,E2:E5)</f>
        <v>352722.58000000002</v>
      </c>
      <c r="F6" s="14">
        <f>SUBTOTAL(9,F2:F5)</f>
        <v>2502675.79</v>
      </c>
      <c r="G6" s="14">
        <f>SUBTOTAL(9,G2:G5)</f>
        <v>0</v>
      </c>
      <c r="H6" s="14">
        <f>SUBTOTAL(9,H2:H5)</f>
        <v>0</v>
      </c>
      <c r="J6" s="5"/>
    </row>
    <row r="7" spans="1:10" ht="15.65" outlineLevel="2">
      <c r="A7" s="7" t="s">
        <v>12</v>
      </c>
      <c r="B7" s="8">
        <v>2018</v>
      </c>
      <c r="C7" s="7" t="s">
        <v>13</v>
      </c>
      <c r="D7" s="13"/>
      <c r="E7" s="9">
        <v>59285.93</v>
      </c>
      <c r="F7" s="9">
        <v>34414.389999999999</v>
      </c>
      <c r="G7" s="9">
        <v>0</v>
      </c>
      <c r="H7" s="9">
        <v>0</v>
      </c>
      <c r="I7" s="5" t="s">
        <v>33</v>
      </c>
      <c r="J7" s="5"/>
    </row>
    <row r="8" spans="1:10" ht="15.65" outlineLevel="2">
      <c r="A8" s="7" t="s">
        <v>12</v>
      </c>
      <c r="B8" s="8">
        <v>2018</v>
      </c>
      <c r="C8" s="7" t="s">
        <v>14</v>
      </c>
      <c r="D8" s="13"/>
      <c r="E8" s="9">
        <v>0</v>
      </c>
      <c r="F8" s="9">
        <v>360734.44</v>
      </c>
      <c r="G8" s="9">
        <v>0</v>
      </c>
      <c r="H8" s="9">
        <v>0</v>
      </c>
      <c r="I8" s="5" t="s">
        <v>23</v>
      </c>
      <c r="J8" s="5"/>
    </row>
    <row r="9" spans="1:10" ht="15.65" outlineLevel="2">
      <c r="A9" s="7" t="s">
        <v>12</v>
      </c>
      <c r="B9" s="8">
        <v>2018</v>
      </c>
      <c r="C9" s="7" t="s">
        <v>15</v>
      </c>
      <c r="D9" s="13"/>
      <c r="E9" s="9">
        <v>167213.91</v>
      </c>
      <c r="F9" s="9">
        <v>936220.89000000001</v>
      </c>
      <c r="G9" s="9">
        <v>0</v>
      </c>
      <c r="H9" s="9">
        <v>0</v>
      </c>
      <c r="I9" s="5" t="s">
        <v>34</v>
      </c>
      <c r="J9" s="5"/>
    </row>
    <row r="10" spans="2:10" ht="15.65" outlineLevel="1">
      <c r="B10" s="10" t="s">
        <v>31</v>
      </c>
      <c r="D10" s="13"/>
      <c r="E10" s="14">
        <f>SUBTOTAL(9,E7:E9)</f>
        <v>226499.84</v>
      </c>
      <c r="F10" s="14">
        <f>SUBTOTAL(9,F7:F9)</f>
        <v>1331369.72</v>
      </c>
      <c r="G10" s="14">
        <f>SUBTOTAL(9,G7:G9)</f>
        <v>0</v>
      </c>
      <c r="H10" s="14">
        <f>SUBTOTAL(9,H7:H9)</f>
        <v>0</v>
      </c>
      <c r="J10" s="5"/>
    </row>
    <row r="11" spans="1:10" ht="15.65" outlineLevel="2">
      <c r="A11" s="7" t="s">
        <v>12</v>
      </c>
      <c r="B11" s="8">
        <v>2019</v>
      </c>
      <c r="C11" s="7" t="s">
        <v>13</v>
      </c>
      <c r="E11" s="9">
        <v>2841.1500000000001</v>
      </c>
      <c r="F11" s="9">
        <v>1543.5</v>
      </c>
      <c r="G11" s="9">
        <v>0</v>
      </c>
      <c r="H11" s="9">
        <v>0</v>
      </c>
      <c r="I11" s="5" t="s">
        <v>33</v>
      </c>
      <c r="J11" s="5"/>
    </row>
    <row r="12" spans="1:10" ht="15.65" outlineLevel="2">
      <c r="A12" s="7" t="s">
        <v>12</v>
      </c>
      <c r="B12" s="8">
        <v>2019</v>
      </c>
      <c r="C12" s="7" t="s">
        <v>14</v>
      </c>
      <c r="E12" s="9">
        <v>0</v>
      </c>
      <c r="F12" s="9">
        <v>2541.4299999999998</v>
      </c>
      <c r="G12" s="9">
        <v>0</v>
      </c>
      <c r="H12" s="9">
        <v>0</v>
      </c>
      <c r="I12" s="5" t="s">
        <v>23</v>
      </c>
      <c r="J12" s="5"/>
    </row>
    <row r="13" spans="1:10" ht="15.65" outlineLevel="2">
      <c r="A13" s="7" t="s">
        <v>12</v>
      </c>
      <c r="B13" s="8">
        <v>2019</v>
      </c>
      <c r="C13" s="7" t="s">
        <v>15</v>
      </c>
      <c r="E13" s="9">
        <v>1402.4400000000001</v>
      </c>
      <c r="F13" s="9">
        <v>4526.9300000000003</v>
      </c>
      <c r="G13" s="9">
        <v>0</v>
      </c>
      <c r="H13" s="9">
        <v>0</v>
      </c>
      <c r="I13" s="5" t="s">
        <v>34</v>
      </c>
      <c r="J13" s="5"/>
    </row>
    <row r="14" spans="2:10" ht="15.65" outlineLevel="1">
      <c r="B14" s="10" t="s">
        <v>27</v>
      </c>
      <c r="E14" s="14">
        <f>SUBTOTAL(9,E11:E13)</f>
        <v>4243.5900000000001</v>
      </c>
      <c r="F14" s="14">
        <f>SUBTOTAL(9,F11:F13)</f>
        <v>8611.8600000000006</v>
      </c>
      <c r="G14" s="14">
        <f>SUBTOTAL(9,G11:G13)</f>
        <v>0</v>
      </c>
      <c r="H14" s="14">
        <f>SUBTOTAL(9,H11:H13)</f>
        <v>0</v>
      </c>
      <c r="J14" s="5"/>
    </row>
    <row r="15" spans="1:10" ht="15.65" outlineLevel="2">
      <c r="A15" s="7" t="s">
        <v>12</v>
      </c>
      <c r="B15" s="8">
        <v>2020</v>
      </c>
      <c r="C15" s="7" t="s">
        <v>13</v>
      </c>
      <c r="E15" s="9">
        <v>578.88</v>
      </c>
      <c r="F15" s="9">
        <v>184.68000000000001</v>
      </c>
      <c r="G15" s="9">
        <v>0</v>
      </c>
      <c r="H15" s="9">
        <v>0</v>
      </c>
      <c r="I15" s="5" t="s">
        <v>33</v>
      </c>
      <c r="J15" s="5"/>
    </row>
    <row r="16" spans="1:10" ht="15.65" outlineLevel="2">
      <c r="A16" s="7" t="s">
        <v>12</v>
      </c>
      <c r="B16" s="8">
        <v>2020</v>
      </c>
      <c r="C16" s="7" t="s">
        <v>14</v>
      </c>
      <c r="E16" s="9">
        <v>0</v>
      </c>
      <c r="F16" s="9">
        <v>1923.6500000000001</v>
      </c>
      <c r="G16" s="9">
        <v>0</v>
      </c>
      <c r="H16" s="9">
        <v>0</v>
      </c>
      <c r="I16" s="5" t="s">
        <v>23</v>
      </c>
      <c r="J16" s="5"/>
    </row>
    <row r="17" spans="1:10" ht="15.65" outlineLevel="2">
      <c r="A17" s="7" t="s">
        <v>12</v>
      </c>
      <c r="B17" s="8">
        <v>2020</v>
      </c>
      <c r="C17" s="7" t="s">
        <v>15</v>
      </c>
      <c r="E17" s="9">
        <v>133.03999999999999</v>
      </c>
      <c r="F17" s="9">
        <v>1077.0999999999999</v>
      </c>
      <c r="G17" s="9">
        <v>0</v>
      </c>
      <c r="H17" s="9">
        <v>0</v>
      </c>
      <c r="I17" s="5" t="s">
        <v>34</v>
      </c>
      <c r="J17" s="5"/>
    </row>
    <row r="18" spans="2:10" ht="15.65" outlineLevel="1">
      <c r="B18" s="10" t="s">
        <v>28</v>
      </c>
      <c r="E18" s="14">
        <f>SUBTOTAL(9,E15:E17)</f>
        <v>711.91999999999996</v>
      </c>
      <c r="F18" s="14">
        <f>SUBTOTAL(9,F15:F17)</f>
        <v>3185.4299999999998</v>
      </c>
      <c r="G18" s="14">
        <f>SUBTOTAL(9,G15:G17)</f>
        <v>0</v>
      </c>
      <c r="H18" s="14">
        <f>SUBTOTAL(9,H15:H17)</f>
        <v>0</v>
      </c>
      <c r="J18" s="5"/>
    </row>
    <row r="19" spans="1:10" ht="15.65" outlineLevel="2">
      <c r="A19" s="7" t="s">
        <v>12</v>
      </c>
      <c r="B19" s="8">
        <v>2021</v>
      </c>
      <c r="C19" s="7" t="s">
        <v>13</v>
      </c>
      <c r="E19" s="9">
        <v>1779.9100000000001</v>
      </c>
      <c r="F19" s="9">
        <v>557.72000000000003</v>
      </c>
      <c r="G19" s="9">
        <v>0</v>
      </c>
      <c r="H19" s="9">
        <v>0</v>
      </c>
      <c r="I19" s="5" t="s">
        <v>33</v>
      </c>
      <c r="J19" s="5"/>
    </row>
    <row r="20" spans="1:9" ht="15.65" outlineLevel="2">
      <c r="A20" s="7" t="s">
        <v>12</v>
      </c>
      <c r="B20" s="8">
        <v>2021</v>
      </c>
      <c r="C20" s="7" t="s">
        <v>14</v>
      </c>
      <c r="E20" s="9">
        <v>0</v>
      </c>
      <c r="F20" s="9">
        <v>2306.9400000000001</v>
      </c>
      <c r="G20" s="9">
        <v>0</v>
      </c>
      <c r="H20" s="9">
        <v>0</v>
      </c>
      <c r="I20" s="5" t="s">
        <v>23</v>
      </c>
    </row>
    <row r="21" spans="1:9" ht="15.65" outlineLevel="2">
      <c r="A21" s="7" t="s">
        <v>12</v>
      </c>
      <c r="B21" s="8">
        <v>2021</v>
      </c>
      <c r="C21" s="7" t="s">
        <v>15</v>
      </c>
      <c r="E21" s="9">
        <v>13.58</v>
      </c>
      <c r="F21" s="9">
        <v>109.95</v>
      </c>
      <c r="G21" s="9">
        <v>0</v>
      </c>
      <c r="H21" s="9">
        <v>0</v>
      </c>
      <c r="I21" s="5" t="s">
        <v>34</v>
      </c>
    </row>
    <row r="22" spans="2:8" ht="15.65" outlineLevel="1">
      <c r="B22" s="10" t="s">
        <v>29</v>
      </c>
      <c r="E22" s="14">
        <f>SUBTOTAL(9,E19:E21)</f>
        <v>1793.49</v>
      </c>
      <c r="F22" s="14">
        <f>SUBTOTAL(9,F19:F21)</f>
        <v>2974.6099999999997</v>
      </c>
      <c r="G22" s="14">
        <f>SUBTOTAL(9,G19:G21)</f>
        <v>0</v>
      </c>
      <c r="H22" s="14">
        <f>SUBTOTAL(9,H19:H21)</f>
        <v>0</v>
      </c>
    </row>
    <row r="23" spans="1:9" ht="15.65" outlineLevel="2">
      <c r="A23" s="7" t="s">
        <v>16</v>
      </c>
      <c r="B23" s="8">
        <v>2017</v>
      </c>
      <c r="C23" s="7" t="s">
        <v>17</v>
      </c>
      <c r="E23" s="9">
        <v>1935912.9099999999</v>
      </c>
      <c r="F23" s="9">
        <v>0</v>
      </c>
      <c r="G23" s="9">
        <v>0</v>
      </c>
      <c r="H23" s="9">
        <v>0</v>
      </c>
      <c r="I23" s="5" t="s">
        <v>23</v>
      </c>
    </row>
    <row r="24" spans="1:9" ht="15.65" outlineLevel="2">
      <c r="A24" s="7" t="s">
        <v>16</v>
      </c>
      <c r="B24" s="8">
        <v>2017</v>
      </c>
      <c r="C24" s="7" t="s">
        <v>13</v>
      </c>
      <c r="E24" s="9">
        <v>626166.69999999995</v>
      </c>
      <c r="F24" s="9">
        <v>208511.45000000001</v>
      </c>
      <c r="G24" s="9">
        <v>0</v>
      </c>
      <c r="H24" s="9">
        <v>0</v>
      </c>
      <c r="I24" s="5" t="s">
        <v>35</v>
      </c>
    </row>
    <row r="25" spans="1:9" ht="15.65" outlineLevel="2">
      <c r="A25" s="7" t="s">
        <v>16</v>
      </c>
      <c r="B25" s="8">
        <v>2017</v>
      </c>
      <c r="C25" s="7" t="s">
        <v>18</v>
      </c>
      <c r="E25" s="9">
        <v>73887.979999999996</v>
      </c>
      <c r="F25" s="9">
        <v>0</v>
      </c>
      <c r="G25" s="9">
        <v>0</v>
      </c>
      <c r="H25" s="9">
        <v>0</v>
      </c>
      <c r="I25" s="5" t="s">
        <v>24</v>
      </c>
    </row>
    <row r="26" spans="1:9" ht="15.65" outlineLevel="2">
      <c r="A26" s="7" t="s">
        <v>16</v>
      </c>
      <c r="B26" s="8">
        <v>2017</v>
      </c>
      <c r="C26" s="7" t="s">
        <v>1</v>
      </c>
      <c r="D26" s="9" t="s">
        <v>4</v>
      </c>
      <c r="E26" s="9">
        <v>0</v>
      </c>
      <c r="F26" s="9">
        <v>0</v>
      </c>
      <c r="G26" s="9">
        <v>9843.2399999999998</v>
      </c>
      <c r="H26" s="9">
        <v>0</v>
      </c>
      <c r="I26" s="11" t="s">
        <v>23</v>
      </c>
    </row>
    <row r="27" spans="1:9" ht="15.65" outlineLevel="2">
      <c r="A27" s="7" t="s">
        <v>16</v>
      </c>
      <c r="B27" s="8">
        <v>2017</v>
      </c>
      <c r="C27" s="7" t="s">
        <v>1</v>
      </c>
      <c r="D27" s="9" t="s">
        <v>2</v>
      </c>
      <c r="E27" s="9">
        <v>436924.72999999998</v>
      </c>
      <c r="F27" s="9">
        <v>0</v>
      </c>
      <c r="G27" s="9">
        <v>0</v>
      </c>
      <c r="H27" s="9">
        <v>0</v>
      </c>
      <c r="I27" s="11" t="s">
        <v>23</v>
      </c>
    </row>
    <row r="28" spans="1:9" ht="15.65" outlineLevel="2">
      <c r="A28" s="7" t="s">
        <v>16</v>
      </c>
      <c r="B28" s="8">
        <v>2017</v>
      </c>
      <c r="C28" s="7" t="s">
        <v>1</v>
      </c>
      <c r="D28" s="9" t="s">
        <v>3</v>
      </c>
      <c r="E28" s="9">
        <v>35283.760000000002</v>
      </c>
      <c r="F28" s="9">
        <v>32771.290000000001</v>
      </c>
      <c r="G28" s="9">
        <v>1029.74</v>
      </c>
      <c r="H28" s="9">
        <v>71.920000000000002</v>
      </c>
      <c r="I28" s="11" t="s">
        <v>36</v>
      </c>
    </row>
    <row r="29" spans="1:9" ht="15.65" outlineLevel="2">
      <c r="A29" s="7" t="s">
        <v>16</v>
      </c>
      <c r="B29" s="8">
        <v>2017</v>
      </c>
      <c r="C29" s="7" t="s">
        <v>1</v>
      </c>
      <c r="D29" s="9" t="s">
        <v>5</v>
      </c>
      <c r="E29" s="9">
        <v>0</v>
      </c>
      <c r="F29" s="9">
        <v>0</v>
      </c>
      <c r="G29" s="9">
        <v>0</v>
      </c>
      <c r="H29" s="9">
        <v>3349336.2000000002</v>
      </c>
      <c r="I29" s="11" t="s">
        <v>23</v>
      </c>
    </row>
    <row r="30" spans="1:9" ht="15.65" outlineLevel="2">
      <c r="A30" s="7" t="s">
        <v>16</v>
      </c>
      <c r="B30" s="8">
        <v>2017</v>
      </c>
      <c r="C30" s="7" t="s">
        <v>1</v>
      </c>
      <c r="D30" s="9" t="s">
        <v>6</v>
      </c>
      <c r="E30" s="9">
        <v>0</v>
      </c>
      <c r="F30" s="9">
        <v>232130.81</v>
      </c>
      <c r="G30" s="9">
        <v>0</v>
      </c>
      <c r="H30" s="9">
        <v>0</v>
      </c>
      <c r="I30" s="11" t="s">
        <v>23</v>
      </c>
    </row>
    <row r="31" spans="1:9" ht="15.65" outlineLevel="2">
      <c r="A31" s="7" t="s">
        <v>16</v>
      </c>
      <c r="B31" s="8">
        <v>2017</v>
      </c>
      <c r="C31" s="7" t="s">
        <v>14</v>
      </c>
      <c r="E31" s="9">
        <v>0</v>
      </c>
      <c r="F31" s="9">
        <v>4091430.2799999998</v>
      </c>
      <c r="G31" s="9">
        <v>0</v>
      </c>
      <c r="H31" s="9">
        <v>0</v>
      </c>
      <c r="I31" s="5" t="s">
        <v>23</v>
      </c>
    </row>
    <row r="32" spans="1:9" ht="15.65" outlineLevel="2">
      <c r="A32" s="7" t="s">
        <v>16</v>
      </c>
      <c r="B32" s="8">
        <v>2017</v>
      </c>
      <c r="C32" s="7" t="s">
        <v>19</v>
      </c>
      <c r="E32" s="9">
        <v>0</v>
      </c>
      <c r="F32" s="9">
        <v>583.66999999999996</v>
      </c>
      <c r="G32" s="9">
        <v>0</v>
      </c>
      <c r="H32" s="9">
        <v>0</v>
      </c>
      <c r="I32" s="5" t="s">
        <v>23</v>
      </c>
    </row>
    <row r="33" spans="1:9" ht="15.65" outlineLevel="2">
      <c r="A33" s="7" t="s">
        <v>16</v>
      </c>
      <c r="B33" s="8">
        <v>2017</v>
      </c>
      <c r="C33" s="7" t="s">
        <v>15</v>
      </c>
      <c r="E33" s="9">
        <v>175473.26999999999</v>
      </c>
      <c r="F33" s="9">
        <v>1096607.8200000001</v>
      </c>
      <c r="G33" s="9">
        <v>0</v>
      </c>
      <c r="H33" s="9">
        <v>0</v>
      </c>
      <c r="I33" s="5" t="s">
        <v>37</v>
      </c>
    </row>
    <row r="34" spans="2:8" ht="15.65" outlineLevel="1">
      <c r="B34" s="10" t="s">
        <v>30</v>
      </c>
      <c r="E34" s="14">
        <f>SUBTOTAL(9,E23:E33)</f>
        <v>3283649.3499999996</v>
      </c>
      <c r="F34" s="14">
        <f>SUBTOTAL(9,F23:F33)</f>
        <v>5662035.3200000003</v>
      </c>
      <c r="G34" s="14">
        <f>SUBTOTAL(9,G23:G33)</f>
        <v>10872.98</v>
      </c>
      <c r="H34" s="14">
        <f>SUBTOTAL(9,H23:H33)</f>
        <v>3349408.1200000001</v>
      </c>
    </row>
    <row r="35" spans="1:9" ht="15.65" outlineLevel="2">
      <c r="A35" s="7" t="s">
        <v>16</v>
      </c>
      <c r="B35" s="8">
        <v>2018</v>
      </c>
      <c r="C35" s="7" t="s">
        <v>17</v>
      </c>
      <c r="E35" s="9">
        <v>2965473.3199999998</v>
      </c>
      <c r="F35" s="9">
        <v>0</v>
      </c>
      <c r="G35" s="9">
        <v>0</v>
      </c>
      <c r="H35" s="9">
        <v>0</v>
      </c>
      <c r="I35" s="5" t="s">
        <v>23</v>
      </c>
    </row>
    <row r="36" spans="1:9" ht="15.65" outlineLevel="2">
      <c r="A36" s="7" t="s">
        <v>16</v>
      </c>
      <c r="B36" s="8">
        <v>2018</v>
      </c>
      <c r="C36" s="7" t="s">
        <v>13</v>
      </c>
      <c r="E36" s="9">
        <v>1055846.8899999999</v>
      </c>
      <c r="F36" s="9">
        <v>428621.5</v>
      </c>
      <c r="G36" s="9">
        <v>0</v>
      </c>
      <c r="H36" s="9">
        <v>0</v>
      </c>
      <c r="I36" s="5" t="s">
        <v>35</v>
      </c>
    </row>
    <row r="37" spans="1:9" ht="15.65" outlineLevel="2">
      <c r="A37" s="7" t="s">
        <v>16</v>
      </c>
      <c r="B37" s="8">
        <v>2018</v>
      </c>
      <c r="C37" s="7" t="s">
        <v>20</v>
      </c>
      <c r="E37" s="9">
        <v>536.54999999999995</v>
      </c>
      <c r="F37" s="9">
        <v>0</v>
      </c>
      <c r="G37" s="9">
        <v>0</v>
      </c>
      <c r="H37" s="9">
        <v>0</v>
      </c>
      <c r="I37" s="5" t="s">
        <v>23</v>
      </c>
    </row>
    <row r="38" spans="1:9" ht="15.65" outlineLevel="2">
      <c r="A38" s="7" t="s">
        <v>16</v>
      </c>
      <c r="B38" s="8">
        <v>2018</v>
      </c>
      <c r="C38" s="7" t="s">
        <v>18</v>
      </c>
      <c r="E38" s="9">
        <v>-27698.150000000001</v>
      </c>
      <c r="F38" s="9">
        <v>0</v>
      </c>
      <c r="G38" s="9">
        <v>0</v>
      </c>
      <c r="H38" s="9">
        <v>0</v>
      </c>
      <c r="I38" s="5" t="s">
        <v>24</v>
      </c>
    </row>
    <row r="39" spans="1:9" ht="15.65" outlineLevel="2">
      <c r="A39" s="7" t="s">
        <v>16</v>
      </c>
      <c r="B39" s="8">
        <v>2018</v>
      </c>
      <c r="C39" s="7" t="s">
        <v>1</v>
      </c>
      <c r="D39" s="9" t="s">
        <v>4</v>
      </c>
      <c r="E39" s="9">
        <v>0</v>
      </c>
      <c r="F39" s="9">
        <v>0</v>
      </c>
      <c r="G39" s="9">
        <v>21405.869999999999</v>
      </c>
      <c r="H39" s="9">
        <v>0</v>
      </c>
      <c r="I39" s="11" t="s">
        <v>23</v>
      </c>
    </row>
    <row r="40" spans="1:9" ht="15.65" outlineLevel="2">
      <c r="A40" s="7" t="s">
        <v>16</v>
      </c>
      <c r="B40" s="8">
        <v>2018</v>
      </c>
      <c r="C40" s="7" t="s">
        <v>1</v>
      </c>
      <c r="D40" s="9" t="s">
        <v>2</v>
      </c>
      <c r="E40" s="9">
        <v>1029951.16</v>
      </c>
      <c r="F40" s="9">
        <v>0</v>
      </c>
      <c r="G40" s="9">
        <v>0</v>
      </c>
      <c r="H40" s="9">
        <v>0</v>
      </c>
      <c r="I40" s="11" t="s">
        <v>23</v>
      </c>
    </row>
    <row r="41" spans="1:9" ht="15.65" outlineLevel="2">
      <c r="A41" s="7" t="s">
        <v>16</v>
      </c>
      <c r="B41" s="8">
        <v>2018</v>
      </c>
      <c r="C41" s="7" t="s">
        <v>1</v>
      </c>
      <c r="D41" s="9" t="s">
        <v>3</v>
      </c>
      <c r="E41" s="9">
        <v>113224.64</v>
      </c>
      <c r="F41" s="9">
        <v>105162.21000000001</v>
      </c>
      <c r="G41" s="9">
        <v>3304.4200000000001</v>
      </c>
      <c r="H41" s="9">
        <v>230.80000000000001</v>
      </c>
      <c r="I41" s="11" t="s">
        <v>36</v>
      </c>
    </row>
    <row r="42" spans="1:9" ht="15.65" outlineLevel="2">
      <c r="A42" s="7" t="s">
        <v>16</v>
      </c>
      <c r="B42" s="8">
        <v>2018</v>
      </c>
      <c r="C42" s="7" t="s">
        <v>1</v>
      </c>
      <c r="D42" s="9" t="s">
        <v>5</v>
      </c>
      <c r="E42" s="9">
        <v>0</v>
      </c>
      <c r="F42" s="9">
        <v>0</v>
      </c>
      <c r="G42" s="9">
        <v>0</v>
      </c>
      <c r="H42" s="9">
        <v>439252.38</v>
      </c>
      <c r="I42" s="11" t="s">
        <v>23</v>
      </c>
    </row>
    <row r="43" spans="1:9" ht="15.65" outlineLevel="2">
      <c r="A43" s="7" t="s">
        <v>16</v>
      </c>
      <c r="B43" s="8">
        <v>2018</v>
      </c>
      <c r="C43" s="7" t="s">
        <v>1</v>
      </c>
      <c r="D43" s="9" t="s">
        <v>6</v>
      </c>
      <c r="E43" s="9">
        <v>0</v>
      </c>
      <c r="F43" s="9">
        <v>454843.87</v>
      </c>
      <c r="G43" s="9">
        <v>0</v>
      </c>
      <c r="H43" s="9">
        <v>0</v>
      </c>
      <c r="I43" s="11" t="s">
        <v>23</v>
      </c>
    </row>
    <row r="44" spans="1:9" ht="15.65" outlineLevel="2">
      <c r="A44" s="7" t="s">
        <v>16</v>
      </c>
      <c r="B44" s="8">
        <v>2018</v>
      </c>
      <c r="C44" s="7" t="s">
        <v>14</v>
      </c>
      <c r="E44" s="9">
        <v>0</v>
      </c>
      <c r="F44" s="9">
        <v>4278154.6600000001</v>
      </c>
      <c r="G44" s="9">
        <v>0</v>
      </c>
      <c r="H44" s="9">
        <v>0</v>
      </c>
      <c r="I44" s="5" t="s">
        <v>23</v>
      </c>
    </row>
    <row r="45" spans="1:9" ht="15.65" outlineLevel="2">
      <c r="A45" s="7" t="s">
        <v>16</v>
      </c>
      <c r="B45" s="8">
        <v>2018</v>
      </c>
      <c r="C45" s="7" t="s">
        <v>19</v>
      </c>
      <c r="E45" s="9">
        <v>0</v>
      </c>
      <c r="F45" s="9">
        <v>1966.1300000000001</v>
      </c>
      <c r="G45" s="9">
        <v>0</v>
      </c>
      <c r="H45" s="9">
        <v>0</v>
      </c>
      <c r="I45" s="5" t="s">
        <v>23</v>
      </c>
    </row>
    <row r="46" spans="1:9" ht="15.65" outlineLevel="2">
      <c r="A46" s="7" t="s">
        <v>16</v>
      </c>
      <c r="B46" s="8">
        <v>2018</v>
      </c>
      <c r="C46" s="7" t="s">
        <v>15</v>
      </c>
      <c r="E46" s="9">
        <v>225743.04999999999</v>
      </c>
      <c r="F46" s="9">
        <v>2055019.3700000001</v>
      </c>
      <c r="G46" s="9">
        <v>0</v>
      </c>
      <c r="H46" s="9">
        <v>0</v>
      </c>
      <c r="I46" s="5" t="s">
        <v>37</v>
      </c>
    </row>
    <row r="47" spans="1:9" ht="15.65" outlineLevel="2">
      <c r="A47" s="7" t="s">
        <v>16</v>
      </c>
      <c r="B47" s="8">
        <v>2018</v>
      </c>
      <c r="C47" s="7" t="s">
        <v>21</v>
      </c>
      <c r="E47" s="9">
        <v>0</v>
      </c>
      <c r="F47" s="9">
        <v>548.65999999999997</v>
      </c>
      <c r="G47" s="9">
        <v>0</v>
      </c>
      <c r="H47" s="9">
        <v>0</v>
      </c>
      <c r="I47" s="5" t="s">
        <v>23</v>
      </c>
    </row>
    <row r="48" spans="2:8" ht="15.65" outlineLevel="1">
      <c r="B48" s="10" t="s">
        <v>31</v>
      </c>
      <c r="E48" s="14">
        <f>SUBTOTAL(9,E35:E47)</f>
        <v>5363077.459999999</v>
      </c>
      <c r="F48" s="14">
        <f>SUBTOTAL(9,F35:F47)</f>
        <v>7324316.4000000004</v>
      </c>
      <c r="G48" s="14">
        <f>SUBTOTAL(9,G35:G47)</f>
        <v>24710.290000000001</v>
      </c>
      <c r="H48" s="14">
        <f>SUBTOTAL(9,H35:H47)</f>
        <v>439483.17999999999</v>
      </c>
    </row>
    <row r="49" spans="1:9" ht="15.65" outlineLevel="2">
      <c r="A49" s="7" t="s">
        <v>16</v>
      </c>
      <c r="B49" s="8">
        <v>2019</v>
      </c>
      <c r="C49" s="7" t="s">
        <v>17</v>
      </c>
      <c r="E49" s="9">
        <v>5332524.7300000004</v>
      </c>
      <c r="F49" s="9">
        <v>0</v>
      </c>
      <c r="G49" s="9">
        <v>0</v>
      </c>
      <c r="H49" s="9">
        <v>0</v>
      </c>
      <c r="I49" s="5" t="s">
        <v>23</v>
      </c>
    </row>
    <row r="50" spans="1:9" ht="15.65" outlineLevel="2">
      <c r="A50" s="7" t="s">
        <v>16</v>
      </c>
      <c r="B50" s="8">
        <v>2019</v>
      </c>
      <c r="C50" s="7" t="s">
        <v>13</v>
      </c>
      <c r="E50" s="9">
        <v>1823295.1100000001</v>
      </c>
      <c r="F50" s="9">
        <v>704651.32999999996</v>
      </c>
      <c r="G50" s="9">
        <v>0</v>
      </c>
      <c r="H50" s="9">
        <v>0</v>
      </c>
      <c r="I50" s="5" t="s">
        <v>35</v>
      </c>
    </row>
    <row r="51" spans="1:9" ht="15.65" outlineLevel="2">
      <c r="A51" s="7" t="s">
        <v>16</v>
      </c>
      <c r="B51" s="8">
        <v>2019</v>
      </c>
      <c r="C51" s="7" t="s">
        <v>20</v>
      </c>
      <c r="E51" s="9">
        <v>1139.52</v>
      </c>
      <c r="F51" s="9">
        <v>0</v>
      </c>
      <c r="G51" s="9">
        <v>0</v>
      </c>
      <c r="H51" s="9">
        <v>0</v>
      </c>
      <c r="I51" s="5" t="s">
        <v>23</v>
      </c>
    </row>
    <row r="52" spans="1:9" ht="15.65" outlineLevel="2">
      <c r="A52" s="7" t="s">
        <v>16</v>
      </c>
      <c r="B52" s="8">
        <v>2019</v>
      </c>
      <c r="C52" s="7" t="s">
        <v>18</v>
      </c>
      <c r="E52" s="9">
        <v>256430.01999999999</v>
      </c>
      <c r="F52" s="9">
        <v>0</v>
      </c>
      <c r="G52" s="9">
        <v>0</v>
      </c>
      <c r="H52" s="9">
        <v>0</v>
      </c>
      <c r="I52" s="5" t="s">
        <v>24</v>
      </c>
    </row>
    <row r="53" spans="1:9" ht="15.65" outlineLevel="2">
      <c r="A53" s="7" t="s">
        <v>16</v>
      </c>
      <c r="B53" s="8">
        <v>2019</v>
      </c>
      <c r="C53" s="7" t="s">
        <v>1</v>
      </c>
      <c r="D53" s="9" t="s">
        <v>4</v>
      </c>
      <c r="E53" s="9">
        <v>0</v>
      </c>
      <c r="F53" s="9">
        <v>0</v>
      </c>
      <c r="G53" s="9">
        <v>125739.3</v>
      </c>
      <c r="H53" s="9">
        <v>0</v>
      </c>
      <c r="I53" s="11" t="s">
        <v>23</v>
      </c>
    </row>
    <row r="54" spans="1:9" ht="15.65" outlineLevel="2">
      <c r="A54" s="7" t="s">
        <v>16</v>
      </c>
      <c r="B54" s="8">
        <v>2019</v>
      </c>
      <c r="C54" s="7" t="s">
        <v>1</v>
      </c>
      <c r="D54" s="9" t="s">
        <v>2</v>
      </c>
      <c r="E54" s="9">
        <v>3388931.5099999998</v>
      </c>
      <c r="F54" s="9">
        <v>0</v>
      </c>
      <c r="G54" s="9">
        <v>0</v>
      </c>
      <c r="H54" s="9">
        <v>0</v>
      </c>
      <c r="I54" s="11" t="s">
        <v>23</v>
      </c>
    </row>
    <row r="55" spans="1:9" ht="15.65" outlineLevel="2">
      <c r="A55" s="7" t="s">
        <v>16</v>
      </c>
      <c r="B55" s="8">
        <v>2019</v>
      </c>
      <c r="C55" s="7" t="s">
        <v>1</v>
      </c>
      <c r="D55" s="9" t="s">
        <v>3</v>
      </c>
      <c r="E55" s="9">
        <v>499737.28000000003</v>
      </c>
      <c r="F55" s="9">
        <v>464152.29999999999</v>
      </c>
      <c r="G55" s="9">
        <v>14584.65</v>
      </c>
      <c r="H55" s="9">
        <v>1018.67</v>
      </c>
      <c r="I55" s="11" t="s">
        <v>36</v>
      </c>
    </row>
    <row r="56" spans="1:9" ht="15.65" outlineLevel="2">
      <c r="A56" s="7" t="s">
        <v>16</v>
      </c>
      <c r="B56" s="8">
        <v>2019</v>
      </c>
      <c r="C56" s="7" t="s">
        <v>1</v>
      </c>
      <c r="D56" s="9" t="s">
        <v>5</v>
      </c>
      <c r="E56" s="9">
        <v>0</v>
      </c>
      <c r="F56" s="9">
        <v>0</v>
      </c>
      <c r="G56" s="9">
        <v>0</v>
      </c>
      <c r="H56" s="9">
        <v>212638.10999999999</v>
      </c>
      <c r="I56" s="11" t="s">
        <v>23</v>
      </c>
    </row>
    <row r="57" spans="1:9" ht="15.65" outlineLevel="2">
      <c r="A57" s="7" t="s">
        <v>16</v>
      </c>
      <c r="B57" s="8">
        <v>2019</v>
      </c>
      <c r="C57" s="7" t="s">
        <v>1</v>
      </c>
      <c r="D57" s="9" t="s">
        <v>6</v>
      </c>
      <c r="E57" s="9">
        <v>0</v>
      </c>
      <c r="F57" s="9">
        <v>329750.12</v>
      </c>
      <c r="G57" s="9">
        <v>0</v>
      </c>
      <c r="H57" s="9">
        <v>0</v>
      </c>
      <c r="I57" s="11" t="s">
        <v>23</v>
      </c>
    </row>
    <row r="58" spans="1:9" ht="15.65" outlineLevel="2">
      <c r="A58" s="7" t="s">
        <v>16</v>
      </c>
      <c r="B58" s="8">
        <v>2019</v>
      </c>
      <c r="C58" s="7" t="s">
        <v>14</v>
      </c>
      <c r="E58" s="9">
        <v>0</v>
      </c>
      <c r="F58" s="9">
        <v>8194557.0899999999</v>
      </c>
      <c r="G58" s="9">
        <v>0</v>
      </c>
      <c r="H58" s="9">
        <v>0</v>
      </c>
      <c r="I58" s="5" t="s">
        <v>23</v>
      </c>
    </row>
    <row r="59" spans="1:9" ht="15.65" outlineLevel="2">
      <c r="A59" s="7" t="s">
        <v>16</v>
      </c>
      <c r="B59" s="8">
        <v>2019</v>
      </c>
      <c r="C59" s="7" t="s">
        <v>15</v>
      </c>
      <c r="E59" s="9">
        <v>245873.04000000001</v>
      </c>
      <c r="F59" s="9">
        <v>4449789.4400000004</v>
      </c>
      <c r="G59" s="9">
        <v>0</v>
      </c>
      <c r="H59" s="9">
        <v>0</v>
      </c>
      <c r="I59" s="5" t="s">
        <v>37</v>
      </c>
    </row>
    <row r="60" spans="1:9" ht="15.65" outlineLevel="2">
      <c r="A60" s="7" t="s">
        <v>16</v>
      </c>
      <c r="B60" s="8">
        <v>2019</v>
      </c>
      <c r="C60" s="7" t="s">
        <v>21</v>
      </c>
      <c r="E60" s="9">
        <v>0</v>
      </c>
      <c r="F60" s="9">
        <v>287.10000000000002</v>
      </c>
      <c r="G60" s="9">
        <v>0</v>
      </c>
      <c r="H60" s="9">
        <v>0</v>
      </c>
      <c r="I60" s="5" t="s">
        <v>23</v>
      </c>
    </row>
    <row r="61" spans="2:8" ht="15.65" outlineLevel="1">
      <c r="B61" s="10" t="s">
        <v>27</v>
      </c>
      <c r="E61" s="14">
        <f>SUBTOTAL(9,E49:E60)</f>
        <v>11547931.209999999</v>
      </c>
      <c r="F61" s="14">
        <f>SUBTOTAL(9,F49:F60)</f>
        <v>14143187.380000001</v>
      </c>
      <c r="G61" s="14">
        <f>SUBTOTAL(9,G49:G60)</f>
        <v>140323.95000000001</v>
      </c>
      <c r="H61" s="14">
        <f>SUBTOTAL(9,H49:H60)</f>
        <v>213656.78</v>
      </c>
    </row>
    <row r="62" spans="1:9" ht="15.65" outlineLevel="2">
      <c r="A62" s="7" t="s">
        <v>16</v>
      </c>
      <c r="B62" s="8">
        <v>2020</v>
      </c>
      <c r="C62" s="7" t="s">
        <v>17</v>
      </c>
      <c r="E62" s="9">
        <v>8679263.5700000003</v>
      </c>
      <c r="F62" s="9">
        <v>0</v>
      </c>
      <c r="G62" s="9">
        <v>0</v>
      </c>
      <c r="H62" s="9">
        <v>0</v>
      </c>
      <c r="I62" s="5" t="s">
        <v>23</v>
      </c>
    </row>
    <row r="63" spans="1:9" ht="15.65" outlineLevel="2">
      <c r="A63" s="7" t="s">
        <v>16</v>
      </c>
      <c r="B63" s="8">
        <v>2020</v>
      </c>
      <c r="C63" s="7" t="s">
        <v>13</v>
      </c>
      <c r="E63" s="9">
        <v>4463417.7999999998</v>
      </c>
      <c r="F63" s="9">
        <v>1495195.8700000001</v>
      </c>
      <c r="G63" s="9">
        <v>0</v>
      </c>
      <c r="H63" s="9">
        <v>0</v>
      </c>
      <c r="I63" s="5" t="s">
        <v>35</v>
      </c>
    </row>
    <row r="64" spans="1:9" ht="15.65" outlineLevel="2">
      <c r="A64" s="7" t="s">
        <v>16</v>
      </c>
      <c r="B64" s="8">
        <v>2020</v>
      </c>
      <c r="C64" s="7" t="s">
        <v>20</v>
      </c>
      <c r="E64" s="9">
        <v>824.10000000000002</v>
      </c>
      <c r="F64" s="9">
        <v>0</v>
      </c>
      <c r="G64" s="9">
        <v>0</v>
      </c>
      <c r="H64" s="9">
        <v>0</v>
      </c>
      <c r="I64" s="5" t="s">
        <v>23</v>
      </c>
    </row>
    <row r="65" spans="1:9" ht="15.65" outlineLevel="2">
      <c r="A65" s="7" t="s">
        <v>16</v>
      </c>
      <c r="B65" s="8">
        <v>2020</v>
      </c>
      <c r="C65" s="7" t="s">
        <v>18</v>
      </c>
      <c r="E65" s="9">
        <v>800673.65000000002</v>
      </c>
      <c r="F65" s="9">
        <v>0</v>
      </c>
      <c r="G65" s="9">
        <v>0</v>
      </c>
      <c r="H65" s="9">
        <v>0</v>
      </c>
      <c r="I65" s="5" t="s">
        <v>24</v>
      </c>
    </row>
    <row r="66" spans="1:9" ht="15.65" outlineLevel="2">
      <c r="A66" s="7" t="s">
        <v>16</v>
      </c>
      <c r="B66" s="8">
        <v>2020</v>
      </c>
      <c r="C66" s="7" t="s">
        <v>1</v>
      </c>
      <c r="D66" s="9" t="s">
        <v>4</v>
      </c>
      <c r="E66" s="9">
        <v>0</v>
      </c>
      <c r="F66" s="9">
        <v>0</v>
      </c>
      <c r="G66" s="9">
        <v>435135.84000000003</v>
      </c>
      <c r="H66" s="9">
        <v>0</v>
      </c>
      <c r="I66" s="11" t="s">
        <v>23</v>
      </c>
    </row>
    <row r="67" spans="1:9" ht="15.65" outlineLevel="2">
      <c r="A67" s="7" t="s">
        <v>16</v>
      </c>
      <c r="B67" s="8">
        <v>2020</v>
      </c>
      <c r="C67" s="7" t="s">
        <v>1</v>
      </c>
      <c r="D67" s="9" t="s">
        <v>2</v>
      </c>
      <c r="E67" s="9">
        <v>1070454.8100000001</v>
      </c>
      <c r="F67" s="9">
        <v>0</v>
      </c>
      <c r="G67" s="9">
        <v>0</v>
      </c>
      <c r="H67" s="9">
        <v>0</v>
      </c>
      <c r="I67" s="11" t="s">
        <v>23</v>
      </c>
    </row>
    <row r="68" spans="1:9" ht="15.65" outlineLevel="2">
      <c r="A68" s="7" t="s">
        <v>16</v>
      </c>
      <c r="B68" s="8">
        <v>2020</v>
      </c>
      <c r="C68" s="7" t="s">
        <v>1</v>
      </c>
      <c r="D68" s="9" t="s">
        <v>3</v>
      </c>
      <c r="E68" s="9">
        <v>1621895.6299999999</v>
      </c>
      <c r="F68" s="9">
        <v>1506404.71</v>
      </c>
      <c r="G68" s="9">
        <v>47334.43</v>
      </c>
      <c r="H68" s="9">
        <v>3306.0999999999999</v>
      </c>
      <c r="I68" s="11" t="s">
        <v>36</v>
      </c>
    </row>
    <row r="69" spans="1:9" ht="15.65" outlineLevel="2">
      <c r="A69" s="7" t="s">
        <v>16</v>
      </c>
      <c r="B69" s="8">
        <v>2020</v>
      </c>
      <c r="C69" s="7" t="s">
        <v>1</v>
      </c>
      <c r="D69" s="9" t="s">
        <v>5</v>
      </c>
      <c r="E69" s="9">
        <v>0</v>
      </c>
      <c r="F69" s="9">
        <v>0</v>
      </c>
      <c r="G69" s="9">
        <v>0</v>
      </c>
      <c r="H69" s="9">
        <v>608422.64000000001</v>
      </c>
      <c r="I69" s="11" t="s">
        <v>23</v>
      </c>
    </row>
    <row r="70" spans="1:9" ht="15.65" outlineLevel="2">
      <c r="A70" s="7" t="s">
        <v>16</v>
      </c>
      <c r="B70" s="8">
        <v>2020</v>
      </c>
      <c r="C70" s="7" t="s">
        <v>1</v>
      </c>
      <c r="D70" s="9" t="s">
        <v>6</v>
      </c>
      <c r="E70" s="9">
        <v>0</v>
      </c>
      <c r="F70" s="9">
        <v>304572.52000000002</v>
      </c>
      <c r="G70" s="9">
        <v>0</v>
      </c>
      <c r="H70" s="9">
        <v>0</v>
      </c>
      <c r="I70" s="11" t="s">
        <v>23</v>
      </c>
    </row>
    <row r="71" spans="1:9" ht="15.65" outlineLevel="2">
      <c r="A71" s="7" t="s">
        <v>16</v>
      </c>
      <c r="B71" s="8">
        <v>2020</v>
      </c>
      <c r="C71" s="7" t="s">
        <v>14</v>
      </c>
      <c r="E71" s="9">
        <v>0</v>
      </c>
      <c r="F71" s="9">
        <v>17217471.609999999</v>
      </c>
      <c r="G71" s="9">
        <v>0</v>
      </c>
      <c r="H71" s="9">
        <v>0</v>
      </c>
      <c r="I71" s="5" t="s">
        <v>23</v>
      </c>
    </row>
    <row r="72" spans="1:9" ht="15.65" outlineLevel="2">
      <c r="A72" s="7" t="s">
        <v>16</v>
      </c>
      <c r="B72" s="8">
        <v>2020</v>
      </c>
      <c r="C72" s="7" t="s">
        <v>15</v>
      </c>
      <c r="E72" s="9">
        <v>595865.54000000004</v>
      </c>
      <c r="F72" s="9">
        <v>9008348.5899999999</v>
      </c>
      <c r="G72" s="9">
        <v>0</v>
      </c>
      <c r="H72" s="9">
        <v>0</v>
      </c>
      <c r="I72" s="5" t="s">
        <v>37</v>
      </c>
    </row>
    <row r="73" spans="1:9" ht="15.65" outlineLevel="2">
      <c r="A73" s="7" t="s">
        <v>16</v>
      </c>
      <c r="B73" s="8">
        <v>2020</v>
      </c>
      <c r="C73" s="7" t="s">
        <v>21</v>
      </c>
      <c r="E73" s="9">
        <v>0</v>
      </c>
      <c r="F73" s="9">
        <v>111.25</v>
      </c>
      <c r="G73" s="9">
        <v>0</v>
      </c>
      <c r="H73" s="9">
        <v>0</v>
      </c>
      <c r="I73" s="5" t="s">
        <v>23</v>
      </c>
    </row>
    <row r="74" spans="2:8" ht="15.65" outlineLevel="1">
      <c r="B74" s="10" t="s">
        <v>28</v>
      </c>
      <c r="E74" s="14">
        <f>SUBTOTAL(9,E62:E73)</f>
        <v>17232395.100000001</v>
      </c>
      <c r="F74" s="14">
        <f>SUBTOTAL(9,F62:F73)</f>
        <v>29532104.550000001</v>
      </c>
      <c r="G74" s="14">
        <f>SUBTOTAL(9,G62:G73)</f>
        <v>482470.27000000002</v>
      </c>
      <c r="H74" s="14">
        <f>SUBTOTAL(9,H62:H73)</f>
        <v>611728.73999999999</v>
      </c>
    </row>
    <row r="75" spans="1:9" ht="15.65" outlineLevel="2">
      <c r="A75" s="7" t="s">
        <v>16</v>
      </c>
      <c r="B75" s="8">
        <v>2021</v>
      </c>
      <c r="C75" s="7" t="s">
        <v>17</v>
      </c>
      <c r="E75" s="9">
        <v>9685370.2100000009</v>
      </c>
      <c r="F75" s="9">
        <v>0</v>
      </c>
      <c r="G75" s="9">
        <v>0</v>
      </c>
      <c r="H75" s="9">
        <v>0</v>
      </c>
      <c r="I75" s="5" t="s">
        <v>23</v>
      </c>
    </row>
    <row r="76" spans="1:9" ht="15.65" outlineLevel="2">
      <c r="A76" s="7" t="s">
        <v>16</v>
      </c>
      <c r="B76" s="8">
        <v>2021</v>
      </c>
      <c r="C76" s="7" t="s">
        <v>13</v>
      </c>
      <c r="E76" s="9">
        <v>4885627.9400000004</v>
      </c>
      <c r="F76" s="9">
        <v>1507515.6399999999</v>
      </c>
      <c r="G76" s="9">
        <v>0</v>
      </c>
      <c r="H76" s="9">
        <v>0</v>
      </c>
      <c r="I76" s="5" t="s">
        <v>35</v>
      </c>
    </row>
    <row r="77" spans="1:9" ht="15.65" outlineLevel="2">
      <c r="A77" s="7" t="s">
        <v>16</v>
      </c>
      <c r="B77" s="8">
        <v>2021</v>
      </c>
      <c r="C77" s="7" t="s">
        <v>20</v>
      </c>
      <c r="E77" s="9">
        <v>366.69999999999999</v>
      </c>
      <c r="F77" s="9">
        <v>0</v>
      </c>
      <c r="G77" s="9">
        <v>0</v>
      </c>
      <c r="H77" s="9">
        <v>0</v>
      </c>
      <c r="I77" s="5" t="s">
        <v>23</v>
      </c>
    </row>
    <row r="78" spans="1:9" ht="15.65" outlineLevel="2">
      <c r="A78" s="7" t="s">
        <v>16</v>
      </c>
      <c r="B78" s="8">
        <v>2021</v>
      </c>
      <c r="C78" s="7" t="s">
        <v>18</v>
      </c>
      <c r="E78" s="9">
        <v>16958.43</v>
      </c>
      <c r="F78" s="9">
        <v>0</v>
      </c>
      <c r="G78" s="9">
        <v>0</v>
      </c>
      <c r="H78" s="9">
        <v>0</v>
      </c>
      <c r="I78" s="5" t="s">
        <v>24</v>
      </c>
    </row>
    <row r="79" spans="1:9" ht="15.65" outlineLevel="2">
      <c r="A79" s="7" t="s">
        <v>16</v>
      </c>
      <c r="B79" s="8">
        <v>2021</v>
      </c>
      <c r="C79" s="7" t="s">
        <v>1</v>
      </c>
      <c r="D79" s="9" t="s">
        <v>4</v>
      </c>
      <c r="E79" s="9">
        <v>0</v>
      </c>
      <c r="F79" s="9">
        <v>0</v>
      </c>
      <c r="G79" s="9">
        <v>547054.57999999996</v>
      </c>
      <c r="H79" s="9">
        <v>0</v>
      </c>
      <c r="I79" s="11" t="s">
        <v>23</v>
      </c>
    </row>
    <row r="80" spans="1:9" ht="15.65" outlineLevel="2">
      <c r="A80" s="7" t="s">
        <v>16</v>
      </c>
      <c r="B80" s="8">
        <v>2021</v>
      </c>
      <c r="C80" s="7" t="s">
        <v>1</v>
      </c>
      <c r="D80" s="9" t="s">
        <v>2</v>
      </c>
      <c r="E80" s="9">
        <v>2723722.4199999999</v>
      </c>
      <c r="F80" s="9">
        <v>0</v>
      </c>
      <c r="G80" s="9">
        <v>0</v>
      </c>
      <c r="H80" s="9">
        <v>0</v>
      </c>
      <c r="I80" s="11" t="s">
        <v>23</v>
      </c>
    </row>
    <row r="81" spans="1:9" ht="15.65" outlineLevel="2">
      <c r="A81" s="7" t="s">
        <v>16</v>
      </c>
      <c r="B81" s="8">
        <v>2021</v>
      </c>
      <c r="C81" s="7" t="s">
        <v>1</v>
      </c>
      <c r="D81" s="9" t="s">
        <v>3</v>
      </c>
      <c r="E81" s="9">
        <v>820178.75</v>
      </c>
      <c r="F81" s="9">
        <v>761775.97999999998</v>
      </c>
      <c r="G81" s="9">
        <v>23936.619999999999</v>
      </c>
      <c r="H81" s="9">
        <v>1671.8699999999999</v>
      </c>
      <c r="I81" s="11" t="s">
        <v>36</v>
      </c>
    </row>
    <row r="82" spans="1:9" ht="15.65" outlineLevel="2">
      <c r="A82" s="7" t="s">
        <v>16</v>
      </c>
      <c r="B82" s="8">
        <v>2021</v>
      </c>
      <c r="C82" s="7" t="s">
        <v>1</v>
      </c>
      <c r="D82" s="9" t="s">
        <v>5</v>
      </c>
      <c r="E82" s="9">
        <v>0</v>
      </c>
      <c r="F82" s="9">
        <v>0</v>
      </c>
      <c r="G82" s="9">
        <v>0</v>
      </c>
      <c r="H82" s="9">
        <v>677487.97999999998</v>
      </c>
      <c r="I82" s="11" t="s">
        <v>23</v>
      </c>
    </row>
    <row r="83" spans="1:9" ht="15.65" outlineLevel="2">
      <c r="A83" s="7" t="s">
        <v>16</v>
      </c>
      <c r="B83" s="8">
        <v>2021</v>
      </c>
      <c r="C83" s="7" t="s">
        <v>1</v>
      </c>
      <c r="D83" s="9" t="s">
        <v>6</v>
      </c>
      <c r="E83" s="9">
        <v>0</v>
      </c>
      <c r="F83" s="9">
        <v>317445.64000000001</v>
      </c>
      <c r="G83" s="9">
        <v>0</v>
      </c>
      <c r="H83" s="9">
        <v>0</v>
      </c>
      <c r="I83" s="11" t="s">
        <v>23</v>
      </c>
    </row>
    <row r="84" spans="1:9" ht="15.65" outlineLevel="2">
      <c r="A84" s="7" t="s">
        <v>16</v>
      </c>
      <c r="B84" s="8">
        <v>2021</v>
      </c>
      <c r="C84" s="7" t="s">
        <v>14</v>
      </c>
      <c r="E84" s="9">
        <v>0</v>
      </c>
      <c r="F84" s="9">
        <v>11428232.49</v>
      </c>
      <c r="G84" s="9">
        <v>0</v>
      </c>
      <c r="H84" s="9">
        <v>0</v>
      </c>
      <c r="I84" s="5" t="s">
        <v>23</v>
      </c>
    </row>
    <row r="85" spans="1:9" ht="15.65" outlineLevel="2">
      <c r="A85" s="7" t="s">
        <v>16</v>
      </c>
      <c r="B85" s="8">
        <v>2021</v>
      </c>
      <c r="C85" s="7" t="s">
        <v>15</v>
      </c>
      <c r="E85" s="9">
        <v>761354.27000000002</v>
      </c>
      <c r="F85" s="9">
        <v>7248458.0300000003</v>
      </c>
      <c r="G85" s="9">
        <v>0</v>
      </c>
      <c r="H85" s="9">
        <v>0</v>
      </c>
      <c r="I85" s="5" t="s">
        <v>37</v>
      </c>
    </row>
    <row r="86" spans="2:8" ht="15.65" outlineLevel="1">
      <c r="B86" s="10" t="s">
        <v>29</v>
      </c>
      <c r="E86" s="14">
        <f>SUBTOTAL(9,E75:E85)</f>
        <v>18893578.720000003</v>
      </c>
      <c r="F86" s="14">
        <f>SUBTOTAL(9,F75:F85)</f>
        <v>21263427.780000001</v>
      </c>
      <c r="G86" s="14">
        <f>SUBTOTAL(9,G75:G85)</f>
        <v>570991.19999999995</v>
      </c>
      <c r="H86" s="14">
        <f>SUBTOTAL(9,H75:H85)</f>
        <v>679159.84999999998</v>
      </c>
    </row>
    <row r="87" spans="2:8" ht="15.65">
      <c r="B87" s="10" t="s">
        <v>26</v>
      </c>
      <c r="E87" s="14">
        <f>SUBTOTAL(9,E2:E85)</f>
        <v>56906603.260000005</v>
      </c>
      <c r="F87" s="14">
        <f>SUBTOTAL(9,F2:F85)</f>
        <v>81773888.840000004</v>
      </c>
      <c r="G87" s="14">
        <f>SUBTOTAL(9,G2:G85)</f>
        <v>1229368.6900000002</v>
      </c>
      <c r="H87" s="14">
        <f>SUBTOTAL(9,H2:H85)</f>
        <v>5293436.6699999999</v>
      </c>
    </row>
    <row r="88" spans="9:9" ht="15.65">
      <c r="I88" s="11"/>
    </row>
    <row r="89" spans="9:9" ht="15.65">
      <c r="I89" s="11"/>
    </row>
    <row r="90" spans="9:9" ht="15.65">
      <c r="I90" s="11"/>
    </row>
    <row r="91" spans="9:9" ht="15.65">
      <c r="I91" s="11"/>
    </row>
  </sheetData>
  <autoFilter ref="A1:I85"/>
  <pageMargins left="0.7" right="0.7" top="2.5" bottom="0.75" header="1.5" footer="0.3"/>
  <pageSetup fitToHeight="0" orientation="landscape" scale="48" r:id="rId1"/>
  <headerFooter>
    <oddHeader>&amp;C
&amp;"Arial,Bold"&amp;12 2022 RATE CASE
ONCOR ELECTRIC DELIVERY COMPANY LLC
AFUDC ALLOCATION - GENERATED
FOR THE TEST YEAR ENDING DECEMBER 31, 2021
SPONSOR: W. A. LEDBETTER&amp;R&amp;"Arial,Bold"&amp;12WP/II-B-15A/01
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J111"/>
  <sheetViews>
    <sheetView tabSelected="1" workbookViewId="0" topLeftCell="A1">
      <pane xSplit="3" ySplit="1" topLeftCell="D2" activePane="bottomRight" state="frozen"/>
      <selection pane="topLeft" activeCell="D2" sqref="D2"/>
      <selection pane="bottomLeft" activeCell="D2" sqref="D2"/>
      <selection pane="topRight" activeCell="D2" sqref="D2"/>
      <selection pane="bottomRight" activeCell="D2" sqref="D2"/>
    </sheetView>
  </sheetViews>
  <sheetFormatPr defaultColWidth="9.12428571428571" defaultRowHeight="15.75" outlineLevelRow="2"/>
  <cols>
    <col min="1" max="1" width="15" style="7" bestFit="1" customWidth="1"/>
    <col min="2" max="2" width="17.4285714285714" style="8" bestFit="1" customWidth="1"/>
    <col min="3" max="3" width="16.8571428571429" style="7" bestFit="1" customWidth="1"/>
    <col min="4" max="4" width="24.5714285714286" style="9" bestFit="1" customWidth="1"/>
    <col min="5" max="5" width="22.1428571428571" style="9" bestFit="1" customWidth="1"/>
    <col min="6" max="6" width="23.4285714285714" style="9" bestFit="1" customWidth="1"/>
    <col min="7" max="7" width="15.4285714285714" style="9" bestFit="1" customWidth="1"/>
    <col min="8" max="8" width="31.1428571428571" style="9" customWidth="1"/>
    <col min="9" max="9" width="90.4285714285714" style="5" bestFit="1" customWidth="1"/>
    <col min="10" max="16384" width="9.14285714285714" style="6"/>
  </cols>
  <sheetData>
    <row r="1" spans="1:10" ht="31.25">
      <c r="A1" s="1" t="s">
        <v>0</v>
      </c>
      <c r="B1" s="2" t="s">
        <v>7</v>
      </c>
      <c r="C1" s="1" t="s">
        <v>22</v>
      </c>
      <c r="D1" s="3" t="s">
        <v>25</v>
      </c>
      <c r="E1" s="3" t="s">
        <v>8</v>
      </c>
      <c r="F1" s="3" t="s">
        <v>9</v>
      </c>
      <c r="G1" s="3" t="s">
        <v>10</v>
      </c>
      <c r="H1" s="3" t="s">
        <v>11</v>
      </c>
      <c r="I1" s="4" t="s">
        <v>32</v>
      </c>
      <c r="J1" s="5"/>
    </row>
    <row r="2" spans="1:10" ht="15.65" outlineLevel="2">
      <c r="A2" s="7" t="s">
        <v>12</v>
      </c>
      <c r="B2" s="8">
        <v>2017</v>
      </c>
      <c r="C2" s="7" t="s">
        <v>13</v>
      </c>
      <c r="D2" s="13"/>
      <c r="E2" s="9">
        <v>282.13999999999999</v>
      </c>
      <c r="F2" s="9">
        <v>163.78</v>
      </c>
      <c r="G2" s="9">
        <v>0</v>
      </c>
      <c r="H2" s="9">
        <v>0</v>
      </c>
      <c r="I2" s="7" t="s">
        <v>33</v>
      </c>
      <c r="J2" s="5"/>
    </row>
    <row r="3" spans="1:10" ht="15.65" outlineLevel="2">
      <c r="A3" s="7" t="s">
        <v>12</v>
      </c>
      <c r="B3" s="8">
        <v>2017</v>
      </c>
      <c r="C3" s="7" t="s">
        <v>14</v>
      </c>
      <c r="D3" s="13"/>
      <c r="E3" s="9">
        <v>0</v>
      </c>
      <c r="F3" s="9">
        <v>807835.97999999998</v>
      </c>
      <c r="G3" s="9">
        <v>0</v>
      </c>
      <c r="H3" s="9">
        <v>0</v>
      </c>
      <c r="I3" s="5" t="s">
        <v>23</v>
      </c>
      <c r="J3" s="5"/>
    </row>
    <row r="4" spans="1:10" ht="15.65" outlineLevel="2">
      <c r="A4" s="7" t="s">
        <v>12</v>
      </c>
      <c r="B4" s="8">
        <v>2017</v>
      </c>
      <c r="C4" s="7" t="s">
        <v>15</v>
      </c>
      <c r="D4" s="13"/>
      <c r="E4" s="9">
        <v>167405.81</v>
      </c>
      <c r="F4" s="9">
        <v>937295.26000000001</v>
      </c>
      <c r="G4" s="9">
        <v>0</v>
      </c>
      <c r="H4" s="9">
        <v>0</v>
      </c>
      <c r="I4" s="5" t="s">
        <v>34</v>
      </c>
      <c r="J4" s="5"/>
    </row>
    <row r="5" spans="2:10" ht="15.65" outlineLevel="1">
      <c r="B5" s="10" t="s">
        <v>30</v>
      </c>
      <c r="D5" s="13"/>
      <c r="E5" s="14">
        <f>SUBTOTAL(9,E2:E4)</f>
        <v>167687.95000000001</v>
      </c>
      <c r="F5" s="14">
        <f>SUBTOTAL(9,F2:F4)</f>
        <v>1745295.02</v>
      </c>
      <c r="G5" s="14">
        <f>SUBTOTAL(9,G2:G4)</f>
        <v>0</v>
      </c>
      <c r="H5" s="14">
        <f>SUBTOTAL(9,H2:H4)</f>
        <v>0</v>
      </c>
      <c r="J5" s="5"/>
    </row>
    <row r="6" spans="1:10" ht="15.65" outlineLevel="2">
      <c r="A6" s="7" t="s">
        <v>12</v>
      </c>
      <c r="B6" s="8">
        <v>2018</v>
      </c>
      <c r="C6" s="7" t="s">
        <v>13</v>
      </c>
      <c r="D6" s="13"/>
      <c r="E6" s="9">
        <v>426.05000000000001</v>
      </c>
      <c r="F6" s="9">
        <v>247.31999999999999</v>
      </c>
      <c r="G6" s="9">
        <v>0</v>
      </c>
      <c r="H6" s="9">
        <v>0</v>
      </c>
      <c r="I6" s="7" t="s">
        <v>33</v>
      </c>
      <c r="J6" s="5"/>
    </row>
    <row r="7" spans="1:10" ht="15.65" outlineLevel="2">
      <c r="A7" s="7" t="s">
        <v>12</v>
      </c>
      <c r="B7" s="8">
        <v>2018</v>
      </c>
      <c r="C7" s="7" t="s">
        <v>14</v>
      </c>
      <c r="D7" s="13"/>
      <c r="E7" s="9">
        <v>0</v>
      </c>
      <c r="F7" s="9">
        <v>339231.90000000002</v>
      </c>
      <c r="G7" s="9">
        <v>0</v>
      </c>
      <c r="H7" s="9">
        <v>0</v>
      </c>
      <c r="I7" s="5" t="s">
        <v>23</v>
      </c>
      <c r="J7" s="5"/>
    </row>
    <row r="8" spans="1:10" ht="15.65" outlineLevel="2">
      <c r="A8" s="7" t="s">
        <v>12</v>
      </c>
      <c r="B8" s="8">
        <v>2018</v>
      </c>
      <c r="C8" s="7" t="s">
        <v>15</v>
      </c>
      <c r="D8" s="13"/>
      <c r="E8" s="9">
        <v>414739.42999999999</v>
      </c>
      <c r="F8" s="9">
        <v>2322101.6299999999</v>
      </c>
      <c r="G8" s="9">
        <v>0</v>
      </c>
      <c r="H8" s="9">
        <v>0</v>
      </c>
      <c r="I8" s="5" t="s">
        <v>34</v>
      </c>
      <c r="J8" s="5"/>
    </row>
    <row r="9" spans="2:10" ht="15.65" outlineLevel="1">
      <c r="B9" s="10" t="s">
        <v>31</v>
      </c>
      <c r="D9" s="13"/>
      <c r="E9" s="14">
        <f>SUBTOTAL(9,E6:E8)</f>
        <v>415165.47999999998</v>
      </c>
      <c r="F9" s="14">
        <f>SUBTOTAL(9,F6:F8)</f>
        <v>2661580.8500000001</v>
      </c>
      <c r="G9" s="14">
        <f>SUBTOTAL(9,G6:G8)</f>
        <v>0</v>
      </c>
      <c r="H9" s="14">
        <f>SUBTOTAL(9,H6:H8)</f>
        <v>0</v>
      </c>
      <c r="J9" s="5"/>
    </row>
    <row r="10" spans="1:9" ht="15.65" outlineLevel="2">
      <c r="A10" s="7" t="s">
        <v>12</v>
      </c>
      <c r="B10" s="8">
        <v>2019</v>
      </c>
      <c r="C10" s="7" t="s">
        <v>13</v>
      </c>
      <c r="E10" s="9">
        <v>2835.1399999999999</v>
      </c>
      <c r="F10" s="9">
        <v>1541.5799999999999</v>
      </c>
      <c r="G10" s="9">
        <v>0</v>
      </c>
      <c r="H10" s="9">
        <v>0</v>
      </c>
      <c r="I10" s="7" t="s">
        <v>33</v>
      </c>
    </row>
    <row r="11" spans="1:9" ht="15.65" outlineLevel="2">
      <c r="A11" s="7" t="s">
        <v>12</v>
      </c>
      <c r="B11" s="8">
        <v>2019</v>
      </c>
      <c r="C11" s="7" t="s">
        <v>14</v>
      </c>
      <c r="E11" s="9">
        <v>0</v>
      </c>
      <c r="F11" s="9">
        <v>2541.4299999999998</v>
      </c>
      <c r="G11" s="9">
        <v>0</v>
      </c>
      <c r="H11" s="9">
        <v>0</v>
      </c>
      <c r="I11" s="5" t="s">
        <v>23</v>
      </c>
    </row>
    <row r="12" spans="1:9" ht="15.65" outlineLevel="2">
      <c r="A12" s="7" t="s">
        <v>12</v>
      </c>
      <c r="B12" s="8">
        <v>2019</v>
      </c>
      <c r="C12" s="7" t="s">
        <v>15</v>
      </c>
      <c r="E12" s="9">
        <v>1402.0799999999999</v>
      </c>
      <c r="F12" s="9">
        <v>4524.0200000000004</v>
      </c>
      <c r="G12" s="9">
        <v>0</v>
      </c>
      <c r="H12" s="9">
        <v>0</v>
      </c>
      <c r="I12" s="5" t="s">
        <v>34</v>
      </c>
    </row>
    <row r="13" spans="2:8" ht="15.65" outlineLevel="1">
      <c r="B13" s="10" t="s">
        <v>27</v>
      </c>
      <c r="E13" s="14">
        <f>SUBTOTAL(9,E10:E12)</f>
        <v>4237.2199999999993</v>
      </c>
      <c r="F13" s="14">
        <f>SUBTOTAL(9,F10:F12)</f>
        <v>8607.0300000000007</v>
      </c>
      <c r="G13" s="14">
        <f>SUBTOTAL(9,G10:G12)</f>
        <v>0</v>
      </c>
      <c r="H13" s="14">
        <f>SUBTOTAL(9,H10:H12)</f>
        <v>0</v>
      </c>
    </row>
    <row r="14" spans="1:9" ht="15.65" outlineLevel="2">
      <c r="A14" s="7" t="s">
        <v>12</v>
      </c>
      <c r="B14" s="8">
        <v>2020</v>
      </c>
      <c r="C14" s="7" t="s">
        <v>13</v>
      </c>
      <c r="E14" s="9">
        <v>584.89999999999998</v>
      </c>
      <c r="F14" s="9">
        <v>186.59</v>
      </c>
      <c r="G14" s="9">
        <v>0</v>
      </c>
      <c r="H14" s="9">
        <v>0</v>
      </c>
      <c r="I14" s="7" t="s">
        <v>33</v>
      </c>
    </row>
    <row r="15" spans="1:9" ht="15.65" outlineLevel="2">
      <c r="A15" s="7" t="s">
        <v>12</v>
      </c>
      <c r="B15" s="8">
        <v>2020</v>
      </c>
      <c r="C15" s="7" t="s">
        <v>14</v>
      </c>
      <c r="E15" s="9">
        <v>0</v>
      </c>
      <c r="F15" s="9">
        <v>1923.6500000000001</v>
      </c>
      <c r="G15" s="9">
        <v>0</v>
      </c>
      <c r="H15" s="9">
        <v>0</v>
      </c>
      <c r="I15" s="5" t="s">
        <v>23</v>
      </c>
    </row>
    <row r="16" spans="1:9" ht="15.65" outlineLevel="2">
      <c r="A16" s="7" t="s">
        <v>12</v>
      </c>
      <c r="B16" s="8">
        <v>2020</v>
      </c>
      <c r="C16" s="7" t="s">
        <v>15</v>
      </c>
      <c r="E16" s="9">
        <v>133.38999999999999</v>
      </c>
      <c r="F16" s="9">
        <v>1080.02</v>
      </c>
      <c r="G16" s="9">
        <v>0</v>
      </c>
      <c r="H16" s="9">
        <v>0</v>
      </c>
      <c r="I16" s="5" t="s">
        <v>34</v>
      </c>
    </row>
    <row r="17" spans="2:8" ht="15.65" outlineLevel="1">
      <c r="B17" s="10" t="s">
        <v>28</v>
      </c>
      <c r="E17" s="14">
        <f>SUBTOTAL(9,E14:E16)</f>
        <v>718.28999999999996</v>
      </c>
      <c r="F17" s="14">
        <f>SUBTOTAL(9,F14:F16)</f>
        <v>3190.2600000000002</v>
      </c>
      <c r="G17" s="14">
        <f>SUBTOTAL(9,G14:G16)</f>
        <v>0</v>
      </c>
      <c r="H17" s="14">
        <f>SUBTOTAL(9,H14:H16)</f>
        <v>0</v>
      </c>
    </row>
    <row r="18" spans="1:9" ht="15.65" outlineLevel="2">
      <c r="A18" s="7" t="s">
        <v>12</v>
      </c>
      <c r="B18" s="8">
        <v>2021</v>
      </c>
      <c r="C18" s="7" t="s">
        <v>13</v>
      </c>
      <c r="E18" s="9">
        <v>1381.0899999999999</v>
      </c>
      <c r="F18" s="9">
        <v>430.48000000000002</v>
      </c>
      <c r="G18" s="9">
        <v>0</v>
      </c>
      <c r="H18" s="9">
        <v>0</v>
      </c>
      <c r="I18" s="7" t="s">
        <v>33</v>
      </c>
    </row>
    <row r="19" spans="1:9" ht="15.65" outlineLevel="2">
      <c r="A19" s="7" t="s">
        <v>12</v>
      </c>
      <c r="B19" s="8">
        <v>2021</v>
      </c>
      <c r="C19" s="7" t="s">
        <v>14</v>
      </c>
      <c r="E19" s="9">
        <v>0</v>
      </c>
      <c r="F19" s="9">
        <v>2306.9400000000001</v>
      </c>
      <c r="G19" s="9">
        <v>0</v>
      </c>
      <c r="H19" s="9">
        <v>0</v>
      </c>
      <c r="I19" s="5" t="s">
        <v>23</v>
      </c>
    </row>
    <row r="20" spans="1:9" ht="15.65" outlineLevel="2">
      <c r="A20" s="7" t="s">
        <v>12</v>
      </c>
      <c r="B20" s="8">
        <v>2021</v>
      </c>
      <c r="C20" s="7" t="s">
        <v>15</v>
      </c>
      <c r="E20" s="9">
        <v>13.58</v>
      </c>
      <c r="F20" s="9">
        <v>109.95</v>
      </c>
      <c r="G20" s="9">
        <v>0</v>
      </c>
      <c r="H20" s="9">
        <v>0</v>
      </c>
      <c r="I20" s="5" t="s">
        <v>34</v>
      </c>
    </row>
    <row r="21" spans="2:8" ht="15.65" outlineLevel="1">
      <c r="B21" s="10" t="s">
        <v>29</v>
      </c>
      <c r="E21" s="14">
        <f>SUBTOTAL(9,E18:E20)</f>
        <v>1394.6699999999999</v>
      </c>
      <c r="F21" s="14">
        <f>SUBTOTAL(9,F18:F20)</f>
        <v>2847.3699999999999</v>
      </c>
      <c r="G21" s="14">
        <f>SUBTOTAL(9,G18:G20)</f>
        <v>0</v>
      </c>
      <c r="H21" s="14">
        <f>SUBTOTAL(9,H18:H20)</f>
        <v>0</v>
      </c>
    </row>
    <row r="22" spans="1:9" ht="15.65" outlineLevel="2">
      <c r="A22" s="7" t="s">
        <v>16</v>
      </c>
      <c r="B22" s="8">
        <v>2017</v>
      </c>
      <c r="C22" s="7" t="s">
        <v>17</v>
      </c>
      <c r="E22" s="9">
        <v>1730643.3799999999</v>
      </c>
      <c r="F22" s="9">
        <v>0</v>
      </c>
      <c r="G22" s="9">
        <v>0</v>
      </c>
      <c r="H22" s="9">
        <v>0</v>
      </c>
      <c r="I22" s="5" t="s">
        <v>23</v>
      </c>
    </row>
    <row r="23" spans="1:9" ht="15.65" outlineLevel="2">
      <c r="A23" s="7" t="s">
        <v>16</v>
      </c>
      <c r="B23" s="8">
        <v>2017</v>
      </c>
      <c r="C23" s="7" t="s">
        <v>13</v>
      </c>
      <c r="E23" s="9">
        <v>555212.47999999998</v>
      </c>
      <c r="F23" s="9">
        <v>180537.20999999999</v>
      </c>
      <c r="G23" s="9">
        <v>0</v>
      </c>
      <c r="H23" s="9">
        <v>0</v>
      </c>
      <c r="I23" s="5" t="s">
        <v>35</v>
      </c>
    </row>
    <row r="24" spans="1:9" ht="15.65" outlineLevel="2">
      <c r="A24" s="7" t="s">
        <v>16</v>
      </c>
      <c r="B24" s="8">
        <v>2017</v>
      </c>
      <c r="C24" s="7" t="s">
        <v>1</v>
      </c>
      <c r="D24" s="9" t="s">
        <v>4</v>
      </c>
      <c r="E24" s="9">
        <v>0</v>
      </c>
      <c r="F24" s="9">
        <v>0</v>
      </c>
      <c r="G24" s="9">
        <v>2982.1199999999999</v>
      </c>
      <c r="H24" s="9">
        <v>0</v>
      </c>
      <c r="I24" s="5" t="s">
        <v>23</v>
      </c>
    </row>
    <row r="25" spans="1:9" ht="15.65" outlineLevel="2">
      <c r="A25" s="7" t="s">
        <v>16</v>
      </c>
      <c r="B25" s="8">
        <v>2017</v>
      </c>
      <c r="C25" s="7" t="s">
        <v>1</v>
      </c>
      <c r="D25" s="9" t="s">
        <v>2</v>
      </c>
      <c r="E25" s="9">
        <v>48227.760000000002</v>
      </c>
      <c r="F25" s="9">
        <v>0</v>
      </c>
      <c r="G25" s="9">
        <v>0</v>
      </c>
      <c r="H25" s="9">
        <v>0</v>
      </c>
      <c r="I25" s="5" t="s">
        <v>23</v>
      </c>
    </row>
    <row r="26" spans="1:9" ht="15.65" outlineLevel="2">
      <c r="A26" s="7" t="s">
        <v>16</v>
      </c>
      <c r="B26" s="8">
        <v>2017</v>
      </c>
      <c r="C26" s="7" t="s">
        <v>1</v>
      </c>
      <c r="D26" s="9" t="s">
        <v>3</v>
      </c>
      <c r="E26" s="9">
        <v>13664.32</v>
      </c>
      <c r="F26" s="9">
        <v>12691.32</v>
      </c>
      <c r="G26" s="9">
        <v>398.79000000000002</v>
      </c>
      <c r="H26" s="9">
        <v>27.850000000000001</v>
      </c>
      <c r="I26" s="5" t="s">
        <v>36</v>
      </c>
    </row>
    <row r="27" spans="1:9" ht="15.65" outlineLevel="2">
      <c r="A27" s="7" t="s">
        <v>16</v>
      </c>
      <c r="B27" s="8">
        <v>2017</v>
      </c>
      <c r="C27" s="7" t="s">
        <v>1</v>
      </c>
      <c r="D27" s="9" t="s">
        <v>5</v>
      </c>
      <c r="E27" s="9">
        <v>0</v>
      </c>
      <c r="F27" s="9">
        <v>0</v>
      </c>
      <c r="G27" s="9">
        <v>0</v>
      </c>
      <c r="H27" s="9">
        <v>9008436.1899999995</v>
      </c>
      <c r="I27" s="5" t="s">
        <v>23</v>
      </c>
    </row>
    <row r="28" spans="1:9" ht="15.65" outlineLevel="2">
      <c r="A28" s="7" t="s">
        <v>16</v>
      </c>
      <c r="B28" s="8">
        <v>2017</v>
      </c>
      <c r="C28" s="7" t="s">
        <v>1</v>
      </c>
      <c r="D28" s="9" t="s">
        <v>6</v>
      </c>
      <c r="E28" s="9">
        <v>0</v>
      </c>
      <c r="F28" s="9">
        <v>18950.849999999999</v>
      </c>
      <c r="G28" s="9">
        <v>0</v>
      </c>
      <c r="H28" s="9">
        <v>0</v>
      </c>
      <c r="I28" s="5" t="s">
        <v>23</v>
      </c>
    </row>
    <row r="29" spans="1:9" ht="15.65" outlineLevel="2">
      <c r="A29" s="7" t="s">
        <v>16</v>
      </c>
      <c r="B29" s="8">
        <v>2017</v>
      </c>
      <c r="C29" s="7" t="s">
        <v>14</v>
      </c>
      <c r="E29" s="9">
        <v>0</v>
      </c>
      <c r="F29" s="9">
        <v>3657023.6400000001</v>
      </c>
      <c r="G29" s="9">
        <v>0</v>
      </c>
      <c r="H29" s="9">
        <v>0</v>
      </c>
      <c r="I29" s="5" t="s">
        <v>23</v>
      </c>
    </row>
    <row r="30" spans="1:9" ht="15.65" outlineLevel="2">
      <c r="A30" s="7" t="s">
        <v>16</v>
      </c>
      <c r="B30" s="8">
        <v>2017</v>
      </c>
      <c r="C30" s="7" t="s">
        <v>15</v>
      </c>
      <c r="E30" s="9">
        <v>185326.66</v>
      </c>
      <c r="F30" s="9">
        <v>1081087.4099999999</v>
      </c>
      <c r="G30" s="9">
        <v>0</v>
      </c>
      <c r="H30" s="9">
        <v>0</v>
      </c>
      <c r="I30" s="5" t="s">
        <v>37</v>
      </c>
    </row>
    <row r="31" spans="2:8" ht="15.65" outlineLevel="1">
      <c r="B31" s="10" t="s">
        <v>30</v>
      </c>
      <c r="E31" s="14">
        <f>SUBTOTAL(9,E22:E30)</f>
        <v>2533074.5999999996</v>
      </c>
      <c r="F31" s="14">
        <f>SUBTOTAL(9,F22:F30)</f>
        <v>4950290.4299999997</v>
      </c>
      <c r="G31" s="14">
        <f>SUBTOTAL(9,G22:G30)</f>
        <v>3380.9099999999999</v>
      </c>
      <c r="H31" s="14">
        <f>SUBTOTAL(9,H22:H30)</f>
        <v>9008464.0399999991</v>
      </c>
    </row>
    <row r="32" spans="1:9" ht="15.65" outlineLevel="2">
      <c r="A32" s="7" t="s">
        <v>16</v>
      </c>
      <c r="B32" s="8">
        <v>2018</v>
      </c>
      <c r="C32" s="7" t="s">
        <v>17</v>
      </c>
      <c r="E32" s="9">
        <v>2506927.1699999999</v>
      </c>
      <c r="F32" s="9">
        <v>0</v>
      </c>
      <c r="G32" s="9">
        <v>0</v>
      </c>
      <c r="H32" s="9">
        <v>0</v>
      </c>
      <c r="I32" s="5" t="s">
        <v>23</v>
      </c>
    </row>
    <row r="33" spans="1:9" ht="15.65" outlineLevel="2">
      <c r="A33" s="7" t="s">
        <v>16</v>
      </c>
      <c r="B33" s="8">
        <v>2018</v>
      </c>
      <c r="C33" s="7" t="s">
        <v>13</v>
      </c>
      <c r="E33" s="9">
        <v>904453.72999999998</v>
      </c>
      <c r="F33" s="9">
        <v>364265.59999999998</v>
      </c>
      <c r="G33" s="9">
        <v>0</v>
      </c>
      <c r="H33" s="9">
        <v>0</v>
      </c>
      <c r="I33" s="5" t="s">
        <v>35</v>
      </c>
    </row>
    <row r="34" spans="1:9" ht="15.65" outlineLevel="2">
      <c r="A34" s="7" t="s">
        <v>16</v>
      </c>
      <c r="B34" s="8">
        <v>2018</v>
      </c>
      <c r="C34" s="7" t="s">
        <v>20</v>
      </c>
      <c r="E34" s="9">
        <v>518.00999999999999</v>
      </c>
      <c r="F34" s="9">
        <v>0</v>
      </c>
      <c r="G34" s="9">
        <v>0</v>
      </c>
      <c r="H34" s="9">
        <v>0</v>
      </c>
      <c r="I34" s="5" t="s">
        <v>23</v>
      </c>
    </row>
    <row r="35" spans="1:9" ht="15.65" outlineLevel="2">
      <c r="A35" s="7" t="s">
        <v>16</v>
      </c>
      <c r="B35" s="8">
        <v>2018</v>
      </c>
      <c r="C35" s="7" t="s">
        <v>18</v>
      </c>
      <c r="E35" s="9">
        <v>13092.719999999999</v>
      </c>
      <c r="F35" s="9">
        <v>0</v>
      </c>
      <c r="G35" s="9">
        <v>0</v>
      </c>
      <c r="H35" s="9">
        <v>0</v>
      </c>
      <c r="I35" s="5" t="s">
        <v>24</v>
      </c>
    </row>
    <row r="36" spans="1:9" ht="15.65" outlineLevel="2">
      <c r="A36" s="7" t="s">
        <v>16</v>
      </c>
      <c r="B36" s="8">
        <v>2018</v>
      </c>
      <c r="C36" s="7" t="s">
        <v>1</v>
      </c>
      <c r="D36" s="9" t="s">
        <v>2</v>
      </c>
      <c r="E36" s="9">
        <v>42664.129999999997</v>
      </c>
      <c r="F36" s="9">
        <v>0</v>
      </c>
      <c r="G36" s="9">
        <v>0</v>
      </c>
      <c r="H36" s="9">
        <v>0</v>
      </c>
      <c r="I36" s="5" t="s">
        <v>23</v>
      </c>
    </row>
    <row r="37" spans="1:9" ht="15.65" outlineLevel="2">
      <c r="A37" s="7" t="s">
        <v>16</v>
      </c>
      <c r="B37" s="8">
        <v>2018</v>
      </c>
      <c r="C37" s="7" t="s">
        <v>1</v>
      </c>
      <c r="D37" s="9" t="s">
        <v>3</v>
      </c>
      <c r="E37" s="9">
        <v>98326.389999999999</v>
      </c>
      <c r="F37" s="9">
        <v>91324.830000000002</v>
      </c>
      <c r="G37" s="9">
        <v>2869.6199999999999</v>
      </c>
      <c r="H37" s="9">
        <v>200.43000000000001</v>
      </c>
      <c r="I37" s="5" t="s">
        <v>36</v>
      </c>
    </row>
    <row r="38" spans="1:9" ht="15.65" outlineLevel="2">
      <c r="A38" s="7" t="s">
        <v>16</v>
      </c>
      <c r="B38" s="8">
        <v>2018</v>
      </c>
      <c r="C38" s="7" t="s">
        <v>1</v>
      </c>
      <c r="D38" s="9" t="s">
        <v>5</v>
      </c>
      <c r="E38" s="9">
        <v>0</v>
      </c>
      <c r="F38" s="9">
        <v>0</v>
      </c>
      <c r="G38" s="9">
        <v>0</v>
      </c>
      <c r="H38" s="9">
        <v>381184.08000000002</v>
      </c>
      <c r="I38" s="5" t="s">
        <v>23</v>
      </c>
    </row>
    <row r="39" spans="1:9" ht="15.65" outlineLevel="2">
      <c r="A39" s="7" t="s">
        <v>16</v>
      </c>
      <c r="B39" s="8">
        <v>2018</v>
      </c>
      <c r="C39" s="7" t="s">
        <v>1</v>
      </c>
      <c r="D39" s="9" t="s">
        <v>6</v>
      </c>
      <c r="E39" s="9">
        <v>0</v>
      </c>
      <c r="F39" s="9">
        <v>651568.57999999996</v>
      </c>
      <c r="G39" s="9">
        <v>0</v>
      </c>
      <c r="H39" s="9">
        <v>0</v>
      </c>
      <c r="I39" s="5" t="s">
        <v>23</v>
      </c>
    </row>
    <row r="40" spans="1:9" ht="15.65" outlineLevel="2">
      <c r="A40" s="7" t="s">
        <v>16</v>
      </c>
      <c r="B40" s="8">
        <v>2018</v>
      </c>
      <c r="C40" s="7" t="s">
        <v>14</v>
      </c>
      <c r="E40" s="9">
        <v>0</v>
      </c>
      <c r="F40" s="9">
        <v>4440502.2300000004</v>
      </c>
      <c r="G40" s="9">
        <v>0</v>
      </c>
      <c r="H40" s="9">
        <v>0</v>
      </c>
      <c r="I40" s="5" t="s">
        <v>23</v>
      </c>
    </row>
    <row r="41" spans="1:9" ht="15.65" outlineLevel="2">
      <c r="A41" s="7" t="s">
        <v>16</v>
      </c>
      <c r="B41" s="8">
        <v>2018</v>
      </c>
      <c r="C41" s="7" t="s">
        <v>19</v>
      </c>
      <c r="E41" s="9">
        <v>0</v>
      </c>
      <c r="F41" s="9">
        <v>2549.8000000000002</v>
      </c>
      <c r="G41" s="9">
        <v>0</v>
      </c>
      <c r="H41" s="9">
        <v>0</v>
      </c>
      <c r="I41" s="5" t="s">
        <v>23</v>
      </c>
    </row>
    <row r="42" spans="1:9" ht="15.65" outlineLevel="2">
      <c r="A42" s="7" t="s">
        <v>16</v>
      </c>
      <c r="B42" s="8">
        <v>2018</v>
      </c>
      <c r="C42" s="7" t="s">
        <v>15</v>
      </c>
      <c r="E42" s="9">
        <v>231362.25</v>
      </c>
      <c r="F42" s="9">
        <v>1903637.8000000001</v>
      </c>
      <c r="G42" s="9">
        <v>0</v>
      </c>
      <c r="H42" s="9">
        <v>0</v>
      </c>
      <c r="I42" s="5" t="s">
        <v>37</v>
      </c>
    </row>
    <row r="43" spans="2:8" ht="15.65" outlineLevel="1">
      <c r="B43" s="10" t="s">
        <v>31</v>
      </c>
      <c r="E43" s="14">
        <f>SUBTOTAL(9,E32:E42)</f>
        <v>3797344.3999999999</v>
      </c>
      <c r="F43" s="14">
        <f>SUBTOTAL(9,F32:F42)</f>
        <v>7453848.8399999999</v>
      </c>
      <c r="G43" s="14">
        <f>SUBTOTAL(9,G32:G42)</f>
        <v>2869.6199999999999</v>
      </c>
      <c r="H43" s="14">
        <f>SUBTOTAL(9,H32:H42)</f>
        <v>381384.51000000001</v>
      </c>
    </row>
    <row r="44" spans="1:9" ht="15.65" outlineLevel="2">
      <c r="A44" s="7" t="s">
        <v>16</v>
      </c>
      <c r="B44" s="8">
        <v>2019</v>
      </c>
      <c r="C44" s="7" t="s">
        <v>17</v>
      </c>
      <c r="E44" s="9">
        <v>4488041.0499999998</v>
      </c>
      <c r="F44" s="9">
        <v>0</v>
      </c>
      <c r="G44" s="9">
        <v>0</v>
      </c>
      <c r="H44" s="9">
        <v>0</v>
      </c>
      <c r="I44" s="5" t="s">
        <v>23</v>
      </c>
    </row>
    <row r="45" spans="1:9" ht="15.65" outlineLevel="2">
      <c r="A45" s="7" t="s">
        <v>16</v>
      </c>
      <c r="B45" s="8">
        <v>2019</v>
      </c>
      <c r="C45" s="7" t="s">
        <v>13</v>
      </c>
      <c r="E45" s="9">
        <v>1423877.48</v>
      </c>
      <c r="F45" s="9">
        <v>558056.34999999998</v>
      </c>
      <c r="G45" s="9">
        <v>0</v>
      </c>
      <c r="H45" s="9">
        <v>0</v>
      </c>
      <c r="I45" s="5" t="s">
        <v>35</v>
      </c>
    </row>
    <row r="46" spans="1:9" ht="15.65" outlineLevel="2">
      <c r="A46" s="7" t="s">
        <v>16</v>
      </c>
      <c r="B46" s="8">
        <v>2019</v>
      </c>
      <c r="C46" s="7" t="s">
        <v>20</v>
      </c>
      <c r="E46" s="9">
        <v>1091.3299999999999</v>
      </c>
      <c r="F46" s="9">
        <v>0</v>
      </c>
      <c r="G46" s="9">
        <v>0</v>
      </c>
      <c r="H46" s="9">
        <v>0</v>
      </c>
      <c r="I46" s="5" t="s">
        <v>23</v>
      </c>
    </row>
    <row r="47" spans="1:9" ht="15.65" outlineLevel="2">
      <c r="A47" s="7" t="s">
        <v>16</v>
      </c>
      <c r="B47" s="8">
        <v>2019</v>
      </c>
      <c r="C47" s="7" t="s">
        <v>18</v>
      </c>
      <c r="E47" s="9">
        <v>84393.009999999995</v>
      </c>
      <c r="F47" s="9">
        <v>0</v>
      </c>
      <c r="G47" s="9">
        <v>0</v>
      </c>
      <c r="H47" s="9">
        <v>0</v>
      </c>
      <c r="I47" s="5" t="s">
        <v>24</v>
      </c>
    </row>
    <row r="48" spans="1:9" ht="15.65" outlineLevel="2">
      <c r="A48" s="7" t="s">
        <v>16</v>
      </c>
      <c r="B48" s="8">
        <v>2019</v>
      </c>
      <c r="C48" s="7" t="s">
        <v>1</v>
      </c>
      <c r="D48" s="9" t="s">
        <v>4</v>
      </c>
      <c r="E48" s="9">
        <v>0</v>
      </c>
      <c r="F48" s="9">
        <v>0</v>
      </c>
      <c r="G48" s="9">
        <v>23069.040000000001</v>
      </c>
      <c r="H48" s="9">
        <v>0</v>
      </c>
      <c r="I48" s="5" t="s">
        <v>23</v>
      </c>
    </row>
    <row r="49" spans="1:9" ht="15.65" outlineLevel="2">
      <c r="A49" s="7" t="s">
        <v>16</v>
      </c>
      <c r="B49" s="8">
        <v>2019</v>
      </c>
      <c r="C49" s="7" t="s">
        <v>1</v>
      </c>
      <c r="D49" s="9" t="s">
        <v>2</v>
      </c>
      <c r="E49" s="9">
        <v>4718526.8600000003</v>
      </c>
      <c r="F49" s="9">
        <v>0</v>
      </c>
      <c r="G49" s="9">
        <v>0</v>
      </c>
      <c r="H49" s="9">
        <v>0</v>
      </c>
      <c r="I49" s="5" t="s">
        <v>23</v>
      </c>
    </row>
    <row r="50" spans="1:9" ht="15.65" outlineLevel="2">
      <c r="A50" s="7" t="s">
        <v>16</v>
      </c>
      <c r="B50" s="8">
        <v>2019</v>
      </c>
      <c r="C50" s="7" t="s">
        <v>1</v>
      </c>
      <c r="D50" s="9" t="s">
        <v>3</v>
      </c>
      <c r="E50" s="9">
        <v>214113.54999999999</v>
      </c>
      <c r="F50" s="9">
        <v>198867.07999999999</v>
      </c>
      <c r="G50" s="9">
        <v>6248.8299999999999</v>
      </c>
      <c r="H50" s="9">
        <v>436.44999999999999</v>
      </c>
      <c r="I50" s="5" t="s">
        <v>36</v>
      </c>
    </row>
    <row r="51" spans="1:9" ht="15.65" outlineLevel="2">
      <c r="A51" s="7" t="s">
        <v>16</v>
      </c>
      <c r="B51" s="8">
        <v>2019</v>
      </c>
      <c r="C51" s="7" t="s">
        <v>1</v>
      </c>
      <c r="D51" s="9" t="s">
        <v>5</v>
      </c>
      <c r="E51" s="9">
        <v>0</v>
      </c>
      <c r="F51" s="9">
        <v>0</v>
      </c>
      <c r="G51" s="9">
        <v>0</v>
      </c>
      <c r="H51" s="9">
        <v>107640.13000000001</v>
      </c>
      <c r="I51" s="5" t="s">
        <v>23</v>
      </c>
    </row>
    <row r="52" spans="1:9" ht="15.65" outlineLevel="2">
      <c r="A52" s="7" t="s">
        <v>16</v>
      </c>
      <c r="B52" s="8">
        <v>2019</v>
      </c>
      <c r="C52" s="7" t="s">
        <v>1</v>
      </c>
      <c r="D52" s="9" t="s">
        <v>6</v>
      </c>
      <c r="E52" s="9">
        <v>0</v>
      </c>
      <c r="F52" s="9">
        <v>359221.96999999997</v>
      </c>
      <c r="G52" s="9">
        <v>0</v>
      </c>
      <c r="H52" s="9">
        <v>0</v>
      </c>
      <c r="I52" s="5" t="s">
        <v>23</v>
      </c>
    </row>
    <row r="53" spans="1:9" ht="15.65" outlineLevel="2">
      <c r="A53" s="7" t="s">
        <v>16</v>
      </c>
      <c r="B53" s="8">
        <v>2019</v>
      </c>
      <c r="C53" s="7" t="s">
        <v>14</v>
      </c>
      <c r="E53" s="9">
        <v>0</v>
      </c>
      <c r="F53" s="9">
        <v>7067251.4500000002</v>
      </c>
      <c r="G53" s="9">
        <v>0</v>
      </c>
      <c r="H53" s="9">
        <v>0</v>
      </c>
      <c r="I53" s="5" t="s">
        <v>23</v>
      </c>
    </row>
    <row r="54" spans="1:9" ht="15.65" outlineLevel="2">
      <c r="A54" s="7" t="s">
        <v>16</v>
      </c>
      <c r="B54" s="8">
        <v>2019</v>
      </c>
      <c r="C54" s="7" t="s">
        <v>15</v>
      </c>
      <c r="E54" s="9">
        <v>190962.47</v>
      </c>
      <c r="F54" s="9">
        <v>3734414.3599999999</v>
      </c>
      <c r="G54" s="9">
        <v>0</v>
      </c>
      <c r="H54" s="9">
        <v>0</v>
      </c>
      <c r="I54" s="5" t="s">
        <v>37</v>
      </c>
    </row>
    <row r="55" spans="1:9" ht="15.65" outlineLevel="2">
      <c r="A55" s="7" t="s">
        <v>16</v>
      </c>
      <c r="B55" s="8">
        <v>2019</v>
      </c>
      <c r="C55" s="7" t="s">
        <v>21</v>
      </c>
      <c r="E55" s="9">
        <v>0</v>
      </c>
      <c r="F55" s="9">
        <v>287.11000000000001</v>
      </c>
      <c r="G55" s="9">
        <v>0</v>
      </c>
      <c r="H55" s="9">
        <v>0</v>
      </c>
      <c r="I55" s="5" t="s">
        <v>23</v>
      </c>
    </row>
    <row r="56" spans="2:8" ht="15.65" outlineLevel="1">
      <c r="B56" s="10" t="s">
        <v>27</v>
      </c>
      <c r="E56" s="14">
        <f>SUBTOTAL(9,E44:E55)</f>
        <v>11121005.750000002</v>
      </c>
      <c r="F56" s="14">
        <f>SUBTOTAL(9,F44:F55)</f>
        <v>11918098.319999998</v>
      </c>
      <c r="G56" s="14">
        <f>SUBTOTAL(9,G44:G55)</f>
        <v>29317.870000000003</v>
      </c>
      <c r="H56" s="14">
        <f>SUBTOTAL(9,H44:H55)</f>
        <v>108076.58</v>
      </c>
    </row>
    <row r="57" spans="1:9" ht="15.65" outlineLevel="2">
      <c r="A57" s="7" t="s">
        <v>16</v>
      </c>
      <c r="B57" s="8">
        <v>2020</v>
      </c>
      <c r="C57" s="7" t="s">
        <v>17</v>
      </c>
      <c r="E57" s="9">
        <v>7653699.0499999998</v>
      </c>
      <c r="F57" s="9">
        <v>0</v>
      </c>
      <c r="G57" s="9">
        <v>0</v>
      </c>
      <c r="H57" s="9">
        <v>0</v>
      </c>
      <c r="I57" s="5" t="s">
        <v>23</v>
      </c>
    </row>
    <row r="58" spans="1:9" ht="15.65" outlineLevel="2">
      <c r="A58" s="7" t="s">
        <v>16</v>
      </c>
      <c r="B58" s="8">
        <v>2020</v>
      </c>
      <c r="C58" s="7" t="s">
        <v>13</v>
      </c>
      <c r="E58" s="9">
        <v>3465130.0800000001</v>
      </c>
      <c r="F58" s="9">
        <v>1281057.49</v>
      </c>
      <c r="G58" s="9">
        <v>0</v>
      </c>
      <c r="H58" s="9">
        <v>0</v>
      </c>
      <c r="I58" s="5" t="s">
        <v>35</v>
      </c>
    </row>
    <row r="59" spans="1:9" ht="15.65" outlineLevel="2">
      <c r="A59" s="7" t="s">
        <v>16</v>
      </c>
      <c r="B59" s="8">
        <v>2020</v>
      </c>
      <c r="C59" s="7" t="s">
        <v>20</v>
      </c>
      <c r="E59" s="9">
        <v>790.50999999999999</v>
      </c>
      <c r="F59" s="9">
        <v>0</v>
      </c>
      <c r="G59" s="9">
        <v>0</v>
      </c>
      <c r="H59" s="9">
        <v>0</v>
      </c>
      <c r="I59" s="5" t="s">
        <v>23</v>
      </c>
    </row>
    <row r="60" spans="1:9" ht="15.65" outlineLevel="2">
      <c r="A60" s="7" t="s">
        <v>16</v>
      </c>
      <c r="B60" s="8">
        <v>2020</v>
      </c>
      <c r="C60" s="7" t="s">
        <v>18</v>
      </c>
      <c r="E60" s="9">
        <v>1001043.96</v>
      </c>
      <c r="F60" s="9">
        <v>0</v>
      </c>
      <c r="G60" s="9">
        <v>0</v>
      </c>
      <c r="H60" s="9">
        <v>0</v>
      </c>
      <c r="I60" s="5" t="s">
        <v>24</v>
      </c>
    </row>
    <row r="61" spans="1:9" ht="15.65" outlineLevel="2">
      <c r="A61" s="7" t="s">
        <v>16</v>
      </c>
      <c r="B61" s="8">
        <v>2020</v>
      </c>
      <c r="C61" s="7" t="s">
        <v>1</v>
      </c>
      <c r="D61" s="9" t="s">
        <v>4</v>
      </c>
      <c r="E61" s="9">
        <v>0</v>
      </c>
      <c r="F61" s="9">
        <v>0</v>
      </c>
      <c r="G61" s="9">
        <v>189785.17000000001</v>
      </c>
      <c r="H61" s="9">
        <v>0</v>
      </c>
      <c r="I61" s="5" t="s">
        <v>23</v>
      </c>
    </row>
    <row r="62" spans="1:9" ht="15.65" outlineLevel="2">
      <c r="A62" s="7" t="s">
        <v>16</v>
      </c>
      <c r="B62" s="8">
        <v>2020</v>
      </c>
      <c r="C62" s="7" t="s">
        <v>1</v>
      </c>
      <c r="D62" s="9" t="s">
        <v>2</v>
      </c>
      <c r="E62" s="9">
        <v>269302.71000000002</v>
      </c>
      <c r="F62" s="9">
        <v>0</v>
      </c>
      <c r="G62" s="9">
        <v>0</v>
      </c>
      <c r="H62" s="9">
        <v>0</v>
      </c>
      <c r="I62" s="5" t="s">
        <v>23</v>
      </c>
    </row>
    <row r="63" spans="1:9" ht="15.65" outlineLevel="2">
      <c r="A63" s="7" t="s">
        <v>16</v>
      </c>
      <c r="B63" s="8">
        <v>2020</v>
      </c>
      <c r="C63" s="7" t="s">
        <v>1</v>
      </c>
      <c r="D63" s="9" t="s">
        <v>3</v>
      </c>
      <c r="E63" s="9">
        <v>499615.21000000002</v>
      </c>
      <c r="F63" s="9">
        <v>464038.91999999998</v>
      </c>
      <c r="G63" s="9">
        <v>14581.09</v>
      </c>
      <c r="H63" s="9">
        <v>1018.42</v>
      </c>
      <c r="I63" s="5" t="s">
        <v>36</v>
      </c>
    </row>
    <row r="64" spans="1:9" ht="15.65" outlineLevel="2">
      <c r="A64" s="7" t="s">
        <v>16</v>
      </c>
      <c r="B64" s="8">
        <v>2020</v>
      </c>
      <c r="C64" s="7" t="s">
        <v>1</v>
      </c>
      <c r="D64" s="9" t="s">
        <v>5</v>
      </c>
      <c r="E64" s="9">
        <v>0</v>
      </c>
      <c r="F64" s="9">
        <v>0</v>
      </c>
      <c r="G64" s="9">
        <v>0</v>
      </c>
      <c r="H64" s="9">
        <v>435535.57000000001</v>
      </c>
      <c r="I64" s="5" t="s">
        <v>23</v>
      </c>
    </row>
    <row r="65" spans="1:9" ht="15.65" outlineLevel="2">
      <c r="A65" s="7" t="s">
        <v>16</v>
      </c>
      <c r="B65" s="8">
        <v>2020</v>
      </c>
      <c r="C65" s="7" t="s">
        <v>1</v>
      </c>
      <c r="D65" s="9" t="s">
        <v>6</v>
      </c>
      <c r="E65" s="9">
        <v>0</v>
      </c>
      <c r="F65" s="9">
        <v>2305771.46</v>
      </c>
      <c r="G65" s="9">
        <v>0</v>
      </c>
      <c r="H65" s="9">
        <v>0</v>
      </c>
      <c r="I65" s="5" t="s">
        <v>23</v>
      </c>
    </row>
    <row r="66" spans="1:9" ht="15.65" outlineLevel="2">
      <c r="A66" s="7" t="s">
        <v>16</v>
      </c>
      <c r="B66" s="8">
        <v>2020</v>
      </c>
      <c r="C66" s="7" t="s">
        <v>14</v>
      </c>
      <c r="E66" s="9">
        <v>0</v>
      </c>
      <c r="F66" s="9">
        <v>16118773.550000001</v>
      </c>
      <c r="G66" s="9">
        <v>0</v>
      </c>
      <c r="H66" s="9">
        <v>0</v>
      </c>
      <c r="I66" s="5" t="s">
        <v>23</v>
      </c>
    </row>
    <row r="67" spans="1:9" ht="15.65" outlineLevel="2">
      <c r="A67" s="7" t="s">
        <v>16</v>
      </c>
      <c r="B67" s="8">
        <v>2020</v>
      </c>
      <c r="C67" s="7" t="s">
        <v>15</v>
      </c>
      <c r="E67" s="9">
        <v>464212.13</v>
      </c>
      <c r="F67" s="9">
        <v>7703208.7999999998</v>
      </c>
      <c r="G67" s="9">
        <v>0</v>
      </c>
      <c r="H67" s="9">
        <v>0</v>
      </c>
      <c r="I67" s="5" t="s">
        <v>37</v>
      </c>
    </row>
    <row r="68" spans="1:9" ht="15.65" outlineLevel="2">
      <c r="A68" s="7" t="s">
        <v>16</v>
      </c>
      <c r="B68" s="8">
        <v>2020</v>
      </c>
      <c r="C68" s="7" t="s">
        <v>21</v>
      </c>
      <c r="E68" s="9">
        <v>0</v>
      </c>
      <c r="F68" s="9">
        <v>111.26000000000001</v>
      </c>
      <c r="G68" s="9">
        <v>0</v>
      </c>
      <c r="H68" s="9">
        <v>0</v>
      </c>
      <c r="I68" s="5" t="s">
        <v>23</v>
      </c>
    </row>
    <row r="69" spans="2:8" ht="15.65" outlineLevel="1">
      <c r="B69" s="10" t="s">
        <v>28</v>
      </c>
      <c r="E69" s="14">
        <f>SUBTOTAL(9,E57:E68)</f>
        <v>13353793.65</v>
      </c>
      <c r="F69" s="14">
        <f>SUBTOTAL(9,F57:F68)</f>
        <v>27872961.480000004</v>
      </c>
      <c r="G69" s="14">
        <f>SUBTOTAL(9,G57:G68)</f>
        <v>204366.26000000001</v>
      </c>
      <c r="H69" s="14">
        <f>SUBTOTAL(9,H57:H68)</f>
        <v>436553.98999999999</v>
      </c>
    </row>
    <row r="70" spans="1:9" ht="15.65" outlineLevel="2">
      <c r="A70" s="7" t="s">
        <v>16</v>
      </c>
      <c r="B70" s="8">
        <v>2021</v>
      </c>
      <c r="C70" s="7" t="s">
        <v>17</v>
      </c>
      <c r="E70" s="9">
        <v>8179902.5599999996</v>
      </c>
      <c r="F70" s="9">
        <v>0</v>
      </c>
      <c r="G70" s="9">
        <v>0</v>
      </c>
      <c r="H70" s="9">
        <v>0</v>
      </c>
      <c r="I70" s="5" t="s">
        <v>23</v>
      </c>
    </row>
    <row r="71" spans="1:9" ht="15.65" outlineLevel="2">
      <c r="A71" s="7" t="s">
        <v>16</v>
      </c>
      <c r="B71" s="8">
        <v>2021</v>
      </c>
      <c r="C71" s="7" t="s">
        <v>13</v>
      </c>
      <c r="E71" s="9">
        <v>4956557.2300000004</v>
      </c>
      <c r="F71" s="9">
        <v>1521928.49</v>
      </c>
      <c r="G71" s="9">
        <v>0</v>
      </c>
      <c r="H71" s="9">
        <v>0</v>
      </c>
      <c r="I71" s="5" t="s">
        <v>35</v>
      </c>
    </row>
    <row r="72" spans="1:9" ht="15.65" outlineLevel="2">
      <c r="A72" s="7" t="s">
        <v>16</v>
      </c>
      <c r="B72" s="8">
        <v>2021</v>
      </c>
      <c r="C72" s="7" t="s">
        <v>20</v>
      </c>
      <c r="E72" s="9">
        <v>467.01999999999998</v>
      </c>
      <c r="F72" s="9">
        <v>0</v>
      </c>
      <c r="G72" s="9">
        <v>0</v>
      </c>
      <c r="H72" s="9">
        <v>0</v>
      </c>
      <c r="I72" s="5" t="s">
        <v>23</v>
      </c>
    </row>
    <row r="73" spans="1:9" ht="15.65" outlineLevel="2">
      <c r="A73" s="7" t="s">
        <v>16</v>
      </c>
      <c r="B73" s="8">
        <v>2021</v>
      </c>
      <c r="C73" s="7" t="s">
        <v>18</v>
      </c>
      <c r="E73" s="9">
        <v>21662.169999999998</v>
      </c>
      <c r="F73" s="9">
        <v>0</v>
      </c>
      <c r="G73" s="9">
        <v>0</v>
      </c>
      <c r="H73" s="9">
        <v>0</v>
      </c>
      <c r="I73" s="5" t="s">
        <v>24</v>
      </c>
    </row>
    <row r="74" spans="1:9" ht="15.65" outlineLevel="2">
      <c r="A74" s="7" t="s">
        <v>16</v>
      </c>
      <c r="B74" s="8">
        <v>2021</v>
      </c>
      <c r="C74" s="7" t="s">
        <v>1</v>
      </c>
      <c r="D74" s="9" t="s">
        <v>4</v>
      </c>
      <c r="E74" s="9">
        <v>0</v>
      </c>
      <c r="F74" s="9">
        <v>0</v>
      </c>
      <c r="G74" s="9">
        <v>877521.19999999995</v>
      </c>
      <c r="H74" s="9">
        <v>0</v>
      </c>
      <c r="I74" s="5" t="s">
        <v>23</v>
      </c>
    </row>
    <row r="75" spans="1:9" ht="15.65" outlineLevel="2">
      <c r="A75" s="7" t="s">
        <v>16</v>
      </c>
      <c r="B75" s="8">
        <v>2021</v>
      </c>
      <c r="C75" s="7" t="s">
        <v>1</v>
      </c>
      <c r="D75" s="9" t="s">
        <v>2</v>
      </c>
      <c r="E75" s="9">
        <v>218143.16</v>
      </c>
      <c r="F75" s="9">
        <v>0</v>
      </c>
      <c r="G75" s="9">
        <v>0</v>
      </c>
      <c r="H75" s="9">
        <v>0</v>
      </c>
      <c r="I75" s="5" t="s">
        <v>23</v>
      </c>
    </row>
    <row r="76" spans="1:9" ht="15.65" outlineLevel="2">
      <c r="A76" s="7" t="s">
        <v>16</v>
      </c>
      <c r="B76" s="8">
        <v>2021</v>
      </c>
      <c r="C76" s="7" t="s">
        <v>1</v>
      </c>
      <c r="D76" s="9" t="s">
        <v>3</v>
      </c>
      <c r="E76" s="9">
        <v>1075489.1399999999</v>
      </c>
      <c r="F76" s="9">
        <v>998906.39000000001</v>
      </c>
      <c r="G76" s="9">
        <v>31387.759999999998</v>
      </c>
      <c r="H76" s="9">
        <v>2192.29</v>
      </c>
      <c r="I76" s="5" t="s">
        <v>36</v>
      </c>
    </row>
    <row r="77" spans="1:9" ht="15.65" outlineLevel="2">
      <c r="A77" s="7" t="s">
        <v>16</v>
      </c>
      <c r="B77" s="8">
        <v>2021</v>
      </c>
      <c r="C77" s="7" t="s">
        <v>1</v>
      </c>
      <c r="D77" s="9" t="s">
        <v>5</v>
      </c>
      <c r="E77" s="9">
        <v>0</v>
      </c>
      <c r="F77" s="9">
        <v>0</v>
      </c>
      <c r="G77" s="9">
        <v>0</v>
      </c>
      <c r="H77" s="9">
        <v>289362.64000000001</v>
      </c>
      <c r="I77" s="5" t="s">
        <v>23</v>
      </c>
    </row>
    <row r="78" spans="1:9" ht="15.65" outlineLevel="2">
      <c r="A78" s="7" t="s">
        <v>16</v>
      </c>
      <c r="B78" s="8">
        <v>2021</v>
      </c>
      <c r="C78" s="7" t="s">
        <v>1</v>
      </c>
      <c r="D78" s="9" t="s">
        <v>6</v>
      </c>
      <c r="E78" s="9">
        <v>0</v>
      </c>
      <c r="F78" s="9">
        <v>332812.22999999998</v>
      </c>
      <c r="G78" s="9">
        <v>0</v>
      </c>
      <c r="H78" s="9">
        <v>0</v>
      </c>
      <c r="I78" s="5" t="s">
        <v>23</v>
      </c>
    </row>
    <row r="79" spans="1:9" ht="15.65" outlineLevel="2">
      <c r="A79" s="7" t="s">
        <v>16</v>
      </c>
      <c r="B79" s="8">
        <v>2021</v>
      </c>
      <c r="C79" s="7" t="s">
        <v>14</v>
      </c>
      <c r="E79" s="9">
        <v>0</v>
      </c>
      <c r="F79" s="9">
        <v>13638235.07</v>
      </c>
      <c r="G79" s="9">
        <v>0</v>
      </c>
      <c r="H79" s="9">
        <v>0</v>
      </c>
      <c r="I79" s="5" t="s">
        <v>23</v>
      </c>
    </row>
    <row r="80" spans="1:9" ht="15.65" outlineLevel="2">
      <c r="A80" s="7" t="s">
        <v>16</v>
      </c>
      <c r="B80" s="8">
        <v>2021</v>
      </c>
      <c r="C80" s="7" t="s">
        <v>15</v>
      </c>
      <c r="E80" s="9">
        <v>697224.21999999997</v>
      </c>
      <c r="F80" s="9">
        <v>8163866.3399999999</v>
      </c>
      <c r="G80" s="9">
        <v>0</v>
      </c>
      <c r="H80" s="9">
        <v>0</v>
      </c>
      <c r="I80" s="5" t="s">
        <v>37</v>
      </c>
    </row>
    <row r="81" spans="1:9" ht="15.65" outlineLevel="2">
      <c r="A81" s="7" t="s">
        <v>16</v>
      </c>
      <c r="B81" s="8">
        <v>2021</v>
      </c>
      <c r="C81" s="7" t="s">
        <v>21</v>
      </c>
      <c r="E81" s="9">
        <v>0</v>
      </c>
      <c r="F81" s="9">
        <v>548.65999999999997</v>
      </c>
      <c r="G81" s="9">
        <v>0</v>
      </c>
      <c r="H81" s="9">
        <v>0</v>
      </c>
      <c r="I81" s="5" t="s">
        <v>23</v>
      </c>
    </row>
    <row r="82" spans="2:8" ht="15.65" outlineLevel="1">
      <c r="B82" s="10" t="s">
        <v>29</v>
      </c>
      <c r="E82" s="14">
        <f>SUBTOTAL(9,E70:E81)</f>
        <v>15149445.5</v>
      </c>
      <c r="F82" s="14">
        <f>SUBTOTAL(9,F70:F81)</f>
        <v>24656297.18</v>
      </c>
      <c r="G82" s="14">
        <f>SUBTOTAL(9,G70:G81)</f>
        <v>908908.95999999996</v>
      </c>
      <c r="H82" s="14">
        <f>SUBTOTAL(9,H70:H81)</f>
        <v>291554.92999999999</v>
      </c>
    </row>
    <row r="83" spans="2:8" ht="15.65">
      <c r="B83" s="10" t="s">
        <v>26</v>
      </c>
      <c r="E83" s="14">
        <f>SUBTOTAL(9,E2:E81)</f>
        <v>46543867.510000013</v>
      </c>
      <c r="F83" s="14">
        <f>SUBTOTAL(9,F2:F81)</f>
        <v>81273016.780000001</v>
      </c>
      <c r="G83" s="14">
        <f>SUBTOTAL(9,G2:G81)</f>
        <v>1148843.6199999999</v>
      </c>
      <c r="H83" s="14">
        <f>SUBTOTAL(9,H2:H81)</f>
        <v>10226034.049999999</v>
      </c>
    </row>
    <row r="84" spans="9:9" ht="15.65">
      <c r="I84" s="12"/>
    </row>
    <row r="85" spans="9:9" ht="15.65">
      <c r="I85" s="12"/>
    </row>
    <row r="86" spans="9:9" ht="15.65">
      <c r="I86" s="12"/>
    </row>
    <row r="87" spans="1:9" ht="15.65">
      <c r="A87" s="5"/>
      <c r="I87" s="12"/>
    </row>
    <row r="88" spans="1:9" ht="15.65">
      <c r="A88" s="5"/>
      <c r="I88" s="12"/>
    </row>
    <row r="89" spans="1:9" ht="15.65">
      <c r="A89" s="5"/>
      <c r="I89" s="12"/>
    </row>
    <row r="90" spans="1:9" ht="15.65">
      <c r="A90" s="5"/>
      <c r="I90" s="12"/>
    </row>
    <row r="91" spans="1:9" ht="15.65">
      <c r="A91" s="5"/>
      <c r="I91" s="12"/>
    </row>
    <row r="92" spans="1:9" ht="15.65">
      <c r="A92" s="5"/>
      <c r="I92" s="12"/>
    </row>
    <row r="93" spans="1:9" ht="15.65">
      <c r="A93" s="5"/>
      <c r="I93" s="12"/>
    </row>
    <row r="94" spans="9:9" ht="15.65">
      <c r="I94" s="12"/>
    </row>
    <row r="95" spans="9:9" ht="15.65">
      <c r="I95" s="12"/>
    </row>
    <row r="96" spans="9:9" ht="15.65">
      <c r="I96" s="12"/>
    </row>
    <row r="97" spans="9:9" ht="15.65">
      <c r="I97" s="12"/>
    </row>
    <row r="98" spans="9:9" ht="15.65">
      <c r="I98" s="12"/>
    </row>
    <row r="99" spans="9:9" ht="15.65">
      <c r="I99" s="12"/>
    </row>
    <row r="100" spans="9:9" ht="15.65">
      <c r="I100" s="12"/>
    </row>
    <row r="101" spans="9:9" ht="15.65">
      <c r="I101" s="12"/>
    </row>
    <row r="102" spans="9:9" ht="15.65">
      <c r="I102" s="12"/>
    </row>
    <row r="103" spans="9:9" ht="15.65">
      <c r="I103" s="12"/>
    </row>
    <row r="104" spans="9:9" ht="15.65">
      <c r="I104" s="12"/>
    </row>
    <row r="105" spans="9:9" ht="15.65">
      <c r="I105" s="12"/>
    </row>
    <row r="106" spans="9:9" ht="15.65">
      <c r="I106" s="12"/>
    </row>
    <row r="107" spans="9:9" ht="15.65">
      <c r="I107" s="12"/>
    </row>
    <row r="108" spans="9:9" ht="15.65">
      <c r="I108" s="12"/>
    </row>
    <row r="109" spans="9:9" ht="15.65">
      <c r="I109" s="12"/>
    </row>
    <row r="110" spans="9:9" ht="15.65">
      <c r="I110" s="12"/>
    </row>
    <row r="111" spans="9:9" ht="15.65">
      <c r="I111" s="12"/>
    </row>
  </sheetData>
  <autoFilter ref="A1:I81"/>
  <pageMargins left="0.7" right="0.7" top="2.5" bottom="0.75" header="1.5" footer="0.3"/>
  <pageSetup fitToHeight="0" orientation="landscape" scale="48" r:id="rId1"/>
  <headerFooter>
    <oddHeader>&amp;C
&amp;"Arial,Bold"&amp;12 2022 RATE CASE
ONCOR ELECTRIC DELIVERY COMPANY LLC
AFUDC ALLOCATION - TO PLANT
FOR THE TEST YEAR ENDING DECEMBER 31, 2021
SPONSOR: W. A. LEDBETTER&amp;R&amp;"Arial,Bold"&amp;12WP/II-B-15A/01
Page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FHHXVRPN3UPD-1807981734-30782</_dlc_DocId>
    <_dlc_DocIdUrl xmlns="4f7156c1-be87-4d1f-9274-ce189f982c1a">
      <Url>http://intranet.corp.oncor.com/sites/Finance/_layouts/15/DocIdRedir.aspx?ID=FHHXVRPN3UPD-1807981734-30782</Url>
      <Description>FHHXVRPN3UPD-1807981734-30782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7FB871-EE87-4495-AFE6-98036476B653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microsoft.com/office/2006/documentManagement/types"/>
    <ds:schemaRef ds:uri="4f7156c1-be87-4d1f-9274-ce189f982c1a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D06B35-713F-4D31-968E-3C4F24496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9089FB-B4CD-4D2C-BDE1-ED188D6604E8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FC415BD-B953-4AA5-A292-D38ED6BC5E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WP II-B-15A_01 AFUDC Generated</vt:lpstr>
      <vt:lpstr>WP II-B-15A_01 AFUDC To Plant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1f1b55bb-bc35-4314-9d1f-0e5f10ca3b4c</vt:lpwstr>
  </property>
</Properties>
</file>