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18217" windowHeight="8613" activeTab="0"/>
  </bookViews>
  <sheets>
    <sheet name="WP II-B-5_05" sheetId="1" r:id="rId2"/>
  </sheets>
  <definedNames>
    <definedName name="_xlnm.Print_Area" localSheetId="0">'WP II-B-5_05'!$A$2:$P$234</definedName>
    <definedName name="_xlnm.Print_Titles" localSheetId="0">'WP II-B-5_05'!$A:$B,'WP II-B-5_05'!$1:$1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3" i="1" l="1"/>
</calcChain>
</file>

<file path=xl/sharedStrings.xml><?xml version="1.0" encoding="utf-8"?>
<sst xmlns="http://schemas.openxmlformats.org/spreadsheetml/2006/main" count="468" uniqueCount="125">
  <si>
    <t>360</t>
  </si>
  <si>
    <t>1966</t>
  </si>
  <si>
    <t>1981</t>
  </si>
  <si>
    <t>1986</t>
  </si>
  <si>
    <t>1987</t>
  </si>
  <si>
    <t>1988</t>
  </si>
  <si>
    <t>1989</t>
  </si>
  <si>
    <t>1991</t>
  </si>
  <si>
    <t>1993</t>
  </si>
  <si>
    <t>2000</t>
  </si>
  <si>
    <t>2001</t>
  </si>
  <si>
    <t>2002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</si>
  <si>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</si>
  <si>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</si>
  <si>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</si>
  <si>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</si>
  <si>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</si>
  <si>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</si>
  <si>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</si>
  <si>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</si>
  <si>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</si>
  <si>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</si>
  <si>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</si>
  <si>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</si>
  <si>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</si>
  <si>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</si>
  <si>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</si>
  <si>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</si>
  <si>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</si>
  <si>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361</t>
  </si>
  <si>
    <t>1900</t>
  </si>
  <si>
    <t>1914</t>
  </si>
  <si>
    <t>1917</t>
  </si>
  <si>
    <t>1920</t>
  </si>
  <si>
    <t>1921</t>
  </si>
  <si>
    <t>1923</t>
  </si>
  <si>
    <t>1924</t>
  </si>
  <si>
    <t>1925</t>
  </si>
  <si>
    <t>1926</t>
  </si>
  <si>
    <t>1927</t>
  </si>
  <si>
    <t>1928</t>
  </si>
  <si>
    <t>1929</t>
  </si>
  <si>
    <t>1930</t>
  </si>
  <si>
    <t>1938</t>
  </si>
  <si>
    <t>1939</t>
  </si>
  <si>
    <t>1940</t>
  </si>
  <si>
    <t>1941</t>
  </si>
  <si>
    <t>1942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</si>
  <si>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</si>
  <si>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</si>
  <si>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</si>
  <si>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</si>
  <si>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</si>
  <si>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</si>
  <si>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</si>
  <si>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</si>
  <si>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</si>
  <si>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</si>
  <si>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</si>
  <si>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</si>
  <si>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</si>
  <si>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</si>
  <si>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</si>
  <si>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</si>
  <si>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</si>
  <si>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</si>
  <si>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</si>
  <si>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</si>
  <si>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</si>
  <si>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</si>
  <si>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</si>
  <si>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</si>
  <si>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</si>
  <si>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</si>
  <si>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</si>
  <si>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</si>
  <si>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</si>
  <si>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</si>
  <si>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</si>
  <si>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</si>
  <si>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</si>
  <si>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</si>
  <si>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</si>
  <si>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1982</t>
  </si>
  <si>
    <t>1983</t>
  </si>
  <si>
    <t>1984</t>
  </si>
  <si>
    <t>1985</t>
  </si>
  <si>
    <t>1990</t>
  </si>
  <si>
    <t>1992</t>
  </si>
  <si>
    <t>1994</t>
  </si>
  <si>
    <t>1995</t>
  </si>
  <si>
    <t>1996</t>
  </si>
  <si>
    <t>1997</t>
  </si>
  <si>
    <t>1998</t>
  </si>
  <si>
    <t>1999</t>
  </si>
  <si>
    <t>2003</t>
  </si>
  <si>
    <t>2011</t>
  </si>
  <si>
    <t>362</t>
  </si>
  <si>
    <t>1919</t>
  </si>
  <si>
    <t>1931</t>
  </si>
  <si>
    <t>1934</t>
  </si>
  <si>
    <t>1936</t>
  </si>
  <si>
    <t>1937</t>
  </si>
  <si>
    <t>1943</t>
  </si>
  <si>
    <t>1944</t>
  </si>
  <si>
    <t>DIST</t>
  </si>
  <si>
    <t>TRAN</t>
  </si>
  <si>
    <t>Grand Total</t>
  </si>
  <si>
    <t>Vintage</t>
  </si>
  <si>
    <t>ASL</t>
  </si>
  <si>
    <t xml:space="preserve">RL </t>
  </si>
  <si>
    <t>Net Salvage</t>
  </si>
  <si>
    <t>360 Total</t>
  </si>
  <si>
    <t>361 Total</t>
  </si>
  <si>
    <t>362 Total</t>
  </si>
  <si>
    <t>Theo Res</t>
  </si>
  <si>
    <t>Prorate</t>
  </si>
  <si>
    <t>Alloc Reserve</t>
  </si>
  <si>
    <t xml:space="preserve"> </t>
  </si>
  <si>
    <t>Total</t>
  </si>
  <si>
    <t>Acct</t>
  </si>
  <si>
    <t>Reconcile 360</t>
  </si>
  <si>
    <t>360DS</t>
  </si>
  <si>
    <t>360 from WP/II-B-5/07</t>
  </si>
  <si>
    <t>Total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</si>
</sst>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3" fontId="2" fillId="0" borderId="0" xfId="18" applyFont="1"/>
    <xf numFmtId="43" fontId="2" fillId="0" borderId="0" xfId="0" applyNumberFormat="1" applyFont="1"/>
    <xf numFmtId="0" fontId="3" fillId="0" borderId="0" xfId="0" applyFont="1"/>
    <xf numFmtId="43" fontId="3" fillId="0" borderId="0" xfId="18" applyFont="1"/>
    <xf numFmtId="43" fontId="2" fillId="0" borderId="0" xfId="0" applyNumberFormat="1" applyFont="1" applyFill="1"/>
    <xf numFmtId="43" fontId="2" fillId="0" borderId="0" xfId="18" applyFont="1" applyFill="1"/>
    <xf numFmtId="0" fontId="2" fillId="0" borderId="0" xfId="0" applyFont="1" applyFill="1"/>
    <xf numFmtId="10" fontId="2" fillId="0" borderId="0" xfId="0" applyNumberFormat="1" applyFont="1"/>
    <xf numFmtId="10" fontId="2" fillId="0" borderId="0" xfId="0" applyNumberFormat="1" applyFont="1" applyFill="1"/>
    <xf numFmtId="43" fontId="3" fillId="0" borderId="0" xfId="18" applyFont="1" applyFill="1"/>
    <xf numFmtId="43" fontId="3" fillId="0" borderId="0" xfId="18" applyFont="1" applyAlignment="1">
      <alignment horizontal="right"/>
    </xf>
    <xf numFmtId="43" fontId="2" fillId="0" borderId="1" xfId="18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233"/>
  <sheetViews>
    <sheetView tabSelected="1" workbookViewId="0" topLeftCell="A1">
      <pane xSplit="3" ySplit="1" topLeftCell="F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A2" sqref="A2"/>
    </sheetView>
  </sheetViews>
  <sheetFormatPr defaultColWidth="9.12428571428571" defaultRowHeight="15.75" outlineLevelRow="2"/>
  <cols>
    <col min="1" max="1" width="13.8571428571429" style="1" bestFit="1" customWidth="1"/>
    <col min="2" max="2" width="9.57142857142857" style="1" bestFit="1" customWidth="1"/>
    <col min="3" max="4" width="20.4285714285714" style="2" bestFit="1" customWidth="1"/>
    <col min="5" max="5" width="18.5714285714286" style="2" bestFit="1" customWidth="1"/>
    <col min="6" max="6" width="6.14285714285714" style="1" customWidth="1"/>
    <col min="7" max="7" width="7.71428571428571" style="1" bestFit="1" customWidth="1"/>
    <col min="8" max="8" width="12.8571428571429" style="1" bestFit="1" customWidth="1"/>
    <col min="9" max="9" width="18.5714285714286" style="1" bestFit="1" customWidth="1"/>
    <col min="10" max="10" width="23" style="1" customWidth="1"/>
    <col min="11" max="11" width="18.5714285714286" style="2" bestFit="1" customWidth="1"/>
    <col min="12" max="12" width="9.28571428571429" style="1" bestFit="1" customWidth="1"/>
    <col min="13" max="13" width="18.5714285714286" style="2" bestFit="1" customWidth="1"/>
    <col min="14" max="14" width="18.5714285714286" style="7" bestFit="1" customWidth="1"/>
    <col min="15" max="15" width="18.5714285714286" style="2" bestFit="1" customWidth="1"/>
    <col min="16" max="16" width="20.4285714285714" style="2" bestFit="1" customWidth="1"/>
    <col min="17" max="17" width="5.85714285714286" style="1" bestFit="1" customWidth="1"/>
    <col min="18" max="16384" width="9.14285714285714" style="1"/>
  </cols>
  <sheetData>
    <row r="1" spans="1:16" s="4" customFormat="1" ht="15.65">
      <c r="A1" s="4" t="s">
        <v>120</v>
      </c>
      <c r="B1" s="4" t="s">
        <v>108</v>
      </c>
      <c r="C1" s="5" t="s">
        <v>107</v>
      </c>
      <c r="D1" s="5" t="s">
        <v>105</v>
      </c>
      <c r="E1" s="5" t="s">
        <v>106</v>
      </c>
      <c r="G1" s="4" t="s">
        <v>109</v>
      </c>
      <c r="H1" s="4" t="s">
        <v>110</v>
      </c>
      <c r="I1" s="4" t="s">
        <v>111</v>
      </c>
      <c r="K1" s="5" t="s">
        <v>115</v>
      </c>
      <c r="L1" s="4" t="s">
        <v>116</v>
      </c>
      <c r="M1" s="5" t="s">
        <v>117</v>
      </c>
      <c r="N1" s="11" t="s">
        <v>105</v>
      </c>
      <c r="O1" s="5" t="s">
        <v>106</v>
      </c>
      <c r="P1" s="5" t="s">
        <v>119</v>
      </c>
    </row>
    <row r="2" spans="1:17" ht="15.65" outlineLevel="2">
      <c r="A2" s="1" t="s">
        <v>0</v>
      </c>
      <c r="B2" s="1" t="s">
        <v>28</v>
      </c>
      <c r="C2" s="2">
        <v>733286.45999999996</v>
      </c>
      <c r="D2" s="2">
        <v>557367.37</v>
      </c>
      <c r="E2" s="2">
        <v>175919.09</v>
      </c>
      <c r="G2" s="1">
        <v>70</v>
      </c>
      <c r="H2" s="1">
        <v>69.507712999999995</v>
      </c>
      <c r="J2" s="9">
        <v>0</v>
      </c>
      <c r="K2" s="2">
        <f t="shared" si="0" ref="K2:K29">+C2*(1-I2)*(1-H2/G2)</f>
        <v>5156.9627362002984</v>
      </c>
      <c r="L2" s="3">
        <f t="shared" si="1" ref="L2:L29">$L$30</f>
        <v>1.1513200324233361</v>
      </c>
      <c r="M2" s="2">
        <f t="shared" si="2" ref="M2:M29">IF((C2*(1-J2)-K2*L2)&lt;0,C2*(1-J2),K2*L2)</f>
        <v>5937.314504648064</v>
      </c>
      <c r="N2" s="7">
        <f t="shared" si="3" ref="N2:N29">+D2/$C2*$M2</f>
        <v>4512.9230537252033</v>
      </c>
      <c r="O2" s="2">
        <f t="shared" si="4" ref="O2:O29">+E2/$C2*$M2</f>
        <v>1424.3914509228607</v>
      </c>
      <c r="P2" s="2">
        <f t="shared" si="5" ref="P2:P65">+N2+O2</f>
        <v>5937.314504648064</v>
      </c>
      <c r="Q2" s="3">
        <f t="shared" si="6" ref="Q2:Q33">+M2-P2</f>
        <v>0</v>
      </c>
    </row>
    <row r="3" spans="1:17" ht="15.65" outlineLevel="2">
      <c r="A3" s="1" t="s">
        <v>0</v>
      </c>
      <c r="B3" s="1" t="s">
        <v>27</v>
      </c>
      <c r="C3" s="2">
        <v>1049616.27</v>
      </c>
      <c r="D3" s="2">
        <v>796595.21999999997</v>
      </c>
      <c r="E3" s="2">
        <v>253021.04999999999</v>
      </c>
      <c r="G3" s="1">
        <v>70</v>
      </c>
      <c r="H3" s="1">
        <v>68.524195000000006</v>
      </c>
      <c r="J3" s="9">
        <v>0</v>
      </c>
      <c r="K3" s="2">
        <f t="shared" si="0"/>
        <v>22128.984847819171</v>
      </c>
      <c r="L3" s="3">
        <f t="shared" si="1"/>
        <v>1.1513200324233361</v>
      </c>
      <c r="M3" s="2">
        <f t="shared" si="2"/>
        <v>25477.543552486681</v>
      </c>
      <c r="N3" s="7">
        <f t="shared" si="3"/>
        <v>19335.913506040364</v>
      </c>
      <c r="O3" s="2">
        <f t="shared" si="4"/>
        <v>6141.6300464463166</v>
      </c>
      <c r="P3" s="2">
        <f t="shared" si="5"/>
        <v>25477.543552486681</v>
      </c>
      <c r="Q3" s="3">
        <f t="shared" si="6"/>
        <v>0</v>
      </c>
    </row>
    <row r="4" spans="1:17" ht="15.65" outlineLevel="2">
      <c r="A4" s="1" t="s">
        <v>0</v>
      </c>
      <c r="B4" s="1" t="s">
        <v>26</v>
      </c>
      <c r="C4" s="2">
        <v>755360.20999999996</v>
      </c>
      <c r="D4" s="2">
        <v>544677.46999999997</v>
      </c>
      <c r="E4" s="2">
        <v>210682.73999999999</v>
      </c>
      <c r="G4" s="1">
        <v>70</v>
      </c>
      <c r="H4" s="1">
        <v>67.542586999999997</v>
      </c>
      <c r="J4" s="9">
        <v>0</v>
      </c>
      <c r="K4" s="2">
        <f t="shared" si="0"/>
        <v>26517.599996239016</v>
      </c>
      <c r="L4" s="3">
        <f t="shared" si="1"/>
        <v>1.1513200324233361</v>
      </c>
      <c r="M4" s="2">
        <f t="shared" si="2"/>
        <v>30530.244087458963</v>
      </c>
      <c r="N4" s="7">
        <f t="shared" si="3"/>
        <v>22014.842571651487</v>
      </c>
      <c r="O4" s="2">
        <f t="shared" si="4"/>
        <v>8515.4015158074762</v>
      </c>
      <c r="P4" s="2">
        <f t="shared" si="5"/>
        <v>30530.244087458963</v>
      </c>
      <c r="Q4" s="3">
        <f t="shared" si="6"/>
        <v>0</v>
      </c>
    </row>
    <row r="5" spans="1:17" ht="15.65" outlineLevel="2">
      <c r="A5" s="1" t="s">
        <v>0</v>
      </c>
      <c r="B5" s="1" t="s">
        <v>25</v>
      </c>
      <c r="C5" s="2">
        <v>260016.44</v>
      </c>
      <c r="D5" s="2">
        <v>215011.76000000001</v>
      </c>
      <c r="E5" s="2">
        <v>45004.68</v>
      </c>
      <c r="G5" s="1">
        <v>70</v>
      </c>
      <c r="H5" s="1">
        <v>66.562736000000001</v>
      </c>
      <c r="J5" s="9">
        <v>0</v>
      </c>
      <c r="K5" s="2">
        <f t="shared" si="0"/>
        <v>12767.78783743084</v>
      </c>
      <c r="L5" s="3">
        <f t="shared" si="1"/>
        <v>1.1513200324233361</v>
      </c>
      <c r="M5" s="2">
        <f t="shared" si="2"/>
        <v>14699.809906965153</v>
      </c>
      <c r="N5" s="7">
        <f t="shared" si="3"/>
        <v>12155.508320020126</v>
      </c>
      <c r="O5" s="2">
        <f t="shared" si="4"/>
        <v>2544.3015869450273</v>
      </c>
      <c r="P5" s="2">
        <f t="shared" si="5"/>
        <v>14699.809906965154</v>
      </c>
      <c r="Q5" s="3">
        <f t="shared" si="6"/>
        <v>0</v>
      </c>
    </row>
    <row r="6" spans="1:17" ht="15.65" outlineLevel="2">
      <c r="A6" s="1" t="s">
        <v>0</v>
      </c>
      <c r="B6" s="1" t="s">
        <v>24</v>
      </c>
      <c r="C6" s="2">
        <v>108744.90000000001</v>
      </c>
      <c r="D6" s="2">
        <v>73141.350000000006</v>
      </c>
      <c r="E6" s="2">
        <v>35603.550000000003</v>
      </c>
      <c r="G6" s="1">
        <v>70</v>
      </c>
      <c r="H6" s="1">
        <v>65.585267000000002</v>
      </c>
      <c r="J6" s="9">
        <v>0</v>
      </c>
      <c r="K6" s="2">
        <f t="shared" si="0"/>
        <v>6858.2814087385714</v>
      </c>
      <c r="L6" s="3">
        <f t="shared" si="1"/>
        <v>1.1513200324233361</v>
      </c>
      <c r="M6" s="2">
        <f t="shared" si="2"/>
        <v>7896.0767738772556</v>
      </c>
      <c r="N6" s="7">
        <f t="shared" si="3"/>
        <v>5310.8671298150739</v>
      </c>
      <c r="O6" s="2">
        <f t="shared" si="4"/>
        <v>2585.2096440621817</v>
      </c>
      <c r="P6" s="2">
        <f t="shared" si="5"/>
        <v>7896.0767738772556</v>
      </c>
      <c r="Q6" s="3">
        <f t="shared" si="6"/>
        <v>0</v>
      </c>
    </row>
    <row r="7" spans="1:17" ht="15.65" outlineLevel="2">
      <c r="A7" s="1" t="s">
        <v>0</v>
      </c>
      <c r="B7" s="1" t="s">
        <v>23</v>
      </c>
      <c r="C7" s="2">
        <v>345016.64000000001</v>
      </c>
      <c r="D7" s="2">
        <v>252806.03</v>
      </c>
      <c r="E7" s="2">
        <v>92210.610000000001</v>
      </c>
      <c r="G7" s="1">
        <v>70</v>
      </c>
      <c r="H7" s="1">
        <v>64.609823000000006</v>
      </c>
      <c r="J7" s="9">
        <v>0</v>
      </c>
      <c r="K7" s="2">
        <f t="shared" si="0"/>
        <v>26567.153679218274</v>
      </c>
      <c r="L7" s="3">
        <f t="shared" si="1"/>
        <v>1.1513200324233361</v>
      </c>
      <c r="M7" s="2">
        <f t="shared" si="2"/>
        <v>30587.296235353337</v>
      </c>
      <c r="N7" s="7">
        <f t="shared" si="3"/>
        <v>22412.405760179052</v>
      </c>
      <c r="O7" s="2">
        <f t="shared" si="4"/>
        <v>8174.8904751742839</v>
      </c>
      <c r="P7" s="2">
        <f t="shared" si="5"/>
        <v>30587.296235353337</v>
      </c>
      <c r="Q7" s="3">
        <f t="shared" si="6"/>
        <v>0</v>
      </c>
    </row>
    <row r="8" spans="1:17" ht="15.65" outlineLevel="2">
      <c r="A8" s="1" t="s">
        <v>0</v>
      </c>
      <c r="B8" s="1" t="s">
        <v>22</v>
      </c>
      <c r="C8" s="2">
        <v>29902.27</v>
      </c>
      <c r="D8" s="2">
        <v>22679.490000000002</v>
      </c>
      <c r="E8" s="2">
        <v>7222.7799999999997</v>
      </c>
      <c r="G8" s="1">
        <v>70</v>
      </c>
      <c r="H8" s="1">
        <v>63.636930999999997</v>
      </c>
      <c r="J8" s="9">
        <v>0</v>
      </c>
      <c r="K8" s="2">
        <f t="shared" si="0"/>
        <v>2718.1458180947147</v>
      </c>
      <c r="L8" s="3">
        <f t="shared" si="1"/>
        <v>1.1513200324233361</v>
      </c>
      <c r="M8" s="2">
        <f t="shared" si="2"/>
        <v>3129.4557314201625</v>
      </c>
      <c r="N8" s="7">
        <f t="shared" si="3"/>
        <v>2373.5475589708158</v>
      </c>
      <c r="O8" s="2">
        <f t="shared" si="4"/>
        <v>755.90817244934647</v>
      </c>
      <c r="P8" s="2">
        <f t="shared" si="5"/>
        <v>3129.455731420162</v>
      </c>
      <c r="Q8" s="3">
        <f t="shared" si="6"/>
        <v>0</v>
      </c>
    </row>
    <row r="9" spans="1:17" ht="15.65" outlineLevel="2">
      <c r="A9" s="1" t="s">
        <v>0</v>
      </c>
      <c r="B9" s="1" t="s">
        <v>21</v>
      </c>
      <c r="C9" s="2">
        <v>53486.300000000003</v>
      </c>
      <c r="D9" s="2">
        <v>40988.220000000001</v>
      </c>
      <c r="E9" s="2">
        <v>12498.08</v>
      </c>
      <c r="G9" s="1">
        <v>70</v>
      </c>
      <c r="H9" s="1">
        <v>62.666553999999998</v>
      </c>
      <c r="J9" s="9">
        <v>0</v>
      </c>
      <c r="K9" s="2">
        <f t="shared" si="0"/>
        <v>5603.4127541400003</v>
      </c>
      <c r="L9" s="3">
        <f t="shared" si="1"/>
        <v>1.1513200324233361</v>
      </c>
      <c r="M9" s="2">
        <f t="shared" si="2"/>
        <v>6451.3213537778001</v>
      </c>
      <c r="N9" s="7">
        <f t="shared" si="3"/>
        <v>4943.8487788338753</v>
      </c>
      <c r="O9" s="2">
        <f t="shared" si="4"/>
        <v>1507.4725749439249</v>
      </c>
      <c r="P9" s="2">
        <f t="shared" si="5"/>
        <v>6451.3213537778001</v>
      </c>
      <c r="Q9" s="3">
        <f t="shared" si="6"/>
        <v>0</v>
      </c>
    </row>
    <row r="10" spans="1:17" ht="15.65" outlineLevel="2">
      <c r="A10" s="1" t="s">
        <v>0</v>
      </c>
      <c r="B10" s="1" t="s">
        <v>20</v>
      </c>
      <c r="C10" s="2">
        <v>5123.96</v>
      </c>
      <c r="D10" s="2">
        <v>3879.1199999999999</v>
      </c>
      <c r="E10" s="2">
        <v>1244.8399999999999</v>
      </c>
      <c r="G10" s="1">
        <v>70</v>
      </c>
      <c r="H10" s="1">
        <v>61.698855000000002</v>
      </c>
      <c r="J10" s="9">
        <v>0</v>
      </c>
      <c r="K10" s="2">
        <f t="shared" si="0"/>
        <v>607.63907048857163</v>
      </c>
      <c r="L10" s="3">
        <f t="shared" si="1"/>
        <v>1.1513200324233361</v>
      </c>
      <c r="M10" s="2">
        <f t="shared" si="2"/>
        <v>699.58703433658809</v>
      </c>
      <c r="N10" s="7">
        <f t="shared" si="3"/>
        <v>529.62592538500405</v>
      </c>
      <c r="O10" s="2">
        <f t="shared" si="4"/>
        <v>169.96110895158398</v>
      </c>
      <c r="P10" s="2">
        <f t="shared" si="5"/>
        <v>699.58703433658798</v>
      </c>
      <c r="Q10" s="3">
        <f t="shared" si="6"/>
        <v>0</v>
      </c>
    </row>
    <row r="11" spans="1:17" ht="15.65" outlineLevel="2">
      <c r="A11" s="1" t="s">
        <v>0</v>
      </c>
      <c r="B11" s="1" t="s">
        <v>19</v>
      </c>
      <c r="C11" s="2">
        <v>12633.240000000002</v>
      </c>
      <c r="D11" s="2">
        <v>7703.9300000000003</v>
      </c>
      <c r="E11" s="2">
        <v>4929.3100000000004</v>
      </c>
      <c r="G11" s="1">
        <v>70</v>
      </c>
      <c r="H11" s="1">
        <v>60.734226999999997</v>
      </c>
      <c r="J11" s="9">
        <v>0</v>
      </c>
      <c r="K11" s="2">
        <f t="shared" si="0"/>
        <v>1672.2390584931438</v>
      </c>
      <c r="L11" s="3">
        <f t="shared" si="1"/>
        <v>1.1513200324233361</v>
      </c>
      <c r="M11" s="2">
        <f t="shared" si="2"/>
        <v>1925.2823270438955</v>
      </c>
      <c r="N11" s="7">
        <f t="shared" si="3"/>
        <v>1174.0646324920033</v>
      </c>
      <c r="O11" s="2">
        <f t="shared" si="4"/>
        <v>751.21769455189201</v>
      </c>
      <c r="P11" s="2">
        <f t="shared" si="5"/>
        <v>1925.2823270438953</v>
      </c>
      <c r="Q11" s="3">
        <f t="shared" si="6"/>
        <v>0</v>
      </c>
    </row>
    <row r="12" spans="1:17" ht="15.65" outlineLevel="2">
      <c r="A12" s="1" t="s">
        <v>0</v>
      </c>
      <c r="B12" s="1" t="s">
        <v>18</v>
      </c>
      <c r="C12" s="2">
        <v>20725.91</v>
      </c>
      <c r="D12" s="2">
        <v>16314.780000000001</v>
      </c>
      <c r="E12" s="2">
        <v>4411.1300000000001</v>
      </c>
      <c r="G12" s="1">
        <v>70</v>
      </c>
      <c r="H12" s="1">
        <v>58.814194999999998</v>
      </c>
      <c r="J12" s="9">
        <v>0</v>
      </c>
      <c r="K12" s="2">
        <f t="shared" si="0"/>
        <v>3311.94268153643</v>
      </c>
      <c r="L12" s="3">
        <f t="shared" si="1"/>
        <v>1.1513200324233361</v>
      </c>
      <c r="M12" s="2">
        <f t="shared" si="2"/>
        <v>3813.1059554907533</v>
      </c>
      <c r="N12" s="7">
        <f t="shared" si="3"/>
        <v>3001.5562540086989</v>
      </c>
      <c r="O12" s="2">
        <f t="shared" si="4"/>
        <v>811.5497014820545</v>
      </c>
      <c r="P12" s="2">
        <f t="shared" si="5"/>
        <v>3813.1059554907533</v>
      </c>
      <c r="Q12" s="3">
        <f t="shared" si="6"/>
        <v>0</v>
      </c>
    </row>
    <row r="13" spans="1:17" ht="15.65" outlineLevel="2">
      <c r="A13" s="1" t="s">
        <v>0</v>
      </c>
      <c r="B13" s="1" t="s">
        <v>17</v>
      </c>
      <c r="C13" s="2">
        <v>210271.20999999999</v>
      </c>
      <c r="D13" s="2">
        <v>202932.69</v>
      </c>
      <c r="E13" s="2">
        <v>7338.5200000000004</v>
      </c>
      <c r="G13" s="1">
        <v>70</v>
      </c>
      <c r="H13" s="1">
        <v>57.859112000000003</v>
      </c>
      <c r="J13" s="9">
        <v>0</v>
      </c>
      <c r="K13" s="2">
        <f t="shared" si="0"/>
        <v>36469.703003349699</v>
      </c>
      <c r="L13" s="3">
        <f t="shared" si="1"/>
        <v>1.1513200324233361</v>
      </c>
      <c r="M13" s="2">
        <f t="shared" si="2"/>
        <v>41988.299644286017</v>
      </c>
      <c r="N13" s="7">
        <f t="shared" si="3"/>
        <v>40522.897049676962</v>
      </c>
      <c r="O13" s="2">
        <f t="shared" si="4"/>
        <v>1465.4025946090569</v>
      </c>
      <c r="P13" s="2">
        <f t="shared" si="5"/>
        <v>41988.299644286017</v>
      </c>
      <c r="Q13" s="3">
        <f t="shared" si="6"/>
        <v>0</v>
      </c>
    </row>
    <row r="14" spans="1:17" ht="15.65" outlineLevel="2">
      <c r="A14" s="1" t="s">
        <v>0</v>
      </c>
      <c r="B14" s="1" t="s">
        <v>16</v>
      </c>
      <c r="C14" s="2">
        <v>12316.51</v>
      </c>
      <c r="D14" s="2">
        <v>8584.8299999999999</v>
      </c>
      <c r="E14" s="2">
        <v>3731.6799999999998</v>
      </c>
      <c r="G14" s="1">
        <v>70</v>
      </c>
      <c r="H14" s="1">
        <v>56.907865000000001</v>
      </c>
      <c r="J14" s="9">
        <v>0</v>
      </c>
      <c r="K14" s="2">
        <f t="shared" si="0"/>
        <v>2303.5630235549997</v>
      </c>
      <c r="L14" s="3">
        <f t="shared" si="1"/>
        <v>1.1513200324233361</v>
      </c>
      <c r="M14" s="2">
        <f t="shared" si="2"/>
        <v>2652.1382549685404</v>
      </c>
      <c r="N14" s="7">
        <f t="shared" si="3"/>
        <v>1848.588281534426</v>
      </c>
      <c r="O14" s="2">
        <f t="shared" si="4"/>
        <v>803.54997343411424</v>
      </c>
      <c r="P14" s="2">
        <f t="shared" si="5"/>
        <v>2652.1382549685404</v>
      </c>
      <c r="Q14" s="3">
        <f t="shared" si="6"/>
        <v>0</v>
      </c>
    </row>
    <row r="15" spans="1:17" ht="15.65" outlineLevel="2">
      <c r="A15" s="1" t="s">
        <v>0</v>
      </c>
      <c r="B15" s="1" t="s">
        <v>15</v>
      </c>
      <c r="C15" s="2">
        <v>5529.6700000000001</v>
      </c>
      <c r="D15" s="2">
        <v>3466.9299999999998</v>
      </c>
      <c r="E15" s="2">
        <v>2062.7399999999998</v>
      </c>
      <c r="G15" s="1">
        <v>70</v>
      </c>
      <c r="H15" s="1">
        <v>55.960321999999998</v>
      </c>
      <c r="J15" s="9">
        <v>0</v>
      </c>
      <c r="K15" s="2">
        <f t="shared" si="0"/>
        <v>1109.0683749465716</v>
      </c>
      <c r="L15" s="3">
        <f t="shared" si="1"/>
        <v>1.1513200324233361</v>
      </c>
      <c r="M15" s="2">
        <f t="shared" si="2"/>
        <v>1276.8926374031835</v>
      </c>
      <c r="N15" s="7">
        <f t="shared" si="3"/>
        <v>800.57171429619098</v>
      </c>
      <c r="O15" s="2">
        <f t="shared" si="4"/>
        <v>476.32092310699238</v>
      </c>
      <c r="P15" s="2">
        <f t="shared" si="5"/>
        <v>1276.8926374031835</v>
      </c>
      <c r="Q15" s="3">
        <f t="shared" si="6"/>
        <v>0</v>
      </c>
    </row>
    <row r="16" spans="1:17" ht="15.65" outlineLevel="2">
      <c r="A16" s="1" t="s">
        <v>0</v>
      </c>
      <c r="B16" s="1" t="s">
        <v>14</v>
      </c>
      <c r="C16" s="2">
        <v>10808.76</v>
      </c>
      <c r="D16" s="2">
        <v>7980.3599999999997</v>
      </c>
      <c r="E16" s="2">
        <v>2828.4000000000001</v>
      </c>
      <c r="G16" s="1">
        <v>70</v>
      </c>
      <c r="H16" s="1">
        <v>55.016660000000002</v>
      </c>
      <c r="J16" s="9">
        <v>0</v>
      </c>
      <c r="K16" s="2">
        <f t="shared" si="0"/>
        <v>2313.5903722628564</v>
      </c>
      <c r="L16" s="3">
        <f t="shared" si="1"/>
        <v>1.1513200324233361</v>
      </c>
      <c r="M16" s="2">
        <f t="shared" si="2"/>
        <v>2663.6829424079901</v>
      </c>
      <c r="N16" s="7">
        <f t="shared" si="3"/>
        <v>1966.6593398572111</v>
      </c>
      <c r="O16" s="2">
        <f t="shared" si="4"/>
        <v>697.02360255077917</v>
      </c>
      <c r="P16" s="2">
        <f t="shared" si="5"/>
        <v>2663.6829424079901</v>
      </c>
      <c r="Q16" s="3">
        <f t="shared" si="6"/>
        <v>0</v>
      </c>
    </row>
    <row r="17" spans="1:17" ht="15.65" outlineLevel="2">
      <c r="A17" s="1" t="s">
        <v>0</v>
      </c>
      <c r="B17" s="1" t="s">
        <v>13</v>
      </c>
      <c r="C17" s="2">
        <v>9741.4799999999996</v>
      </c>
      <c r="D17" s="2">
        <v>6101.0100000000002</v>
      </c>
      <c r="E17" s="2">
        <v>3640.4699999999998</v>
      </c>
      <c r="G17" s="1">
        <v>70</v>
      </c>
      <c r="H17" s="1">
        <v>54.077407999999998</v>
      </c>
      <c r="J17" s="9">
        <v>0</v>
      </c>
      <c r="K17" s="2">
        <f t="shared" si="0"/>
        <v>2215.8515930880003</v>
      </c>
      <c r="L17" s="3">
        <f t="shared" si="1"/>
        <v>1.1513200324233361</v>
      </c>
      <c r="M17" s="2">
        <f t="shared" si="2"/>
        <v>2551.1543279993775</v>
      </c>
      <c r="N17" s="7">
        <f t="shared" si="3"/>
        <v>1597.7672865588684</v>
      </c>
      <c r="O17" s="2">
        <f t="shared" si="4"/>
        <v>953.38704144050939</v>
      </c>
      <c r="P17" s="2">
        <f t="shared" si="5"/>
        <v>2551.1543279993775</v>
      </c>
      <c r="Q17" s="3">
        <f t="shared" si="6"/>
        <v>0</v>
      </c>
    </row>
    <row r="18" spans="1:17" ht="15.65" outlineLevel="2">
      <c r="A18" s="1" t="s">
        <v>0</v>
      </c>
      <c r="B18" s="1" t="s">
        <v>12</v>
      </c>
      <c r="C18" s="2">
        <v>11519.34</v>
      </c>
      <c r="D18" s="2">
        <v>7872.7200000000003</v>
      </c>
      <c r="E18" s="2">
        <v>3646.6199999999999</v>
      </c>
      <c r="G18" s="1">
        <v>70</v>
      </c>
      <c r="H18" s="1">
        <v>53.142007</v>
      </c>
      <c r="J18" s="9">
        <v>0</v>
      </c>
      <c r="K18" s="2">
        <f t="shared" si="0"/>
        <v>2774.185044066</v>
      </c>
      <c r="L18" s="3">
        <f t="shared" si="1"/>
        <v>1.1513200324233361</v>
      </c>
      <c r="M18" s="2">
        <f t="shared" si="2"/>
        <v>3193.9748148824015</v>
      </c>
      <c r="N18" s="7">
        <f t="shared" si="3"/>
        <v>2182.8741407598859</v>
      </c>
      <c r="O18" s="2">
        <f t="shared" si="4"/>
        <v>1011.1006741225159</v>
      </c>
      <c r="P18" s="2">
        <f t="shared" si="5"/>
        <v>3193.9748148824019</v>
      </c>
      <c r="Q18" s="3">
        <f t="shared" si="6"/>
        <v>0</v>
      </c>
    </row>
    <row r="19" spans="1:17" ht="15.65" outlineLevel="2">
      <c r="A19" s="1" t="s">
        <v>0</v>
      </c>
      <c r="B19" s="1" t="s">
        <v>11</v>
      </c>
      <c r="C19" s="2">
        <v>1303.22</v>
      </c>
      <c r="D19" s="2">
        <v>583.50999999999999</v>
      </c>
      <c r="E19" s="2">
        <v>719.71000000000004</v>
      </c>
      <c r="G19" s="1">
        <v>70</v>
      </c>
      <c r="H19" s="1">
        <v>51.285767</v>
      </c>
      <c r="J19" s="9">
        <v>0</v>
      </c>
      <c r="K19" s="2">
        <f t="shared" si="0"/>
        <v>348.41089614657142</v>
      </c>
      <c r="L19" s="3">
        <f t="shared" si="1"/>
        <v>1.1513200324233361</v>
      </c>
      <c r="M19" s="2">
        <f t="shared" si="2"/>
        <v>401.13244424811421</v>
      </c>
      <c r="N19" s="7">
        <f t="shared" si="3"/>
        <v>179.60497271620841</v>
      </c>
      <c r="O19" s="2">
        <f t="shared" si="4"/>
        <v>221.5274715319058</v>
      </c>
      <c r="P19" s="2">
        <f t="shared" si="5"/>
        <v>401.13244424811421</v>
      </c>
      <c r="Q19" s="3">
        <f t="shared" si="6"/>
        <v>0</v>
      </c>
    </row>
    <row r="20" spans="1:17" ht="15.65" outlineLevel="2">
      <c r="A20" s="1" t="s">
        <v>0</v>
      </c>
      <c r="B20" s="1" t="s">
        <v>10</v>
      </c>
      <c r="C20" s="2">
        <v>10472.450000000001</v>
      </c>
      <c r="D20" s="2">
        <v>7095.1899999999996</v>
      </c>
      <c r="E20" s="2">
        <v>3377.2600000000002</v>
      </c>
      <c r="G20" s="1">
        <v>70</v>
      </c>
      <c r="H20" s="1">
        <v>50.364913999999999</v>
      </c>
      <c r="J20" s="9">
        <v>0</v>
      </c>
      <c r="K20" s="2">
        <f t="shared" si="0"/>
        <v>2937.5350911528571</v>
      </c>
      <c r="L20" s="3">
        <f t="shared" si="1"/>
        <v>1.1513200324233361</v>
      </c>
      <c r="M20" s="2">
        <f t="shared" si="2"/>
        <v>3382.042996390795</v>
      </c>
      <c r="N20" s="7">
        <f t="shared" si="3"/>
        <v>2291.3680798248738</v>
      </c>
      <c r="O20" s="2">
        <f t="shared" si="4"/>
        <v>1090.6749165659207</v>
      </c>
      <c r="P20" s="2">
        <f t="shared" si="5"/>
        <v>3382.0429963907945</v>
      </c>
      <c r="Q20" s="3">
        <f t="shared" si="6"/>
        <v>0</v>
      </c>
    </row>
    <row r="21" spans="1:17" ht="15.65" outlineLevel="2">
      <c r="A21" s="1" t="s">
        <v>0</v>
      </c>
      <c r="B21" s="1" t="s">
        <v>9</v>
      </c>
      <c r="C21" s="2">
        <v>8950</v>
      </c>
      <c r="D21" s="2">
        <v>2861.3699999999999</v>
      </c>
      <c r="E21" s="2">
        <v>6088.6300000000001</v>
      </c>
      <c r="G21" s="1">
        <v>70</v>
      </c>
      <c r="H21" s="1">
        <v>49.448973000000002</v>
      </c>
      <c r="J21" s="9">
        <v>0</v>
      </c>
      <c r="K21" s="2">
        <f t="shared" si="0"/>
        <v>2627.5955949999998</v>
      </c>
      <c r="L21" s="3">
        <f t="shared" si="1"/>
        <v>1.1513200324233361</v>
      </c>
      <c r="M21" s="2">
        <f t="shared" si="2"/>
        <v>3025.2034456308152</v>
      </c>
      <c r="N21" s="7">
        <f t="shared" si="3"/>
        <v>967.17613220387091</v>
      </c>
      <c r="O21" s="2">
        <f t="shared" si="4"/>
        <v>2058.0273134269441</v>
      </c>
      <c r="P21" s="2">
        <f t="shared" si="5"/>
        <v>3025.2034456308152</v>
      </c>
      <c r="Q21" s="3">
        <f t="shared" si="6"/>
        <v>0</v>
      </c>
    </row>
    <row r="22" spans="1:17" ht="15.65" outlineLevel="2">
      <c r="A22" s="1" t="s">
        <v>0</v>
      </c>
      <c r="B22" s="1" t="s">
        <v>8</v>
      </c>
      <c r="C22" s="2">
        <v>2158329.1099999999</v>
      </c>
      <c r="D22" s="2">
        <v>1722028.45</v>
      </c>
      <c r="E22" s="2">
        <v>436300.65999999997</v>
      </c>
      <c r="G22" s="1">
        <v>70</v>
      </c>
      <c r="H22" s="1">
        <v>43.192208999999998</v>
      </c>
      <c r="J22" s="9">
        <v>0</v>
      </c>
      <c r="K22" s="2">
        <f t="shared" si="0"/>
        <v>826571.93842994317</v>
      </c>
      <c r="L22" s="3">
        <f t="shared" si="1"/>
        <v>1.1513200324233361</v>
      </c>
      <c r="M22" s="2">
        <f t="shared" si="2"/>
        <v>951648.83095338196</v>
      </c>
      <c r="N22" s="7">
        <f t="shared" si="3"/>
        <v>759275.47551400273</v>
      </c>
      <c r="O22" s="2">
        <f t="shared" si="4"/>
        <v>192373.3554393792</v>
      </c>
      <c r="P22" s="2">
        <f t="shared" si="5"/>
        <v>951648.83095338196</v>
      </c>
      <c r="Q22" s="3">
        <f t="shared" si="6"/>
        <v>0</v>
      </c>
    </row>
    <row r="23" spans="1:17" ht="15.65" outlineLevel="2">
      <c r="A23" s="1" t="s">
        <v>0</v>
      </c>
      <c r="B23" s="1" t="s">
        <v>7</v>
      </c>
      <c r="C23" s="2">
        <v>24552.16</v>
      </c>
      <c r="D23" s="2">
        <v>19834.040000000001</v>
      </c>
      <c r="E23" s="2">
        <v>4718.1199999999999</v>
      </c>
      <c r="G23" s="1">
        <v>70</v>
      </c>
      <c r="H23" s="1">
        <v>41.458871000000002</v>
      </c>
      <c r="J23" s="9">
        <v>0</v>
      </c>
      <c r="K23" s="2">
        <f t="shared" si="0"/>
        <v>10010.662368409141</v>
      </c>
      <c r="L23" s="3">
        <f t="shared" si="1"/>
        <v>1.1513200324233361</v>
      </c>
      <c r="M23" s="2">
        <f t="shared" si="2"/>
        <v>11525.476122575883</v>
      </c>
      <c r="N23" s="7">
        <f t="shared" si="3"/>
        <v>9310.65757286589</v>
      </c>
      <c r="O23" s="2">
        <f t="shared" si="4"/>
        <v>2214.8185497099939</v>
      </c>
      <c r="P23" s="2">
        <f t="shared" si="5"/>
        <v>11525.476122575885</v>
      </c>
      <c r="Q23" s="3">
        <f t="shared" si="6"/>
        <v>0</v>
      </c>
    </row>
    <row r="24" spans="1:17" ht="15.65" outlineLevel="2">
      <c r="A24" s="1" t="s">
        <v>0</v>
      </c>
      <c r="B24" s="1" t="s">
        <v>6</v>
      </c>
      <c r="C24" s="2">
        <v>4470.5900000000001</v>
      </c>
      <c r="D24" s="2">
        <v>3986.23</v>
      </c>
      <c r="E24" s="2">
        <v>484.36000000000001</v>
      </c>
      <c r="G24" s="1">
        <v>70</v>
      </c>
      <c r="H24" s="1">
        <v>39.751500999999998</v>
      </c>
      <c r="J24" s="9">
        <v>0</v>
      </c>
      <c r="K24" s="2">
        <f t="shared" si="0"/>
        <v>1931.8376734915714</v>
      </c>
      <c r="L24" s="3">
        <f t="shared" si="1"/>
        <v>1.1513200324233361</v>
      </c>
      <c r="M24" s="2">
        <f t="shared" si="2"/>
        <v>2224.1634128809383</v>
      </c>
      <c r="N24" s="7">
        <f t="shared" si="3"/>
        <v>1983.1894495644608</v>
      </c>
      <c r="O24" s="2">
        <f t="shared" si="4"/>
        <v>240.97396331647752</v>
      </c>
      <c r="P24" s="2">
        <f t="shared" si="5"/>
        <v>2224.1634128809383</v>
      </c>
      <c r="Q24" s="3">
        <f t="shared" si="6"/>
        <v>0</v>
      </c>
    </row>
    <row r="25" spans="1:17" ht="15.65" outlineLevel="2">
      <c r="A25" s="1" t="s">
        <v>0</v>
      </c>
      <c r="B25" s="1" t="s">
        <v>5</v>
      </c>
      <c r="C25" s="2">
        <v>29.789999999999999</v>
      </c>
      <c r="D25" s="2">
        <v>26.399999999999999</v>
      </c>
      <c r="E25" s="2">
        <v>3.3900000000000001</v>
      </c>
      <c r="G25" s="1">
        <v>70</v>
      </c>
      <c r="H25" s="1">
        <v>38.907595000000001</v>
      </c>
      <c r="J25" s="9">
        <v>0</v>
      </c>
      <c r="K25" s="2">
        <f t="shared" si="0"/>
        <v>13.232039213571429</v>
      </c>
      <c r="L25" s="3">
        <f t="shared" si="1"/>
        <v>1.1513200324233361</v>
      </c>
      <c r="M25" s="2">
        <f t="shared" si="2"/>
        <v>15.234311816395913</v>
      </c>
      <c r="N25" s="7">
        <f t="shared" si="3"/>
        <v>13.500699293482782</v>
      </c>
      <c r="O25" s="2">
        <f t="shared" si="4"/>
        <v>1.7336125229131301</v>
      </c>
      <c r="P25" s="2">
        <f t="shared" si="5"/>
        <v>15.234311816395913</v>
      </c>
      <c r="Q25" s="3">
        <f t="shared" si="6"/>
        <v>0</v>
      </c>
    </row>
    <row r="26" spans="1:17" ht="15.65" outlineLevel="2">
      <c r="A26" s="1" t="s">
        <v>0</v>
      </c>
      <c r="B26" s="1" t="s">
        <v>4</v>
      </c>
      <c r="C26" s="2">
        <v>1363.3799999999999</v>
      </c>
      <c r="D26" s="2">
        <v>1208.31</v>
      </c>
      <c r="E26" s="2">
        <v>155.06999999999999</v>
      </c>
      <c r="G26" s="1">
        <v>70</v>
      </c>
      <c r="H26" s="1">
        <v>38.071046000000003</v>
      </c>
      <c r="J26" s="9">
        <v>0</v>
      </c>
      <c r="K26" s="2">
        <f t="shared" si="0"/>
        <v>621.87567577885693</v>
      </c>
      <c r="L26" s="3">
        <f t="shared" si="1"/>
        <v>1.1513200324233361</v>
      </c>
      <c r="M26" s="2">
        <f t="shared" si="2"/>
        <v>715.97792320099768</v>
      </c>
      <c r="N26" s="7">
        <f t="shared" si="3"/>
        <v>634.54303597162755</v>
      </c>
      <c r="O26" s="2">
        <f t="shared" si="4"/>
        <v>81.434887229370176</v>
      </c>
      <c r="P26" s="2">
        <f t="shared" si="5"/>
        <v>715.97792320099768</v>
      </c>
      <c r="Q26" s="3">
        <f t="shared" si="6"/>
        <v>0</v>
      </c>
    </row>
    <row r="27" spans="1:17" ht="15.65" outlineLevel="2">
      <c r="A27" s="1" t="s">
        <v>0</v>
      </c>
      <c r="B27" s="1" t="s">
        <v>3</v>
      </c>
      <c r="C27" s="2">
        <v>12112.110000000001</v>
      </c>
      <c r="D27" s="2">
        <v>9695.2800000000007</v>
      </c>
      <c r="E27" s="2">
        <v>2416.8299999999999</v>
      </c>
      <c r="G27" s="1">
        <v>70</v>
      </c>
      <c r="H27" s="1">
        <v>37.241276999999997</v>
      </c>
      <c r="J27" s="9">
        <v>0</v>
      </c>
      <c r="K27" s="2">
        <f t="shared" si="0"/>
        <v>5668.2465205075723</v>
      </c>
      <c r="L27" s="3">
        <f t="shared" si="1"/>
        <v>1.1513200324233361</v>
      </c>
      <c r="M27" s="2">
        <f t="shared" si="2"/>
        <v>6525.9657677742407</v>
      </c>
      <c r="N27" s="7">
        <f t="shared" si="3"/>
        <v>5223.785565767339</v>
      </c>
      <c r="O27" s="2">
        <f t="shared" si="4"/>
        <v>1302.1802020069019</v>
      </c>
      <c r="P27" s="2">
        <f t="shared" si="5"/>
        <v>6525.9657677742407</v>
      </c>
      <c r="Q27" s="3">
        <f t="shared" si="6"/>
        <v>0</v>
      </c>
    </row>
    <row r="28" spans="1:17" ht="15.65" outlineLevel="2">
      <c r="A28" s="1" t="s">
        <v>0</v>
      </c>
      <c r="B28" s="1" t="s">
        <v>2</v>
      </c>
      <c r="C28" s="2">
        <v>2862.7400000000002</v>
      </c>
      <c r="D28" s="2">
        <v>2326.2600000000002</v>
      </c>
      <c r="E28" s="2">
        <v>536.48000000000002</v>
      </c>
      <c r="G28" s="1">
        <v>70</v>
      </c>
      <c r="H28" s="1">
        <v>33.200826999999997</v>
      </c>
      <c r="J28" s="9">
        <v>0</v>
      </c>
      <c r="K28" s="2">
        <f t="shared" si="0"/>
        <v>1504.9494930574285</v>
      </c>
      <c r="L28" s="3">
        <f t="shared" si="1"/>
        <v>1.1513200324233361</v>
      </c>
      <c r="M28" s="2">
        <f t="shared" si="2"/>
        <v>1732.6784991423619</v>
      </c>
      <c r="N28" s="7">
        <f t="shared" si="3"/>
        <v>1407.9730207475743</v>
      </c>
      <c r="O28" s="2">
        <f t="shared" si="4"/>
        <v>324.70547839478763</v>
      </c>
      <c r="P28" s="2">
        <f t="shared" si="5"/>
        <v>1732.6784991423619</v>
      </c>
      <c r="Q28" s="3">
        <f t="shared" si="6"/>
        <v>0</v>
      </c>
    </row>
    <row r="29" spans="1:17" ht="15.65" outlineLevel="2">
      <c r="A29" s="1" t="s">
        <v>0</v>
      </c>
      <c r="B29" s="1" t="s">
        <v>1</v>
      </c>
      <c r="C29" s="2">
        <v>156.40000000000001</v>
      </c>
      <c r="D29" s="2">
        <v>58.490000000000002</v>
      </c>
      <c r="E29" s="2">
        <v>97.909999999999997</v>
      </c>
      <c r="G29" s="1">
        <v>70</v>
      </c>
      <c r="H29" s="1">
        <v>22.319132</v>
      </c>
      <c r="J29" s="9">
        <v>0</v>
      </c>
      <c r="K29" s="2">
        <f t="shared" si="0"/>
        <v>106.53268221714286</v>
      </c>
      <c r="L29" s="3">
        <f t="shared" si="1"/>
        <v>1.1513200324233361</v>
      </c>
      <c r="M29" s="2">
        <f t="shared" si="2"/>
        <v>122.65321114438589</v>
      </c>
      <c r="N29" s="7">
        <f t="shared" si="3"/>
        <v>45.869477748306466</v>
      </c>
      <c r="O29" s="2">
        <f t="shared" si="4"/>
        <v>76.783733396079427</v>
      </c>
      <c r="P29" s="2">
        <f t="shared" si="5"/>
        <v>122.65321114438589</v>
      </c>
      <c r="Q29" s="3">
        <f t="shared" si="6"/>
        <v>0</v>
      </c>
    </row>
    <row r="30" spans="1:17" ht="15.65" outlineLevel="1">
      <c r="A30" s="4" t="s">
        <v>112</v>
      </c>
      <c r="C30" s="2">
        <f>SUBTOTAL(9,C2:C29)</f>
        <v>5858701.5200000005</v>
      </c>
      <c r="D30" s="2">
        <f t="shared" si="7" ref="D30:M30">SUBTOTAL(9,D2:D29)</f>
        <v>4537806.8100000005</v>
      </c>
      <c r="E30" s="2">
        <f t="shared" si="7"/>
        <v>1320894.7100000002</v>
      </c>
      <c r="F30" s="2">
        <f t="shared" si="7"/>
        <v>0</v>
      </c>
      <c r="G30" s="2"/>
      <c r="H30" s="2">
        <f>+M30-I30</f>
        <v>0</v>
      </c>
      <c r="I30" s="2">
        <v>1166792.5391729933</v>
      </c>
      <c r="J30" s="2"/>
      <c r="K30" s="2">
        <f t="shared" si="7"/>
        <v>1013438.927764585</v>
      </c>
      <c r="L30" s="2">
        <v>1.1513200324233361</v>
      </c>
      <c r="M30" s="2">
        <f t="shared" si="7"/>
        <v>1166792.5391729928</v>
      </c>
      <c r="N30" s="7">
        <f t="shared" si="8" ref="N30">SUBTOTAL(9,N2:N29)</f>
        <v>928017.60482451133</v>
      </c>
      <c r="O30" s="2">
        <f t="shared" si="9" ref="O30">SUBTOTAL(9,O2:O29)</f>
        <v>238774.93434848145</v>
      </c>
      <c r="P30" s="2">
        <f t="shared" si="5"/>
        <v>1166792.5391729928</v>
      </c>
      <c r="Q30" s="3">
        <f t="shared" si="6"/>
        <v>0</v>
      </c>
    </row>
    <row r="31" spans="1:17" ht="15.65" outlineLevel="2">
      <c r="A31" s="1" t="s">
        <v>29</v>
      </c>
      <c r="B31" s="1" t="s">
        <v>28</v>
      </c>
      <c r="C31" s="2">
        <v>22376358.899999999</v>
      </c>
      <c r="D31" s="2">
        <v>15248217.19</v>
      </c>
      <c r="E31" s="2">
        <v>7128141.71</v>
      </c>
      <c r="G31" s="1">
        <v>65</v>
      </c>
      <c r="H31" s="1">
        <v>64.500412999999995</v>
      </c>
      <c r="J31" s="9">
        <v>-0.40000000000000002</v>
      </c>
      <c r="K31" s="2">
        <f t="shared" si="10" ref="K31:K62">+C31*(1-I31)*(1-H31/G31)</f>
        <v>171983.66175037486</v>
      </c>
      <c r="L31" s="3">
        <f t="shared" si="11" ref="L31:L62">$L$126</f>
        <v>1.5637867559229348</v>
      </c>
      <c r="M31" s="2">
        <f t="shared" si="12" ref="M31:M62">IF((C31*(1-J31)-K31*L31)&lt;0,C31*(1-J31),K31*L31)</f>
        <v>268945.77248036605</v>
      </c>
      <c r="N31" s="7">
        <f t="shared" si="13" ref="N31:N62">+D31/$C31*$M31</f>
        <v>183271.26273939709</v>
      </c>
      <c r="O31" s="2">
        <f t="shared" si="14" ref="O31:O62">+E31/$C31*$M31</f>
        <v>85674.509740968962</v>
      </c>
      <c r="P31" s="2">
        <f t="shared" si="5"/>
        <v>268945.77248036605</v>
      </c>
      <c r="Q31" s="3">
        <f t="shared" si="6"/>
        <v>0</v>
      </c>
    </row>
    <row r="32" spans="1:17" ht="15.65" outlineLevel="2">
      <c r="A32" s="1" t="s">
        <v>29</v>
      </c>
      <c r="B32" s="1" t="s">
        <v>27</v>
      </c>
      <c r="C32" s="2">
        <v>15298803.079999998</v>
      </c>
      <c r="D32" s="2">
        <v>10839025.539999999</v>
      </c>
      <c r="E32" s="2">
        <v>4459777.54</v>
      </c>
      <c r="G32" s="1">
        <v>65</v>
      </c>
      <c r="H32" s="1">
        <v>63.501368999999997</v>
      </c>
      <c r="J32" s="9">
        <v>-0.40000000000000002</v>
      </c>
      <c r="K32" s="2">
        <f t="shared" si="10"/>
        <v>352727.08551667014</v>
      </c>
      <c r="L32" s="3">
        <f t="shared" si="11"/>
        <v>1.5637867559229348</v>
      </c>
      <c r="M32" s="2">
        <f t="shared" si="12"/>
        <v>551589.94478626514</v>
      </c>
      <c r="N32" s="7">
        <f t="shared" si="13"/>
        <v>390795.1143551498</v>
      </c>
      <c r="O32" s="2">
        <f t="shared" si="14"/>
        <v>160794.83043111538</v>
      </c>
      <c r="P32" s="2">
        <f t="shared" si="5"/>
        <v>551589.94478626514</v>
      </c>
      <c r="Q32" s="3">
        <f t="shared" si="6"/>
        <v>0</v>
      </c>
    </row>
    <row r="33" spans="1:17" ht="15.65" outlineLevel="2">
      <c r="A33" s="1" t="s">
        <v>29</v>
      </c>
      <c r="B33" s="1" t="s">
        <v>26</v>
      </c>
      <c r="C33" s="2">
        <v>7392872.1600000001</v>
      </c>
      <c r="D33" s="2">
        <v>5146680.4199999999</v>
      </c>
      <c r="E33" s="2">
        <v>2246191.7400000002</v>
      </c>
      <c r="G33" s="1">
        <v>65</v>
      </c>
      <c r="H33" s="1">
        <v>62.502541000000001</v>
      </c>
      <c r="J33" s="9">
        <v>-0.40000000000000002</v>
      </c>
      <c r="K33" s="2">
        <f t="shared" si="10"/>
        <v>284052.23248986836</v>
      </c>
      <c r="L33" s="3">
        <f t="shared" si="11"/>
        <v>1.5637867559229348</v>
      </c>
      <c r="M33" s="2">
        <f t="shared" si="12"/>
        <v>444197.11915799853</v>
      </c>
      <c r="N33" s="7">
        <f t="shared" si="13"/>
        <v>309235.78364580806</v>
      </c>
      <c r="O33" s="2">
        <f t="shared" si="14"/>
        <v>134961.33551219045</v>
      </c>
      <c r="P33" s="2">
        <f t="shared" si="5"/>
        <v>444197.11915799847</v>
      </c>
      <c r="Q33" s="3">
        <f t="shared" si="6"/>
        <v>0</v>
      </c>
    </row>
    <row r="34" spans="1:17" ht="15.65" outlineLevel="2">
      <c r="A34" s="1" t="s">
        <v>29</v>
      </c>
      <c r="B34" s="1" t="s">
        <v>25</v>
      </c>
      <c r="C34" s="2">
        <v>13985770.870000001</v>
      </c>
      <c r="D34" s="2">
        <v>9848609.2400000002</v>
      </c>
      <c r="E34" s="2">
        <v>4137161.6299999999</v>
      </c>
      <c r="G34" s="1">
        <v>65</v>
      </c>
      <c r="H34" s="1">
        <v>61.503995000000003</v>
      </c>
      <c r="J34" s="9">
        <v>-0.40000000000000002</v>
      </c>
      <c r="K34" s="2">
        <f t="shared" si="10"/>
        <v>752220.38292883511</v>
      </c>
      <c r="L34" s="3">
        <f t="shared" si="11"/>
        <v>1.5637867559229348</v>
      </c>
      <c r="M34" s="2">
        <f t="shared" si="12"/>
        <v>1176312.2723593907</v>
      </c>
      <c r="N34" s="7">
        <f t="shared" si="13"/>
        <v>828344.75284694065</v>
      </c>
      <c r="O34" s="2">
        <f t="shared" si="14"/>
        <v>347967.51951245003</v>
      </c>
      <c r="P34" s="2">
        <f t="shared" si="5"/>
        <v>1176312.2723593907</v>
      </c>
      <c r="Q34" s="3">
        <f t="shared" si="15" ref="Q34:Q65">+M34-P34</f>
        <v>0</v>
      </c>
    </row>
    <row r="35" spans="1:17" ht="15.65" outlineLevel="2">
      <c r="A35" s="1" t="s">
        <v>29</v>
      </c>
      <c r="B35" s="1" t="s">
        <v>24</v>
      </c>
      <c r="C35" s="2">
        <v>10703033.93</v>
      </c>
      <c r="D35" s="2">
        <v>8606545.7599999998</v>
      </c>
      <c r="E35" s="2">
        <v>2096488.1699999999</v>
      </c>
      <c r="G35" s="1">
        <v>65</v>
      </c>
      <c r="H35" s="1">
        <v>60.505746000000002</v>
      </c>
      <c r="J35" s="9">
        <v>-0.40000000000000002</v>
      </c>
      <c r="K35" s="2">
        <f t="shared" si="10"/>
        <v>740033.12387751089</v>
      </c>
      <c r="L35" s="3">
        <f t="shared" si="11"/>
        <v>1.5637867559229348</v>
      </c>
      <c r="M35" s="2">
        <f t="shared" si="12"/>
        <v>1157253.9980639282</v>
      </c>
      <c r="N35" s="7">
        <f t="shared" si="13"/>
        <v>930573.47621434194</v>
      </c>
      <c r="O35" s="2">
        <f t="shared" si="14"/>
        <v>226680.52184958631</v>
      </c>
      <c r="P35" s="2">
        <f t="shared" si="5"/>
        <v>1157253.9980639282</v>
      </c>
      <c r="Q35" s="3">
        <f t="shared" si="15"/>
        <v>0</v>
      </c>
    </row>
    <row r="36" spans="1:17" ht="15.65" outlineLevel="2">
      <c r="A36" s="1" t="s">
        <v>29</v>
      </c>
      <c r="B36" s="1" t="s">
        <v>23</v>
      </c>
      <c r="C36" s="2">
        <v>9817854.1500000004</v>
      </c>
      <c r="D36" s="2">
        <v>6708703.7300000004</v>
      </c>
      <c r="E36" s="2">
        <v>3109150.4199999999</v>
      </c>
      <c r="G36" s="1">
        <v>65</v>
      </c>
      <c r="H36" s="1">
        <v>59.507902999999999</v>
      </c>
      <c r="J36" s="9">
        <v>-0.40000000000000002</v>
      </c>
      <c r="K36" s="2">
        <f t="shared" si="10"/>
        <v>829547.80497927067</v>
      </c>
      <c r="L36" s="3">
        <f t="shared" si="11"/>
        <v>1.5637867559229348</v>
      </c>
      <c r="M36" s="2">
        <f t="shared" si="12"/>
        <v>1297235.8708315252</v>
      </c>
      <c r="N36" s="7">
        <f t="shared" si="13"/>
        <v>886422.93849285296</v>
      </c>
      <c r="O36" s="2">
        <f t="shared" si="14"/>
        <v>410812.93233867217</v>
      </c>
      <c r="P36" s="2">
        <f t="shared" si="5"/>
        <v>1297235.8708315252</v>
      </c>
      <c r="Q36" s="3">
        <f t="shared" si="15"/>
        <v>0</v>
      </c>
    </row>
    <row r="37" spans="1:17" ht="15.65" outlineLevel="2">
      <c r="A37" s="1" t="s">
        <v>29</v>
      </c>
      <c r="B37" s="1" t="s">
        <v>22</v>
      </c>
      <c r="C37" s="2">
        <v>6198426.0999999996</v>
      </c>
      <c r="D37" s="2">
        <v>4115118.8799999999</v>
      </c>
      <c r="E37" s="2">
        <v>2083307.22</v>
      </c>
      <c r="G37" s="1">
        <v>65</v>
      </c>
      <c r="H37" s="1">
        <v>58.510458</v>
      </c>
      <c r="J37" s="9">
        <v>-0.40000000000000002</v>
      </c>
      <c r="K37" s="2">
        <f t="shared" si="10"/>
        <v>618845.33092071104</v>
      </c>
      <c r="L37" s="3">
        <f t="shared" si="11"/>
        <v>1.5637867559229348</v>
      </c>
      <c r="M37" s="2">
        <f t="shared" si="12"/>
        <v>967742.13245855377</v>
      </c>
      <c r="N37" s="7">
        <f t="shared" si="13"/>
        <v>642481.47126439982</v>
      </c>
      <c r="O37" s="2">
        <f t="shared" si="14"/>
        <v>325260.66119415406</v>
      </c>
      <c r="P37" s="2">
        <f t="shared" si="5"/>
        <v>967742.13245855388</v>
      </c>
      <c r="Q37" s="3">
        <f t="shared" si="15"/>
        <v>0</v>
      </c>
    </row>
    <row r="38" spans="1:17" ht="15.65" outlineLevel="2">
      <c r="A38" s="1" t="s">
        <v>29</v>
      </c>
      <c r="B38" s="1" t="s">
        <v>21</v>
      </c>
      <c r="C38" s="2">
        <v>5143420.6299999999</v>
      </c>
      <c r="D38" s="2">
        <v>3551560.7400000002</v>
      </c>
      <c r="E38" s="2">
        <v>1591859.8899999999</v>
      </c>
      <c r="G38" s="1">
        <v>65</v>
      </c>
      <c r="H38" s="1">
        <v>57.513595000000002</v>
      </c>
      <c r="J38" s="9">
        <v>-0.40000000000000002</v>
      </c>
      <c r="K38" s="2">
        <f t="shared" si="10"/>
        <v>592395.84494669433</v>
      </c>
      <c r="L38" s="3">
        <f t="shared" si="11"/>
        <v>1.5637867559229348</v>
      </c>
      <c r="M38" s="2">
        <f t="shared" si="12"/>
        <v>926380.77659141703</v>
      </c>
      <c r="N38" s="7">
        <f t="shared" si="13"/>
        <v>639671.11249712971</v>
      </c>
      <c r="O38" s="2">
        <f t="shared" si="14"/>
        <v>286709.66409428732</v>
      </c>
      <c r="P38" s="2">
        <f t="shared" si="5"/>
        <v>926380.77659141703</v>
      </c>
      <c r="Q38" s="3">
        <f t="shared" si="15"/>
        <v>0</v>
      </c>
    </row>
    <row r="39" spans="1:17" ht="15.65" outlineLevel="2">
      <c r="A39" s="1" t="s">
        <v>29</v>
      </c>
      <c r="B39" s="1" t="s">
        <v>20</v>
      </c>
      <c r="C39" s="2">
        <v>3765290.2999999998</v>
      </c>
      <c r="D39" s="2">
        <v>2813300.23</v>
      </c>
      <c r="E39" s="2">
        <v>951990.06999999995</v>
      </c>
      <c r="G39" s="1">
        <v>65</v>
      </c>
      <c r="H39" s="1">
        <v>56.517285000000001</v>
      </c>
      <c r="J39" s="9">
        <v>-0.40000000000000002</v>
      </c>
      <c r="K39" s="2">
        <f t="shared" si="10"/>
        <v>491382.83857176144</v>
      </c>
      <c r="L39" s="3">
        <f t="shared" si="11"/>
        <v>1.5637867559229348</v>
      </c>
      <c r="M39" s="2">
        <f t="shared" si="12"/>
        <v>768417.97504633805</v>
      </c>
      <c r="N39" s="7">
        <f t="shared" si="13"/>
        <v>574136.46590118087</v>
      </c>
      <c r="O39" s="2">
        <f t="shared" si="14"/>
        <v>194281.50914515715</v>
      </c>
      <c r="P39" s="2">
        <f t="shared" si="5"/>
        <v>768417.97504633805</v>
      </c>
      <c r="Q39" s="3">
        <f t="shared" si="15"/>
        <v>0</v>
      </c>
    </row>
    <row r="40" spans="1:17" ht="15.65" outlineLevel="2">
      <c r="A40" s="1" t="s">
        <v>29</v>
      </c>
      <c r="B40" s="1" t="s">
        <v>19</v>
      </c>
      <c r="C40" s="2">
        <v>5496498.0999999996</v>
      </c>
      <c r="D40" s="2">
        <v>3808920.23</v>
      </c>
      <c r="E40" s="2">
        <v>1687577.8700000001</v>
      </c>
      <c r="G40" s="1">
        <v>65</v>
      </c>
      <c r="H40" s="1">
        <v>55.521743000000001</v>
      </c>
      <c r="J40" s="9">
        <v>-0.40000000000000002</v>
      </c>
      <c r="K40" s="2">
        <f t="shared" si="10"/>
        <v>801495.71679710317</v>
      </c>
      <c r="L40" s="3">
        <f t="shared" si="11"/>
        <v>1.5637867559229348</v>
      </c>
      <c r="M40" s="2">
        <f t="shared" si="12"/>
        <v>1253368.3868562693</v>
      </c>
      <c r="N40" s="7">
        <f t="shared" si="13"/>
        <v>868549.41409682482</v>
      </c>
      <c r="O40" s="2">
        <f t="shared" si="14"/>
        <v>384818.97275944467</v>
      </c>
      <c r="P40" s="2">
        <f t="shared" si="5"/>
        <v>1253368.3868562696</v>
      </c>
      <c r="Q40" s="3">
        <f t="shared" si="15"/>
        <v>0</v>
      </c>
    </row>
    <row r="41" spans="1:17" ht="15.65" outlineLevel="2">
      <c r="A41" s="1" t="s">
        <v>29</v>
      </c>
      <c r="B41" s="1" t="s">
        <v>96</v>
      </c>
      <c r="C41" s="2">
        <v>5358339.9800000004</v>
      </c>
      <c r="D41" s="2">
        <v>3373967.46</v>
      </c>
      <c r="E41" s="2">
        <v>1984372.52</v>
      </c>
      <c r="G41" s="1">
        <v>65</v>
      </c>
      <c r="H41" s="1">
        <v>54.526969999999999</v>
      </c>
      <c r="J41" s="9">
        <v>-0.40000000000000002</v>
      </c>
      <c r="K41" s="2">
        <f t="shared" si="10"/>
        <v>863354.69785752939</v>
      </c>
      <c r="L41" s="3">
        <f t="shared" si="11"/>
        <v>1.5637867559229348</v>
      </c>
      <c r="M41" s="2">
        <f t="shared" si="12"/>
        <v>1350102.6421734514</v>
      </c>
      <c r="N41" s="7">
        <f t="shared" si="13"/>
        <v>850114.47563154588</v>
      </c>
      <c r="O41" s="2">
        <f t="shared" si="14"/>
        <v>499988.16654190538</v>
      </c>
      <c r="P41" s="2">
        <f t="shared" si="5"/>
        <v>1350102.6421734514</v>
      </c>
      <c r="Q41" s="3">
        <f t="shared" si="15"/>
        <v>0</v>
      </c>
    </row>
    <row r="42" spans="1:17" ht="15.65" outlineLevel="2">
      <c r="A42" s="1" t="s">
        <v>29</v>
      </c>
      <c r="B42" s="1" t="s">
        <v>18</v>
      </c>
      <c r="C42" s="2">
        <v>7015600.71</v>
      </c>
      <c r="D42" s="2">
        <v>4933430.4299999997</v>
      </c>
      <c r="E42" s="2">
        <v>2082170.28</v>
      </c>
      <c r="G42" s="1">
        <v>65</v>
      </c>
      <c r="H42" s="1">
        <v>53.533188000000003</v>
      </c>
      <c r="J42" s="9">
        <v>-0.40000000000000002</v>
      </c>
      <c r="K42" s="2">
        <f t="shared" si="10"/>
        <v>1237639.6062867155</v>
      </c>
      <c r="L42" s="3">
        <f t="shared" si="11"/>
        <v>1.5637867559229348</v>
      </c>
      <c r="M42" s="2">
        <f t="shared" si="12"/>
        <v>1935404.4249168411</v>
      </c>
      <c r="N42" s="7">
        <f t="shared" si="13"/>
        <v>1360992.9468522153</v>
      </c>
      <c r="O42" s="2">
        <f t="shared" si="14"/>
        <v>574411.47806462576</v>
      </c>
      <c r="P42" s="2">
        <f t="shared" si="5"/>
        <v>1935404.4249168411</v>
      </c>
      <c r="Q42" s="3">
        <f t="shared" si="15"/>
        <v>0</v>
      </c>
    </row>
    <row r="43" spans="1:17" ht="15.65" outlineLevel="2">
      <c r="A43" s="1" t="s">
        <v>29</v>
      </c>
      <c r="B43" s="1" t="s">
        <v>17</v>
      </c>
      <c r="C43" s="2">
        <v>6268561.7400000002</v>
      </c>
      <c r="D43" s="2">
        <v>5005354.3799999999</v>
      </c>
      <c r="E43" s="2">
        <v>1263207.3600000001</v>
      </c>
      <c r="G43" s="1">
        <v>65</v>
      </c>
      <c r="H43" s="1">
        <v>52.540466000000002</v>
      </c>
      <c r="J43" s="9">
        <v>-0.40000000000000002</v>
      </c>
      <c r="K43" s="2">
        <f t="shared" si="10"/>
        <v>1201590.1250866025</v>
      </c>
      <c r="L43" s="3">
        <f t="shared" si="11"/>
        <v>1.5637867559229348</v>
      </c>
      <c r="M43" s="2">
        <f t="shared" si="12"/>
        <v>1879030.7236582115</v>
      </c>
      <c r="N43" s="7">
        <f t="shared" si="13"/>
        <v>1500378.4046349996</v>
      </c>
      <c r="O43" s="2">
        <f t="shared" si="14"/>
        <v>378652.31902321172</v>
      </c>
      <c r="P43" s="2">
        <f t="shared" si="5"/>
        <v>1879030.7236582113</v>
      </c>
      <c r="Q43" s="3">
        <f t="shared" si="15"/>
        <v>0</v>
      </c>
    </row>
    <row r="44" spans="1:17" ht="15.65" outlineLevel="2">
      <c r="A44" s="1" t="s">
        <v>29</v>
      </c>
      <c r="B44" s="1" t="s">
        <v>16</v>
      </c>
      <c r="C44" s="2">
        <v>7553606.2799999993</v>
      </c>
      <c r="D44" s="2">
        <v>5205849.3899999997</v>
      </c>
      <c r="E44" s="2">
        <v>2347756.8900000001</v>
      </c>
      <c r="G44" s="1">
        <v>65</v>
      </c>
      <c r="H44" s="1">
        <v>51.548991999999998</v>
      </c>
      <c r="J44" s="9">
        <v>-0.40000000000000002</v>
      </c>
      <c r="K44" s="2">
        <f t="shared" si="10"/>
        <v>1563132.5923250804</v>
      </c>
      <c r="L44" s="3">
        <f t="shared" si="11"/>
        <v>1.5637867559229348</v>
      </c>
      <c r="M44" s="2">
        <f t="shared" si="12"/>
        <v>2444406.045629445</v>
      </c>
      <c r="N44" s="7">
        <f t="shared" si="13"/>
        <v>1684653.5614710855</v>
      </c>
      <c r="O44" s="2">
        <f t="shared" si="14"/>
        <v>759752.48415835947</v>
      </c>
      <c r="P44" s="2">
        <f t="shared" si="5"/>
        <v>2444406.045629445</v>
      </c>
      <c r="Q44" s="3">
        <f t="shared" si="15"/>
        <v>0</v>
      </c>
    </row>
    <row r="45" spans="1:17" ht="15.65" outlineLevel="2">
      <c r="A45" s="1" t="s">
        <v>29</v>
      </c>
      <c r="B45" s="1" t="s">
        <v>15</v>
      </c>
      <c r="C45" s="2">
        <v>3811204.0899999999</v>
      </c>
      <c r="D45" s="2">
        <v>2934959.6200000001</v>
      </c>
      <c r="E45" s="2">
        <v>876244.46999999997</v>
      </c>
      <c r="G45" s="1">
        <v>65</v>
      </c>
      <c r="H45" s="1">
        <v>50.558951</v>
      </c>
      <c r="J45" s="9">
        <v>-0.40000000000000002</v>
      </c>
      <c r="K45" s="2">
        <f t="shared" si="10"/>
        <v>846735.15404139087</v>
      </c>
      <c r="L45" s="3">
        <f t="shared" si="11"/>
        <v>1.5637867559229348</v>
      </c>
      <c r="M45" s="2">
        <f t="shared" si="12"/>
        <v>1324113.2196642931</v>
      </c>
      <c r="N45" s="7">
        <f t="shared" si="13"/>
        <v>1019682.6882663453</v>
      </c>
      <c r="O45" s="2">
        <f t="shared" si="14"/>
        <v>304430.53139794781</v>
      </c>
      <c r="P45" s="2">
        <f t="shared" si="5"/>
        <v>1324113.2196642931</v>
      </c>
      <c r="Q45" s="3">
        <f t="shared" si="15"/>
        <v>0</v>
      </c>
    </row>
    <row r="46" spans="1:17" ht="15.65" outlineLevel="2">
      <c r="A46" s="1" t="s">
        <v>29</v>
      </c>
      <c r="B46" s="1" t="s">
        <v>14</v>
      </c>
      <c r="C46" s="2">
        <v>4444837.3700000001</v>
      </c>
      <c r="D46" s="2">
        <v>3262813.6200000001</v>
      </c>
      <c r="E46" s="2">
        <v>1182023.75</v>
      </c>
      <c r="G46" s="1">
        <v>65</v>
      </c>
      <c r="H46" s="1">
        <v>49.570459999999997</v>
      </c>
      <c r="J46" s="9">
        <v>-0.40000000000000002</v>
      </c>
      <c r="K46" s="2">
        <f t="shared" si="10"/>
        <v>1055104.5537524589</v>
      </c>
      <c r="L46" s="3">
        <f t="shared" si="11"/>
        <v>1.5637867559229348</v>
      </c>
      <c r="M46" s="2">
        <f t="shared" si="12"/>
        <v>1649958.5272720736</v>
      </c>
      <c r="N46" s="7">
        <f t="shared" si="13"/>
        <v>1211182.0314403232</v>
      </c>
      <c r="O46" s="2">
        <f t="shared" si="14"/>
        <v>438776.49583175045</v>
      </c>
      <c r="P46" s="2">
        <f t="shared" si="5"/>
        <v>1649958.5272720736</v>
      </c>
      <c r="Q46" s="3">
        <f t="shared" si="15"/>
        <v>0</v>
      </c>
    </row>
    <row r="47" spans="1:17" ht="15.65" outlineLevel="2">
      <c r="A47" s="1" t="s">
        <v>29</v>
      </c>
      <c r="B47" s="1" t="s">
        <v>13</v>
      </c>
      <c r="C47" s="2">
        <v>5243567.2800000003</v>
      </c>
      <c r="D47" s="2">
        <v>3518618.4199999999</v>
      </c>
      <c r="E47" s="2">
        <v>1724948.8600000001</v>
      </c>
      <c r="G47" s="1">
        <v>65</v>
      </c>
      <c r="H47" s="1">
        <v>48.583865000000003</v>
      </c>
      <c r="J47" s="9">
        <v>-0.40000000000000002</v>
      </c>
      <c r="K47" s="2">
        <f t="shared" si="10"/>
        <v>1324293.9746163504</v>
      </c>
      <c r="L47" s="3">
        <f t="shared" si="11"/>
        <v>1.5637867559229348</v>
      </c>
      <c r="M47" s="2">
        <f t="shared" si="12"/>
        <v>2070913.3784535918</v>
      </c>
      <c r="N47" s="7">
        <f t="shared" si="13"/>
        <v>1389655.8526948546</v>
      </c>
      <c r="O47" s="2">
        <f t="shared" si="14"/>
        <v>681257.52575873723</v>
      </c>
      <c r="P47" s="2">
        <f t="shared" si="5"/>
        <v>2070913.3784535918</v>
      </c>
      <c r="Q47" s="3">
        <f t="shared" si="15"/>
        <v>0</v>
      </c>
    </row>
    <row r="48" spans="1:17" ht="15.65" outlineLevel="2">
      <c r="A48" s="1" t="s">
        <v>29</v>
      </c>
      <c r="B48" s="1" t="s">
        <v>12</v>
      </c>
      <c r="C48" s="2">
        <v>4992024.8499999996</v>
      </c>
      <c r="D48" s="2">
        <v>3857293.79</v>
      </c>
      <c r="E48" s="2">
        <v>1134731.0600000001</v>
      </c>
      <c r="G48" s="1">
        <v>65</v>
      </c>
      <c r="H48" s="1">
        <v>47.599161000000002</v>
      </c>
      <c r="J48" s="9">
        <v>-0.40000000000000002</v>
      </c>
      <c r="K48" s="2">
        <f t="shared" si="10"/>
        <v>1336391.0876746019</v>
      </c>
      <c r="L48" s="3">
        <f t="shared" si="11"/>
        <v>1.5637867559229348</v>
      </c>
      <c r="M48" s="2">
        <f t="shared" si="12"/>
        <v>2089830.6836389881</v>
      </c>
      <c r="N48" s="7">
        <f t="shared" si="13"/>
        <v>1614793.8282302669</v>
      </c>
      <c r="O48" s="2">
        <f t="shared" si="14"/>
        <v>475036.85540872137</v>
      </c>
      <c r="P48" s="2">
        <f t="shared" si="5"/>
        <v>2089830.6836389883</v>
      </c>
      <c r="Q48" s="3">
        <f t="shared" si="15"/>
        <v>0</v>
      </c>
    </row>
    <row r="49" spans="1:17" ht="15.65" outlineLevel="2">
      <c r="A49" s="1" t="s">
        <v>29</v>
      </c>
      <c r="B49" s="1" t="s">
        <v>95</v>
      </c>
      <c r="C49" s="2">
        <v>3172902.5199999996</v>
      </c>
      <c r="D49" s="2">
        <v>2443480.2599999998</v>
      </c>
      <c r="E49" s="2">
        <v>729422.26000000001</v>
      </c>
      <c r="G49" s="1">
        <v>65</v>
      </c>
      <c r="H49" s="1">
        <v>46.616928999999999</v>
      </c>
      <c r="J49" s="9">
        <v>-0.40000000000000002</v>
      </c>
      <c r="K49" s="2">
        <f t="shared" si="10"/>
        <v>897349.11232675274</v>
      </c>
      <c r="L49" s="3">
        <f t="shared" si="11"/>
        <v>1.5637867559229348</v>
      </c>
      <c r="M49" s="2">
        <f t="shared" si="12"/>
        <v>1403262.6572957779</v>
      </c>
      <c r="N49" s="7">
        <f t="shared" si="13"/>
        <v>1080664.968773569</v>
      </c>
      <c r="O49" s="2">
        <f t="shared" si="14"/>
        <v>322597.68852220901</v>
      </c>
      <c r="P49" s="2">
        <f t="shared" si="5"/>
        <v>1403262.6572957779</v>
      </c>
      <c r="Q49" s="3">
        <f t="shared" si="15"/>
        <v>0</v>
      </c>
    </row>
    <row r="50" spans="1:17" ht="15.65" outlineLevel="2">
      <c r="A50" s="1" t="s">
        <v>29</v>
      </c>
      <c r="B50" s="1" t="s">
        <v>11</v>
      </c>
      <c r="C50" s="2">
        <v>5532892.4399999995</v>
      </c>
      <c r="D50" s="2">
        <v>3846654.29</v>
      </c>
      <c r="E50" s="2">
        <v>1686238.1499999999</v>
      </c>
      <c r="G50" s="1">
        <v>65</v>
      </c>
      <c r="H50" s="1">
        <v>45.636958</v>
      </c>
      <c r="J50" s="9">
        <v>-0.40000000000000002</v>
      </c>
      <c r="K50" s="2">
        <f t="shared" si="10"/>
        <v>1648209.6722646535</v>
      </c>
      <c r="L50" s="3">
        <f t="shared" si="11"/>
        <v>1.5637867559229348</v>
      </c>
      <c r="M50" s="2">
        <f t="shared" si="12"/>
        <v>2577448.4564715461</v>
      </c>
      <c r="N50" s="7">
        <f t="shared" si="13"/>
        <v>1791929.4961642434</v>
      </c>
      <c r="O50" s="2">
        <f t="shared" si="14"/>
        <v>785518.96030730265</v>
      </c>
      <c r="P50" s="2">
        <f t="shared" si="5"/>
        <v>2577448.4564715461</v>
      </c>
      <c r="Q50" s="3">
        <f t="shared" si="15"/>
        <v>0</v>
      </c>
    </row>
    <row r="51" spans="1:17" ht="15.65" outlineLevel="2">
      <c r="A51" s="1" t="s">
        <v>29</v>
      </c>
      <c r="B51" s="1" t="s">
        <v>10</v>
      </c>
      <c r="C51" s="2">
        <v>2692775.1600000001</v>
      </c>
      <c r="D51" s="2">
        <v>2099205.8500000001</v>
      </c>
      <c r="E51" s="2">
        <v>593569.31000000006</v>
      </c>
      <c r="G51" s="1">
        <v>65</v>
      </c>
      <c r="H51" s="1">
        <v>44.660153000000001</v>
      </c>
      <c r="J51" s="9">
        <v>-0.40000000000000002</v>
      </c>
      <c r="K51" s="2">
        <f t="shared" si="10"/>
        <v>842625.15015077731</v>
      </c>
      <c r="L51" s="3">
        <f t="shared" si="11"/>
        <v>1.5637867559229348</v>
      </c>
      <c r="M51" s="2">
        <f t="shared" si="12"/>
        <v>1317686.0500133599</v>
      </c>
      <c r="N51" s="7">
        <f t="shared" si="13"/>
        <v>1027228.0826637741</v>
      </c>
      <c r="O51" s="2">
        <f t="shared" si="14"/>
        <v>290457.96734958573</v>
      </c>
      <c r="P51" s="2">
        <f t="shared" si="5"/>
        <v>1317686.0500133599</v>
      </c>
      <c r="Q51" s="3">
        <f t="shared" si="15"/>
        <v>0</v>
      </c>
    </row>
    <row r="52" spans="1:17" ht="15.65" outlineLevel="2">
      <c r="A52" s="1" t="s">
        <v>29</v>
      </c>
      <c r="B52" s="1" t="s">
        <v>9</v>
      </c>
      <c r="C52" s="2">
        <v>2400868.3999999999</v>
      </c>
      <c r="D52" s="2">
        <v>1859539.6499999999</v>
      </c>
      <c r="E52" s="2">
        <v>541328.75</v>
      </c>
      <c r="G52" s="1">
        <v>65</v>
      </c>
      <c r="H52" s="1">
        <v>43.686140000000002</v>
      </c>
      <c r="J52" s="9">
        <v>-0.40000000000000002</v>
      </c>
      <c r="K52" s="2">
        <f t="shared" si="10"/>
        <v>787258.04547729227</v>
      </c>
      <c r="L52" s="3">
        <f t="shared" si="11"/>
        <v>1.5637867559229348</v>
      </c>
      <c r="M52" s="2">
        <f t="shared" si="12"/>
        <v>1231103.7050111652</v>
      </c>
      <c r="N52" s="7">
        <f t="shared" si="13"/>
        <v>953524.21345966542</v>
      </c>
      <c r="O52" s="2">
        <f t="shared" si="14"/>
        <v>277579.49155149981</v>
      </c>
      <c r="P52" s="2">
        <f t="shared" si="5"/>
        <v>1231103.7050111652</v>
      </c>
      <c r="Q52" s="3">
        <f t="shared" si="15"/>
        <v>0</v>
      </c>
    </row>
    <row r="53" spans="1:17" ht="15.65" outlineLevel="2">
      <c r="A53" s="1" t="s">
        <v>29</v>
      </c>
      <c r="B53" s="1" t="s">
        <v>94</v>
      </c>
      <c r="C53" s="2">
        <v>2762720.98</v>
      </c>
      <c r="D53" s="2">
        <v>1874311.0700000001</v>
      </c>
      <c r="E53" s="2">
        <v>888409.91000000003</v>
      </c>
      <c r="G53" s="1">
        <v>65</v>
      </c>
      <c r="H53" s="1">
        <v>42.715851000000001</v>
      </c>
      <c r="J53" s="9">
        <v>-0.40000000000000002</v>
      </c>
      <c r="K53" s="2">
        <f t="shared" si="10"/>
        <v>947152.09174993867</v>
      </c>
      <c r="L53" s="3">
        <f t="shared" si="11"/>
        <v>1.5637867559229348</v>
      </c>
      <c r="M53" s="2">
        <f t="shared" si="12"/>
        <v>1481143.8969232584</v>
      </c>
      <c r="N53" s="7">
        <f t="shared" si="13"/>
        <v>1004851.5294751924</v>
      </c>
      <c r="O53" s="2">
        <f t="shared" si="14"/>
        <v>476292.36744806613</v>
      </c>
      <c r="P53" s="2">
        <f t="shared" si="5"/>
        <v>1481143.8969232584</v>
      </c>
      <c r="Q53" s="3">
        <f t="shared" si="15"/>
        <v>0</v>
      </c>
    </row>
    <row r="54" spans="1:17" ht="15.65" outlineLevel="2">
      <c r="A54" s="1" t="s">
        <v>29</v>
      </c>
      <c r="B54" s="1" t="s">
        <v>93</v>
      </c>
      <c r="C54" s="2">
        <v>3367308.9199999999</v>
      </c>
      <c r="D54" s="2">
        <v>2406908.8500000001</v>
      </c>
      <c r="E54" s="2">
        <v>960400.06999999995</v>
      </c>
      <c r="G54" s="1">
        <v>65</v>
      </c>
      <c r="H54" s="1">
        <v>41.749085000000001</v>
      </c>
      <c r="J54" s="9">
        <v>-0.40000000000000002</v>
      </c>
      <c r="K54" s="2">
        <f t="shared" si="10"/>
        <v>1204507.8996563354</v>
      </c>
      <c r="L54" s="3">
        <f t="shared" si="11"/>
        <v>1.5637867559229348</v>
      </c>
      <c r="M54" s="2">
        <f t="shared" si="12"/>
        <v>1883593.5008871285</v>
      </c>
      <c r="N54" s="7">
        <f t="shared" si="13"/>
        <v>1346368.2646282758</v>
      </c>
      <c r="O54" s="2">
        <f t="shared" si="14"/>
        <v>537225.23625885311</v>
      </c>
      <c r="P54" s="2">
        <f t="shared" si="5"/>
        <v>1883593.500887129</v>
      </c>
      <c r="Q54" s="3">
        <f t="shared" si="15"/>
        <v>0</v>
      </c>
    </row>
    <row r="55" spans="1:17" ht="15.65" outlineLevel="2">
      <c r="A55" s="1" t="s">
        <v>29</v>
      </c>
      <c r="B55" s="1" t="s">
        <v>92</v>
      </c>
      <c r="C55" s="2">
        <v>1771814.54</v>
      </c>
      <c r="D55" s="2">
        <v>1316848</v>
      </c>
      <c r="E55" s="2">
        <v>454966.53999999998</v>
      </c>
      <c r="G55" s="1">
        <v>65</v>
      </c>
      <c r="H55" s="1">
        <v>40.786628999999998</v>
      </c>
      <c r="J55" s="9">
        <v>-0.40000000000000002</v>
      </c>
      <c r="K55" s="2">
        <f t="shared" si="10"/>
        <v>660024.65846483596</v>
      </c>
      <c r="L55" s="3">
        <f t="shared" si="11"/>
        <v>1.5637867559229348</v>
      </c>
      <c r="M55" s="2">
        <f t="shared" si="12"/>
        <v>1032137.8194898688</v>
      </c>
      <c r="N55" s="7">
        <f t="shared" si="13"/>
        <v>767105.46879223303</v>
      </c>
      <c r="O55" s="2">
        <f t="shared" si="14"/>
        <v>265032.35069763573</v>
      </c>
      <c r="P55" s="2">
        <f t="shared" si="5"/>
        <v>1032137.8194898688</v>
      </c>
      <c r="Q55" s="3">
        <f t="shared" si="15"/>
        <v>0</v>
      </c>
    </row>
    <row r="56" spans="1:17" ht="15.65" outlineLevel="2">
      <c r="A56" s="1" t="s">
        <v>29</v>
      </c>
      <c r="B56" s="1" t="s">
        <v>91</v>
      </c>
      <c r="C56" s="2">
        <v>172271.53</v>
      </c>
      <c r="D56" s="2">
        <v>137477.19</v>
      </c>
      <c r="E56" s="2">
        <v>34794.339999999997</v>
      </c>
      <c r="G56" s="1">
        <v>65</v>
      </c>
      <c r="H56" s="1">
        <v>39.828541000000001</v>
      </c>
      <c r="J56" s="9">
        <v>-0.40000000000000002</v>
      </c>
      <c r="K56" s="2">
        <f t="shared" si="10"/>
        <v>66712.703911727222</v>
      </c>
      <c r="L56" s="3">
        <f t="shared" si="11"/>
        <v>1.5637867559229348</v>
      </c>
      <c r="M56" s="2">
        <f t="shared" si="12"/>
        <v>104324.44282896719</v>
      </c>
      <c r="N56" s="7">
        <f t="shared" si="13"/>
        <v>83253.635980606079</v>
      </c>
      <c r="O56" s="2">
        <f t="shared" si="14"/>
        <v>21070.806848361106</v>
      </c>
      <c r="P56" s="2">
        <f t="shared" si="5"/>
        <v>104324.44282896718</v>
      </c>
      <c r="Q56" s="3">
        <f t="shared" si="15"/>
        <v>0</v>
      </c>
    </row>
    <row r="57" spans="1:17" ht="15.65" outlineLevel="2">
      <c r="A57" s="1" t="s">
        <v>29</v>
      </c>
      <c r="B57" s="1" t="s">
        <v>90</v>
      </c>
      <c r="C57" s="2">
        <v>799417.10999999999</v>
      </c>
      <c r="D57" s="2">
        <v>601420.78000000003</v>
      </c>
      <c r="E57" s="2">
        <v>197996.32999999999</v>
      </c>
      <c r="G57" s="1">
        <v>65</v>
      </c>
      <c r="H57" s="1">
        <v>38.875360000000001</v>
      </c>
      <c r="J57" s="9">
        <v>-0.40000000000000002</v>
      </c>
      <c r="K57" s="2">
        <f t="shared" si="10"/>
        <v>321299.7570552369</v>
      </c>
      <c r="L57" s="3">
        <f t="shared" si="11"/>
        <v>1.5637867559229348</v>
      </c>
      <c r="M57" s="2">
        <f t="shared" si="12"/>
        <v>502444.30476423597</v>
      </c>
      <c r="N57" s="7">
        <f t="shared" si="13"/>
        <v>378000.97333151218</v>
      </c>
      <c r="O57" s="2">
        <f t="shared" si="14"/>
        <v>124443.33143272382</v>
      </c>
      <c r="P57" s="2">
        <f t="shared" si="5"/>
        <v>502444.30476423597</v>
      </c>
      <c r="Q57" s="3">
        <f t="shared" si="15"/>
        <v>0</v>
      </c>
    </row>
    <row r="58" spans="1:17" ht="15.65" outlineLevel="2">
      <c r="A58" s="1" t="s">
        <v>29</v>
      </c>
      <c r="B58" s="1" t="s">
        <v>89</v>
      </c>
      <c r="C58" s="2">
        <v>1085422.02</v>
      </c>
      <c r="D58" s="2">
        <v>736391.29000000004</v>
      </c>
      <c r="E58" s="2">
        <v>349030.72999999998</v>
      </c>
      <c r="G58" s="1">
        <v>65</v>
      </c>
      <c r="H58" s="1">
        <v>37.927515</v>
      </c>
      <c r="J58" s="9">
        <v>-0.40000000000000002</v>
      </c>
      <c r="K58" s="2">
        <f t="shared" si="10"/>
        <v>452078.02084799542</v>
      </c>
      <c r="L58" s="3">
        <f t="shared" si="11"/>
        <v>1.5637867559229348</v>
      </c>
      <c r="M58" s="2">
        <f t="shared" si="12"/>
        <v>706953.62164594769</v>
      </c>
      <c r="N58" s="7">
        <f t="shared" si="13"/>
        <v>479624.03546413343</v>
      </c>
      <c r="O58" s="2">
        <f t="shared" si="14"/>
        <v>227329.58618181426</v>
      </c>
      <c r="P58" s="2">
        <f t="shared" si="5"/>
        <v>706953.62164594769</v>
      </c>
      <c r="Q58" s="3">
        <f t="shared" si="15"/>
        <v>0</v>
      </c>
    </row>
    <row r="59" spans="1:17" ht="15.65" outlineLevel="2">
      <c r="A59" s="1" t="s">
        <v>29</v>
      </c>
      <c r="B59" s="1" t="s">
        <v>8</v>
      </c>
      <c r="C59" s="2">
        <v>884960.47999999998</v>
      </c>
      <c r="D59" s="2">
        <v>695821.07999999996</v>
      </c>
      <c r="E59" s="2">
        <v>189139.39999999999</v>
      </c>
      <c r="G59" s="1">
        <v>65</v>
      </c>
      <c r="H59" s="1">
        <v>36.985152999999997</v>
      </c>
      <c r="J59" s="9">
        <v>-0.40000000000000002</v>
      </c>
      <c r="K59" s="2">
        <f t="shared" si="10"/>
        <v>381415.88381917786</v>
      </c>
      <c r="L59" s="3">
        <f t="shared" si="11"/>
        <v>1.5637867559229348</v>
      </c>
      <c r="M59" s="2">
        <f t="shared" si="12"/>
        <v>596453.10761507112</v>
      </c>
      <c r="N59" s="7">
        <f t="shared" si="13"/>
        <v>468975.34397250711</v>
      </c>
      <c r="O59" s="2">
        <f t="shared" si="14"/>
        <v>127477.76364256399</v>
      </c>
      <c r="P59" s="2">
        <f t="shared" si="5"/>
        <v>596453.10761507112</v>
      </c>
      <c r="Q59" s="3">
        <f t="shared" si="15"/>
        <v>0</v>
      </c>
    </row>
    <row r="60" spans="1:17" ht="15.65" outlineLevel="2">
      <c r="A60" s="1" t="s">
        <v>29</v>
      </c>
      <c r="B60" s="1" t="s">
        <v>88</v>
      </c>
      <c r="C60" s="2">
        <v>283387.12</v>
      </c>
      <c r="D60" s="2">
        <v>245751.85999999999</v>
      </c>
      <c r="E60" s="2">
        <v>37635.260000000002</v>
      </c>
      <c r="G60" s="1">
        <v>65</v>
      </c>
      <c r="H60" s="1">
        <v>36.049205999999998</v>
      </c>
      <c r="J60" s="9">
        <v>-0.40000000000000002</v>
      </c>
      <c r="K60" s="2">
        <f t="shared" si="10"/>
        <v>126219.72512881969</v>
      </c>
      <c r="L60" s="3">
        <f t="shared" si="11"/>
        <v>1.5637867559229348</v>
      </c>
      <c r="M60" s="2">
        <f t="shared" si="12"/>
        <v>197380.73449268148</v>
      </c>
      <c r="N60" s="7">
        <f t="shared" si="13"/>
        <v>171167.56269566037</v>
      </c>
      <c r="O60" s="2">
        <f t="shared" si="14"/>
        <v>26213.17179702111</v>
      </c>
      <c r="P60" s="2">
        <f t="shared" si="5"/>
        <v>197380.73449268148</v>
      </c>
      <c r="Q60" s="3">
        <f t="shared" si="15"/>
        <v>0</v>
      </c>
    </row>
    <row r="61" spans="1:17" ht="15.65" outlineLevel="2">
      <c r="A61" s="1" t="s">
        <v>29</v>
      </c>
      <c r="B61" s="1" t="s">
        <v>7</v>
      </c>
      <c r="C61" s="2">
        <v>1153850.6599999999</v>
      </c>
      <c r="D61" s="2">
        <v>963834.46999999997</v>
      </c>
      <c r="E61" s="2">
        <v>190016.19</v>
      </c>
      <c r="G61" s="1">
        <v>65</v>
      </c>
      <c r="H61" s="1">
        <v>35.119293999999996</v>
      </c>
      <c r="J61" s="9">
        <v>-0.40000000000000002</v>
      </c>
      <c r="K61" s="2">
        <f t="shared" si="10"/>
        <v>530428.80522101477</v>
      </c>
      <c r="L61" s="3">
        <f t="shared" si="11"/>
        <v>1.5637867559229348</v>
      </c>
      <c r="M61" s="2">
        <f t="shared" si="12"/>
        <v>829477.54056464892</v>
      </c>
      <c r="N61" s="7">
        <f t="shared" si="13"/>
        <v>692879.13367145101</v>
      </c>
      <c r="O61" s="2">
        <f t="shared" si="14"/>
        <v>136598.40689319797</v>
      </c>
      <c r="P61" s="2">
        <f t="shared" si="5"/>
        <v>829477.54056464904</v>
      </c>
      <c r="Q61" s="3">
        <f t="shared" si="15"/>
        <v>0</v>
      </c>
    </row>
    <row r="62" spans="1:17" ht="15.65" outlineLevel="2">
      <c r="A62" s="1" t="s">
        <v>29</v>
      </c>
      <c r="B62" s="1" t="s">
        <v>87</v>
      </c>
      <c r="C62" s="2">
        <v>427665.41999999998</v>
      </c>
      <c r="D62" s="2">
        <v>350468.47999999998</v>
      </c>
      <c r="E62" s="2">
        <v>77196.940000000002</v>
      </c>
      <c r="G62" s="1">
        <v>65</v>
      </c>
      <c r="H62" s="1">
        <v>34.196973</v>
      </c>
      <c r="J62" s="9">
        <v>-0.40000000000000002</v>
      </c>
      <c r="K62" s="2">
        <f t="shared" si="10"/>
        <v>202667.53044963599</v>
      </c>
      <c r="L62" s="3">
        <f t="shared" si="11"/>
        <v>1.5637867559229348</v>
      </c>
      <c r="M62" s="2">
        <f t="shared" si="12"/>
        <v>316928.79997274885</v>
      </c>
      <c r="N62" s="7">
        <f t="shared" si="13"/>
        <v>259720.68257160779</v>
      </c>
      <c r="O62" s="2">
        <f t="shared" si="14"/>
        <v>57208.117401141055</v>
      </c>
      <c r="P62" s="2">
        <f t="shared" si="5"/>
        <v>316928.79997274885</v>
      </c>
      <c r="Q62" s="3">
        <f t="shared" si="15"/>
        <v>0</v>
      </c>
    </row>
    <row r="63" spans="1:17" ht="15.65" outlineLevel="2">
      <c r="A63" s="1" t="s">
        <v>29</v>
      </c>
      <c r="B63" s="1" t="s">
        <v>6</v>
      </c>
      <c r="C63" s="2">
        <v>1023077.16</v>
      </c>
      <c r="D63" s="2">
        <v>812568.62</v>
      </c>
      <c r="E63" s="2">
        <v>210508.54000000001</v>
      </c>
      <c r="G63" s="1">
        <v>65</v>
      </c>
      <c r="H63" s="1">
        <v>33.281171999999998</v>
      </c>
      <c r="J63" s="9">
        <v>-0.40000000000000002</v>
      </c>
      <c r="K63" s="2">
        <f t="shared" si="16" ref="K63:K94">+C63*(1-I63)*(1-H63/G63)</f>
        <v>499243.20721182285</v>
      </c>
      <c r="L63" s="3">
        <f t="shared" si="17" ref="L63:L94">$L$126</f>
        <v>1.5637867559229348</v>
      </c>
      <c r="M63" s="2">
        <f t="shared" si="18" ref="M63:M94">IF((C63*(1-J63)-K63*L63)&lt;0,C63*(1-J63),K63*L63)</f>
        <v>780709.91542233794</v>
      </c>
      <c r="N63" s="7">
        <f t="shared" si="19" ref="N63:N94">+D63/$C63*$M63</f>
        <v>620070.90315167024</v>
      </c>
      <c r="O63" s="2">
        <f t="shared" si="20" ref="O63:O94">+E63/$C63*$M63</f>
        <v>160639.01227066768</v>
      </c>
      <c r="P63" s="2">
        <f t="shared" si="5"/>
        <v>780709.91542233794</v>
      </c>
      <c r="Q63" s="3">
        <f t="shared" si="15"/>
        <v>0</v>
      </c>
    </row>
    <row r="64" spans="1:17" ht="15.65" outlineLevel="2">
      <c r="A64" s="1" t="s">
        <v>29</v>
      </c>
      <c r="B64" s="1" t="s">
        <v>5</v>
      </c>
      <c r="C64" s="2">
        <v>1331493.8300000001</v>
      </c>
      <c r="D64" s="2">
        <v>1008911.96</v>
      </c>
      <c r="E64" s="2">
        <v>322581.87</v>
      </c>
      <c r="G64" s="1">
        <v>65</v>
      </c>
      <c r="H64" s="1">
        <v>32.374229</v>
      </c>
      <c r="J64" s="9">
        <v>-0.40000000000000002</v>
      </c>
      <c r="K64" s="2">
        <f t="shared" si="16"/>
        <v>668323.27362296823</v>
      </c>
      <c r="L64" s="3">
        <f t="shared" si="17"/>
        <v>1.5637867559229348</v>
      </c>
      <c r="M64" s="2">
        <f t="shared" si="18"/>
        <v>1045115.0839666574</v>
      </c>
      <c r="N64" s="7">
        <f t="shared" si="19"/>
        <v>791914.37769588816</v>
      </c>
      <c r="O64" s="2">
        <f t="shared" si="20"/>
        <v>253200.70627076909</v>
      </c>
      <c r="P64" s="2">
        <f t="shared" si="5"/>
        <v>1045115.0839666573</v>
      </c>
      <c r="Q64" s="3">
        <f t="shared" si="15"/>
        <v>0</v>
      </c>
    </row>
    <row r="65" spans="1:17" ht="15.65" outlineLevel="2">
      <c r="A65" s="1" t="s">
        <v>29</v>
      </c>
      <c r="B65" s="1" t="s">
        <v>4</v>
      </c>
      <c r="C65" s="2">
        <v>799944.48999999999</v>
      </c>
      <c r="D65" s="2">
        <v>619980.90000000002</v>
      </c>
      <c r="E65" s="2">
        <v>179963.59</v>
      </c>
      <c r="G65" s="1">
        <v>65</v>
      </c>
      <c r="H65" s="1">
        <v>31.474575999999999</v>
      </c>
      <c r="J65" s="9">
        <v>-0.40000000000000002</v>
      </c>
      <c r="K65" s="2">
        <f t="shared" si="16"/>
        <v>412591.97236482706</v>
      </c>
      <c r="L65" s="3">
        <f t="shared" si="17"/>
        <v>1.5637867559229348</v>
      </c>
      <c r="M65" s="2">
        <f t="shared" si="18"/>
        <v>645205.86198423803</v>
      </c>
      <c r="N65" s="7">
        <f t="shared" si="19"/>
        <v>500053.83623339125</v>
      </c>
      <c r="O65" s="2">
        <f t="shared" si="20"/>
        <v>145152.02575084681</v>
      </c>
      <c r="P65" s="2">
        <f t="shared" si="5"/>
        <v>645205.86198423803</v>
      </c>
      <c r="Q65" s="3">
        <f t="shared" si="15"/>
        <v>0</v>
      </c>
    </row>
    <row r="66" spans="1:17" ht="15.65" outlineLevel="2">
      <c r="A66" s="1" t="s">
        <v>29</v>
      </c>
      <c r="B66" s="1" t="s">
        <v>3</v>
      </c>
      <c r="C66" s="2">
        <v>1245949.8900000001</v>
      </c>
      <c r="D66" s="2">
        <v>952396.76000000001</v>
      </c>
      <c r="E66" s="2">
        <v>293553.13</v>
      </c>
      <c r="G66" s="1">
        <v>65</v>
      </c>
      <c r="H66" s="1">
        <v>30.584372999999999</v>
      </c>
      <c r="J66" s="9">
        <v>-0.40000000000000002</v>
      </c>
      <c r="K66" s="2">
        <f t="shared" si="16"/>
        <v>659694.56422970816</v>
      </c>
      <c r="L66" s="3">
        <f t="shared" si="17"/>
        <v>1.5637867559229348</v>
      </c>
      <c r="M66" s="2">
        <f t="shared" si="18"/>
        <v>1031621.6224967695</v>
      </c>
      <c r="N66" s="7">
        <f t="shared" si="19"/>
        <v>788565.49424460903</v>
      </c>
      <c r="O66" s="2">
        <f t="shared" si="20"/>
        <v>243056.12825216033</v>
      </c>
      <c r="P66" s="2">
        <f t="shared" si="21" ref="P66:P129">+N66+O66</f>
        <v>1031621.6224967693</v>
      </c>
      <c r="Q66" s="3">
        <f t="shared" si="22" ref="Q66:Q97">+M66-P66</f>
        <v>0</v>
      </c>
    </row>
    <row r="67" spans="1:17" ht="15.65" outlineLevel="2">
      <c r="A67" s="1" t="s">
        <v>29</v>
      </c>
      <c r="B67" s="1" t="s">
        <v>86</v>
      </c>
      <c r="C67" s="2">
        <v>873289.01000000001</v>
      </c>
      <c r="D67" s="2">
        <v>740569.42000000004</v>
      </c>
      <c r="E67" s="2">
        <v>132719.59</v>
      </c>
      <c r="G67" s="1">
        <v>65</v>
      </c>
      <c r="H67" s="1">
        <v>29.702555</v>
      </c>
      <c r="J67" s="9">
        <v>-0.40000000000000002</v>
      </c>
      <c r="K67" s="2">
        <f t="shared" si="16"/>
        <v>474228.78153199155</v>
      </c>
      <c r="L67" s="3">
        <f t="shared" si="17"/>
        <v>1.5637867559229348</v>
      </c>
      <c r="M67" s="2">
        <f t="shared" si="18"/>
        <v>741592.68783719931</v>
      </c>
      <c r="N67" s="7">
        <f t="shared" si="19"/>
        <v>628887.87150526</v>
      </c>
      <c r="O67" s="2">
        <f t="shared" si="20"/>
        <v>112704.81633193928</v>
      </c>
      <c r="P67" s="2">
        <f t="shared" si="21"/>
        <v>741592.68783719931</v>
      </c>
      <c r="Q67" s="3">
        <f t="shared" si="22"/>
        <v>0</v>
      </c>
    </row>
    <row r="68" spans="1:17" ht="15.65" outlineLevel="2">
      <c r="A68" s="1" t="s">
        <v>29</v>
      </c>
      <c r="B68" s="1" t="s">
        <v>85</v>
      </c>
      <c r="C68" s="2">
        <v>1107833.46</v>
      </c>
      <c r="D68" s="2">
        <v>925748.70999999996</v>
      </c>
      <c r="E68" s="2">
        <v>182084.75</v>
      </c>
      <c r="G68" s="1">
        <v>65</v>
      </c>
      <c r="H68" s="1">
        <v>28.830658</v>
      </c>
      <c r="J68" s="9">
        <v>-0.40000000000000002</v>
      </c>
      <c r="K68" s="2">
        <f t="shared" si="16"/>
        <v>616455.49682743568</v>
      </c>
      <c r="L68" s="3">
        <f t="shared" si="17"/>
        <v>1.5637867559229348</v>
      </c>
      <c r="M68" s="2">
        <f t="shared" si="18"/>
        <v>964004.94155463669</v>
      </c>
      <c r="N68" s="7">
        <f t="shared" si="19"/>
        <v>805560.00816027913</v>
      </c>
      <c r="O68" s="2">
        <f t="shared" si="20"/>
        <v>158444.93339435753</v>
      </c>
      <c r="P68" s="2">
        <f t="shared" si="21"/>
        <v>964004.94155463669</v>
      </c>
      <c r="Q68" s="3">
        <f t="shared" si="22"/>
        <v>0</v>
      </c>
    </row>
    <row r="69" spans="1:17" ht="15.65" outlineLevel="2">
      <c r="A69" s="1" t="s">
        <v>29</v>
      </c>
      <c r="B69" s="1" t="s">
        <v>84</v>
      </c>
      <c r="C69" s="2">
        <v>1712529.5799999998</v>
      </c>
      <c r="D69" s="2">
        <v>1305106.4199999999</v>
      </c>
      <c r="E69" s="2">
        <v>407423.15999999997</v>
      </c>
      <c r="G69" s="1">
        <v>65</v>
      </c>
      <c r="H69" s="1">
        <v>27.968263</v>
      </c>
      <c r="J69" s="9">
        <v>-0.40000000000000002</v>
      </c>
      <c r="K69" s="2">
        <f t="shared" si="16"/>
        <v>975660.69248123781</v>
      </c>
      <c r="L69" s="3">
        <f t="shared" si="17"/>
        <v>1.5637867559229348</v>
      </c>
      <c r="M69" s="2">
        <f t="shared" si="18"/>
        <v>1525725.2691767591</v>
      </c>
      <c r="N69" s="7">
        <f t="shared" si="19"/>
        <v>1162744.2043709497</v>
      </c>
      <c r="O69" s="2">
        <f t="shared" si="20"/>
        <v>362981.06480580952</v>
      </c>
      <c r="P69" s="2">
        <f t="shared" si="21"/>
        <v>1525725.2691767593</v>
      </c>
      <c r="Q69" s="3">
        <f t="shared" si="22"/>
        <v>0</v>
      </c>
    </row>
    <row r="70" spans="1:17" ht="15.65" outlineLevel="2">
      <c r="A70" s="1" t="s">
        <v>29</v>
      </c>
      <c r="B70" s="1" t="s">
        <v>83</v>
      </c>
      <c r="C70" s="2">
        <v>857536.02000000002</v>
      </c>
      <c r="D70" s="2">
        <v>679304.38</v>
      </c>
      <c r="E70" s="2">
        <v>178231.64000000001</v>
      </c>
      <c r="G70" s="1">
        <v>65</v>
      </c>
      <c r="H70" s="1">
        <v>27.116101</v>
      </c>
      <c r="J70" s="9">
        <v>-0.40000000000000002</v>
      </c>
      <c r="K70" s="2">
        <f t="shared" si="16"/>
        <v>499797.04570064577</v>
      </c>
      <c r="L70" s="3">
        <f t="shared" si="17"/>
        <v>1.5637867559229348</v>
      </c>
      <c r="M70" s="2">
        <f t="shared" si="18"/>
        <v>781576.00071607961</v>
      </c>
      <c r="N70" s="7">
        <f t="shared" si="19"/>
        <v>619132.01102539804</v>
      </c>
      <c r="O70" s="2">
        <f t="shared" si="20"/>
        <v>162443.98969068151</v>
      </c>
      <c r="P70" s="2">
        <f t="shared" si="21"/>
        <v>781576.00071607949</v>
      </c>
      <c r="Q70" s="3">
        <f t="shared" si="22"/>
        <v>0</v>
      </c>
    </row>
    <row r="71" spans="1:17" ht="15.65" outlineLevel="2">
      <c r="A71" s="1" t="s">
        <v>29</v>
      </c>
      <c r="B71" s="1" t="s">
        <v>2</v>
      </c>
      <c r="C71" s="2">
        <v>885384.93999999994</v>
      </c>
      <c r="D71" s="2">
        <v>708827.09999999998</v>
      </c>
      <c r="E71" s="2">
        <v>176557.84</v>
      </c>
      <c r="G71" s="1">
        <v>65</v>
      </c>
      <c r="H71" s="1">
        <v>26.274542</v>
      </c>
      <c r="J71" s="9">
        <v>-0.40000000000000002</v>
      </c>
      <c r="K71" s="2">
        <f t="shared" si="16"/>
        <v>527491.34319696191</v>
      </c>
      <c r="L71" s="3">
        <f t="shared" si="17"/>
        <v>1.5637867559229348</v>
      </c>
      <c r="M71" s="2">
        <f t="shared" si="18"/>
        <v>824883.97635540855</v>
      </c>
      <c r="N71" s="7">
        <f t="shared" si="19"/>
        <v>660390.85417069867</v>
      </c>
      <c r="O71" s="2">
        <f t="shared" si="20"/>
        <v>164493.12218470985</v>
      </c>
      <c r="P71" s="2">
        <f t="shared" si="21"/>
        <v>824883.97635540855</v>
      </c>
      <c r="Q71" s="3">
        <f t="shared" si="22"/>
        <v>0</v>
      </c>
    </row>
    <row r="72" spans="1:17" ht="15.65" outlineLevel="2">
      <c r="A72" s="1" t="s">
        <v>29</v>
      </c>
      <c r="B72" s="1" t="s">
        <v>82</v>
      </c>
      <c r="C72" s="2">
        <v>380171.01000000001</v>
      </c>
      <c r="D72" s="2">
        <v>278633.59000000003</v>
      </c>
      <c r="E72" s="2">
        <v>101537.42</v>
      </c>
      <c r="G72" s="1">
        <v>65</v>
      </c>
      <c r="H72" s="1">
        <v>25.443353999999999</v>
      </c>
      <c r="J72" s="9">
        <v>-0.40000000000000002</v>
      </c>
      <c r="K72" s="2">
        <f t="shared" si="16"/>
        <v>231358.30864665326</v>
      </c>
      <c r="L72" s="3">
        <f t="shared" si="17"/>
        <v>1.5637867559229348</v>
      </c>
      <c r="M72" s="2">
        <f t="shared" si="18"/>
        <v>361795.05893436697</v>
      </c>
      <c r="N72" s="7">
        <f t="shared" si="19"/>
        <v>265165.55303663015</v>
      </c>
      <c r="O72" s="2">
        <f t="shared" si="20"/>
        <v>96629.505897736846</v>
      </c>
      <c r="P72" s="2">
        <f t="shared" si="21"/>
        <v>361795.05893436703</v>
      </c>
      <c r="Q72" s="3">
        <f t="shared" si="22"/>
        <v>0</v>
      </c>
    </row>
    <row r="73" spans="1:17" ht="15.65" outlineLevel="2">
      <c r="A73" s="1" t="s">
        <v>29</v>
      </c>
      <c r="B73" s="1" t="s">
        <v>81</v>
      </c>
      <c r="C73" s="2">
        <v>889118.79000000004</v>
      </c>
      <c r="D73" s="2">
        <v>728441.81000000006</v>
      </c>
      <c r="E73" s="2">
        <v>160676.98000000001</v>
      </c>
      <c r="G73" s="1">
        <v>65</v>
      </c>
      <c r="H73" s="1">
        <v>24.623823000000002</v>
      </c>
      <c r="J73" s="9">
        <v>-0.40000000000000002</v>
      </c>
      <c r="K73" s="2">
        <f t="shared" si="16"/>
        <v>552295.65598562814</v>
      </c>
      <c r="L73" s="3">
        <f t="shared" si="17"/>
        <v>1.5637867559229348</v>
      </c>
      <c r="M73" s="2">
        <f t="shared" si="18"/>
        <v>863672.63218409463</v>
      </c>
      <c r="N73" s="7">
        <f t="shared" si="19"/>
        <v>707594.15109835449</v>
      </c>
      <c r="O73" s="2">
        <f t="shared" si="20"/>
        <v>156078.48108574012</v>
      </c>
      <c r="P73" s="2">
        <f t="shared" si="21"/>
        <v>863672.63218409463</v>
      </c>
      <c r="Q73" s="3">
        <f t="shared" si="22"/>
        <v>0</v>
      </c>
    </row>
    <row r="74" spans="1:17" ht="15.65" outlineLevel="2">
      <c r="A74" s="1" t="s">
        <v>29</v>
      </c>
      <c r="B74" s="1" t="s">
        <v>80</v>
      </c>
      <c r="C74" s="2">
        <v>329547.74000000005</v>
      </c>
      <c r="D74" s="2">
        <v>269076.28000000003</v>
      </c>
      <c r="E74" s="2">
        <v>60471.459999999999</v>
      </c>
      <c r="G74" s="1">
        <v>65</v>
      </c>
      <c r="H74" s="1">
        <v>23.814592999999999</v>
      </c>
      <c r="J74" s="9">
        <v>-0.40000000000000002</v>
      </c>
      <c r="K74" s="2">
        <f t="shared" si="16"/>
        <v>208808.58150507973</v>
      </c>
      <c r="L74" s="3">
        <f t="shared" si="17"/>
        <v>1.5637867559229348</v>
      </c>
      <c r="M74" s="2">
        <f t="shared" si="18"/>
        <v>326532.09428069834</v>
      </c>
      <c r="N74" s="7">
        <f t="shared" si="19"/>
        <v>266614.00023456261</v>
      </c>
      <c r="O74" s="2">
        <f t="shared" si="20"/>
        <v>59918.094046135702</v>
      </c>
      <c r="P74" s="2">
        <f t="shared" si="21"/>
        <v>326532.09428069834</v>
      </c>
      <c r="Q74" s="3">
        <f t="shared" si="22"/>
        <v>0</v>
      </c>
    </row>
    <row r="75" spans="1:17" ht="15.65" outlineLevel="2">
      <c r="A75" s="1" t="s">
        <v>29</v>
      </c>
      <c r="B75" s="1" t="s">
        <v>79</v>
      </c>
      <c r="C75" s="2">
        <v>330769.53999999998</v>
      </c>
      <c r="D75" s="2">
        <v>257098.54999999999</v>
      </c>
      <c r="E75" s="2">
        <v>73670.990000000005</v>
      </c>
      <c r="G75" s="1">
        <v>65</v>
      </c>
      <c r="H75" s="1">
        <v>23.017983999999998</v>
      </c>
      <c r="J75" s="9">
        <v>-0.40000000000000002</v>
      </c>
      <c r="K75" s="2">
        <f t="shared" si="16"/>
        <v>213636.49416296367</v>
      </c>
      <c r="L75" s="3">
        <f t="shared" si="17"/>
        <v>1.5637867559229348</v>
      </c>
      <c r="M75" s="2">
        <f t="shared" si="18"/>
        <v>334081.92015384999</v>
      </c>
      <c r="N75" s="7">
        <f t="shared" si="19"/>
        <v>259673.17683717373</v>
      </c>
      <c r="O75" s="2">
        <f t="shared" si="20"/>
        <v>74408.743316676278</v>
      </c>
      <c r="P75" s="2">
        <f t="shared" si="21"/>
        <v>334081.92015384999</v>
      </c>
      <c r="Q75" s="3">
        <f t="shared" si="22"/>
        <v>0</v>
      </c>
    </row>
    <row r="76" spans="1:17" ht="15.65" outlineLevel="2">
      <c r="A76" s="1" t="s">
        <v>29</v>
      </c>
      <c r="B76" s="1" t="s">
        <v>78</v>
      </c>
      <c r="C76" s="2">
        <v>274677.78000000003</v>
      </c>
      <c r="D76" s="2">
        <v>192397.48000000001</v>
      </c>
      <c r="E76" s="2">
        <v>82280.300000000003</v>
      </c>
      <c r="G76" s="1">
        <v>65</v>
      </c>
      <c r="H76" s="1">
        <v>22.231399</v>
      </c>
      <c r="J76" s="9">
        <v>-0.40000000000000002</v>
      </c>
      <c r="K76" s="2">
        <f t="shared" si="16"/>
        <v>180732.06732901203</v>
      </c>
      <c r="L76" s="3">
        <f t="shared" si="17"/>
        <v>1.5637867559229348</v>
      </c>
      <c r="M76" s="2">
        <f t="shared" si="18"/>
        <v>282626.41325968114</v>
      </c>
      <c r="N76" s="7">
        <f t="shared" si="19"/>
        <v>197965.08364310078</v>
      </c>
      <c r="O76" s="2">
        <f t="shared" si="20"/>
        <v>84661.329616580333</v>
      </c>
      <c r="P76" s="2">
        <f t="shared" si="21"/>
        <v>282626.41325968108</v>
      </c>
      <c r="Q76" s="3">
        <f t="shared" si="22"/>
        <v>0</v>
      </c>
    </row>
    <row r="77" spans="1:17" ht="15.65" outlineLevel="2">
      <c r="A77" s="1" t="s">
        <v>29</v>
      </c>
      <c r="B77" s="1" t="s">
        <v>77</v>
      </c>
      <c r="C77" s="2">
        <v>649911.25</v>
      </c>
      <c r="D77" s="2">
        <v>493056.13</v>
      </c>
      <c r="E77" s="2">
        <v>156855.12</v>
      </c>
      <c r="G77" s="1">
        <v>65</v>
      </c>
      <c r="H77" s="1">
        <v>21.458255000000001</v>
      </c>
      <c r="J77" s="9">
        <v>-0.40000000000000002</v>
      </c>
      <c r="K77" s="2">
        <f t="shared" si="16"/>
        <v>435357.99877124996</v>
      </c>
      <c r="L77" s="3">
        <f t="shared" si="17"/>
        <v>1.5637867559229348</v>
      </c>
      <c r="M77" s="2">
        <f t="shared" si="18"/>
        <v>680807.07256359397</v>
      </c>
      <c r="N77" s="7">
        <f t="shared" si="19"/>
        <v>516495.29143376858</v>
      </c>
      <c r="O77" s="2">
        <f t="shared" si="20"/>
        <v>164311.7811298254</v>
      </c>
      <c r="P77" s="2">
        <f t="shared" si="21"/>
        <v>680807.07256359397</v>
      </c>
      <c r="Q77" s="3">
        <f t="shared" si="22"/>
        <v>0</v>
      </c>
    </row>
    <row r="78" spans="1:17" ht="15.65" outlineLevel="2">
      <c r="A78" s="1" t="s">
        <v>29</v>
      </c>
      <c r="B78" s="1" t="s">
        <v>76</v>
      </c>
      <c r="C78" s="2">
        <v>840930.87000000011</v>
      </c>
      <c r="D78" s="2">
        <v>640798.81000000006</v>
      </c>
      <c r="E78" s="2">
        <v>200132.06</v>
      </c>
      <c r="G78" s="1">
        <v>65</v>
      </c>
      <c r="H78" s="1">
        <v>20.695225000000001</v>
      </c>
      <c r="J78" s="9">
        <v>-0.40000000000000002</v>
      </c>
      <c r="K78" s="2">
        <f t="shared" si="16"/>
        <v>573188.50747545005</v>
      </c>
      <c r="L78" s="3">
        <f t="shared" si="17"/>
        <v>1.5637867559229348</v>
      </c>
      <c r="M78" s="2">
        <f t="shared" si="18"/>
        <v>896344.59663734294</v>
      </c>
      <c r="N78" s="7">
        <f t="shared" si="19"/>
        <v>683024.69485409581</v>
      </c>
      <c r="O78" s="2">
        <f t="shared" si="20"/>
        <v>213319.90178324704</v>
      </c>
      <c r="P78" s="2">
        <f t="shared" si="21"/>
        <v>896344.59663734282</v>
      </c>
      <c r="Q78" s="3">
        <f t="shared" si="22"/>
        <v>0</v>
      </c>
    </row>
    <row r="79" spans="1:17" ht="15.65" outlineLevel="2">
      <c r="A79" s="1" t="s">
        <v>29</v>
      </c>
      <c r="B79" s="1" t="s">
        <v>75</v>
      </c>
      <c r="C79" s="2">
        <v>985842.90000000002</v>
      </c>
      <c r="D79" s="2">
        <v>661027.93000000005</v>
      </c>
      <c r="E79" s="2">
        <v>324814.96999999997</v>
      </c>
      <c r="G79" s="1">
        <v>65</v>
      </c>
      <c r="H79" s="1">
        <v>19.945115999999999</v>
      </c>
      <c r="J79" s="9">
        <v>-0.40000000000000002</v>
      </c>
      <c r="K79" s="2">
        <f t="shared" si="16"/>
        <v>683339.03848805535</v>
      </c>
      <c r="L79" s="3">
        <f t="shared" si="17"/>
        <v>1.5637867559229348</v>
      </c>
      <c r="M79" s="2">
        <f t="shared" si="18"/>
        <v>1068596.5381927337</v>
      </c>
      <c r="N79" s="7">
        <f t="shared" si="19"/>
        <v>716515.94553930312</v>
      </c>
      <c r="O79" s="2">
        <f t="shared" si="20"/>
        <v>352080.59265343047</v>
      </c>
      <c r="P79" s="2">
        <f t="shared" si="21"/>
        <v>1068596.5381927337</v>
      </c>
      <c r="Q79" s="3">
        <f t="shared" si="22"/>
        <v>0</v>
      </c>
    </row>
    <row r="80" spans="1:17" ht="15.65" outlineLevel="2">
      <c r="A80" s="1" t="s">
        <v>29</v>
      </c>
      <c r="B80" s="1" t="s">
        <v>74</v>
      </c>
      <c r="C80" s="2">
        <v>330637.57999999996</v>
      </c>
      <c r="D80" s="2">
        <v>262731.60999999999</v>
      </c>
      <c r="E80" s="2">
        <v>67905.970000000001</v>
      </c>
      <c r="G80" s="1">
        <v>65</v>
      </c>
      <c r="H80" s="1">
        <v>19.205558</v>
      </c>
      <c r="J80" s="9">
        <v>-0.40000000000000002</v>
      </c>
      <c r="K80" s="2">
        <f t="shared" si="16"/>
        <v>232944.053543544</v>
      </c>
      <c r="L80" s="3">
        <f t="shared" si="17"/>
        <v>1.5637867559229348</v>
      </c>
      <c r="M80" s="2">
        <f t="shared" si="18"/>
        <v>364274.8258023971</v>
      </c>
      <c r="N80" s="7">
        <f t="shared" si="19"/>
        <v>289460.47653002222</v>
      </c>
      <c r="O80" s="2">
        <f t="shared" si="20"/>
        <v>74814.349272374937</v>
      </c>
      <c r="P80" s="2">
        <f t="shared" si="21"/>
        <v>364274.82580239716</v>
      </c>
      <c r="Q80" s="3">
        <f t="shared" si="22"/>
        <v>0</v>
      </c>
    </row>
    <row r="81" spans="1:17" ht="15.65" outlineLevel="2">
      <c r="A81" s="1" t="s">
        <v>29</v>
      </c>
      <c r="B81" s="1" t="s">
        <v>73</v>
      </c>
      <c r="C81" s="2">
        <v>674209.32000000007</v>
      </c>
      <c r="D81" s="2">
        <v>555885.54000000004</v>
      </c>
      <c r="E81" s="2">
        <v>118323.78</v>
      </c>
      <c r="G81" s="1">
        <v>65</v>
      </c>
      <c r="H81" s="1">
        <v>18.478123</v>
      </c>
      <c r="J81" s="9">
        <v>-0.40000000000000002</v>
      </c>
      <c r="K81" s="2">
        <f t="shared" si="16"/>
        <v>482545.89318913297</v>
      </c>
      <c r="L81" s="3">
        <f t="shared" si="17"/>
        <v>1.5637867559229348</v>
      </c>
      <c r="M81" s="2">
        <f t="shared" si="18"/>
        <v>754598.87689416925</v>
      </c>
      <c r="N81" s="7">
        <f t="shared" si="19"/>
        <v>622166.72437234886</v>
      </c>
      <c r="O81" s="2">
        <f t="shared" si="20"/>
        <v>132432.1525218203</v>
      </c>
      <c r="P81" s="2">
        <f t="shared" si="21"/>
        <v>754598.87689416914</v>
      </c>
      <c r="Q81" s="3">
        <f t="shared" si="22"/>
        <v>0</v>
      </c>
    </row>
    <row r="82" spans="1:17" ht="15.65" outlineLevel="2">
      <c r="A82" s="1" t="s">
        <v>29</v>
      </c>
      <c r="B82" s="1" t="s">
        <v>72</v>
      </c>
      <c r="C82" s="2">
        <v>396577.07000000001</v>
      </c>
      <c r="D82" s="2">
        <v>302934.44</v>
      </c>
      <c r="E82" s="2">
        <v>93642.630000000005</v>
      </c>
      <c r="G82" s="1">
        <v>65</v>
      </c>
      <c r="H82" s="1">
        <v>17.761448999999999</v>
      </c>
      <c r="J82" s="9">
        <v>-0.40000000000000002</v>
      </c>
      <c r="K82" s="2">
        <f t="shared" si="16"/>
        <v>288211.17148654722</v>
      </c>
      <c r="L82" s="3">
        <f t="shared" si="17"/>
        <v>1.5637867559229348</v>
      </c>
      <c r="M82" s="2">
        <f t="shared" si="18"/>
        <v>450700.81287969631</v>
      </c>
      <c r="N82" s="7">
        <f t="shared" si="19"/>
        <v>344278.09544625354</v>
      </c>
      <c r="O82" s="2">
        <f t="shared" si="20"/>
        <v>106422.71743344273</v>
      </c>
      <c r="P82" s="2">
        <f t="shared" si="21"/>
        <v>450700.81287969626</v>
      </c>
      <c r="Q82" s="3">
        <f t="shared" si="22"/>
        <v>0</v>
      </c>
    </row>
    <row r="83" spans="1:17" ht="15.65" outlineLevel="2">
      <c r="A83" s="1" t="s">
        <v>29</v>
      </c>
      <c r="B83" s="1" t="s">
        <v>71</v>
      </c>
      <c r="C83" s="2">
        <v>193231.70000000001</v>
      </c>
      <c r="D83" s="2">
        <v>140432.5</v>
      </c>
      <c r="E83" s="2">
        <v>52799.199999999997</v>
      </c>
      <c r="G83" s="1">
        <v>65</v>
      </c>
      <c r="H83" s="1">
        <v>17.055806</v>
      </c>
      <c r="J83" s="9">
        <v>-0.40000000000000002</v>
      </c>
      <c r="K83" s="2">
        <f t="shared" si="16"/>
        <v>142528.27864230462</v>
      </c>
      <c r="L83" s="3">
        <f t="shared" si="17"/>
        <v>1.5637867559229348</v>
      </c>
      <c r="M83" s="2">
        <f t="shared" si="18"/>
        <v>222883.83448532966</v>
      </c>
      <c r="N83" s="7">
        <f t="shared" si="19"/>
        <v>161982.39774509595</v>
      </c>
      <c r="O83" s="2">
        <f t="shared" si="20"/>
        <v>60901.436740233701</v>
      </c>
      <c r="P83" s="2">
        <f t="shared" si="21"/>
        <v>222883.83448532966</v>
      </c>
      <c r="Q83" s="3">
        <f t="shared" si="22"/>
        <v>0</v>
      </c>
    </row>
    <row r="84" spans="1:17" ht="15.65" outlineLevel="2">
      <c r="A84" s="1" t="s">
        <v>29</v>
      </c>
      <c r="B84" s="1" t="s">
        <v>70</v>
      </c>
      <c r="C84" s="2">
        <v>285685.63</v>
      </c>
      <c r="D84" s="2">
        <v>229401.89000000001</v>
      </c>
      <c r="E84" s="2">
        <v>56283.739999999998</v>
      </c>
      <c r="G84" s="1">
        <v>65</v>
      </c>
      <c r="H84" s="1">
        <v>16.360838999999999</v>
      </c>
      <c r="J84" s="9">
        <v>-0.40000000000000002</v>
      </c>
      <c r="K84" s="2">
        <f t="shared" si="16"/>
        <v>213777.06696856048</v>
      </c>
      <c r="L84" s="3">
        <f t="shared" si="17"/>
        <v>1.5637867559229348</v>
      </c>
      <c r="M84" s="2">
        <f t="shared" si="18"/>
        <v>334301.7460454852</v>
      </c>
      <c r="N84" s="7">
        <f t="shared" si="19"/>
        <v>268440.00649642176</v>
      </c>
      <c r="O84" s="2">
        <f t="shared" si="20"/>
        <v>65861.739549063481</v>
      </c>
      <c r="P84" s="2">
        <f t="shared" si="21"/>
        <v>334301.74604548526</v>
      </c>
      <c r="Q84" s="3">
        <f t="shared" si="22"/>
        <v>0</v>
      </c>
    </row>
    <row r="85" spans="1:17" ht="15.65" outlineLevel="2">
      <c r="A85" s="1" t="s">
        <v>29</v>
      </c>
      <c r="B85" s="1" t="s">
        <v>69</v>
      </c>
      <c r="C85" s="2">
        <v>566010.25</v>
      </c>
      <c r="D85" s="2">
        <v>472261.98999999999</v>
      </c>
      <c r="E85" s="2">
        <v>93748.259999999995</v>
      </c>
      <c r="G85" s="1">
        <v>65</v>
      </c>
      <c r="H85" s="1">
        <v>15.675703</v>
      </c>
      <c r="J85" s="9">
        <v>-0.40000000000000002</v>
      </c>
      <c r="K85" s="2">
        <f t="shared" si="16"/>
        <v>429508.57963145</v>
      </c>
      <c r="L85" s="3">
        <f t="shared" si="17"/>
        <v>1.5637867559229348</v>
      </c>
      <c r="M85" s="2">
        <f t="shared" si="18"/>
        <v>671659.8283829327</v>
      </c>
      <c r="N85" s="7">
        <f t="shared" si="19"/>
        <v>560412.8320205902</v>
      </c>
      <c r="O85" s="2">
        <f t="shared" si="20"/>
        <v>111246.99636234247</v>
      </c>
      <c r="P85" s="2">
        <f t="shared" si="21"/>
        <v>671659.8283829327</v>
      </c>
      <c r="Q85" s="3">
        <f t="shared" si="22"/>
        <v>0</v>
      </c>
    </row>
    <row r="86" spans="1:17" ht="15.65" outlineLevel="2">
      <c r="A86" s="1" t="s">
        <v>29</v>
      </c>
      <c r="B86" s="1" t="s">
        <v>1</v>
      </c>
      <c r="C86" s="2">
        <v>143484.13000000001</v>
      </c>
      <c r="D86" s="2">
        <v>97001.279999999999</v>
      </c>
      <c r="E86" s="2">
        <v>46482.849999999999</v>
      </c>
      <c r="G86" s="1">
        <v>65</v>
      </c>
      <c r="H86" s="1">
        <v>15.00211</v>
      </c>
      <c r="J86" s="9">
        <v>-0.40000000000000002</v>
      </c>
      <c r="K86" s="2">
        <f t="shared" si="16"/>
        <v>110367.74997670308</v>
      </c>
      <c r="L86" s="3">
        <f t="shared" si="17"/>
        <v>1.5637867559229348</v>
      </c>
      <c r="M86" s="2">
        <f t="shared" si="18"/>
        <v>172591.62569458206</v>
      </c>
      <c r="N86" s="7">
        <f t="shared" si="19"/>
        <v>116679.16590953543</v>
      </c>
      <c r="O86" s="2">
        <f t="shared" si="20"/>
        <v>55912.459785046638</v>
      </c>
      <c r="P86" s="2">
        <f t="shared" si="21"/>
        <v>172591.62569458206</v>
      </c>
      <c r="Q86" s="3">
        <f t="shared" si="22"/>
        <v>0</v>
      </c>
    </row>
    <row r="87" spans="1:17" ht="15.65" outlineLevel="2">
      <c r="A87" s="1" t="s">
        <v>29</v>
      </c>
      <c r="B87" s="1" t="s">
        <v>68</v>
      </c>
      <c r="C87" s="2">
        <v>102927.31999999999</v>
      </c>
      <c r="D87" s="2">
        <v>74418.059999999998</v>
      </c>
      <c r="E87" s="2">
        <v>28509.259999999998</v>
      </c>
      <c r="G87" s="1">
        <v>65</v>
      </c>
      <c r="H87" s="1">
        <v>14.339587</v>
      </c>
      <c r="J87" s="9">
        <v>-0.40000000000000002</v>
      </c>
      <c r="K87" s="2">
        <f t="shared" si="16"/>
        <v>80220.623695125527</v>
      </c>
      <c r="L87" s="3">
        <f t="shared" si="17"/>
        <v>1.5637867559229348</v>
      </c>
      <c r="M87" s="2">
        <f t="shared" si="18"/>
        <v>125447.94888631486</v>
      </c>
      <c r="N87" s="7">
        <f t="shared" si="19"/>
        <v>90700.826438487988</v>
      </c>
      <c r="O87" s="2">
        <f t="shared" si="20"/>
        <v>34747.122447826885</v>
      </c>
      <c r="P87" s="2">
        <f t="shared" si="21"/>
        <v>125447.94888631487</v>
      </c>
      <c r="Q87" s="3">
        <f t="shared" si="22"/>
        <v>0</v>
      </c>
    </row>
    <row r="88" spans="1:17" ht="15.65" outlineLevel="2">
      <c r="A88" s="1" t="s">
        <v>29</v>
      </c>
      <c r="B88" s="1" t="s">
        <v>67</v>
      </c>
      <c r="C88" s="2">
        <v>102465.71000000001</v>
      </c>
      <c r="D88" s="2">
        <v>75723.850000000006</v>
      </c>
      <c r="E88" s="2">
        <v>26741.860000000001</v>
      </c>
      <c r="G88" s="1">
        <v>65</v>
      </c>
      <c r="H88" s="1">
        <v>13.693187</v>
      </c>
      <c r="J88" s="9">
        <v>-0.40000000000000002</v>
      </c>
      <c r="K88" s="2">
        <f t="shared" si="16"/>
        <v>80879.831105880468</v>
      </c>
      <c r="L88" s="3">
        <f t="shared" si="17"/>
        <v>1.5637867559229348</v>
      </c>
      <c r="M88" s="2">
        <f t="shared" si="18"/>
        <v>126478.80870465969</v>
      </c>
      <c r="N88" s="7">
        <f t="shared" si="19"/>
        <v>93469.926071173904</v>
      </c>
      <c r="O88" s="2">
        <f t="shared" si="20"/>
        <v>33008.882633485788</v>
      </c>
      <c r="P88" s="2">
        <f t="shared" si="21"/>
        <v>126478.80870465969</v>
      </c>
      <c r="Q88" s="3">
        <f t="shared" si="22"/>
        <v>0</v>
      </c>
    </row>
    <row r="89" spans="1:17" ht="15.65" outlineLevel="2">
      <c r="A89" s="1" t="s">
        <v>29</v>
      </c>
      <c r="B89" s="1" t="s">
        <v>66</v>
      </c>
      <c r="C89" s="2">
        <v>162100.23999999999</v>
      </c>
      <c r="D89" s="2">
        <v>127707.21000000001</v>
      </c>
      <c r="E89" s="2">
        <v>34393.029999999999</v>
      </c>
      <c r="G89" s="1">
        <v>65</v>
      </c>
      <c r="H89" s="1">
        <v>13.061605</v>
      </c>
      <c r="J89" s="9">
        <v>-0.40000000000000002</v>
      </c>
      <c r="K89" s="2">
        <f t="shared" si="16"/>
        <v>129526.55838022768</v>
      </c>
      <c r="L89" s="3">
        <f t="shared" si="17"/>
        <v>1.5637867559229348</v>
      </c>
      <c r="M89" s="2">
        <f t="shared" si="18"/>
        <v>202551.91653527887</v>
      </c>
      <c r="N89" s="7">
        <f t="shared" si="19"/>
        <v>159576.19890552497</v>
      </c>
      <c r="O89" s="2">
        <f t="shared" si="20"/>
        <v>42975.717629753926</v>
      </c>
      <c r="P89" s="2">
        <f t="shared" si="21"/>
        <v>202551.9165352789</v>
      </c>
      <c r="Q89" s="3">
        <f t="shared" si="22"/>
        <v>0</v>
      </c>
    </row>
    <row r="90" spans="1:17" ht="15.65" outlineLevel="2">
      <c r="A90" s="1" t="s">
        <v>29</v>
      </c>
      <c r="B90" s="1" t="s">
        <v>65</v>
      </c>
      <c r="C90" s="2">
        <v>67708.580000000002</v>
      </c>
      <c r="D90" s="2">
        <v>49815.230000000003</v>
      </c>
      <c r="E90" s="2">
        <v>17893.349999999999</v>
      </c>
      <c r="G90" s="1">
        <v>65</v>
      </c>
      <c r="H90" s="1">
        <v>12.452449</v>
      </c>
      <c r="J90" s="9">
        <v>-0.40000000000000002</v>
      </c>
      <c r="K90" s="2">
        <f t="shared" si="16"/>
        <v>54737.231702885852</v>
      </c>
      <c r="L90" s="3">
        <f t="shared" si="17"/>
        <v>1.5637867559229348</v>
      </c>
      <c r="M90" s="2">
        <f t="shared" si="18"/>
        <v>85597.357992857884</v>
      </c>
      <c r="N90" s="7">
        <f t="shared" si="19"/>
        <v>62976.539691226048</v>
      </c>
      <c r="O90" s="2">
        <f t="shared" si="20"/>
        <v>22620.81830163184</v>
      </c>
      <c r="P90" s="2">
        <f t="shared" si="21"/>
        <v>85597.357992857884</v>
      </c>
      <c r="Q90" s="3">
        <f t="shared" si="22"/>
        <v>0</v>
      </c>
    </row>
    <row r="91" spans="1:17" ht="15.65" outlineLevel="2">
      <c r="A91" s="1" t="s">
        <v>29</v>
      </c>
      <c r="B91" s="1" t="s">
        <v>64</v>
      </c>
      <c r="C91" s="2">
        <v>268693.58000000002</v>
      </c>
      <c r="D91" s="2">
        <v>243440.72</v>
      </c>
      <c r="E91" s="2">
        <v>25252.860000000001</v>
      </c>
      <c r="G91" s="1">
        <v>65</v>
      </c>
      <c r="H91" s="1">
        <v>11.862665</v>
      </c>
      <c r="J91" s="9">
        <v>-0.40000000000000002</v>
      </c>
      <c r="K91" s="2">
        <f t="shared" si="16"/>
        <v>219656.31958168157</v>
      </c>
      <c r="L91" s="3">
        <f t="shared" si="17"/>
        <v>1.5637867559229348</v>
      </c>
      <c r="M91" s="2">
        <f t="shared" si="18"/>
        <v>343495.64341660927</v>
      </c>
      <c r="N91" s="7">
        <f t="shared" si="19"/>
        <v>311212.59670663741</v>
      </c>
      <c r="O91" s="2">
        <f t="shared" si="20"/>
        <v>32283.046709971837</v>
      </c>
      <c r="P91" s="2">
        <f t="shared" si="21"/>
        <v>343495.64341660927</v>
      </c>
      <c r="Q91" s="3">
        <f t="shared" si="22"/>
        <v>0</v>
      </c>
    </row>
    <row r="92" spans="1:17" ht="15.65" outlineLevel="2">
      <c r="A92" s="1" t="s">
        <v>29</v>
      </c>
      <c r="B92" s="1" t="s">
        <v>63</v>
      </c>
      <c r="C92" s="2">
        <v>31835.889999999999</v>
      </c>
      <c r="D92" s="2">
        <v>22628.169999999998</v>
      </c>
      <c r="E92" s="2">
        <v>9207.7199999999993</v>
      </c>
      <c r="G92" s="1">
        <v>65</v>
      </c>
      <c r="H92" s="1">
        <v>11.298567</v>
      </c>
      <c r="J92" s="9">
        <v>-0.40000000000000002</v>
      </c>
      <c r="K92" s="2">
        <f t="shared" si="16"/>
        <v>26302.044828159538</v>
      </c>
      <c r="L92" s="3">
        <f t="shared" si="17"/>
        <v>1.5637867559229348</v>
      </c>
      <c r="M92" s="2">
        <f t="shared" si="18"/>
        <v>41130.789355967208</v>
      </c>
      <c r="N92" s="7">
        <f t="shared" si="19"/>
        <v>29234.75655246379</v>
      </c>
      <c r="O92" s="2">
        <f t="shared" si="20"/>
        <v>11896.032803503416</v>
      </c>
      <c r="P92" s="2">
        <f t="shared" si="21"/>
        <v>41130.789355967208</v>
      </c>
      <c r="Q92" s="3">
        <f t="shared" si="22"/>
        <v>0</v>
      </c>
    </row>
    <row r="93" spans="1:17" ht="15.65" outlineLevel="2">
      <c r="A93" s="1" t="s">
        <v>29</v>
      </c>
      <c r="B93" s="1" t="s">
        <v>62</v>
      </c>
      <c r="C93" s="2">
        <v>120596.96000000001</v>
      </c>
      <c r="D93" s="2">
        <v>100347.05</v>
      </c>
      <c r="E93" s="2">
        <v>20249.91</v>
      </c>
      <c r="G93" s="1">
        <v>65</v>
      </c>
      <c r="H93" s="1">
        <v>10.757558</v>
      </c>
      <c r="J93" s="9">
        <v>-0.40000000000000002</v>
      </c>
      <c r="K93" s="2">
        <f t="shared" si="16"/>
        <v>100638.05551040493</v>
      </c>
      <c r="L93" s="3">
        <f t="shared" si="17"/>
        <v>1.5637867559229348</v>
      </c>
      <c r="M93" s="2">
        <f t="shared" si="18"/>
        <v>157376.45834900835</v>
      </c>
      <c r="N93" s="7">
        <f t="shared" si="19"/>
        <v>130950.75808520263</v>
      </c>
      <c r="O93" s="2">
        <f t="shared" si="20"/>
        <v>26425.700263805717</v>
      </c>
      <c r="P93" s="2">
        <f t="shared" si="21"/>
        <v>157376.45834900835</v>
      </c>
      <c r="Q93" s="3">
        <f t="shared" si="22"/>
        <v>0</v>
      </c>
    </row>
    <row r="94" spans="1:17" ht="15.65" outlineLevel="2">
      <c r="A94" s="1" t="s">
        <v>29</v>
      </c>
      <c r="B94" s="1" t="s">
        <v>61</v>
      </c>
      <c r="C94" s="2">
        <v>145185.54999999999</v>
      </c>
      <c r="D94" s="2">
        <v>118277.34</v>
      </c>
      <c r="E94" s="2">
        <v>26908.209999999999</v>
      </c>
      <c r="G94" s="1">
        <v>65</v>
      </c>
      <c r="H94" s="1">
        <v>10.242960999999999</v>
      </c>
      <c r="J94" s="9">
        <v>-0.40000000000000002</v>
      </c>
      <c r="K94" s="2">
        <f t="shared" si="16"/>
        <v>122306.62805517616</v>
      </c>
      <c r="L94" s="3">
        <f t="shared" si="17"/>
        <v>1.5637867559229348</v>
      </c>
      <c r="M94" s="2">
        <f t="shared" si="18"/>
        <v>191261.48511427693</v>
      </c>
      <c r="N94" s="7">
        <f t="shared" si="19"/>
        <v>155813.71358076803</v>
      </c>
      <c r="O94" s="2">
        <f t="shared" si="20"/>
        <v>35447.771533508931</v>
      </c>
      <c r="P94" s="2">
        <f t="shared" si="21"/>
        <v>191261.48511427696</v>
      </c>
      <c r="Q94" s="3">
        <f t="shared" si="22"/>
        <v>0</v>
      </c>
    </row>
    <row r="95" spans="1:17" ht="15.65" outlineLevel="2">
      <c r="A95" s="1" t="s">
        <v>29</v>
      </c>
      <c r="B95" s="1" t="s">
        <v>60</v>
      </c>
      <c r="C95" s="2">
        <v>33844.32</v>
      </c>
      <c r="D95" s="2">
        <v>23269.57</v>
      </c>
      <c r="E95" s="2">
        <v>10574.75</v>
      </c>
      <c r="G95" s="1">
        <v>65</v>
      </c>
      <c r="H95" s="1">
        <v>9.7529489999999992</v>
      </c>
      <c r="J95" s="9">
        <v>-0.40000000000000002</v>
      </c>
      <c r="K95" s="2">
        <f t="shared" si="23" ref="K95:K125">+C95*(1-I95)*(1-H95/G95)</f>
        <v>28766.13650923569</v>
      </c>
      <c r="L95" s="3">
        <f t="shared" si="24" ref="L95:L125">$L$126</f>
        <v>1.5637867559229348</v>
      </c>
      <c r="M95" s="2">
        <f t="shared" si="25" ref="M95:M125">IF((C95*(1-J95)-K95*L95)&lt;0,C95*(1-J95),K95*L95)</f>
        <v>44984.103292213978</v>
      </c>
      <c r="N95" s="7">
        <f t="shared" si="26" ref="N95:N125">+D95/$C95*$M95</f>
        <v>30928.697649868682</v>
      </c>
      <c r="O95" s="2">
        <f t="shared" si="27" ref="O95:O125">+E95/$C95*$M95</f>
        <v>14055.405642345297</v>
      </c>
      <c r="P95" s="2">
        <f t="shared" si="21"/>
        <v>44984.103292213978</v>
      </c>
      <c r="Q95" s="3">
        <f t="shared" si="22"/>
        <v>0</v>
      </c>
    </row>
    <row r="96" spans="1:17" ht="15.65" outlineLevel="2">
      <c r="A96" s="1" t="s">
        <v>29</v>
      </c>
      <c r="B96" s="1" t="s">
        <v>59</v>
      </c>
      <c r="C96" s="2">
        <v>79122.779999999999</v>
      </c>
      <c r="D96" s="2">
        <v>69130.399999999994</v>
      </c>
      <c r="E96" s="2">
        <v>9992.3799999999992</v>
      </c>
      <c r="G96" s="1">
        <v>65</v>
      </c>
      <c r="H96" s="1">
        <v>9.2879679999999993</v>
      </c>
      <c r="J96" s="9">
        <v>-0.40000000000000002</v>
      </c>
      <c r="K96" s="2">
        <f t="shared" si="23"/>
        <v>67816.782327522465</v>
      </c>
      <c r="L96" s="3">
        <f t="shared" si="24"/>
        <v>1.5637867559229348</v>
      </c>
      <c r="M96" s="2">
        <f t="shared" si="25"/>
        <v>106050.98603308818</v>
      </c>
      <c r="N96" s="7">
        <f t="shared" si="26"/>
        <v>92657.85510647879</v>
      </c>
      <c r="O96" s="2">
        <f t="shared" si="27"/>
        <v>13393.130926609372</v>
      </c>
      <c r="P96" s="2">
        <f t="shared" si="21"/>
        <v>106050.98603308816</v>
      </c>
      <c r="Q96" s="3">
        <f t="shared" si="22"/>
        <v>0</v>
      </c>
    </row>
    <row r="97" spans="1:17" ht="15.65" outlineLevel="2">
      <c r="A97" s="1" t="s">
        <v>29</v>
      </c>
      <c r="B97" s="1" t="s">
        <v>58</v>
      </c>
      <c r="C97" s="2">
        <v>9963.3700000000008</v>
      </c>
      <c r="D97" s="2">
        <v>6619.3500000000004</v>
      </c>
      <c r="E97" s="2">
        <v>3344.02</v>
      </c>
      <c r="G97" s="1">
        <v>65</v>
      </c>
      <c r="H97" s="1">
        <v>8.8469130000000007</v>
      </c>
      <c r="J97" s="9">
        <v>-0.40000000000000002</v>
      </c>
      <c r="K97" s="2">
        <f t="shared" si="23"/>
        <v>8607.2920372798471</v>
      </c>
      <c r="L97" s="3">
        <f t="shared" si="24"/>
        <v>1.5637867559229348</v>
      </c>
      <c r="M97" s="2">
        <f t="shared" si="25"/>
        <v>13459.96929225916</v>
      </c>
      <c r="N97" s="7">
        <f t="shared" si="26"/>
        <v>8942.3807140270474</v>
      </c>
      <c r="O97" s="2">
        <f t="shared" si="27"/>
        <v>4517.5885782321111</v>
      </c>
      <c r="P97" s="2">
        <f t="shared" si="21"/>
        <v>13459.969292259159</v>
      </c>
      <c r="Q97" s="3">
        <f t="shared" si="22"/>
        <v>0</v>
      </c>
    </row>
    <row r="98" spans="1:17" ht="15.65" outlineLevel="2">
      <c r="A98" s="1" t="s">
        <v>29</v>
      </c>
      <c r="B98" s="1" t="s">
        <v>57</v>
      </c>
      <c r="C98" s="2">
        <v>97483.25</v>
      </c>
      <c r="D98" s="2">
        <v>80251.110000000001</v>
      </c>
      <c r="E98" s="2">
        <v>17232.139999999999</v>
      </c>
      <c r="G98" s="1">
        <v>65</v>
      </c>
      <c r="H98" s="1">
        <v>8.4283339999999995</v>
      </c>
      <c r="J98" s="9">
        <v>-0.40000000000000002</v>
      </c>
      <c r="K98" s="2">
        <f t="shared" si="23"/>
        <v>84842.920916838455</v>
      </c>
      <c r="L98" s="3">
        <f t="shared" si="24"/>
        <v>1.5637867559229348</v>
      </c>
      <c r="M98" s="2">
        <f t="shared" si="25"/>
        <v>132676.23606356891</v>
      </c>
      <c r="N98" s="7">
        <f t="shared" si="26"/>
        <v>109223.02256770713</v>
      </c>
      <c r="O98" s="2">
        <f t="shared" si="27"/>
        <v>23453.213495861783</v>
      </c>
      <c r="P98" s="2">
        <f t="shared" si="21"/>
        <v>132676.23606356891</v>
      </c>
      <c r="Q98" s="3">
        <f t="shared" si="28" ref="Q98:Q125">+M98-P98</f>
        <v>0</v>
      </c>
    </row>
    <row r="99" spans="1:17" ht="15.65" outlineLevel="2">
      <c r="A99" s="1" t="s">
        <v>29</v>
      </c>
      <c r="B99" s="1" t="s">
        <v>56</v>
      </c>
      <c r="C99" s="2">
        <v>105876.73000000001</v>
      </c>
      <c r="D99" s="2">
        <v>72000.520000000004</v>
      </c>
      <c r="E99" s="2">
        <v>33876.209999999999</v>
      </c>
      <c r="G99" s="1">
        <v>65</v>
      </c>
      <c r="H99" s="1">
        <v>8.0312129999999993</v>
      </c>
      <c r="J99" s="9">
        <v>-0.40000000000000002</v>
      </c>
      <c r="K99" s="2">
        <f t="shared" si="23"/>
        <v>92794.905840407868</v>
      </c>
      <c r="L99" s="3">
        <f t="shared" si="24"/>
        <v>1.5637867559229348</v>
      </c>
      <c r="M99" s="2">
        <f t="shared" si="25"/>
        <v>145111.44477034561</v>
      </c>
      <c r="N99" s="7">
        <f t="shared" si="26"/>
        <v>98681.73565065868</v>
      </c>
      <c r="O99" s="2">
        <f t="shared" si="27"/>
        <v>46429.709119686915</v>
      </c>
      <c r="P99" s="2">
        <f t="shared" si="21"/>
        <v>145111.44477034558</v>
      </c>
      <c r="Q99" s="3">
        <f t="shared" si="28"/>
        <v>0</v>
      </c>
    </row>
    <row r="100" spans="1:17" ht="15.65" outlineLevel="2">
      <c r="A100" s="1" t="s">
        <v>29</v>
      </c>
      <c r="B100" s="1" t="s">
        <v>55</v>
      </c>
      <c r="C100" s="2">
        <v>79772.929999999993</v>
      </c>
      <c r="D100" s="2">
        <v>65385.889999999999</v>
      </c>
      <c r="E100" s="2">
        <v>14387.040000000001</v>
      </c>
      <c r="G100" s="1">
        <v>65</v>
      </c>
      <c r="H100" s="1">
        <v>7.6537509999999997</v>
      </c>
      <c r="J100" s="9">
        <v>-0.40000000000000002</v>
      </c>
      <c r="K100" s="2">
        <f t="shared" si="23"/>
        <v>70379.66626522415</v>
      </c>
      <c r="L100" s="3">
        <f t="shared" si="24"/>
        <v>1.5637867559229348</v>
      </c>
      <c r="M100" s="2">
        <f t="shared" si="25"/>
        <v>110058.78999183369</v>
      </c>
      <c r="N100" s="7">
        <f t="shared" si="26"/>
        <v>90209.69815122924</v>
      </c>
      <c r="O100" s="2">
        <f t="shared" si="27"/>
        <v>19849.091840604466</v>
      </c>
      <c r="P100" s="2">
        <f t="shared" si="21"/>
        <v>110058.78999183371</v>
      </c>
      <c r="Q100" s="3">
        <f t="shared" si="28"/>
        <v>0</v>
      </c>
    </row>
    <row r="101" spans="1:17" ht="15.65" outlineLevel="2">
      <c r="A101" s="1" t="s">
        <v>29</v>
      </c>
      <c r="B101" s="1" t="s">
        <v>54</v>
      </c>
      <c r="C101" s="2">
        <v>36192.5</v>
      </c>
      <c r="D101" s="2">
        <v>25895.880000000001</v>
      </c>
      <c r="E101" s="2">
        <v>10296.620000000001</v>
      </c>
      <c r="G101" s="1">
        <v>65</v>
      </c>
      <c r="H101" s="1">
        <v>7.2938640000000001</v>
      </c>
      <c r="J101" s="9">
        <v>-0.40000000000000002</v>
      </c>
      <c r="K101" s="2">
        <f t="shared" si="23"/>
        <v>32131.220418153847</v>
      </c>
      <c r="L101" s="3">
        <f t="shared" si="24"/>
        <v>1.5637867559229348</v>
      </c>
      <c r="M101" s="2">
        <f t="shared" si="25"/>
        <v>50246.37694154957</v>
      </c>
      <c r="N101" s="7">
        <f t="shared" si="26"/>
        <v>35951.485741883946</v>
      </c>
      <c r="O101" s="2">
        <f t="shared" si="27"/>
        <v>14294.891199665626</v>
      </c>
      <c r="P101" s="2">
        <f t="shared" si="21"/>
        <v>50246.37694154957</v>
      </c>
      <c r="Q101" s="3">
        <f t="shared" si="28"/>
        <v>0</v>
      </c>
    </row>
    <row r="102" spans="1:17" ht="15.65" outlineLevel="2">
      <c r="A102" s="1" t="s">
        <v>29</v>
      </c>
      <c r="B102" s="1" t="s">
        <v>53</v>
      </c>
      <c r="C102" s="2">
        <v>76249.580000000002</v>
      </c>
      <c r="D102" s="2">
        <v>64434.190000000002</v>
      </c>
      <c r="E102" s="2">
        <v>11815.389999999999</v>
      </c>
      <c r="G102" s="1">
        <v>65</v>
      </c>
      <c r="H102" s="1">
        <v>6.9512320000000001</v>
      </c>
      <c r="J102" s="9">
        <v>-0.40000000000000002</v>
      </c>
      <c r="K102" s="2">
        <f t="shared" si="23"/>
        <v>68095.295069499072</v>
      </c>
      <c r="L102" s="3">
        <f t="shared" si="24"/>
        <v>1.5637867559229348</v>
      </c>
      <c r="M102" s="2">
        <f t="shared" si="25"/>
        <v>106486.52057034697</v>
      </c>
      <c r="N102" s="7">
        <f t="shared" si="26"/>
        <v>89985.711381867877</v>
      </c>
      <c r="O102" s="2">
        <f t="shared" si="27"/>
        <v>16500.809188479096</v>
      </c>
      <c r="P102" s="2">
        <f t="shared" si="21"/>
        <v>106486.52057034697</v>
      </c>
      <c r="Q102" s="3">
        <f t="shared" si="28"/>
        <v>0</v>
      </c>
    </row>
    <row r="103" spans="1:17" ht="15.65" outlineLevel="2">
      <c r="A103" s="1" t="s">
        <v>29</v>
      </c>
      <c r="B103" s="1" t="s">
        <v>52</v>
      </c>
      <c r="C103" s="2">
        <v>57100.059999999998</v>
      </c>
      <c r="D103" s="2">
        <v>37925.419999999998</v>
      </c>
      <c r="E103" s="2">
        <v>19174.639999999999</v>
      </c>
      <c r="G103" s="1">
        <v>65</v>
      </c>
      <c r="H103" s="1">
        <v>6.6212049999999998</v>
      </c>
      <c r="J103" s="9">
        <v>-0.40000000000000002</v>
      </c>
      <c r="K103" s="2">
        <f t="shared" si="23"/>
        <v>51283.579957349226</v>
      </c>
      <c r="L103" s="3">
        <f t="shared" si="24"/>
        <v>1.5637867559229348</v>
      </c>
      <c r="M103" s="2">
        <f t="shared" si="25"/>
        <v>79940.083999999988</v>
      </c>
      <c r="N103" s="7">
        <f t="shared" si="26"/>
        <v>53095.587999999996</v>
      </c>
      <c r="O103" s="2">
        <f t="shared" si="27"/>
        <v>26844.495999999996</v>
      </c>
      <c r="P103" s="2">
        <f t="shared" si="21"/>
        <v>79940.083999999988</v>
      </c>
      <c r="Q103" s="3">
        <f t="shared" si="28"/>
        <v>0</v>
      </c>
    </row>
    <row r="104" spans="1:17" ht="15.65" outlineLevel="2">
      <c r="A104" s="1" t="s">
        <v>29</v>
      </c>
      <c r="B104" s="1" t="s">
        <v>51</v>
      </c>
      <c r="C104" s="2">
        <v>39826.369999999995</v>
      </c>
      <c r="D104" s="2">
        <v>22407.869999999999</v>
      </c>
      <c r="E104" s="2">
        <v>17418.5</v>
      </c>
      <c r="G104" s="1">
        <v>65</v>
      </c>
      <c r="H104" s="1">
        <v>6.305828</v>
      </c>
      <c r="J104" s="9">
        <v>-0.40000000000000002</v>
      </c>
      <c r="K104" s="2">
        <f t="shared" si="23"/>
        <v>35962.704783317531</v>
      </c>
      <c r="L104" s="3">
        <f t="shared" si="24"/>
        <v>1.5637867559229348</v>
      </c>
      <c r="M104" s="2">
        <f t="shared" si="25"/>
        <v>55756.917999999991</v>
      </c>
      <c r="N104" s="7">
        <f t="shared" si="26"/>
        <v>31371.017999999993</v>
      </c>
      <c r="O104" s="2">
        <f t="shared" si="27"/>
        <v>24385.900000000001</v>
      </c>
      <c r="P104" s="2">
        <f t="shared" si="21"/>
        <v>55756.917999999991</v>
      </c>
      <c r="Q104" s="3">
        <f t="shared" si="28"/>
        <v>0</v>
      </c>
    </row>
    <row r="105" spans="1:17" ht="15.65" outlineLevel="2">
      <c r="A105" s="1" t="s">
        <v>29</v>
      </c>
      <c r="B105" s="1" t="s">
        <v>50</v>
      </c>
      <c r="C105" s="2">
        <v>1172.77</v>
      </c>
      <c r="D105" s="2">
        <v>1010.21</v>
      </c>
      <c r="E105" s="2">
        <v>162.56</v>
      </c>
      <c r="G105" s="1">
        <v>65</v>
      </c>
      <c r="H105" s="1">
        <v>5.9992530000000004</v>
      </c>
      <c r="J105" s="9">
        <v>-0.40000000000000002</v>
      </c>
      <c r="K105" s="2">
        <f t="shared" si="23"/>
        <v>1064.5277855259999</v>
      </c>
      <c r="L105" s="3">
        <f t="shared" si="24"/>
        <v>1.5637867559229348</v>
      </c>
      <c r="M105" s="2">
        <f t="shared" si="25"/>
        <v>1641.8779999999999</v>
      </c>
      <c r="N105" s="7">
        <f t="shared" si="26"/>
        <v>1414.2939999999999</v>
      </c>
      <c r="O105" s="2">
        <f t="shared" si="27"/>
        <v>227.584</v>
      </c>
      <c r="P105" s="2">
        <f t="shared" si="21"/>
        <v>1641.8779999999999</v>
      </c>
      <c r="Q105" s="3">
        <f t="shared" si="28"/>
        <v>0</v>
      </c>
    </row>
    <row r="106" spans="1:17" ht="15.65" outlineLevel="2">
      <c r="A106" s="1" t="s">
        <v>29</v>
      </c>
      <c r="B106" s="1" t="s">
        <v>49</v>
      </c>
      <c r="C106" s="2">
        <v>278.75</v>
      </c>
      <c r="D106" s="2">
        <v>227.09</v>
      </c>
      <c r="E106" s="2">
        <v>51.659999999999997</v>
      </c>
      <c r="G106" s="1">
        <v>65</v>
      </c>
      <c r="H106" s="1">
        <v>5.7040139999999999</v>
      </c>
      <c r="J106" s="9">
        <v>-0.40000000000000002</v>
      </c>
      <c r="K106" s="2">
        <f t="shared" si="23"/>
        <v>254.28855534615386</v>
      </c>
      <c r="L106" s="3">
        <f t="shared" si="24"/>
        <v>1.5637867559229348</v>
      </c>
      <c r="M106" s="2">
        <f t="shared" si="25"/>
        <v>390.25</v>
      </c>
      <c r="N106" s="7">
        <f t="shared" si="26"/>
        <v>317.92599999999999</v>
      </c>
      <c r="O106" s="2">
        <f t="shared" si="27"/>
        <v>72.323999999999998</v>
      </c>
      <c r="P106" s="2">
        <f t="shared" si="21"/>
        <v>390.25</v>
      </c>
      <c r="Q106" s="3">
        <f t="shared" si="28"/>
        <v>0</v>
      </c>
    </row>
    <row r="107" spans="1:17" ht="15.65" outlineLevel="2">
      <c r="A107" s="1" t="s">
        <v>29</v>
      </c>
      <c r="B107" s="1" t="s">
        <v>48</v>
      </c>
      <c r="C107" s="2">
        <v>613.74000000000001</v>
      </c>
      <c r="D107" s="2">
        <v>487.26999999999998</v>
      </c>
      <c r="E107" s="2">
        <v>126.47</v>
      </c>
      <c r="G107" s="1">
        <v>65</v>
      </c>
      <c r="H107" s="1">
        <v>5.4150010000000002</v>
      </c>
      <c r="J107" s="9">
        <v>-0.40000000000000002</v>
      </c>
      <c r="K107" s="2">
        <f t="shared" si="23"/>
        <v>562.61072748092306</v>
      </c>
      <c r="L107" s="3">
        <f t="shared" si="24"/>
        <v>1.5637867559229348</v>
      </c>
      <c r="M107" s="2">
        <f t="shared" si="25"/>
        <v>859.23599999999999</v>
      </c>
      <c r="N107" s="7">
        <f t="shared" si="26"/>
        <v>682.178</v>
      </c>
      <c r="O107" s="2">
        <f t="shared" si="27"/>
        <v>177.05799999999999</v>
      </c>
      <c r="P107" s="2">
        <f t="shared" si="21"/>
        <v>859.23599999999999</v>
      </c>
      <c r="Q107" s="3">
        <f t="shared" si="28"/>
        <v>0</v>
      </c>
    </row>
    <row r="108" spans="1:17" ht="15.65" outlineLevel="2">
      <c r="A108" s="1" t="s">
        <v>29</v>
      </c>
      <c r="B108" s="1" t="s">
        <v>47</v>
      </c>
      <c r="C108" s="2">
        <v>28893.740000000002</v>
      </c>
      <c r="D108" s="2">
        <v>24115.650000000001</v>
      </c>
      <c r="E108" s="2">
        <v>4778.0900000000001</v>
      </c>
      <c r="G108" s="1">
        <v>65</v>
      </c>
      <c r="H108" s="1">
        <v>4.5850960000000001</v>
      </c>
      <c r="J108" s="9">
        <v>-0.40000000000000002</v>
      </c>
      <c r="K108" s="2">
        <f t="shared" si="23"/>
        <v>26855.577358476308</v>
      </c>
      <c r="L108" s="3">
        <f t="shared" si="24"/>
        <v>1.5637867559229348</v>
      </c>
      <c r="M108" s="2">
        <f t="shared" si="25"/>
        <v>40451.235999999997</v>
      </c>
      <c r="N108" s="7">
        <f t="shared" si="26"/>
        <v>33761.909999999996</v>
      </c>
      <c r="O108" s="2">
        <f t="shared" si="27"/>
        <v>6689.3259999999991</v>
      </c>
      <c r="P108" s="2">
        <f t="shared" si="21"/>
        <v>40451.235999999997</v>
      </c>
      <c r="Q108" s="3">
        <f t="shared" si="28"/>
        <v>0</v>
      </c>
    </row>
    <row r="109" spans="1:17" ht="15.65" outlineLevel="2">
      <c r="A109" s="1" t="s">
        <v>29</v>
      </c>
      <c r="B109" s="1" t="s">
        <v>46</v>
      </c>
      <c r="C109" s="2">
        <v>32181.84</v>
      </c>
      <c r="D109" s="2">
        <v>26101.18</v>
      </c>
      <c r="E109" s="2">
        <v>6080.6599999999999</v>
      </c>
      <c r="G109" s="1">
        <v>65</v>
      </c>
      <c r="H109" s="1">
        <v>4.318435</v>
      </c>
      <c r="J109" s="9">
        <v>-0.40000000000000002</v>
      </c>
      <c r="K109" s="2">
        <f t="shared" si="23"/>
        <v>30043.760242763077</v>
      </c>
      <c r="L109" s="3">
        <f t="shared" si="24"/>
        <v>1.5637867559229348</v>
      </c>
      <c r="M109" s="2">
        <f t="shared" si="25"/>
        <v>45054.576000000001</v>
      </c>
      <c r="N109" s="7">
        <f t="shared" si="26"/>
        <v>36541.652000000002</v>
      </c>
      <c r="O109" s="2">
        <f t="shared" si="27"/>
        <v>8512.9240000000009</v>
      </c>
      <c r="P109" s="2">
        <f t="shared" si="21"/>
        <v>45054.576000000001</v>
      </c>
      <c r="Q109" s="3">
        <f t="shared" si="28"/>
        <v>0</v>
      </c>
    </row>
    <row r="110" spans="1:17" ht="15.65" outlineLevel="2">
      <c r="A110" s="1" t="s">
        <v>29</v>
      </c>
      <c r="B110" s="1" t="s">
        <v>45</v>
      </c>
      <c r="C110" s="2">
        <v>3394.73</v>
      </c>
      <c r="D110" s="2">
        <v>2601</v>
      </c>
      <c r="E110" s="2">
        <v>793.73000000000002</v>
      </c>
      <c r="G110" s="1">
        <v>65</v>
      </c>
      <c r="H110" s="1">
        <v>4.0519999999999996</v>
      </c>
      <c r="J110" s="9">
        <v>-0.40000000000000002</v>
      </c>
      <c r="K110" s="2">
        <f t="shared" si="23"/>
        <v>3183.1077544615382</v>
      </c>
      <c r="L110" s="3">
        <f t="shared" si="24"/>
        <v>1.5637867559229348</v>
      </c>
      <c r="M110" s="2">
        <f t="shared" si="25"/>
        <v>4752.6219999999994</v>
      </c>
      <c r="N110" s="7">
        <f t="shared" si="26"/>
        <v>3641.3999999999992</v>
      </c>
      <c r="O110" s="2">
        <f t="shared" si="27"/>
        <v>1111.2219999999998</v>
      </c>
      <c r="P110" s="2">
        <f t="shared" si="21"/>
        <v>4752.6219999999994</v>
      </c>
      <c r="Q110" s="3">
        <f t="shared" si="28"/>
        <v>0</v>
      </c>
    </row>
    <row r="111" spans="1:17" ht="15.65" outlineLevel="2">
      <c r="A111" s="1" t="s">
        <v>29</v>
      </c>
      <c r="B111" s="1" t="s">
        <v>44</v>
      </c>
      <c r="C111" s="2">
        <v>27329.5</v>
      </c>
      <c r="D111" s="2">
        <v>19903.970000000001</v>
      </c>
      <c r="E111" s="2">
        <v>7425.5299999999997</v>
      </c>
      <c r="G111" s="1">
        <v>65</v>
      </c>
      <c r="H111" s="1">
        <v>3.7936879999999999</v>
      </c>
      <c r="J111" s="9">
        <v>-0.40000000000000002</v>
      </c>
      <c r="K111" s="2">
        <f t="shared" si="23"/>
        <v>25734.429289292308</v>
      </c>
      <c r="L111" s="3">
        <f t="shared" si="24"/>
        <v>1.5637867559229348</v>
      </c>
      <c r="M111" s="2">
        <f t="shared" si="25"/>
        <v>38261.299999999996</v>
      </c>
      <c r="N111" s="7">
        <f t="shared" si="26"/>
        <v>27865.557999999997</v>
      </c>
      <c r="O111" s="2">
        <f t="shared" si="27"/>
        <v>10395.741999999998</v>
      </c>
      <c r="P111" s="2">
        <f t="shared" si="21"/>
        <v>38261.299999999996</v>
      </c>
      <c r="Q111" s="3">
        <f t="shared" si="28"/>
        <v>0</v>
      </c>
    </row>
    <row r="112" spans="1:17" ht="15.65" outlineLevel="2">
      <c r="A112" s="1" t="s">
        <v>29</v>
      </c>
      <c r="B112" s="1" t="s">
        <v>43</v>
      </c>
      <c r="C112" s="2">
        <v>949.54999999999995</v>
      </c>
      <c r="D112" s="2">
        <v>794.63999999999999</v>
      </c>
      <c r="E112" s="2">
        <v>154.91</v>
      </c>
      <c r="G112" s="1">
        <v>65</v>
      </c>
      <c r="H112" s="1">
        <v>3.5319349999999998</v>
      </c>
      <c r="J112" s="9">
        <v>-0.40000000000000002</v>
      </c>
      <c r="K112" s="2">
        <f t="shared" si="23"/>
        <v>897.95386339615379</v>
      </c>
      <c r="L112" s="3">
        <f t="shared" si="24"/>
        <v>1.5637867559229348</v>
      </c>
      <c r="M112" s="2">
        <f t="shared" si="25"/>
        <v>1329.3699999999999</v>
      </c>
      <c r="N112" s="7">
        <f t="shared" si="26"/>
        <v>1112.4959999999999</v>
      </c>
      <c r="O112" s="2">
        <f t="shared" si="27"/>
        <v>216.874</v>
      </c>
      <c r="P112" s="2">
        <f t="shared" si="21"/>
        <v>1329.3699999999999</v>
      </c>
      <c r="Q112" s="3">
        <f t="shared" si="28"/>
        <v>0</v>
      </c>
    </row>
    <row r="113" spans="1:17" ht="15.65" outlineLevel="2">
      <c r="A113" s="1" t="s">
        <v>29</v>
      </c>
      <c r="B113" s="1" t="s">
        <v>42</v>
      </c>
      <c r="C113" s="2">
        <v>1085.74</v>
      </c>
      <c r="D113" s="2">
        <v>845.82000000000005</v>
      </c>
      <c r="E113" s="2">
        <v>239.91999999999999</v>
      </c>
      <c r="G113" s="1">
        <v>65</v>
      </c>
      <c r="H113" s="1">
        <v>1.6343460000000001</v>
      </c>
      <c r="J113" s="9">
        <v>-0.40000000000000002</v>
      </c>
      <c r="K113" s="2">
        <f t="shared" si="23"/>
        <v>1058.4403872916923</v>
      </c>
      <c r="L113" s="3">
        <f t="shared" si="24"/>
        <v>1.5637867559229348</v>
      </c>
      <c r="M113" s="2">
        <f t="shared" si="25"/>
        <v>1520.0359999999998</v>
      </c>
      <c r="N113" s="7">
        <f t="shared" si="26"/>
        <v>1184.1479999999999</v>
      </c>
      <c r="O113" s="2">
        <f t="shared" si="27"/>
        <v>335.88799999999992</v>
      </c>
      <c r="P113" s="2">
        <f t="shared" si="21"/>
        <v>1520.0359999999998</v>
      </c>
      <c r="Q113" s="3">
        <f t="shared" si="28"/>
        <v>0</v>
      </c>
    </row>
    <row r="114" spans="1:17" ht="15.65" outlineLevel="2">
      <c r="A114" s="1" t="s">
        <v>29</v>
      </c>
      <c r="B114" s="1" t="s">
        <v>41</v>
      </c>
      <c r="C114" s="2">
        <v>487.26999999999998</v>
      </c>
      <c r="D114" s="2">
        <v>452.81999999999999</v>
      </c>
      <c r="E114" s="2">
        <v>34.450000000000003</v>
      </c>
      <c r="G114" s="1">
        <v>65</v>
      </c>
      <c r="H114" s="1">
        <v>1.4222779999999999</v>
      </c>
      <c r="J114" s="9">
        <v>-0.40000000000000002</v>
      </c>
      <c r="K114" s="2">
        <f t="shared" si="23"/>
        <v>476.60794767599998</v>
      </c>
      <c r="L114" s="3">
        <f t="shared" si="24"/>
        <v>1.5637867559229348</v>
      </c>
      <c r="M114" s="2">
        <f t="shared" si="25"/>
        <v>682.17799999999988</v>
      </c>
      <c r="N114" s="7">
        <f t="shared" si="26"/>
        <v>633.94799999999998</v>
      </c>
      <c r="O114" s="2">
        <f t="shared" si="27"/>
        <v>48.22999999999999</v>
      </c>
      <c r="P114" s="2">
        <f t="shared" si="21"/>
        <v>682.178</v>
      </c>
      <c r="Q114" s="3">
        <f t="shared" si="28"/>
        <v>0</v>
      </c>
    </row>
    <row r="115" spans="1:17" ht="15.65" outlineLevel="2">
      <c r="A115" s="1" t="s">
        <v>29</v>
      </c>
      <c r="B115" s="1" t="s">
        <v>40</v>
      </c>
      <c r="C115" s="2">
        <v>15410.73</v>
      </c>
      <c r="D115" s="2">
        <v>7330.6700000000001</v>
      </c>
      <c r="E115" s="2">
        <v>8080.0600000000004</v>
      </c>
      <c r="G115" s="1">
        <v>65</v>
      </c>
      <c r="H115" s="1">
        <v>1.2258979999999999</v>
      </c>
      <c r="J115" s="9">
        <v>-0.40000000000000002</v>
      </c>
      <c r="K115" s="2">
        <f t="shared" si="23"/>
        <v>15120.084106376307</v>
      </c>
      <c r="L115" s="3">
        <f t="shared" si="24"/>
        <v>1.5637867559229348</v>
      </c>
      <c r="M115" s="2">
        <f t="shared" si="25"/>
        <v>21575.021999999997</v>
      </c>
      <c r="N115" s="7">
        <f t="shared" si="26"/>
        <v>10262.938</v>
      </c>
      <c r="O115" s="2">
        <f t="shared" si="27"/>
        <v>11312.084000000001</v>
      </c>
      <c r="P115" s="2">
        <f t="shared" si="21"/>
        <v>21575.022000000001</v>
      </c>
      <c r="Q115" s="3">
        <f t="shared" si="28"/>
        <v>0</v>
      </c>
    </row>
    <row r="116" spans="1:17" ht="15.65" outlineLevel="2">
      <c r="A116" s="1" t="s">
        <v>29</v>
      </c>
      <c r="B116" s="1" t="s">
        <v>39</v>
      </c>
      <c r="C116" s="2">
        <v>1284.6099999999999</v>
      </c>
      <c r="D116" s="2">
        <v>688.04999999999995</v>
      </c>
      <c r="E116" s="2">
        <v>596.55999999999995</v>
      </c>
      <c r="G116" s="1">
        <v>65</v>
      </c>
      <c r="H116" s="1">
        <v>1.022025</v>
      </c>
      <c r="J116" s="9">
        <v>-0.40000000000000002</v>
      </c>
      <c r="K116" s="2">
        <f t="shared" si="23"/>
        <v>1264.411484073077</v>
      </c>
      <c r="L116" s="3">
        <f t="shared" si="24"/>
        <v>1.5637867559229348</v>
      </c>
      <c r="M116" s="2">
        <f t="shared" si="25"/>
        <v>1798.4539999999997</v>
      </c>
      <c r="N116" s="7">
        <f t="shared" si="26"/>
        <v>963.26999999999975</v>
      </c>
      <c r="O116" s="2">
        <f t="shared" si="27"/>
        <v>835.18399999999986</v>
      </c>
      <c r="P116" s="2">
        <f t="shared" si="21"/>
        <v>1798.4539999999997</v>
      </c>
      <c r="Q116" s="3">
        <f t="shared" si="28"/>
        <v>0</v>
      </c>
    </row>
    <row r="117" spans="1:17" ht="15.65" outlineLevel="2">
      <c r="A117" s="1" t="s">
        <v>29</v>
      </c>
      <c r="B117" s="1" t="s">
        <v>38</v>
      </c>
      <c r="C117" s="2">
        <v>1529.4000000000001</v>
      </c>
      <c r="D117" s="2">
        <v>1125.02</v>
      </c>
      <c r="E117" s="2">
        <v>404.38</v>
      </c>
      <c r="G117" s="1">
        <v>65</v>
      </c>
      <c r="H117" s="1">
        <v>0.85746</v>
      </c>
      <c r="J117" s="9">
        <v>-0.40000000000000002</v>
      </c>
      <c r="K117" s="2">
        <f t="shared" si="23"/>
        <v>1509.2246257846155</v>
      </c>
      <c r="L117" s="3">
        <f t="shared" si="24"/>
        <v>1.5637867559229348</v>
      </c>
      <c r="M117" s="2">
        <f t="shared" si="25"/>
        <v>2141.1599999999999</v>
      </c>
      <c r="N117" s="7">
        <f t="shared" si="26"/>
        <v>1575.0279999999998</v>
      </c>
      <c r="O117" s="2">
        <f t="shared" si="27"/>
        <v>566.13199999999995</v>
      </c>
      <c r="P117" s="2">
        <f t="shared" si="21"/>
        <v>2141.1599999999999</v>
      </c>
      <c r="Q117" s="3">
        <f t="shared" si="28"/>
        <v>0</v>
      </c>
    </row>
    <row r="118" spans="1:17" ht="15.65" outlineLevel="2">
      <c r="A118" s="1" t="s">
        <v>29</v>
      </c>
      <c r="B118" s="1" t="s">
        <v>37</v>
      </c>
      <c r="C118" s="2">
        <v>2822.6800000000003</v>
      </c>
      <c r="D118" s="2">
        <v>1886.1600000000001</v>
      </c>
      <c r="E118" s="2">
        <v>936.51999999999998</v>
      </c>
      <c r="G118" s="1">
        <v>65</v>
      </c>
      <c r="H118" s="1">
        <v>0.66293800000000003</v>
      </c>
      <c r="J118" s="9">
        <v>-0.40000000000000002</v>
      </c>
      <c r="K118" s="2">
        <f t="shared" si="23"/>
        <v>2793.891356402462</v>
      </c>
      <c r="L118" s="3">
        <f t="shared" si="24"/>
        <v>1.5637867559229348</v>
      </c>
      <c r="M118" s="2">
        <f t="shared" si="25"/>
        <v>3951.752</v>
      </c>
      <c r="N118" s="7">
        <f t="shared" si="26"/>
        <v>2640.6239999999998</v>
      </c>
      <c r="O118" s="2">
        <f t="shared" si="27"/>
        <v>1311.1279999999997</v>
      </c>
      <c r="P118" s="2">
        <f t="shared" si="21"/>
        <v>3951.7519999999995</v>
      </c>
      <c r="Q118" s="3">
        <f t="shared" si="28"/>
        <v>0</v>
      </c>
    </row>
    <row r="119" spans="1:17" ht="15.65" outlineLevel="2">
      <c r="A119" s="1" t="s">
        <v>29</v>
      </c>
      <c r="B119" s="1" t="s">
        <v>36</v>
      </c>
      <c r="C119" s="2">
        <v>626.03999999999996</v>
      </c>
      <c r="D119" s="2">
        <v>83.920000000000002</v>
      </c>
      <c r="E119" s="2">
        <v>542.12</v>
      </c>
      <c r="G119" s="1">
        <v>65</v>
      </c>
      <c r="H119" s="1">
        <v>0.577206</v>
      </c>
      <c r="J119" s="9">
        <v>-0.40000000000000002</v>
      </c>
      <c r="K119" s="2">
        <f t="shared" si="23"/>
        <v>620.48070701169229</v>
      </c>
      <c r="L119" s="3">
        <f t="shared" si="24"/>
        <v>1.5637867559229348</v>
      </c>
      <c r="M119" s="2">
        <f t="shared" si="25"/>
        <v>876.4559999999999</v>
      </c>
      <c r="N119" s="7">
        <f t="shared" si="26"/>
        <v>117.48799999999999</v>
      </c>
      <c r="O119" s="2">
        <f t="shared" si="27"/>
        <v>758.96799999999996</v>
      </c>
      <c r="P119" s="2">
        <f t="shared" si="21"/>
        <v>876.4559999999999</v>
      </c>
      <c r="Q119" s="3">
        <f t="shared" si="28"/>
        <v>0</v>
      </c>
    </row>
    <row r="120" spans="1:17" ht="15.65" outlineLevel="2">
      <c r="A120" s="1" t="s">
        <v>29</v>
      </c>
      <c r="B120" s="1" t="s">
        <v>35</v>
      </c>
      <c r="C120" s="2">
        <v>447.85000000000002</v>
      </c>
      <c r="D120" s="2">
        <v>340.31999999999999</v>
      </c>
      <c r="E120" s="2">
        <v>107.53</v>
      </c>
      <c r="G120" s="1">
        <v>65</v>
      </c>
      <c r="H120" s="1">
        <v>0.47450700000000001</v>
      </c>
      <c r="J120" s="9">
        <v>-0.40000000000000002</v>
      </c>
      <c r="K120" s="2">
        <f t="shared" si="23"/>
        <v>444.58064676999999</v>
      </c>
      <c r="L120" s="3">
        <f t="shared" si="24"/>
        <v>1.5637867559229348</v>
      </c>
      <c r="M120" s="2">
        <f t="shared" si="25"/>
        <v>626.99000000000001</v>
      </c>
      <c r="N120" s="7">
        <f t="shared" si="26"/>
        <v>476.44799999999992</v>
      </c>
      <c r="O120" s="2">
        <f t="shared" si="27"/>
        <v>150.542</v>
      </c>
      <c r="P120" s="2">
        <f t="shared" si="21"/>
        <v>626.9899999999999</v>
      </c>
      <c r="Q120" s="3">
        <f t="shared" si="28"/>
        <v>0</v>
      </c>
    </row>
    <row r="121" spans="1:17" ht="15.65" outlineLevel="2">
      <c r="A121" s="1" t="s">
        <v>29</v>
      </c>
      <c r="B121" s="1" t="s">
        <v>34</v>
      </c>
      <c r="C121" s="2">
        <v>923.89999999999998</v>
      </c>
      <c r="D121" s="2">
        <v>807.27999999999997</v>
      </c>
      <c r="E121" s="2">
        <v>116.62000000000001</v>
      </c>
      <c r="G121" s="1">
        <v>65</v>
      </c>
      <c r="H121" s="1">
        <v>0</v>
      </c>
      <c r="J121" s="9">
        <v>-0.40000000000000002</v>
      </c>
      <c r="K121" s="2">
        <f t="shared" si="23"/>
        <v>923.89999999999998</v>
      </c>
      <c r="L121" s="3">
        <f t="shared" si="24"/>
        <v>1.5637867559229348</v>
      </c>
      <c r="M121" s="2">
        <f t="shared" si="25"/>
        <v>1293.4599999999998</v>
      </c>
      <c r="N121" s="7">
        <f t="shared" si="26"/>
        <v>1130.1919999999998</v>
      </c>
      <c r="O121" s="2">
        <f t="shared" si="27"/>
        <v>163.268</v>
      </c>
      <c r="P121" s="2">
        <f t="shared" si="21"/>
        <v>1293.4599999999998</v>
      </c>
      <c r="Q121" s="3">
        <f t="shared" si="28"/>
        <v>0</v>
      </c>
    </row>
    <row r="122" spans="1:17" ht="15.65" outlineLevel="2">
      <c r="A122" s="1" t="s">
        <v>29</v>
      </c>
      <c r="B122" s="1" t="s">
        <v>33</v>
      </c>
      <c r="C122" s="2">
        <v>2195.7600000000002</v>
      </c>
      <c r="D122" s="2">
        <v>1393.99</v>
      </c>
      <c r="E122" s="2">
        <v>801.76999999999998</v>
      </c>
      <c r="G122" s="1">
        <v>65</v>
      </c>
      <c r="H122" s="1">
        <v>0</v>
      </c>
      <c r="J122" s="9">
        <v>-0.40000000000000002</v>
      </c>
      <c r="K122" s="2">
        <f t="shared" si="23"/>
        <v>2195.7600000000002</v>
      </c>
      <c r="L122" s="3">
        <f t="shared" si="24"/>
        <v>1.5637867559229348</v>
      </c>
      <c r="M122" s="2">
        <f t="shared" si="25"/>
        <v>3074.0640000000003</v>
      </c>
      <c r="N122" s="7">
        <f t="shared" si="26"/>
        <v>1951.586</v>
      </c>
      <c r="O122" s="2">
        <f t="shared" si="27"/>
        <v>1122.4779999999998</v>
      </c>
      <c r="P122" s="2">
        <f t="shared" si="21"/>
        <v>3074.0639999999999</v>
      </c>
      <c r="Q122" s="3">
        <f t="shared" si="28"/>
        <v>0</v>
      </c>
    </row>
    <row r="123" spans="1:17" ht="15.65" outlineLevel="2">
      <c r="A123" s="1" t="s">
        <v>29</v>
      </c>
      <c r="B123" s="1" t="s">
        <v>32</v>
      </c>
      <c r="C123" s="2">
        <v>425.41999999999996</v>
      </c>
      <c r="D123" s="2">
        <v>194.94</v>
      </c>
      <c r="E123" s="2">
        <v>230.47999999999999</v>
      </c>
      <c r="G123" s="1">
        <v>65</v>
      </c>
      <c r="H123" s="1">
        <v>0</v>
      </c>
      <c r="J123" s="9">
        <v>-0.40000000000000002</v>
      </c>
      <c r="K123" s="2">
        <f t="shared" si="23"/>
        <v>425.41999999999996</v>
      </c>
      <c r="L123" s="3">
        <f t="shared" si="24"/>
        <v>1.5637867559229348</v>
      </c>
      <c r="M123" s="2">
        <f t="shared" si="25"/>
        <v>595.58799999999985</v>
      </c>
      <c r="N123" s="7">
        <f t="shared" si="26"/>
        <v>272.91599999999994</v>
      </c>
      <c r="O123" s="2">
        <f t="shared" si="27"/>
        <v>322.67199999999997</v>
      </c>
      <c r="P123" s="2">
        <f t="shared" si="21"/>
        <v>595.58799999999997</v>
      </c>
      <c r="Q123" s="3">
        <f t="shared" si="28"/>
        <v>0</v>
      </c>
    </row>
    <row r="124" spans="1:17" ht="15.65" outlineLevel="2">
      <c r="A124" s="1" t="s">
        <v>29</v>
      </c>
      <c r="B124" s="1" t="s">
        <v>31</v>
      </c>
      <c r="C124" s="2">
        <v>69.920000000000002</v>
      </c>
      <c r="D124" s="2">
        <v>61.369999999999997</v>
      </c>
      <c r="E124" s="2">
        <v>8.5500000000000007</v>
      </c>
      <c r="G124" s="1">
        <v>65</v>
      </c>
      <c r="H124" s="1">
        <v>0</v>
      </c>
      <c r="J124" s="9">
        <v>-0.40000000000000002</v>
      </c>
      <c r="K124" s="2">
        <f t="shared" si="23"/>
        <v>69.920000000000002</v>
      </c>
      <c r="L124" s="3">
        <f t="shared" si="24"/>
        <v>1.5637867559229348</v>
      </c>
      <c r="M124" s="2">
        <f t="shared" si="25"/>
        <v>97.887999999999991</v>
      </c>
      <c r="N124" s="7">
        <f t="shared" si="26"/>
        <v>85.917999999999992</v>
      </c>
      <c r="O124" s="2">
        <f t="shared" si="27"/>
        <v>11.969999999999999</v>
      </c>
      <c r="P124" s="2">
        <f t="shared" si="21"/>
        <v>97.887999999999991</v>
      </c>
      <c r="Q124" s="3">
        <f t="shared" si="28"/>
        <v>0</v>
      </c>
    </row>
    <row r="125" spans="1:17" ht="15.65" outlineLevel="2">
      <c r="A125" s="1" t="s">
        <v>29</v>
      </c>
      <c r="B125" s="1" t="s">
        <v>30</v>
      </c>
      <c r="C125" s="2">
        <v>490.80000000000001</v>
      </c>
      <c r="D125" s="2">
        <v>248</v>
      </c>
      <c r="E125" s="2">
        <v>242.80000000000001</v>
      </c>
      <c r="G125" s="1">
        <v>65</v>
      </c>
      <c r="H125" s="1">
        <v>0</v>
      </c>
      <c r="J125" s="9">
        <v>-0.40000000000000002</v>
      </c>
      <c r="K125" s="2">
        <f t="shared" si="23"/>
        <v>490.80000000000001</v>
      </c>
      <c r="L125" s="3">
        <f t="shared" si="24"/>
        <v>1.5637867559229348</v>
      </c>
      <c r="M125" s="2">
        <f t="shared" si="25"/>
        <v>687.12</v>
      </c>
      <c r="N125" s="7">
        <f t="shared" si="26"/>
        <v>347.19999999999999</v>
      </c>
      <c r="O125" s="2">
        <f t="shared" si="27"/>
        <v>339.92000000000002</v>
      </c>
      <c r="P125" s="2">
        <f t="shared" si="21"/>
        <v>687.12</v>
      </c>
      <c r="Q125" s="3">
        <f t="shared" si="28"/>
        <v>0</v>
      </c>
    </row>
    <row r="126" spans="1:17" ht="15.65" outlineLevel="1">
      <c r="A126" s="4" t="s">
        <v>113</v>
      </c>
      <c r="C126" s="2">
        <f>SUBTOTAL(9,C31:C125)</f>
        <v>190221732.22000006</v>
      </c>
      <c r="D126" s="2">
        <f t="shared" si="29" ref="D126:M126">SUBTOTAL(9,D31:D125)</f>
        <v>137062053.49000001</v>
      </c>
      <c r="E126" s="2">
        <f t="shared" si="29"/>
        <v>53159678.729999997</v>
      </c>
      <c r="F126" s="2">
        <f t="shared" si="29"/>
        <v>0</v>
      </c>
      <c r="G126" s="2"/>
      <c r="H126" s="2"/>
      <c r="I126" s="2">
        <v>56148128.468994722</v>
      </c>
      <c r="J126" s="2">
        <v>56151218.241226554</v>
      </c>
      <c r="K126" s="2">
        <f t="shared" si="29"/>
        <v>35913898.267736152</v>
      </c>
      <c r="L126" s="2">
        <v>1.5637867559229348</v>
      </c>
      <c r="M126" s="2">
        <f t="shared" si="29"/>
        <v>56151218.241226561</v>
      </c>
      <c r="N126" s="7">
        <f t="shared" si="30" ref="N126">SUBTOTAL(9,N31:N125)</f>
        <v>41745977.755670704</v>
      </c>
      <c r="O126" s="2">
        <f t="shared" si="31" ref="O126">SUBTOTAL(9,O31:O125)</f>
        <v>14405240.485555872</v>
      </c>
      <c r="P126" s="2">
        <f t="shared" si="21"/>
        <v>56151218.241226576</v>
      </c>
      <c r="Q126" s="3">
        <f>+O126+N126-M126</f>
        <v>0</v>
      </c>
    </row>
    <row r="127" spans="1:17" s="8" customFormat="1" ht="15.65" outlineLevel="2">
      <c r="A127" s="8" t="s">
        <v>97</v>
      </c>
      <c r="B127" s="8" t="s">
        <v>28</v>
      </c>
      <c r="C127" s="7">
        <v>278743555.5963757</v>
      </c>
      <c r="D127" s="7">
        <v>210859913.23637572</v>
      </c>
      <c r="E127" s="7">
        <v>67883642.359999999</v>
      </c>
      <c r="G127" s="8">
        <v>58</v>
      </c>
      <c r="H127" s="8">
        <v>57.587978</v>
      </c>
      <c r="J127" s="10">
        <v>-0.25</v>
      </c>
      <c r="K127" s="7">
        <f t="shared" si="32" ref="K127:K158">+C127*(1-I127)*(1-H127/G127)</f>
        <v>1980146.1597229214</v>
      </c>
      <c r="L127" s="6">
        <f t="shared" si="33" ref="L127:L158">$L$226</f>
        <v>1.42879333281884</v>
      </c>
      <c r="M127" s="7">
        <f t="shared" si="34" ref="M127:M158">IF((C127*(1-J127)-K127*L127)&lt;0,C127*(1-J127),K127*L127)</f>
        <v>2829219.6310189399</v>
      </c>
      <c r="N127" s="7">
        <f t="shared" si="35" ref="N127:N158">+D127/$C127*$M127</f>
        <v>2140207.3481015083</v>
      </c>
      <c r="O127" s="7">
        <f t="shared" si="36" ref="O127:O158">+E127/$C127*$M127</f>
        <v>689012.28291743179</v>
      </c>
      <c r="P127" s="7">
        <f t="shared" si="21"/>
        <v>2829219.6310189404</v>
      </c>
      <c r="Q127" s="6">
        <f t="shared" si="37" ref="Q127:Q158">+M127-P127</f>
        <v>0</v>
      </c>
    </row>
    <row r="128" spans="1:17" ht="15.65" outlineLevel="2">
      <c r="A128" s="1" t="s">
        <v>97</v>
      </c>
      <c r="B128" s="1" t="s">
        <v>27</v>
      </c>
      <c r="C128" s="2">
        <v>232119626.75</v>
      </c>
      <c r="D128" s="2">
        <v>171786305.03999999</v>
      </c>
      <c r="E128" s="2">
        <v>60333321.710000001</v>
      </c>
      <c r="G128" s="1">
        <v>58</v>
      </c>
      <c r="H128" s="1">
        <v>56.766787000000001</v>
      </c>
      <c r="J128" s="9">
        <v>-0.25</v>
      </c>
      <c r="K128" s="2">
        <f t="shared" si="32"/>
        <v>4935395.5390215172</v>
      </c>
      <c r="L128" s="3">
        <f t="shared" si="33"/>
        <v>1.42879333281884</v>
      </c>
      <c r="M128" s="2">
        <f t="shared" si="34"/>
        <v>7051660.2409777893</v>
      </c>
      <c r="N128" s="7">
        <f t="shared" si="35"/>
        <v>5218768.7622802462</v>
      </c>
      <c r="O128" s="2">
        <f t="shared" si="36"/>
        <v>1832891.4786975423</v>
      </c>
      <c r="P128" s="2">
        <f t="shared" si="21"/>
        <v>7051660.2409777883</v>
      </c>
      <c r="Q128" s="3">
        <f t="shared" si="37"/>
        <v>0</v>
      </c>
    </row>
    <row r="129" spans="1:17" ht="15.65" outlineLevel="2">
      <c r="A129" s="1" t="s">
        <v>97</v>
      </c>
      <c r="B129" s="1" t="s">
        <v>26</v>
      </c>
      <c r="C129" s="2">
        <v>159621489.16</v>
      </c>
      <c r="D129" s="2">
        <v>117957805.34</v>
      </c>
      <c r="E129" s="2">
        <v>41663683.82</v>
      </c>
      <c r="G129" s="1">
        <v>58</v>
      </c>
      <c r="H129" s="1">
        <v>55.949395000000003</v>
      </c>
      <c r="J129" s="9">
        <v>-0.25</v>
      </c>
      <c r="K129" s="2">
        <f t="shared" si="32"/>
        <v>5643459.0306713944</v>
      </c>
      <c r="L129" s="3">
        <f t="shared" si="33"/>
        <v>1.42879333281884</v>
      </c>
      <c r="M129" s="2">
        <f t="shared" si="34"/>
        <v>8063336.6370595619</v>
      </c>
      <c r="N129" s="7">
        <f t="shared" si="35"/>
        <v>5958680.7417375566</v>
      </c>
      <c r="O129" s="2">
        <f t="shared" si="36"/>
        <v>2104655.8953220062</v>
      </c>
      <c r="P129" s="2">
        <f t="shared" si="21"/>
        <v>8063336.6370595628</v>
      </c>
      <c r="Q129" s="3">
        <f t="shared" si="37"/>
        <v>0</v>
      </c>
    </row>
    <row r="130" spans="1:17" ht="15.65" outlineLevel="2">
      <c r="A130" s="1" t="s">
        <v>97</v>
      </c>
      <c r="B130" s="1" t="s">
        <v>25</v>
      </c>
      <c r="C130" s="2">
        <v>153387720.5</v>
      </c>
      <c r="D130" s="2">
        <v>109693900.55</v>
      </c>
      <c r="E130" s="2">
        <v>43693819.950000003</v>
      </c>
      <c r="G130" s="1">
        <v>58</v>
      </c>
      <c r="H130" s="1">
        <v>55.135801999999998</v>
      </c>
      <c r="J130" s="9">
        <v>-0.25</v>
      </c>
      <c r="K130" s="2">
        <f t="shared" si="32"/>
        <v>7574703.4875975791</v>
      </c>
      <c r="L130" s="3">
        <f t="shared" si="33"/>
        <v>1.42879333281884</v>
      </c>
      <c r="M130" s="2">
        <f t="shared" si="34"/>
        <v>10822685.841159036</v>
      </c>
      <c r="N130" s="7">
        <f t="shared" si="35"/>
        <v>7739750.0952104721</v>
      </c>
      <c r="O130" s="2">
        <f t="shared" si="36"/>
        <v>3082935.7459485633</v>
      </c>
      <c r="P130" s="2">
        <f t="shared" si="38" ref="P130:P193">+N130+O130</f>
        <v>10822685.841159035</v>
      </c>
      <c r="Q130" s="3">
        <f t="shared" si="37"/>
        <v>0</v>
      </c>
    </row>
    <row r="131" spans="1:17" ht="15.65" outlineLevel="2">
      <c r="A131" s="1" t="s">
        <v>97</v>
      </c>
      <c r="B131" s="1" t="s">
        <v>24</v>
      </c>
      <c r="C131" s="2">
        <v>121754903.44999999</v>
      </c>
      <c r="D131" s="2">
        <v>91201462.489999995</v>
      </c>
      <c r="E131" s="2">
        <v>30553440.960000001</v>
      </c>
      <c r="G131" s="1">
        <v>58</v>
      </c>
      <c r="H131" s="1">
        <v>54.326518999999998</v>
      </c>
      <c r="J131" s="9">
        <v>-0.25</v>
      </c>
      <c r="K131" s="2">
        <f t="shared" si="32"/>
        <v>7711453.8703518948</v>
      </c>
      <c r="L131" s="3">
        <f t="shared" si="33"/>
        <v>1.42879333281884</v>
      </c>
      <c r="M131" s="2">
        <f t="shared" si="34"/>
        <v>11018073.876298826</v>
      </c>
      <c r="N131" s="7">
        <f t="shared" si="35"/>
        <v>8253174.3927173754</v>
      </c>
      <c r="O131" s="2">
        <f t="shared" si="36"/>
        <v>2764899.4835814526</v>
      </c>
      <c r="P131" s="2">
        <f t="shared" si="38"/>
        <v>11018073.876298828</v>
      </c>
      <c r="Q131" s="3">
        <f t="shared" si="37"/>
        <v>0</v>
      </c>
    </row>
    <row r="132" spans="1:17" ht="15.65" outlineLevel="2">
      <c r="A132" s="1" t="s">
        <v>97</v>
      </c>
      <c r="B132" s="1" t="s">
        <v>23</v>
      </c>
      <c r="C132" s="2">
        <v>120560652.02</v>
      </c>
      <c r="D132" s="2">
        <v>85163345.209999993</v>
      </c>
      <c r="E132" s="2">
        <v>35397306.810000002</v>
      </c>
      <c r="G132" s="1">
        <v>58</v>
      </c>
      <c r="H132" s="1">
        <v>53.521143000000002</v>
      </c>
      <c r="J132" s="9">
        <v>-0.25</v>
      </c>
      <c r="K132" s="2">
        <f t="shared" si="32"/>
        <v>9309895.1762817409</v>
      </c>
      <c r="L132" s="3">
        <f t="shared" si="33"/>
        <v>1.42879333281884</v>
      </c>
      <c r="M132" s="2">
        <f t="shared" si="34"/>
        <v>13301916.15711363</v>
      </c>
      <c r="N132" s="7">
        <f t="shared" si="35"/>
        <v>9396396.4084634911</v>
      </c>
      <c r="O132" s="2">
        <f t="shared" si="36"/>
        <v>3905519.7486501397</v>
      </c>
      <c r="P132" s="2">
        <f t="shared" si="38"/>
        <v>13301916.15711363</v>
      </c>
      <c r="Q132" s="3">
        <f t="shared" si="37"/>
        <v>0</v>
      </c>
    </row>
    <row r="133" spans="1:17" ht="15.65" outlineLevel="2">
      <c r="A133" s="1" t="s">
        <v>97</v>
      </c>
      <c r="B133" s="1" t="s">
        <v>22</v>
      </c>
      <c r="C133" s="2">
        <v>81559028.680000007</v>
      </c>
      <c r="D133" s="2">
        <v>53672827.020000003</v>
      </c>
      <c r="E133" s="2">
        <v>27886201.66</v>
      </c>
      <c r="G133" s="1">
        <v>58</v>
      </c>
      <c r="H133" s="1">
        <v>52.719607000000003</v>
      </c>
      <c r="J133" s="9">
        <v>-0.25</v>
      </c>
      <c r="K133" s="2">
        <f t="shared" si="32"/>
        <v>7425236.6229081182</v>
      </c>
      <c r="L133" s="3">
        <f t="shared" si="33"/>
        <v>1.42879333281884</v>
      </c>
      <c r="M133" s="2">
        <f t="shared" si="34"/>
        <v>10609128.581413399</v>
      </c>
      <c r="N133" s="7">
        <f t="shared" si="35"/>
        <v>6981715.3587898687</v>
      </c>
      <c r="O133" s="2">
        <f t="shared" si="36"/>
        <v>3627413.2226235308</v>
      </c>
      <c r="P133" s="2">
        <f t="shared" si="38"/>
        <v>10609128.581413399</v>
      </c>
      <c r="Q133" s="3">
        <f t="shared" si="37"/>
        <v>0</v>
      </c>
    </row>
    <row r="134" spans="1:17" ht="15.65" outlineLevel="2">
      <c r="A134" s="1" t="s">
        <v>97</v>
      </c>
      <c r="B134" s="1" t="s">
        <v>21</v>
      </c>
      <c r="C134" s="2">
        <v>65306575.989999995</v>
      </c>
      <c r="D134" s="2">
        <v>44491085.359999999</v>
      </c>
      <c r="E134" s="2">
        <v>20815490.629999999</v>
      </c>
      <c r="G134" s="1">
        <v>58</v>
      </c>
      <c r="H134" s="1">
        <v>51.922066999999998</v>
      </c>
      <c r="J134" s="9">
        <v>-0.25</v>
      </c>
      <c r="K134" s="2">
        <f t="shared" si="32"/>
        <v>6843603.3332177391</v>
      </c>
      <c r="L134" s="3">
        <f t="shared" si="33"/>
        <v>1.42879333281884</v>
      </c>
      <c r="M134" s="2">
        <f t="shared" si="34"/>
        <v>9778094.8149582967</v>
      </c>
      <c r="N134" s="7">
        <f t="shared" si="35"/>
        <v>6661473.8941006148</v>
      </c>
      <c r="O134" s="2">
        <f t="shared" si="36"/>
        <v>3116620.9208576828</v>
      </c>
      <c r="P134" s="2">
        <f t="shared" si="38"/>
        <v>9778094.8149582967</v>
      </c>
      <c r="Q134" s="3">
        <f t="shared" si="37"/>
        <v>0</v>
      </c>
    </row>
    <row r="135" spans="1:17" ht="15.65" outlineLevel="2">
      <c r="A135" s="1" t="s">
        <v>97</v>
      </c>
      <c r="B135" s="1" t="s">
        <v>20</v>
      </c>
      <c r="C135" s="2">
        <v>36279698.340000004</v>
      </c>
      <c r="D135" s="2">
        <v>29866615.940000001</v>
      </c>
      <c r="E135" s="2">
        <v>6413082.4000000004</v>
      </c>
      <c r="G135" s="1">
        <v>58</v>
      </c>
      <c r="H135" s="1">
        <v>51.128830999999998</v>
      </c>
      <c r="J135" s="9">
        <v>-0.25</v>
      </c>
      <c r="K135" s="2">
        <f t="shared" si="32"/>
        <v>4297998.9407441299</v>
      </c>
      <c r="L135" s="3">
        <f t="shared" si="33"/>
        <v>1.42879333281884</v>
      </c>
      <c r="M135" s="2">
        <f t="shared" si="34"/>
        <v>6140952.23099765</v>
      </c>
      <c r="N135" s="7">
        <f t="shared" si="35"/>
        <v>5055429.625413279</v>
      </c>
      <c r="O135" s="2">
        <f t="shared" si="36"/>
        <v>1085522.6055843704</v>
      </c>
      <c r="P135" s="2">
        <f t="shared" si="38"/>
        <v>6140952.23099765</v>
      </c>
      <c r="Q135" s="3">
        <f t="shared" si="37"/>
        <v>0</v>
      </c>
    </row>
    <row r="136" spans="1:17" ht="15.65" outlineLevel="2">
      <c r="A136" s="1" t="s">
        <v>97</v>
      </c>
      <c r="B136" s="1" t="s">
        <v>19</v>
      </c>
      <c r="C136" s="2">
        <v>58782996.820000008</v>
      </c>
      <c r="D136" s="2">
        <v>44923653.020000003</v>
      </c>
      <c r="E136" s="2">
        <v>13859343.800000001</v>
      </c>
      <c r="G136" s="1">
        <v>58</v>
      </c>
      <c r="H136" s="1">
        <v>50.339478999999997</v>
      </c>
      <c r="J136" s="9">
        <v>-0.25</v>
      </c>
      <c r="K136" s="2">
        <f t="shared" si="32"/>
        <v>7763937.6134921312</v>
      </c>
      <c r="L136" s="3">
        <f t="shared" si="33"/>
        <v>1.42879333281884</v>
      </c>
      <c r="M136" s="2">
        <f t="shared" si="34"/>
        <v>11093062.298578974</v>
      </c>
      <c r="N136" s="7">
        <f t="shared" si="35"/>
        <v>8477636.5375957266</v>
      </c>
      <c r="O136" s="2">
        <f t="shared" si="36"/>
        <v>2615425.7609832464</v>
      </c>
      <c r="P136" s="2">
        <f t="shared" si="38"/>
        <v>11093062.298578974</v>
      </c>
      <c r="Q136" s="3">
        <f t="shared" si="37"/>
        <v>0</v>
      </c>
    </row>
    <row r="137" spans="1:17" ht="15.65" outlineLevel="2">
      <c r="A137" s="1" t="s">
        <v>97</v>
      </c>
      <c r="B137" s="1" t="s">
        <v>96</v>
      </c>
      <c r="C137" s="2">
        <v>54027993.430000007</v>
      </c>
      <c r="D137" s="2">
        <v>36537830.670000002</v>
      </c>
      <c r="E137" s="2">
        <v>17490162.760000002</v>
      </c>
      <c r="G137" s="1">
        <v>58</v>
      </c>
      <c r="H137" s="1">
        <v>49.554006999999999</v>
      </c>
      <c r="J137" s="9">
        <v>-0.25</v>
      </c>
      <c r="K137" s="2">
        <f t="shared" si="32"/>
        <v>7867587.1433418281</v>
      </c>
      <c r="L137" s="3">
        <f t="shared" si="33"/>
        <v>1.42879333281884</v>
      </c>
      <c r="M137" s="2">
        <f t="shared" si="34"/>
        <v>11241156.055778027</v>
      </c>
      <c r="N137" s="7">
        <f t="shared" si="35"/>
        <v>7602123.0926003419</v>
      </c>
      <c r="O137" s="2">
        <f t="shared" si="36"/>
        <v>3639032.9631776833</v>
      </c>
      <c r="P137" s="2">
        <f t="shared" si="38"/>
        <v>11241156.055778025</v>
      </c>
      <c r="Q137" s="3">
        <f t="shared" si="37"/>
        <v>0</v>
      </c>
    </row>
    <row r="138" spans="1:17" ht="15.65" outlineLevel="2">
      <c r="A138" s="1" t="s">
        <v>97</v>
      </c>
      <c r="B138" s="1" t="s">
        <v>18</v>
      </c>
      <c r="C138" s="2">
        <v>57954935.620000005</v>
      </c>
      <c r="D138" s="2">
        <v>38128020.960000001</v>
      </c>
      <c r="E138" s="2">
        <v>19826914.66</v>
      </c>
      <c r="G138" s="1">
        <v>58</v>
      </c>
      <c r="H138" s="1">
        <v>48.772807</v>
      </c>
      <c r="J138" s="9">
        <v>-0.25</v>
      </c>
      <c r="K138" s="2">
        <f t="shared" si="32"/>
        <v>9220023.7287640478</v>
      </c>
      <c r="L138" s="3">
        <f t="shared" si="33"/>
        <v>1.42879333281884</v>
      </c>
      <c r="M138" s="2">
        <f t="shared" si="34"/>
        <v>13173508.432089573</v>
      </c>
      <c r="N138" s="7">
        <f t="shared" si="35"/>
        <v>8666730.4560357984</v>
      </c>
      <c r="O138" s="2">
        <f t="shared" si="36"/>
        <v>4506777.9760537734</v>
      </c>
      <c r="P138" s="2">
        <f t="shared" si="38"/>
        <v>13173508.432089571</v>
      </c>
      <c r="Q138" s="3">
        <f t="shared" si="37"/>
        <v>0</v>
      </c>
    </row>
    <row r="139" spans="1:17" ht="15.65" outlineLevel="2">
      <c r="A139" s="1" t="s">
        <v>97</v>
      </c>
      <c r="B139" s="1" t="s">
        <v>17</v>
      </c>
      <c r="C139" s="2">
        <v>49602357.060000002</v>
      </c>
      <c r="D139" s="2">
        <v>38444212.450000003</v>
      </c>
      <c r="E139" s="2">
        <v>11158144.609999999</v>
      </c>
      <c r="G139" s="1">
        <v>58</v>
      </c>
      <c r="H139" s="1">
        <v>47.995755000000003</v>
      </c>
      <c r="J139" s="9">
        <v>-0.25</v>
      </c>
      <c r="K139" s="2">
        <f t="shared" si="32"/>
        <v>8555760.9069951642</v>
      </c>
      <c r="L139" s="3">
        <f t="shared" si="33"/>
        <v>1.42879333281884</v>
      </c>
      <c r="M139" s="2">
        <f t="shared" si="34"/>
        <v>12224414.141106762</v>
      </c>
      <c r="N139" s="7">
        <f t="shared" si="35"/>
        <v>9474508.9179738406</v>
      </c>
      <c r="O139" s="2">
        <f t="shared" si="36"/>
        <v>2749905.2231329223</v>
      </c>
      <c r="P139" s="2">
        <f t="shared" si="38"/>
        <v>12224414.141106762</v>
      </c>
      <c r="Q139" s="3">
        <f t="shared" si="37"/>
        <v>0</v>
      </c>
    </row>
    <row r="140" spans="1:17" ht="15.65" outlineLevel="2">
      <c r="A140" s="1" t="s">
        <v>97</v>
      </c>
      <c r="B140" s="1" t="s">
        <v>16</v>
      </c>
      <c r="C140" s="2">
        <v>73676810.870000005</v>
      </c>
      <c r="D140" s="2">
        <v>57339081.719999999</v>
      </c>
      <c r="E140" s="2">
        <v>16337729.15</v>
      </c>
      <c r="G140" s="1">
        <v>58</v>
      </c>
      <c r="H140" s="1">
        <v>47.222619999999999</v>
      </c>
      <c r="J140" s="9">
        <v>-0.25</v>
      </c>
      <c r="K140" s="2">
        <f t="shared" si="32"/>
        <v>13690396.343691738</v>
      </c>
      <c r="L140" s="3">
        <f t="shared" si="33"/>
        <v>1.42879333281884</v>
      </c>
      <c r="M140" s="2">
        <f t="shared" si="34"/>
        <v>19560747.019514181</v>
      </c>
      <c r="N140" s="7">
        <f t="shared" si="35"/>
        <v>15223178.889151204</v>
      </c>
      <c r="O140" s="2">
        <f t="shared" si="36"/>
        <v>4337568.1303629754</v>
      </c>
      <c r="P140" s="2">
        <f t="shared" si="38"/>
        <v>19560747.019514181</v>
      </c>
      <c r="Q140" s="3">
        <f t="shared" si="37"/>
        <v>0</v>
      </c>
    </row>
    <row r="141" spans="1:17" ht="15.65" outlineLevel="2">
      <c r="A141" s="1" t="s">
        <v>97</v>
      </c>
      <c r="B141" s="1" t="s">
        <v>15</v>
      </c>
      <c r="C141" s="2">
        <v>35362597.539999999</v>
      </c>
      <c r="D141" s="2">
        <v>22730948.280000001</v>
      </c>
      <c r="E141" s="2">
        <v>12631649.26</v>
      </c>
      <c r="G141" s="1">
        <v>58</v>
      </c>
      <c r="H141" s="1">
        <v>46.453415999999997</v>
      </c>
      <c r="J141" s="9">
        <v>-0.25</v>
      </c>
      <c r="K141" s="2">
        <f t="shared" si="32"/>
        <v>7039951.7750655757</v>
      </c>
      <c r="L141" s="3">
        <f t="shared" si="33"/>
        <v>1.42879333281884</v>
      </c>
      <c r="M141" s="2">
        <f t="shared" si="34"/>
        <v>10058636.159579853</v>
      </c>
      <c r="N141" s="7">
        <f t="shared" si="35"/>
        <v>6465654.5111574819</v>
      </c>
      <c r="O141" s="2">
        <f t="shared" si="36"/>
        <v>3592981.6484223711</v>
      </c>
      <c r="P141" s="2">
        <f t="shared" si="38"/>
        <v>10058636.159579853</v>
      </c>
      <c r="Q141" s="3">
        <f t="shared" si="37"/>
        <v>0</v>
      </c>
    </row>
    <row r="142" spans="1:17" ht="15.65" outlineLevel="2">
      <c r="A142" s="1" t="s">
        <v>97</v>
      </c>
      <c r="B142" s="1" t="s">
        <v>14</v>
      </c>
      <c r="C142" s="2">
        <v>36386669.079999998</v>
      </c>
      <c r="D142" s="2">
        <v>24911885.329999998</v>
      </c>
      <c r="E142" s="2">
        <v>11474783.75</v>
      </c>
      <c r="G142" s="1">
        <v>58</v>
      </c>
      <c r="H142" s="1">
        <v>45.688785000000003</v>
      </c>
      <c r="J142" s="9">
        <v>-0.25</v>
      </c>
      <c r="K142" s="2">
        <f t="shared" si="32"/>
        <v>7723519.0720298644</v>
      </c>
      <c r="L142" s="3">
        <f t="shared" si="33"/>
        <v>1.42879333281884</v>
      </c>
      <c r="M142" s="2">
        <f t="shared" si="34"/>
        <v>11035312.556015424</v>
      </c>
      <c r="N142" s="7">
        <f t="shared" si="35"/>
        <v>7555251.6327269562</v>
      </c>
      <c r="O142" s="2">
        <f t="shared" si="36"/>
        <v>3480060.9232884683</v>
      </c>
      <c r="P142" s="2">
        <f t="shared" si="38"/>
        <v>11035312.556015424</v>
      </c>
      <c r="Q142" s="3">
        <f t="shared" si="37"/>
        <v>0</v>
      </c>
    </row>
    <row r="143" spans="1:17" ht="15.65" outlineLevel="2">
      <c r="A143" s="1" t="s">
        <v>97</v>
      </c>
      <c r="B143" s="1" t="s">
        <v>13</v>
      </c>
      <c r="C143" s="2">
        <v>51055020.579999998</v>
      </c>
      <c r="D143" s="2">
        <v>36761841.82</v>
      </c>
      <c r="E143" s="2">
        <v>14293178.76</v>
      </c>
      <c r="G143" s="1">
        <v>58</v>
      </c>
      <c r="H143" s="1">
        <v>44.928119000000002</v>
      </c>
      <c r="J143" s="9">
        <v>-0.25</v>
      </c>
      <c r="K143" s="2">
        <f t="shared" si="32"/>
        <v>11506640.577143289</v>
      </c>
      <c r="L143" s="3">
        <f t="shared" si="33"/>
        <v>1.42879333281884</v>
      </c>
      <c r="M143" s="2">
        <f t="shared" si="34"/>
        <v>16440611.339765061</v>
      </c>
      <c r="N143" s="7">
        <f t="shared" si="35"/>
        <v>11837957.298430717</v>
      </c>
      <c r="O143" s="2">
        <f t="shared" si="36"/>
        <v>4602654.0413343441</v>
      </c>
      <c r="P143" s="2">
        <f t="shared" si="38"/>
        <v>16440611.339765061</v>
      </c>
      <c r="Q143" s="3">
        <f t="shared" si="37"/>
        <v>0</v>
      </c>
    </row>
    <row r="144" spans="1:17" ht="15.65" outlineLevel="2">
      <c r="A144" s="1" t="s">
        <v>97</v>
      </c>
      <c r="B144" s="1" t="s">
        <v>12</v>
      </c>
      <c r="C144" s="2">
        <v>38295452.490000002</v>
      </c>
      <c r="D144" s="2">
        <v>23635860.16</v>
      </c>
      <c r="E144" s="2">
        <v>14659592.33</v>
      </c>
      <c r="G144" s="1">
        <v>58</v>
      </c>
      <c r="H144" s="1">
        <v>44.171436</v>
      </c>
      <c r="J144" s="9">
        <v>-0.25</v>
      </c>
      <c r="K144" s="2">
        <f t="shared" si="32"/>
        <v>9130536.4770159386</v>
      </c>
      <c r="L144" s="3">
        <f t="shared" si="33"/>
        <v>1.42879333281884</v>
      </c>
      <c r="M144" s="2">
        <f t="shared" si="34"/>
        <v>13045649.643419594</v>
      </c>
      <c r="N144" s="7">
        <f t="shared" si="35"/>
        <v>8051743.2389325276</v>
      </c>
      <c r="O144" s="2">
        <f t="shared" si="36"/>
        <v>4993906.4044870641</v>
      </c>
      <c r="P144" s="2">
        <f t="shared" si="38"/>
        <v>13045649.643419592</v>
      </c>
      <c r="Q144" s="3">
        <f t="shared" si="37"/>
        <v>0</v>
      </c>
    </row>
    <row r="145" spans="1:17" ht="15.65" outlineLevel="2">
      <c r="A145" s="1" t="s">
        <v>97</v>
      </c>
      <c r="B145" s="1" t="s">
        <v>95</v>
      </c>
      <c r="C145" s="2">
        <v>24226625.899999999</v>
      </c>
      <c r="D145" s="2">
        <v>18208305.039999999</v>
      </c>
      <c r="E145" s="2">
        <v>6018320.8600000003</v>
      </c>
      <c r="G145" s="1">
        <v>58</v>
      </c>
      <c r="H145" s="1">
        <v>43.419020000000003</v>
      </c>
      <c r="J145" s="9">
        <v>-0.25</v>
      </c>
      <c r="K145" s="2">
        <f t="shared" si="32"/>
        <v>6090481.8571617557</v>
      </c>
      <c r="L145" s="3">
        <f t="shared" si="33"/>
        <v>1.42879333281884</v>
      </c>
      <c r="M145" s="2">
        <f t="shared" si="34"/>
        <v>8702039.8711668234</v>
      </c>
      <c r="N145" s="7">
        <f t="shared" si="35"/>
        <v>6540299.7965328647</v>
      </c>
      <c r="O145" s="2">
        <f t="shared" si="36"/>
        <v>2161740.0746339592</v>
      </c>
      <c r="P145" s="2">
        <f t="shared" si="38"/>
        <v>8702039.8711668234</v>
      </c>
      <c r="Q145" s="3">
        <f t="shared" si="37"/>
        <v>0</v>
      </c>
    </row>
    <row r="146" spans="1:17" ht="15.65" outlineLevel="2">
      <c r="A146" s="1" t="s">
        <v>97</v>
      </c>
      <c r="B146" s="1" t="s">
        <v>11</v>
      </c>
      <c r="C146" s="2">
        <v>29714559.27</v>
      </c>
      <c r="D146" s="2">
        <v>23882770.09</v>
      </c>
      <c r="E146" s="2">
        <v>5831789.1799999997</v>
      </c>
      <c r="G146" s="1">
        <v>58</v>
      </c>
      <c r="H146" s="1">
        <v>42.671151000000002</v>
      </c>
      <c r="J146" s="9">
        <v>-0.25</v>
      </c>
      <c r="K146" s="2">
        <f t="shared" si="32"/>
        <v>7853275.7267479347</v>
      </c>
      <c r="L146" s="3">
        <f t="shared" si="33"/>
        <v>1.42879333281884</v>
      </c>
      <c r="M146" s="2">
        <f t="shared" si="34"/>
        <v>11220707.999165479</v>
      </c>
      <c r="N146" s="7">
        <f t="shared" si="35"/>
        <v>9018528.1550397724</v>
      </c>
      <c r="O146" s="2">
        <f t="shared" si="36"/>
        <v>2202179.8441257072</v>
      </c>
      <c r="P146" s="2">
        <f t="shared" si="38"/>
        <v>11220707.999165479</v>
      </c>
      <c r="Q146" s="3">
        <f t="shared" si="37"/>
        <v>0</v>
      </c>
    </row>
    <row r="147" spans="1:17" ht="15.65" outlineLevel="2">
      <c r="A147" s="1" t="s">
        <v>97</v>
      </c>
      <c r="B147" s="1" t="s">
        <v>10</v>
      </c>
      <c r="C147" s="2">
        <v>26880397.760000002</v>
      </c>
      <c r="D147" s="2">
        <v>21863698.73</v>
      </c>
      <c r="E147" s="2">
        <v>5016699.0300000003</v>
      </c>
      <c r="G147" s="1">
        <v>58</v>
      </c>
      <c r="H147" s="1">
        <v>41.927506000000001</v>
      </c>
      <c r="J147" s="9">
        <v>-0.25</v>
      </c>
      <c r="K147" s="2">
        <f t="shared" si="32"/>
        <v>7448879.8571588527</v>
      </c>
      <c r="L147" s="3">
        <f t="shared" si="33"/>
        <v>1.42879333281884</v>
      </c>
      <c r="M147" s="2">
        <f t="shared" si="34"/>
        <v>10642909.876877122</v>
      </c>
      <c r="N147" s="7">
        <f t="shared" si="35"/>
        <v>8656619.490387436</v>
      </c>
      <c r="O147" s="2">
        <f t="shared" si="36"/>
        <v>1986290.3864896856</v>
      </c>
      <c r="P147" s="2">
        <f t="shared" si="38"/>
        <v>10642909.876877122</v>
      </c>
      <c r="Q147" s="3">
        <f t="shared" si="37"/>
        <v>0</v>
      </c>
    </row>
    <row r="148" spans="1:17" ht="15.65" outlineLevel="2">
      <c r="A148" s="1" t="s">
        <v>97</v>
      </c>
      <c r="B148" s="1" t="s">
        <v>9</v>
      </c>
      <c r="C148" s="2">
        <v>43000382.719999999</v>
      </c>
      <c r="D148" s="2">
        <v>33324263.07</v>
      </c>
      <c r="E148" s="2">
        <v>9676119.6500000004</v>
      </c>
      <c r="G148" s="1">
        <v>58</v>
      </c>
      <c r="H148" s="1">
        <v>41.188194000000003</v>
      </c>
      <c r="J148" s="9">
        <v>-0.25</v>
      </c>
      <c r="K148" s="2">
        <f t="shared" si="32"/>
        <v>12464036.072661934</v>
      </c>
      <c r="L148" s="3">
        <f t="shared" si="33"/>
        <v>1.42879333281884</v>
      </c>
      <c r="M148" s="2">
        <f t="shared" si="34"/>
        <v>17808531.64063289</v>
      </c>
      <c r="N148" s="7">
        <f t="shared" si="35"/>
        <v>13801183.983575231</v>
      </c>
      <c r="O148" s="2">
        <f t="shared" si="36"/>
        <v>4007347.6570576592</v>
      </c>
      <c r="P148" s="2">
        <f t="shared" si="38"/>
        <v>17808531.64063289</v>
      </c>
      <c r="Q148" s="3">
        <f t="shared" si="37"/>
        <v>0</v>
      </c>
    </row>
    <row r="149" spans="1:17" ht="15.65" outlineLevel="2">
      <c r="A149" s="1" t="s">
        <v>97</v>
      </c>
      <c r="B149" s="1" t="s">
        <v>94</v>
      </c>
      <c r="C149" s="2">
        <v>23973040.25</v>
      </c>
      <c r="D149" s="2">
        <v>17173942.16</v>
      </c>
      <c r="E149" s="2">
        <v>6799098.0899999999</v>
      </c>
      <c r="G149" s="1">
        <v>58</v>
      </c>
      <c r="H149" s="1">
        <v>40.453885</v>
      </c>
      <c r="J149" s="9">
        <v>-0.25</v>
      </c>
      <c r="K149" s="2">
        <f t="shared" si="32"/>
        <v>7252305.5366573939</v>
      </c>
      <c r="L149" s="3">
        <f t="shared" si="33"/>
        <v>1.42879333281884</v>
      </c>
      <c r="M149" s="2">
        <f t="shared" si="34"/>
        <v>10362045.798341245</v>
      </c>
      <c r="N149" s="7">
        <f t="shared" si="35"/>
        <v>7423220.9742351538</v>
      </c>
      <c r="O149" s="2">
        <f t="shared" si="36"/>
        <v>2938824.8241060907</v>
      </c>
      <c r="P149" s="2">
        <f t="shared" si="38"/>
        <v>10362045.798341245</v>
      </c>
      <c r="Q149" s="3">
        <f t="shared" si="37"/>
        <v>0</v>
      </c>
    </row>
    <row r="150" spans="1:17" ht="15.65" outlineLevel="2">
      <c r="A150" s="1" t="s">
        <v>97</v>
      </c>
      <c r="B150" s="1" t="s">
        <v>93</v>
      </c>
      <c r="C150" s="2">
        <v>20242985.140000001</v>
      </c>
      <c r="D150" s="2">
        <v>12759245.029999999</v>
      </c>
      <c r="E150" s="2">
        <v>7483740.1100000003</v>
      </c>
      <c r="G150" s="1">
        <v>58</v>
      </c>
      <c r="H150" s="1">
        <v>39.724378999999999</v>
      </c>
      <c r="J150" s="9">
        <v>-0.25</v>
      </c>
      <c r="K150" s="2">
        <f t="shared" si="32"/>
        <v>6378502.1435736548</v>
      </c>
      <c r="L150" s="3">
        <f t="shared" si="33"/>
        <v>1.42879333281884</v>
      </c>
      <c r="M150" s="2">
        <f t="shared" si="34"/>
        <v>9113561.3361087181</v>
      </c>
      <c r="N150" s="7">
        <f t="shared" si="35"/>
        <v>5744318.9025304653</v>
      </c>
      <c r="O150" s="2">
        <f t="shared" si="36"/>
        <v>3369242.4335782528</v>
      </c>
      <c r="P150" s="2">
        <f t="shared" si="38"/>
        <v>9113561.3361087181</v>
      </c>
      <c r="Q150" s="3">
        <f t="shared" si="37"/>
        <v>0</v>
      </c>
    </row>
    <row r="151" spans="1:17" ht="15.65" outlineLevel="2">
      <c r="A151" s="1" t="s">
        <v>97</v>
      </c>
      <c r="B151" s="1" t="s">
        <v>92</v>
      </c>
      <c r="C151" s="2">
        <v>20738996.27</v>
      </c>
      <c r="D151" s="2">
        <v>16104513.470000001</v>
      </c>
      <c r="E151" s="2">
        <v>4634482.7999999998</v>
      </c>
      <c r="G151" s="1">
        <v>58</v>
      </c>
      <c r="H151" s="1">
        <v>38.999631000000001</v>
      </c>
      <c r="J151" s="9">
        <v>-0.25</v>
      </c>
      <c r="K151" s="2">
        <f t="shared" si="32"/>
        <v>6793941.0658555795</v>
      </c>
      <c r="L151" s="3">
        <f t="shared" si="33"/>
        <v>1.42879333281884</v>
      </c>
      <c r="M151" s="2">
        <f t="shared" si="34"/>
        <v>9707137.6984585766</v>
      </c>
      <c r="N151" s="7">
        <f t="shared" si="35"/>
        <v>7537912.0466938084</v>
      </c>
      <c r="O151" s="2">
        <f t="shared" si="36"/>
        <v>2169225.6517647691</v>
      </c>
      <c r="P151" s="2">
        <f t="shared" si="38"/>
        <v>9707137.6984585784</v>
      </c>
      <c r="Q151" s="3">
        <f t="shared" si="37"/>
        <v>0</v>
      </c>
    </row>
    <row r="152" spans="1:17" ht="15.65" outlineLevel="2">
      <c r="A152" s="1" t="s">
        <v>97</v>
      </c>
      <c r="B152" s="1" t="s">
        <v>91</v>
      </c>
      <c r="C152" s="2">
        <v>7618087.6099999994</v>
      </c>
      <c r="D152" s="2">
        <v>4849420.1299999999</v>
      </c>
      <c r="E152" s="2">
        <v>2768667.48</v>
      </c>
      <c r="G152" s="1">
        <v>58</v>
      </c>
      <c r="H152" s="1">
        <v>38.279879000000001</v>
      </c>
      <c r="J152" s="9">
        <v>-0.25</v>
      </c>
      <c r="K152" s="2">
        <f t="shared" si="32"/>
        <v>2590165.6803069101</v>
      </c>
      <c r="L152" s="3">
        <f t="shared" si="33"/>
        <v>1.42879333281884</v>
      </c>
      <c r="M152" s="2">
        <f t="shared" si="34"/>
        <v>3700811.4549186882</v>
      </c>
      <c r="N152" s="7">
        <f t="shared" si="35"/>
        <v>2355812.9658759953</v>
      </c>
      <c r="O152" s="2">
        <f t="shared" si="36"/>
        <v>1344998.4890426928</v>
      </c>
      <c r="P152" s="2">
        <f t="shared" si="38"/>
        <v>3700811.4549186882</v>
      </c>
      <c r="Q152" s="3">
        <f t="shared" si="37"/>
        <v>0</v>
      </c>
    </row>
    <row r="153" spans="1:17" ht="15.65" outlineLevel="2">
      <c r="A153" s="1" t="s">
        <v>97</v>
      </c>
      <c r="B153" s="1" t="s">
        <v>90</v>
      </c>
      <c r="C153" s="2">
        <v>11452796.420000002</v>
      </c>
      <c r="D153" s="2">
        <v>8789320.4600000009</v>
      </c>
      <c r="E153" s="2">
        <v>2663475.96</v>
      </c>
      <c r="G153" s="1">
        <v>58</v>
      </c>
      <c r="H153" s="1">
        <v>37.565883999999997</v>
      </c>
      <c r="J153" s="9">
        <v>-0.25</v>
      </c>
      <c r="K153" s="2">
        <f t="shared" si="32"/>
        <v>4034961.5615631854</v>
      </c>
      <c r="L153" s="3">
        <f t="shared" si="33"/>
        <v>1.42879333281884</v>
      </c>
      <c r="M153" s="2">
        <f t="shared" si="34"/>
        <v>5765126.177341775</v>
      </c>
      <c r="N153" s="7">
        <f t="shared" si="35"/>
        <v>4424381.5751849059</v>
      </c>
      <c r="O153" s="2">
        <f t="shared" si="36"/>
        <v>1340744.6021568689</v>
      </c>
      <c r="P153" s="2">
        <f t="shared" si="38"/>
        <v>5765126.177341775</v>
      </c>
      <c r="Q153" s="3">
        <f t="shared" si="37"/>
        <v>0</v>
      </c>
    </row>
    <row r="154" spans="1:17" ht="15.65" outlineLevel="2">
      <c r="A154" s="1" t="s">
        <v>97</v>
      </c>
      <c r="B154" s="1" t="s">
        <v>89</v>
      </c>
      <c r="C154" s="2">
        <v>28034568.68</v>
      </c>
      <c r="D154" s="2">
        <v>23062794.440000001</v>
      </c>
      <c r="E154" s="2">
        <v>4971774.2400000002</v>
      </c>
      <c r="G154" s="1">
        <v>58</v>
      </c>
      <c r="H154" s="1">
        <v>36.857121999999997</v>
      </c>
      <c r="J154" s="9">
        <v>-0.25</v>
      </c>
      <c r="K154" s="2">
        <f t="shared" si="32"/>
        <v>10219508.023859674</v>
      </c>
      <c r="L154" s="3">
        <f t="shared" si="33"/>
        <v>1.42879333281884</v>
      </c>
      <c r="M154" s="2">
        <f t="shared" si="34"/>
        <v>14601564.929179341</v>
      </c>
      <c r="N154" s="7">
        <f t="shared" si="35"/>
        <v>12012058.908693591</v>
      </c>
      <c r="O154" s="2">
        <f t="shared" si="36"/>
        <v>2589506.0204857509</v>
      </c>
      <c r="P154" s="2">
        <f t="shared" si="38"/>
        <v>14601564.929179343</v>
      </c>
      <c r="Q154" s="3">
        <f t="shared" si="37"/>
        <v>0</v>
      </c>
    </row>
    <row r="155" spans="1:17" ht="15.65" outlineLevel="2">
      <c r="A155" s="1" t="s">
        <v>97</v>
      </c>
      <c r="B155" s="1" t="s">
        <v>8</v>
      </c>
      <c r="C155" s="2">
        <v>10888114.040000001</v>
      </c>
      <c r="D155" s="2">
        <v>9371563.9600000009</v>
      </c>
      <c r="E155" s="2">
        <v>1516550.0800000001</v>
      </c>
      <c r="G155" s="1">
        <v>58</v>
      </c>
      <c r="H155" s="1">
        <v>36.153739000000002</v>
      </c>
      <c r="J155" s="9">
        <v>-0.25</v>
      </c>
      <c r="K155" s="2">
        <f t="shared" si="32"/>
        <v>4101113.4675104213</v>
      </c>
      <c r="L155" s="3">
        <f t="shared" si="33"/>
        <v>1.42879333281884</v>
      </c>
      <c r="M155" s="2">
        <f t="shared" si="34"/>
        <v>5859643.5795124443</v>
      </c>
      <c r="N155" s="7">
        <f t="shared" si="35"/>
        <v>5043483.5993143423</v>
      </c>
      <c r="O155" s="2">
        <f t="shared" si="36"/>
        <v>816159.98019810277</v>
      </c>
      <c r="P155" s="2">
        <f t="shared" si="38"/>
        <v>5859643.5795124453</v>
      </c>
      <c r="Q155" s="3">
        <f t="shared" si="37"/>
        <v>0</v>
      </c>
    </row>
    <row r="156" spans="1:17" ht="15.65" outlineLevel="2">
      <c r="A156" s="1" t="s">
        <v>97</v>
      </c>
      <c r="B156" s="1" t="s">
        <v>88</v>
      </c>
      <c r="C156" s="2">
        <v>20819167.539999999</v>
      </c>
      <c r="D156" s="2">
        <v>17462407.969999999</v>
      </c>
      <c r="E156" s="2">
        <v>3356759.5699999998</v>
      </c>
      <c r="G156" s="1">
        <v>58</v>
      </c>
      <c r="H156" s="1">
        <v>35.456308</v>
      </c>
      <c r="J156" s="9">
        <v>-0.25</v>
      </c>
      <c r="K156" s="2">
        <f t="shared" si="32"/>
        <v>8092084.4951406484</v>
      </c>
      <c r="L156" s="3">
        <f t="shared" si="33"/>
        <v>1.42879333281884</v>
      </c>
      <c r="M156" s="2">
        <f t="shared" si="34"/>
        <v>11561916.375263667</v>
      </c>
      <c r="N156" s="7">
        <f t="shared" si="35"/>
        <v>9697741.2892214879</v>
      </c>
      <c r="O156" s="2">
        <f t="shared" si="36"/>
        <v>1864175.0860421783</v>
      </c>
      <c r="P156" s="2">
        <f t="shared" si="38"/>
        <v>11561916.375263667</v>
      </c>
      <c r="Q156" s="3">
        <f t="shared" si="37"/>
        <v>0</v>
      </c>
    </row>
    <row r="157" spans="1:17" ht="15.65" outlineLevel="2">
      <c r="A157" s="1" t="s">
        <v>97</v>
      </c>
      <c r="B157" s="1" t="s">
        <v>7</v>
      </c>
      <c r="C157" s="2">
        <v>22814359.649999999</v>
      </c>
      <c r="D157" s="2">
        <v>20127906.449999999</v>
      </c>
      <c r="E157" s="2">
        <v>2686453.2000000002</v>
      </c>
      <c r="G157" s="1">
        <v>58</v>
      </c>
      <c r="H157" s="1">
        <v>34.76502</v>
      </c>
      <c r="J157" s="9">
        <v>-0.25</v>
      </c>
      <c r="K157" s="2">
        <f t="shared" si="32"/>
        <v>9139503.2789751198</v>
      </c>
      <c r="L157" s="3">
        <f t="shared" si="33"/>
        <v>1.42879333281884</v>
      </c>
      <c r="M157" s="2">
        <f t="shared" si="34"/>
        <v>13058461.350275578</v>
      </c>
      <c r="N157" s="7">
        <f t="shared" si="35"/>
        <v>11520791.83775327</v>
      </c>
      <c r="O157" s="2">
        <f t="shared" si="36"/>
        <v>1537669.5125223096</v>
      </c>
      <c r="P157" s="2">
        <f t="shared" si="38"/>
        <v>13058461.35027558</v>
      </c>
      <c r="Q157" s="3">
        <f t="shared" si="37"/>
        <v>0</v>
      </c>
    </row>
    <row r="158" spans="1:17" ht="15.65" outlineLevel="2">
      <c r="A158" s="1" t="s">
        <v>97</v>
      </c>
      <c r="B158" s="1" t="s">
        <v>87</v>
      </c>
      <c r="C158" s="2">
        <v>14064876.860000001</v>
      </c>
      <c r="D158" s="2">
        <v>11715148.640000001</v>
      </c>
      <c r="E158" s="2">
        <v>2349728.2200000002</v>
      </c>
      <c r="G158" s="1">
        <v>58</v>
      </c>
      <c r="H158" s="1">
        <v>34.079602000000001</v>
      </c>
      <c r="J158" s="9">
        <v>-0.25</v>
      </c>
      <c r="K158" s="2">
        <f t="shared" si="32"/>
        <v>5800645.7295205221</v>
      </c>
      <c r="L158" s="3">
        <f t="shared" si="33"/>
        <v>1.42879333281884</v>
      </c>
      <c r="M158" s="2">
        <f t="shared" si="34"/>
        <v>8287923.9443829982</v>
      </c>
      <c r="N158" s="7">
        <f t="shared" si="35"/>
        <v>6903313.970817226</v>
      </c>
      <c r="O158" s="2">
        <f t="shared" si="36"/>
        <v>1384609.9735657722</v>
      </c>
      <c r="P158" s="2">
        <f t="shared" si="38"/>
        <v>8287923.9443829982</v>
      </c>
      <c r="Q158" s="3">
        <f t="shared" si="37"/>
        <v>0</v>
      </c>
    </row>
    <row r="159" spans="1:17" ht="15.65" outlineLevel="2">
      <c r="A159" s="1" t="s">
        <v>97</v>
      </c>
      <c r="B159" s="1" t="s">
        <v>6</v>
      </c>
      <c r="C159" s="2">
        <v>13668354.4</v>
      </c>
      <c r="D159" s="2">
        <v>10607528.18</v>
      </c>
      <c r="E159" s="2">
        <v>3060826.2200000002</v>
      </c>
      <c r="G159" s="1">
        <v>58</v>
      </c>
      <c r="H159" s="1">
        <v>33.400188999999997</v>
      </c>
      <c r="J159" s="9">
        <v>-0.25</v>
      </c>
      <c r="K159" s="2">
        <f t="shared" si="39" ref="K159:K190">+C159*(1-I159)*(1-H159/G159)</f>
        <v>5797223.0158796273</v>
      </c>
      <c r="L159" s="3">
        <f t="shared" si="40" ref="L159:L190">$L$226</f>
        <v>1.42879333281884</v>
      </c>
      <c r="M159" s="2">
        <f t="shared" si="41" ref="M159:M190">IF((C159*(1-J159)-K159*L159)&lt;0,C159*(1-J159),K159*L159)</f>
        <v>8283033.5939527396</v>
      </c>
      <c r="N159" s="7">
        <f t="shared" si="42" ref="N159:N190">+D159/$C159*$M159</f>
        <v>6428170.4799621208</v>
      </c>
      <c r="O159" s="2">
        <f t="shared" si="43" ref="O159:O190">+E159/$C159*$M159</f>
        <v>1854863.1139906191</v>
      </c>
      <c r="P159" s="2">
        <f t="shared" si="38"/>
        <v>8283033.5939527396</v>
      </c>
      <c r="Q159" s="3">
        <f t="shared" si="44" ref="Q159:Q190">+M159-P159</f>
        <v>0</v>
      </c>
    </row>
    <row r="160" spans="1:17" ht="15.65" outlineLevel="2">
      <c r="A160" s="1" t="s">
        <v>97</v>
      </c>
      <c r="B160" s="1" t="s">
        <v>5</v>
      </c>
      <c r="C160" s="2">
        <v>31555570.099999998</v>
      </c>
      <c r="D160" s="2">
        <v>26752960.129999999</v>
      </c>
      <c r="E160" s="2">
        <v>4802609.9699999997</v>
      </c>
      <c r="G160" s="1">
        <v>58</v>
      </c>
      <c r="H160" s="1">
        <v>32.727753</v>
      </c>
      <c r="J160" s="9">
        <v>-0.25</v>
      </c>
      <c r="K160" s="2">
        <f t="shared" si="39"/>
        <v>13749657.961948529</v>
      </c>
      <c r="L160" s="3">
        <f t="shared" si="40"/>
        <v>1.42879333281884</v>
      </c>
      <c r="M160" s="2">
        <f t="shared" si="41"/>
        <v>19645419.624571539</v>
      </c>
      <c r="N160" s="7">
        <f t="shared" si="42"/>
        <v>16655478.772455515</v>
      </c>
      <c r="O160" s="2">
        <f t="shared" si="43"/>
        <v>2989940.8521160241</v>
      </c>
      <c r="P160" s="2">
        <f t="shared" si="38"/>
        <v>19645419.624571539</v>
      </c>
      <c r="Q160" s="3">
        <f t="shared" si="44"/>
        <v>0</v>
      </c>
    </row>
    <row r="161" spans="1:17" ht="15.65" outlineLevel="2">
      <c r="A161" s="1" t="s">
        <v>97</v>
      </c>
      <c r="B161" s="1" t="s">
        <v>4</v>
      </c>
      <c r="C161" s="2">
        <v>20658109.350000001</v>
      </c>
      <c r="D161" s="2">
        <v>17919056.210000001</v>
      </c>
      <c r="E161" s="2">
        <v>2739053.1400000001</v>
      </c>
      <c r="G161" s="1">
        <v>58</v>
      </c>
      <c r="H161" s="1">
        <v>32.061777999999997</v>
      </c>
      <c r="J161" s="9">
        <v>-0.25</v>
      </c>
      <c r="K161" s="2">
        <f t="shared" si="39"/>
        <v>9238528.0417340659</v>
      </c>
      <c r="L161" s="3">
        <f t="shared" si="40"/>
        <v>1.42879333281884</v>
      </c>
      <c r="M161" s="2">
        <f t="shared" si="41"/>
        <v>13199947.271089528</v>
      </c>
      <c r="N161" s="7">
        <f t="shared" si="42"/>
        <v>11449769.827057738</v>
      </c>
      <c r="O161" s="2">
        <f t="shared" si="43"/>
        <v>1750177.4440317892</v>
      </c>
      <c r="P161" s="2">
        <f t="shared" si="38"/>
        <v>13199947.271089528</v>
      </c>
      <c r="Q161" s="3">
        <f t="shared" si="44"/>
        <v>0</v>
      </c>
    </row>
    <row r="162" spans="1:17" ht="15.65" outlineLevel="2">
      <c r="A162" s="1" t="s">
        <v>97</v>
      </c>
      <c r="B162" s="1" t="s">
        <v>3</v>
      </c>
      <c r="C162" s="2">
        <v>24555034.23</v>
      </c>
      <c r="D162" s="2">
        <v>21025303.789999999</v>
      </c>
      <c r="E162" s="2">
        <v>3529730.4399999999</v>
      </c>
      <c r="G162" s="1">
        <v>58</v>
      </c>
      <c r="H162" s="1">
        <v>31.402293</v>
      </c>
      <c r="J162" s="9">
        <v>-0.25</v>
      </c>
      <c r="K162" s="2">
        <f t="shared" si="39"/>
        <v>11260475.962491563</v>
      </c>
      <c r="L162" s="3">
        <f t="shared" si="40"/>
        <v>1.42879333281884</v>
      </c>
      <c r="M162" s="2">
        <f t="shared" si="41"/>
        <v>16088892.979574755</v>
      </c>
      <c r="N162" s="7">
        <f t="shared" si="42"/>
        <v>13776151.129411701</v>
      </c>
      <c r="O162" s="2">
        <f t="shared" si="43"/>
        <v>2312741.8501630533</v>
      </c>
      <c r="P162" s="2">
        <f t="shared" si="38"/>
        <v>16088892.979574755</v>
      </c>
      <c r="Q162" s="3">
        <f t="shared" si="44"/>
        <v>0</v>
      </c>
    </row>
    <row r="163" spans="1:17" ht="15.65" outlineLevel="2">
      <c r="A163" s="1" t="s">
        <v>97</v>
      </c>
      <c r="B163" s="1" t="s">
        <v>86</v>
      </c>
      <c r="C163" s="2">
        <v>15837028.59</v>
      </c>
      <c r="D163" s="2">
        <v>13885588.300000001</v>
      </c>
      <c r="E163" s="2">
        <v>1951440.29</v>
      </c>
      <c r="G163" s="1">
        <v>58</v>
      </c>
      <c r="H163" s="1">
        <v>30.749670999999999</v>
      </c>
      <c r="J163" s="9">
        <v>-0.25</v>
      </c>
      <c r="K163" s="2">
        <f t="shared" si="39"/>
        <v>7440762.7493087268</v>
      </c>
      <c r="L163" s="3">
        <f t="shared" si="40"/>
        <v>1.42879333281884</v>
      </c>
      <c r="M163" s="2">
        <f t="shared" si="41"/>
        <v>10631312.207299091</v>
      </c>
      <c r="N163" s="7">
        <f t="shared" si="42"/>
        <v>9321320.8248252235</v>
      </c>
      <c r="O163" s="2">
        <f t="shared" si="43"/>
        <v>1309991.3824738686</v>
      </c>
      <c r="P163" s="2">
        <f t="shared" si="38"/>
        <v>10631312.207299093</v>
      </c>
      <c r="Q163" s="3">
        <f t="shared" si="44"/>
        <v>0</v>
      </c>
    </row>
    <row r="164" spans="1:17" ht="15.65" outlineLevel="2">
      <c r="A164" s="1" t="s">
        <v>97</v>
      </c>
      <c r="B164" s="1" t="s">
        <v>85</v>
      </c>
      <c r="C164" s="2">
        <v>18081462.629999999</v>
      </c>
      <c r="D164" s="2">
        <v>16119918.24</v>
      </c>
      <c r="E164" s="2">
        <v>1961544.3899999999</v>
      </c>
      <c r="G164" s="1">
        <v>58</v>
      </c>
      <c r="H164" s="1">
        <v>30.104574</v>
      </c>
      <c r="J164" s="9">
        <v>-0.25</v>
      </c>
      <c r="K164" s="2">
        <f t="shared" si="39"/>
        <v>8696381.0821884535</v>
      </c>
      <c r="L164" s="3">
        <f t="shared" si="40"/>
        <v>1.42879333281884</v>
      </c>
      <c r="M164" s="2">
        <f t="shared" si="41"/>
        <v>12425331.309882751</v>
      </c>
      <c r="N164" s="7">
        <f t="shared" si="42"/>
        <v>11077385.105334371</v>
      </c>
      <c r="O164" s="2">
        <f t="shared" si="43"/>
        <v>1347946.2045483796</v>
      </c>
      <c r="P164" s="2">
        <f t="shared" si="38"/>
        <v>12425331.309882751</v>
      </c>
      <c r="Q164" s="3">
        <f t="shared" si="44"/>
        <v>0</v>
      </c>
    </row>
    <row r="165" spans="1:17" ht="15.65" outlineLevel="2">
      <c r="A165" s="1" t="s">
        <v>97</v>
      </c>
      <c r="B165" s="1" t="s">
        <v>84</v>
      </c>
      <c r="C165" s="2">
        <v>21642385.420000002</v>
      </c>
      <c r="D165" s="2">
        <v>19380437.890000001</v>
      </c>
      <c r="E165" s="2">
        <v>2261947.5299999998</v>
      </c>
      <c r="G165" s="1">
        <v>58</v>
      </c>
      <c r="H165" s="1">
        <v>29.466417</v>
      </c>
      <c r="J165" s="9">
        <v>-0.25</v>
      </c>
      <c r="K165" s="2">
        <f t="shared" si="39"/>
        <v>10647151.73619931</v>
      </c>
      <c r="L165" s="3">
        <f t="shared" si="40"/>
        <v>1.42879333281884</v>
      </c>
      <c r="M165" s="2">
        <f t="shared" si="41"/>
        <v>15212579.41419211</v>
      </c>
      <c r="N165" s="7">
        <f t="shared" si="42"/>
        <v>13622641.162789289</v>
      </c>
      <c r="O165" s="2">
        <f t="shared" si="43"/>
        <v>1589938.2514028198</v>
      </c>
      <c r="P165" s="2">
        <f t="shared" si="38"/>
        <v>15212579.414192108</v>
      </c>
      <c r="Q165" s="3">
        <f t="shared" si="44"/>
        <v>0</v>
      </c>
    </row>
    <row r="166" spans="1:17" ht="15.65" outlineLevel="2">
      <c r="A166" s="1" t="s">
        <v>97</v>
      </c>
      <c r="B166" s="1" t="s">
        <v>83</v>
      </c>
      <c r="C166" s="2">
        <v>18710055.760000002</v>
      </c>
      <c r="D166" s="2">
        <v>16380841.23</v>
      </c>
      <c r="E166" s="2">
        <v>2329214.5299999998</v>
      </c>
      <c r="G166" s="1">
        <v>58</v>
      </c>
      <c r="H166" s="1">
        <v>28.835339999999999</v>
      </c>
      <c r="J166" s="9">
        <v>-0.25</v>
      </c>
      <c r="K166" s="2">
        <f t="shared" si="39"/>
        <v>9408145.0831283052</v>
      </c>
      <c r="L166" s="3">
        <f t="shared" si="40"/>
        <v>1.42879333281884</v>
      </c>
      <c r="M166" s="2">
        <f t="shared" si="41"/>
        <v>13442294.968966074</v>
      </c>
      <c r="N166" s="7">
        <f t="shared" si="42"/>
        <v>11768863.892122416</v>
      </c>
      <c r="O166" s="2">
        <f t="shared" si="43"/>
        <v>1673431.0768436573</v>
      </c>
      <c r="P166" s="2">
        <f t="shared" si="38"/>
        <v>13442294.968966072</v>
      </c>
      <c r="Q166" s="3">
        <f t="shared" si="44"/>
        <v>0</v>
      </c>
    </row>
    <row r="167" spans="1:17" ht="15.65" outlineLevel="2">
      <c r="A167" s="1" t="s">
        <v>97</v>
      </c>
      <c r="B167" s="1" t="s">
        <v>2</v>
      </c>
      <c r="C167" s="2">
        <v>18637254.82</v>
      </c>
      <c r="D167" s="2">
        <v>16465126.67</v>
      </c>
      <c r="E167" s="2">
        <v>2172128.1499999999</v>
      </c>
      <c r="G167" s="1">
        <v>58</v>
      </c>
      <c r="H167" s="1">
        <v>28.212101000000001</v>
      </c>
      <c r="J167" s="9">
        <v>-0.25</v>
      </c>
      <c r="K167" s="2">
        <f t="shared" si="39"/>
        <v>9571804.5554383304</v>
      </c>
      <c r="L167" s="3">
        <f t="shared" si="40"/>
        <v>1.42879333281884</v>
      </c>
      <c r="M167" s="2">
        <f t="shared" si="41"/>
        <v>13676130.531855287</v>
      </c>
      <c r="N167" s="7">
        <f t="shared" si="42"/>
        <v>12082209.73191865</v>
      </c>
      <c r="O167" s="2">
        <f t="shared" si="43"/>
        <v>1593920.7999366368</v>
      </c>
      <c r="P167" s="2">
        <f t="shared" si="38"/>
        <v>13676130.531855287</v>
      </c>
      <c r="Q167" s="3">
        <f t="shared" si="44"/>
        <v>0</v>
      </c>
    </row>
    <row r="168" spans="1:17" ht="15.65" outlineLevel="2">
      <c r="A168" s="1" t="s">
        <v>97</v>
      </c>
      <c r="B168" s="1" t="s">
        <v>82</v>
      </c>
      <c r="C168" s="2">
        <v>11058084.940000001</v>
      </c>
      <c r="D168" s="2">
        <v>9498865.6500000004</v>
      </c>
      <c r="E168" s="2">
        <v>1559219.29</v>
      </c>
      <c r="G168" s="1">
        <v>58</v>
      </c>
      <c r="H168" s="1">
        <v>27.596609000000001</v>
      </c>
      <c r="J168" s="9">
        <v>-0.25</v>
      </c>
      <c r="K168" s="2">
        <f t="shared" si="39"/>
        <v>5796608.2783108894</v>
      </c>
      <c r="L168" s="3">
        <f t="shared" si="40"/>
        <v>1.42879333281884</v>
      </c>
      <c r="M168" s="2">
        <f t="shared" si="41"/>
        <v>8282155.2610130934</v>
      </c>
      <c r="N168" s="7">
        <f t="shared" si="42"/>
        <v>7114349.414357461</v>
      </c>
      <c r="O168" s="2">
        <f t="shared" si="43"/>
        <v>1167805.8466556326</v>
      </c>
      <c r="P168" s="2">
        <f t="shared" si="38"/>
        <v>8282155.2610130934</v>
      </c>
      <c r="Q168" s="3">
        <f t="shared" si="44"/>
        <v>0</v>
      </c>
    </row>
    <row r="169" spans="1:17" ht="15.65" outlineLevel="2">
      <c r="A169" s="1" t="s">
        <v>97</v>
      </c>
      <c r="B169" s="1" t="s">
        <v>81</v>
      </c>
      <c r="C169" s="2">
        <v>9566974.4100000001</v>
      </c>
      <c r="D169" s="2">
        <v>8992418.2100000009</v>
      </c>
      <c r="E169" s="2">
        <v>574556.19999999995</v>
      </c>
      <c r="G169" s="1">
        <v>58</v>
      </c>
      <c r="H169" s="1">
        <v>26.988614999999999</v>
      </c>
      <c r="J169" s="9">
        <v>-0.25</v>
      </c>
      <c r="K169" s="2">
        <f t="shared" si="39"/>
        <v>5115260.8054078948</v>
      </c>
      <c r="L169" s="3">
        <f t="shared" si="40"/>
        <v>1.42879333281884</v>
      </c>
      <c r="M169" s="2">
        <f t="shared" si="41"/>
        <v>7308650.5343963299</v>
      </c>
      <c r="N169" s="7">
        <f t="shared" si="42"/>
        <v>6869720.7015976319</v>
      </c>
      <c r="O169" s="2">
        <f t="shared" si="43"/>
        <v>438929.83279869822</v>
      </c>
      <c r="P169" s="2">
        <f t="shared" si="38"/>
        <v>7308650.5343963299</v>
      </c>
      <c r="Q169" s="3">
        <f t="shared" si="44"/>
        <v>0</v>
      </c>
    </row>
    <row r="170" spans="1:17" ht="15.65" outlineLevel="2">
      <c r="A170" s="1" t="s">
        <v>97</v>
      </c>
      <c r="B170" s="1" t="s">
        <v>80</v>
      </c>
      <c r="C170" s="2">
        <v>4305541.0899999999</v>
      </c>
      <c r="D170" s="2">
        <v>3728522.8399999999</v>
      </c>
      <c r="E170" s="2">
        <v>577018.25</v>
      </c>
      <c r="G170" s="1">
        <v>58</v>
      </c>
      <c r="H170" s="1">
        <v>26.388241000000001</v>
      </c>
      <c r="J170" s="9">
        <v>-0.25</v>
      </c>
      <c r="K170" s="2">
        <f t="shared" si="39"/>
        <v>2346650.4707185742</v>
      </c>
      <c r="L170" s="3">
        <f t="shared" si="40"/>
        <v>1.42879333281884</v>
      </c>
      <c r="M170" s="2">
        <f t="shared" si="41"/>
        <v>3352878.5470188917</v>
      </c>
      <c r="N170" s="7">
        <f t="shared" si="42"/>
        <v>2903533.8372083567</v>
      </c>
      <c r="O170" s="2">
        <f t="shared" si="43"/>
        <v>449344.70981053478</v>
      </c>
      <c r="P170" s="2">
        <f t="shared" si="38"/>
        <v>3352878.5470188917</v>
      </c>
      <c r="Q170" s="3">
        <f t="shared" si="44"/>
        <v>0</v>
      </c>
    </row>
    <row r="171" spans="1:17" ht="15.65" outlineLevel="2">
      <c r="A171" s="1" t="s">
        <v>97</v>
      </c>
      <c r="B171" s="1" t="s">
        <v>79</v>
      </c>
      <c r="C171" s="2">
        <v>6908645.2199999997</v>
      </c>
      <c r="D171" s="2">
        <v>6099626.3499999996</v>
      </c>
      <c r="E171" s="2">
        <v>809018.87</v>
      </c>
      <c r="G171" s="1">
        <v>58</v>
      </c>
      <c r="H171" s="1">
        <v>25.796638000000002</v>
      </c>
      <c r="J171" s="9">
        <v>-0.25</v>
      </c>
      <c r="K171" s="2">
        <f t="shared" si="39"/>
        <v>3835889.7060212004</v>
      </c>
      <c r="L171" s="3">
        <f t="shared" si="40"/>
        <v>1.42879333281884</v>
      </c>
      <c r="M171" s="2">
        <f t="shared" si="41"/>
        <v>5480693.6373915114</v>
      </c>
      <c r="N171" s="7">
        <f t="shared" si="42"/>
        <v>4838891.3111550119</v>
      </c>
      <c r="O171" s="2">
        <f t="shared" si="43"/>
        <v>641802.32623649912</v>
      </c>
      <c r="P171" s="2">
        <f t="shared" si="38"/>
        <v>5480693.6373915114</v>
      </c>
      <c r="Q171" s="3">
        <f t="shared" si="44"/>
        <v>0</v>
      </c>
    </row>
    <row r="172" spans="1:17" ht="15.65" outlineLevel="2">
      <c r="A172" s="1" t="s">
        <v>97</v>
      </c>
      <c r="B172" s="1" t="s">
        <v>78</v>
      </c>
      <c r="C172" s="2">
        <v>4665701.2600000007</v>
      </c>
      <c r="D172" s="2">
        <v>4232462.9800000004</v>
      </c>
      <c r="E172" s="2">
        <v>433238.28000000003</v>
      </c>
      <c r="G172" s="1">
        <v>58</v>
      </c>
      <c r="H172" s="1">
        <v>25.212924999999998</v>
      </c>
      <c r="J172" s="9">
        <v>-0.25</v>
      </c>
      <c r="K172" s="2">
        <f t="shared" si="39"/>
        <v>2637494.778262319</v>
      </c>
      <c r="L172" s="3">
        <f t="shared" si="40"/>
        <v>1.42879333281884</v>
      </c>
      <c r="M172" s="2">
        <f t="shared" si="41"/>
        <v>3768434.9545257064</v>
      </c>
      <c r="N172" s="7">
        <f t="shared" si="42"/>
        <v>3418513.2199329957</v>
      </c>
      <c r="O172" s="2">
        <f t="shared" si="43"/>
        <v>349921.73459271056</v>
      </c>
      <c r="P172" s="2">
        <f t="shared" si="38"/>
        <v>3768434.9545257064</v>
      </c>
      <c r="Q172" s="3">
        <f t="shared" si="44"/>
        <v>0</v>
      </c>
    </row>
    <row r="173" spans="1:17" ht="15.65" outlineLevel="2">
      <c r="A173" s="1" t="s">
        <v>97</v>
      </c>
      <c r="B173" s="1" t="s">
        <v>77</v>
      </c>
      <c r="C173" s="2">
        <v>10336000.91</v>
      </c>
      <c r="D173" s="2">
        <v>9317093.3399999999</v>
      </c>
      <c r="E173" s="2">
        <v>1018907.57</v>
      </c>
      <c r="G173" s="1">
        <v>58</v>
      </c>
      <c r="H173" s="1">
        <v>24.637205999999999</v>
      </c>
      <c r="J173" s="9">
        <v>-0.25</v>
      </c>
      <c r="K173" s="2">
        <f t="shared" si="39"/>
        <v>5945480.5024852175</v>
      </c>
      <c r="L173" s="3">
        <f t="shared" si="40"/>
        <v>1.42879333281884</v>
      </c>
      <c r="M173" s="2">
        <f t="shared" si="41"/>
        <v>8494862.9023552854</v>
      </c>
      <c r="N173" s="7">
        <f t="shared" si="42"/>
        <v>7657451.9740195628</v>
      </c>
      <c r="O173" s="2">
        <f t="shared" si="43"/>
        <v>837410.9283357223</v>
      </c>
      <c r="P173" s="2">
        <f t="shared" si="38"/>
        <v>8494862.9023552854</v>
      </c>
      <c r="Q173" s="3">
        <f t="shared" si="44"/>
        <v>0</v>
      </c>
    </row>
    <row r="174" spans="1:17" ht="15.65" outlineLevel="2">
      <c r="A174" s="1" t="s">
        <v>97</v>
      </c>
      <c r="B174" s="1" t="s">
        <v>76</v>
      </c>
      <c r="C174" s="2">
        <v>12252974.720000001</v>
      </c>
      <c r="D174" s="2">
        <v>11027549.560000001</v>
      </c>
      <c r="E174" s="2">
        <v>1225425.1599999999</v>
      </c>
      <c r="G174" s="1">
        <v>58</v>
      </c>
      <c r="H174" s="1">
        <v>24.069977000000002</v>
      </c>
      <c r="J174" s="9">
        <v>-0.25</v>
      </c>
      <c r="K174" s="2">
        <f t="shared" si="39"/>
        <v>7167995.0701382505</v>
      </c>
      <c r="L174" s="3">
        <f t="shared" si="40"/>
        <v>1.42879333281884</v>
      </c>
      <c r="M174" s="2">
        <f t="shared" si="41"/>
        <v>10241583.565891845</v>
      </c>
      <c r="N174" s="7">
        <f t="shared" si="42"/>
        <v>9217318.4819689114</v>
      </c>
      <c r="O174" s="2">
        <f t="shared" si="43"/>
        <v>1024265.0839229336</v>
      </c>
      <c r="P174" s="2">
        <f t="shared" si="38"/>
        <v>10241583.565891845</v>
      </c>
      <c r="Q174" s="3">
        <f t="shared" si="44"/>
        <v>0</v>
      </c>
    </row>
    <row r="175" spans="1:17" ht="15.65" outlineLevel="2">
      <c r="A175" s="1" t="s">
        <v>97</v>
      </c>
      <c r="B175" s="1" t="s">
        <v>75</v>
      </c>
      <c r="C175" s="2">
        <v>8726769.5299999993</v>
      </c>
      <c r="D175" s="2">
        <v>7146208.21</v>
      </c>
      <c r="E175" s="2">
        <v>1580561.3200000001</v>
      </c>
      <c r="G175" s="1">
        <v>58</v>
      </c>
      <c r="H175" s="1">
        <v>23.511593999999999</v>
      </c>
      <c r="J175" s="9">
        <v>-0.25</v>
      </c>
      <c r="K175" s="2">
        <f t="shared" si="39"/>
        <v>5189178.8037770549</v>
      </c>
      <c r="L175" s="3">
        <f t="shared" si="40"/>
        <v>1.42879333281884</v>
      </c>
      <c r="M175" s="2">
        <f t="shared" si="41"/>
        <v>7414264.0776415002</v>
      </c>
      <c r="N175" s="7">
        <f t="shared" si="42"/>
        <v>6071419.0561131695</v>
      </c>
      <c r="O175" s="2">
        <f t="shared" si="43"/>
        <v>1342845.0215283311</v>
      </c>
      <c r="P175" s="2">
        <f t="shared" si="38"/>
        <v>7414264.0776415002</v>
      </c>
      <c r="Q175" s="3">
        <f t="shared" si="44"/>
        <v>0</v>
      </c>
    </row>
    <row r="176" spans="1:17" ht="15.65" outlineLevel="2">
      <c r="A176" s="1" t="s">
        <v>97</v>
      </c>
      <c r="B176" s="1" t="s">
        <v>74</v>
      </c>
      <c r="C176" s="2">
        <v>6706695.46</v>
      </c>
      <c r="D176" s="2">
        <v>5907785.0300000003</v>
      </c>
      <c r="E176" s="2">
        <v>798910.43000000005</v>
      </c>
      <c r="G176" s="1">
        <v>58</v>
      </c>
      <c r="H176" s="1">
        <v>22.961537</v>
      </c>
      <c r="J176" s="9">
        <v>-0.25</v>
      </c>
      <c r="K176" s="2">
        <f t="shared" si="39"/>
        <v>4051591.391853069</v>
      </c>
      <c r="L176" s="3">
        <f t="shared" si="40"/>
        <v>1.42879333281884</v>
      </c>
      <c r="M176" s="2">
        <f t="shared" si="41"/>
        <v>5788886.7679858692</v>
      </c>
      <c r="N176" s="7">
        <f t="shared" si="42"/>
        <v>5099306.9227974163</v>
      </c>
      <c r="O176" s="2">
        <f t="shared" si="43"/>
        <v>689579.8451884531</v>
      </c>
      <c r="P176" s="2">
        <f t="shared" si="38"/>
        <v>5788886.7679858692</v>
      </c>
      <c r="Q176" s="3">
        <f t="shared" si="44"/>
        <v>0</v>
      </c>
    </row>
    <row r="177" spans="1:17" ht="15.65" outlineLevel="2">
      <c r="A177" s="1" t="s">
        <v>97</v>
      </c>
      <c r="B177" s="1" t="s">
        <v>73</v>
      </c>
      <c r="C177" s="2">
        <v>8502694.7100000009</v>
      </c>
      <c r="D177" s="2">
        <v>7578319.9100000001</v>
      </c>
      <c r="E177" s="2">
        <v>924374.80000000005</v>
      </c>
      <c r="G177" s="1">
        <v>58</v>
      </c>
      <c r="H177" s="1">
        <v>22.419900999999999</v>
      </c>
      <c r="J177" s="9">
        <v>-0.25</v>
      </c>
      <c r="K177" s="2">
        <f t="shared" si="39"/>
        <v>5215977.923251316</v>
      </c>
      <c r="L177" s="3">
        <f t="shared" si="40"/>
        <v>1.42879333281884</v>
      </c>
      <c r="M177" s="2">
        <f t="shared" si="41"/>
        <v>7452554.4808717398</v>
      </c>
      <c r="N177" s="7">
        <f t="shared" si="42"/>
        <v>6642346.212469154</v>
      </c>
      <c r="O177" s="2">
        <f t="shared" si="43"/>
        <v>810208.26840258471</v>
      </c>
      <c r="P177" s="2">
        <f t="shared" si="38"/>
        <v>7452554.4808717389</v>
      </c>
      <c r="Q177" s="3">
        <f t="shared" si="44"/>
        <v>0</v>
      </c>
    </row>
    <row r="178" spans="1:17" ht="15.65" outlineLevel="2">
      <c r="A178" s="1" t="s">
        <v>97</v>
      </c>
      <c r="B178" s="1" t="s">
        <v>72</v>
      </c>
      <c r="C178" s="2">
        <v>9668200.1899999995</v>
      </c>
      <c r="D178" s="2">
        <v>8962826.1600000001</v>
      </c>
      <c r="E178" s="2">
        <v>705374.03000000003</v>
      </c>
      <c r="G178" s="1">
        <v>58</v>
      </c>
      <c r="H178" s="1">
        <v>21.887488000000001</v>
      </c>
      <c r="J178" s="9">
        <v>-0.25</v>
      </c>
      <c r="K178" s="2">
        <f t="shared" si="39"/>
        <v>6019706.8168927114</v>
      </c>
      <c r="L178" s="3">
        <f t="shared" si="40"/>
        <v>1.42879333281884</v>
      </c>
      <c r="M178" s="2">
        <f t="shared" si="41"/>
        <v>8600916.9655004274</v>
      </c>
      <c r="N178" s="7">
        <f t="shared" si="42"/>
        <v>7973409.94843168</v>
      </c>
      <c r="O178" s="2">
        <f t="shared" si="43"/>
        <v>627507.01706874848</v>
      </c>
      <c r="P178" s="2">
        <f t="shared" si="38"/>
        <v>8600916.9655004293</v>
      </c>
      <c r="Q178" s="3">
        <f t="shared" si="44"/>
        <v>0</v>
      </c>
    </row>
    <row r="179" spans="1:17" ht="15.65" outlineLevel="2">
      <c r="A179" s="1" t="s">
        <v>97</v>
      </c>
      <c r="B179" s="1" t="s">
        <v>71</v>
      </c>
      <c r="C179" s="2">
        <v>5452730.3499999996</v>
      </c>
      <c r="D179" s="2">
        <v>4839082.5099999998</v>
      </c>
      <c r="E179" s="2">
        <v>613647.83999999997</v>
      </c>
      <c r="G179" s="1">
        <v>58</v>
      </c>
      <c r="H179" s="1">
        <v>21.363897999999999</v>
      </c>
      <c r="J179" s="9">
        <v>-0.25</v>
      </c>
      <c r="K179" s="2">
        <f t="shared" si="39"/>
        <v>3444254.9186395812</v>
      </c>
      <c r="L179" s="3">
        <f t="shared" si="40"/>
        <v>1.42879333281884</v>
      </c>
      <c r="M179" s="2">
        <f t="shared" si="41"/>
        <v>4921128.4642807301</v>
      </c>
      <c r="N179" s="7">
        <f t="shared" si="42"/>
        <v>4367306.8632421996</v>
      </c>
      <c r="O179" s="2">
        <f t="shared" si="43"/>
        <v>553821.60103853059</v>
      </c>
      <c r="P179" s="2">
        <f t="shared" si="38"/>
        <v>4921128.4642807301</v>
      </c>
      <c r="Q179" s="3">
        <f t="shared" si="44"/>
        <v>0</v>
      </c>
    </row>
    <row r="180" spans="1:17" ht="15.65" outlineLevel="2">
      <c r="A180" s="1" t="s">
        <v>97</v>
      </c>
      <c r="B180" s="1" t="s">
        <v>70</v>
      </c>
      <c r="C180" s="2">
        <v>5118860.1099999994</v>
      </c>
      <c r="D180" s="2">
        <v>4613856.6799999997</v>
      </c>
      <c r="E180" s="2">
        <v>505003.42999999999</v>
      </c>
      <c r="G180" s="1">
        <v>58</v>
      </c>
      <c r="H180" s="1">
        <v>20.848966000000001</v>
      </c>
      <c r="J180" s="9">
        <v>-0.25</v>
      </c>
      <c r="K180" s="2">
        <f t="shared" si="39"/>
        <v>3278809.4135836842</v>
      </c>
      <c r="L180" s="3">
        <f t="shared" si="40"/>
        <v>1.42879333281884</v>
      </c>
      <c r="M180" s="2">
        <f t="shared" si="41"/>
        <v>4684741.0297120186</v>
      </c>
      <c r="N180" s="7">
        <f t="shared" si="42"/>
        <v>4222565.8114354834</v>
      </c>
      <c r="O180" s="2">
        <f t="shared" si="43"/>
        <v>462175.21827653568</v>
      </c>
      <c r="P180" s="2">
        <f t="shared" si="38"/>
        <v>4684741.0297120195</v>
      </c>
      <c r="Q180" s="3">
        <f t="shared" si="44"/>
        <v>0</v>
      </c>
    </row>
    <row r="181" spans="1:17" ht="15.65" outlineLevel="2">
      <c r="A181" s="1" t="s">
        <v>97</v>
      </c>
      <c r="B181" s="1" t="s">
        <v>69</v>
      </c>
      <c r="C181" s="2">
        <v>6362317.3200000003</v>
      </c>
      <c r="D181" s="2">
        <v>6042611.9199999999</v>
      </c>
      <c r="E181" s="2">
        <v>319705.40000000002</v>
      </c>
      <c r="G181" s="1">
        <v>58</v>
      </c>
      <c r="H181" s="1">
        <v>20.342870999999999</v>
      </c>
      <c r="J181" s="9">
        <v>-0.25</v>
      </c>
      <c r="K181" s="2">
        <f t="shared" si="39"/>
        <v>4130803.5182443848</v>
      </c>
      <c r="L181" s="3">
        <f t="shared" si="40"/>
        <v>1.42879333281884</v>
      </c>
      <c r="M181" s="2">
        <f t="shared" si="41"/>
        <v>5902064.5260521844</v>
      </c>
      <c r="N181" s="7">
        <f t="shared" si="42"/>
        <v>5605486.7533284361</v>
      </c>
      <c r="O181" s="2">
        <f t="shared" si="43"/>
        <v>296577.77272374777</v>
      </c>
      <c r="P181" s="2">
        <f t="shared" si="38"/>
        <v>5902064.5260521835</v>
      </c>
      <c r="Q181" s="3">
        <f t="shared" si="44"/>
        <v>0</v>
      </c>
    </row>
    <row r="182" spans="1:17" ht="15.65" outlineLevel="2">
      <c r="A182" s="1" t="s">
        <v>97</v>
      </c>
      <c r="B182" s="1" t="s">
        <v>1</v>
      </c>
      <c r="C182" s="2">
        <v>3365491.0100000002</v>
      </c>
      <c r="D182" s="2">
        <v>2772952.4100000001</v>
      </c>
      <c r="E182" s="2">
        <v>592538.59999999998</v>
      </c>
      <c r="G182" s="1">
        <v>58</v>
      </c>
      <c r="H182" s="1">
        <v>19.846288999999999</v>
      </c>
      <c r="J182" s="9">
        <v>-0.25</v>
      </c>
      <c r="K182" s="2">
        <f t="shared" si="39"/>
        <v>2213896.0580799677</v>
      </c>
      <c r="L182" s="3">
        <f t="shared" si="40"/>
        <v>1.42879333281884</v>
      </c>
      <c r="M182" s="2">
        <f t="shared" si="41"/>
        <v>3163199.9273385694</v>
      </c>
      <c r="N182" s="7">
        <f t="shared" si="42"/>
        <v>2606277.3116203663</v>
      </c>
      <c r="O182" s="2">
        <f t="shared" si="43"/>
        <v>556922.61571820325</v>
      </c>
      <c r="P182" s="2">
        <f t="shared" si="38"/>
        <v>3163199.9273385694</v>
      </c>
      <c r="Q182" s="3">
        <f t="shared" si="44"/>
        <v>0</v>
      </c>
    </row>
    <row r="183" spans="1:17" ht="15.65" outlineLevel="2">
      <c r="A183" s="1" t="s">
        <v>97</v>
      </c>
      <c r="B183" s="1" t="s">
        <v>68</v>
      </c>
      <c r="C183" s="2">
        <v>2857797.29</v>
      </c>
      <c r="D183" s="2">
        <v>2636589.3900000001</v>
      </c>
      <c r="E183" s="2">
        <v>221207.89999999999</v>
      </c>
      <c r="G183" s="1">
        <v>58</v>
      </c>
      <c r="H183" s="1">
        <v>19.358508</v>
      </c>
      <c r="J183" s="9">
        <v>-0.25</v>
      </c>
      <c r="K183" s="2">
        <f t="shared" si="39"/>
        <v>1903957.7779164945</v>
      </c>
      <c r="L183" s="3">
        <f t="shared" si="40"/>
        <v>1.42879333281884</v>
      </c>
      <c r="M183" s="2">
        <f t="shared" si="41"/>
        <v>2720362.179055661</v>
      </c>
      <c r="N183" s="7">
        <f t="shared" si="42"/>
        <v>2509792.4486643476</v>
      </c>
      <c r="O183" s="2">
        <f t="shared" si="43"/>
        <v>210569.73039131361</v>
      </c>
      <c r="P183" s="2">
        <f t="shared" si="38"/>
        <v>2720362.1790556614</v>
      </c>
      <c r="Q183" s="3">
        <f t="shared" si="44"/>
        <v>0</v>
      </c>
    </row>
    <row r="184" spans="1:17" ht="15.65" outlineLevel="2">
      <c r="A184" s="1" t="s">
        <v>97</v>
      </c>
      <c r="B184" s="1" t="s">
        <v>67</v>
      </c>
      <c r="C184" s="2">
        <v>2882618.9300000002</v>
      </c>
      <c r="D184" s="2">
        <v>2630879.5600000001</v>
      </c>
      <c r="E184" s="2">
        <v>251739.37</v>
      </c>
      <c r="G184" s="1">
        <v>58</v>
      </c>
      <c r="H184" s="1">
        <v>18.879576</v>
      </c>
      <c r="J184" s="9">
        <v>-0.25</v>
      </c>
      <c r="K184" s="2">
        <f t="shared" si="39"/>
        <v>1944297.8408970055</v>
      </c>
      <c r="L184" s="3">
        <f t="shared" si="40"/>
        <v>1.42879333281884</v>
      </c>
      <c r="M184" s="2">
        <f t="shared" si="41"/>
        <v>2777999.7920877072</v>
      </c>
      <c r="N184" s="7">
        <f t="shared" si="42"/>
        <v>2535396.8207958024</v>
      </c>
      <c r="O184" s="2">
        <f t="shared" si="43"/>
        <v>242602.97129190445</v>
      </c>
      <c r="P184" s="2">
        <f t="shared" si="38"/>
        <v>2777999.7920877067</v>
      </c>
      <c r="Q184" s="3">
        <f t="shared" si="44"/>
        <v>0</v>
      </c>
    </row>
    <row r="185" spans="1:17" ht="15.65" outlineLevel="2">
      <c r="A185" s="1" t="s">
        <v>97</v>
      </c>
      <c r="B185" s="1" t="s">
        <v>66</v>
      </c>
      <c r="C185" s="2">
        <v>1398398.54</v>
      </c>
      <c r="D185" s="2">
        <v>1151483.53</v>
      </c>
      <c r="E185" s="2">
        <v>246915.01000000001</v>
      </c>
      <c r="G185" s="1">
        <v>58</v>
      </c>
      <c r="H185" s="1">
        <v>18.409867999999999</v>
      </c>
      <c r="J185" s="9">
        <v>-0.25</v>
      </c>
      <c r="K185" s="2">
        <f t="shared" si="39"/>
        <v>954530.73771047045</v>
      </c>
      <c r="L185" s="3">
        <f t="shared" si="40"/>
        <v>1.42879333281884</v>
      </c>
      <c r="M185" s="2">
        <f t="shared" si="41"/>
        <v>1363827.154011369</v>
      </c>
      <c r="N185" s="7">
        <f t="shared" si="42"/>
        <v>1123016.4081913764</v>
      </c>
      <c r="O185" s="2">
        <f t="shared" si="43"/>
        <v>240810.74581999259</v>
      </c>
      <c r="P185" s="2">
        <f t="shared" si="38"/>
        <v>1363827.154011369</v>
      </c>
      <c r="Q185" s="3">
        <f t="shared" si="44"/>
        <v>0</v>
      </c>
    </row>
    <row r="186" spans="1:17" ht="15.65" outlineLevel="2">
      <c r="A186" s="1" t="s">
        <v>97</v>
      </c>
      <c r="B186" s="1" t="s">
        <v>65</v>
      </c>
      <c r="C186" s="2">
        <v>1066823.6100000001</v>
      </c>
      <c r="D186" s="2">
        <v>998307.93000000005</v>
      </c>
      <c r="E186" s="2">
        <v>68515.679999999993</v>
      </c>
      <c r="G186" s="1">
        <v>58</v>
      </c>
      <c r="H186" s="1">
        <v>17.949325999999999</v>
      </c>
      <c r="J186" s="9">
        <v>-0.25</v>
      </c>
      <c r="K186" s="2">
        <f t="shared" si="39"/>
        <v>736672.49344160594</v>
      </c>
      <c r="L186" s="3">
        <f t="shared" si="40"/>
        <v>1.42879333281884</v>
      </c>
      <c r="M186" s="2">
        <f t="shared" si="41"/>
        <v>1052552.7471003973</v>
      </c>
      <c r="N186" s="7">
        <f t="shared" si="42"/>
        <v>984953.59900556656</v>
      </c>
      <c r="O186" s="2">
        <f t="shared" si="43"/>
        <v>67599.148094830525</v>
      </c>
      <c r="P186" s="2">
        <f t="shared" si="38"/>
        <v>1052552.747100397</v>
      </c>
      <c r="Q186" s="3">
        <f t="shared" si="44"/>
        <v>0</v>
      </c>
    </row>
    <row r="187" spans="1:17" ht="15.65" outlineLevel="2">
      <c r="A187" s="1" t="s">
        <v>97</v>
      </c>
      <c r="B187" s="1" t="s">
        <v>64</v>
      </c>
      <c r="C187" s="2">
        <v>2418159.27</v>
      </c>
      <c r="D187" s="2">
        <v>2331408.6899999999</v>
      </c>
      <c r="E187" s="2">
        <v>86750.580000000002</v>
      </c>
      <c r="G187" s="1">
        <v>58</v>
      </c>
      <c r="H187" s="1">
        <v>17.497612</v>
      </c>
      <c r="J187" s="9">
        <v>-0.25</v>
      </c>
      <c r="K187" s="2">
        <f t="shared" si="39"/>
        <v>1688641.8103333924</v>
      </c>
      <c r="L187" s="3">
        <f t="shared" si="40"/>
        <v>1.42879333281884</v>
      </c>
      <c r="M187" s="2">
        <f t="shared" si="41"/>
        <v>2412720.160123487</v>
      </c>
      <c r="N187" s="7">
        <f t="shared" si="42"/>
        <v>2326164.7062023706</v>
      </c>
      <c r="O187" s="2">
        <f t="shared" si="43"/>
        <v>86555.45392111635</v>
      </c>
      <c r="P187" s="2">
        <f t="shared" si="38"/>
        <v>2412720.160123487</v>
      </c>
      <c r="Q187" s="3">
        <f t="shared" si="44"/>
        <v>0</v>
      </c>
    </row>
    <row r="188" spans="1:17" ht="15.65" outlineLevel="2">
      <c r="A188" s="1" t="s">
        <v>97</v>
      </c>
      <c r="B188" s="1" t="s">
        <v>63</v>
      </c>
      <c r="C188" s="2">
        <v>780416.92000000004</v>
      </c>
      <c r="D188" s="2">
        <v>688646.03000000003</v>
      </c>
      <c r="E188" s="2">
        <v>91770.889999999999</v>
      </c>
      <c r="G188" s="1">
        <v>58</v>
      </c>
      <c r="H188" s="1">
        <v>17.054735999999998</v>
      </c>
      <c r="J188" s="9">
        <v>-0.25</v>
      </c>
      <c r="K188" s="2">
        <f t="shared" si="39"/>
        <v>550937.53137011873</v>
      </c>
      <c r="L188" s="3">
        <f t="shared" si="40"/>
        <v>1.42879333281884</v>
      </c>
      <c r="M188" s="2">
        <f t="shared" si="41"/>
        <v>787175.87162129616</v>
      </c>
      <c r="N188" s="7">
        <f t="shared" si="42"/>
        <v>694610.18208548741</v>
      </c>
      <c r="O188" s="2">
        <f t="shared" si="43"/>
        <v>92565.689535808735</v>
      </c>
      <c r="P188" s="2">
        <f t="shared" si="38"/>
        <v>787175.87162129616</v>
      </c>
      <c r="Q188" s="3">
        <f t="shared" si="44"/>
        <v>0</v>
      </c>
    </row>
    <row r="189" spans="1:17" ht="15.65" outlineLevel="2">
      <c r="A189" s="1" t="s">
        <v>97</v>
      </c>
      <c r="B189" s="1" t="s">
        <v>62</v>
      </c>
      <c r="C189" s="2">
        <v>1587362.5800000001</v>
      </c>
      <c r="D189" s="2">
        <v>1512182.3300000001</v>
      </c>
      <c r="E189" s="2">
        <v>75180.25</v>
      </c>
      <c r="G189" s="1">
        <v>58</v>
      </c>
      <c r="H189" s="1">
        <v>16.621013999999999</v>
      </c>
      <c r="J189" s="9">
        <v>-0.25</v>
      </c>
      <c r="K189" s="2">
        <f t="shared" si="39"/>
        <v>1132473.344392136</v>
      </c>
      <c r="L189" s="3">
        <f t="shared" si="40"/>
        <v>1.42879333281884</v>
      </c>
      <c r="M189" s="2">
        <f t="shared" si="41"/>
        <v>1618070.3640625379</v>
      </c>
      <c r="N189" s="7">
        <f t="shared" si="42"/>
        <v>1541435.7400512975</v>
      </c>
      <c r="O189" s="2">
        <f t="shared" si="43"/>
        <v>76634.624011240463</v>
      </c>
      <c r="P189" s="2">
        <f t="shared" si="38"/>
        <v>1618070.3640625379</v>
      </c>
      <c r="Q189" s="3">
        <f t="shared" si="44"/>
        <v>0</v>
      </c>
    </row>
    <row r="190" spans="1:17" ht="15.65" outlineLevel="2">
      <c r="A190" s="1" t="s">
        <v>97</v>
      </c>
      <c r="B190" s="1" t="s">
        <v>61</v>
      </c>
      <c r="C190" s="2">
        <v>1500773.8199999998</v>
      </c>
      <c r="D190" s="2">
        <v>1374068.4199999999</v>
      </c>
      <c r="E190" s="2">
        <v>126705.39999999999</v>
      </c>
      <c r="G190" s="1">
        <v>58</v>
      </c>
      <c r="H190" s="1">
        <v>16.196000999999999</v>
      </c>
      <c r="J190" s="9">
        <v>-0.25</v>
      </c>
      <c r="K190" s="2">
        <f t="shared" si="39"/>
        <v>1081695.642594934</v>
      </c>
      <c r="L190" s="3">
        <f t="shared" si="40"/>
        <v>1.42879333281884</v>
      </c>
      <c r="M190" s="2">
        <f t="shared" si="41"/>
        <v>1545519.5222788325</v>
      </c>
      <c r="N190" s="7">
        <f t="shared" si="42"/>
        <v>1415036.3897318186</v>
      </c>
      <c r="O190" s="2">
        <f t="shared" si="43"/>
        <v>130483.13254701391</v>
      </c>
      <c r="P190" s="2">
        <f t="shared" si="38"/>
        <v>1545519.5222788325</v>
      </c>
      <c r="Q190" s="3">
        <f t="shared" si="44"/>
        <v>0</v>
      </c>
    </row>
    <row r="191" spans="1:17" ht="15.65" outlineLevel="2">
      <c r="A191" s="1" t="s">
        <v>97</v>
      </c>
      <c r="B191" s="1" t="s">
        <v>60</v>
      </c>
      <c r="C191" s="2">
        <v>1049169.98</v>
      </c>
      <c r="D191" s="2">
        <v>936442.01000000001</v>
      </c>
      <c r="E191" s="2">
        <v>112727.97</v>
      </c>
      <c r="G191" s="1">
        <v>58</v>
      </c>
      <c r="H191" s="1">
        <v>15.779591</v>
      </c>
      <c r="J191" s="9">
        <v>-0.25</v>
      </c>
      <c r="K191" s="2">
        <f t="shared" si="45" ref="K191:K225">+C191*(1-I191)*(1-H191/G191)</f>
        <v>763730.7873469278</v>
      </c>
      <c r="L191" s="3">
        <f t="shared" si="46" ref="L191:L225">$L$226</f>
        <v>1.42879333281884</v>
      </c>
      <c r="M191" s="2">
        <f t="shared" si="47" ref="M191:M222">IF((C191*(1-J191)-K191*L191)&lt;0,C191*(1-J191),K191*L191)</f>
        <v>1091213.4570297739</v>
      </c>
      <c r="N191" s="7">
        <f t="shared" si="48" ref="N191:N225">+D191/$C191*$M191</f>
        <v>973968.12958755274</v>
      </c>
      <c r="O191" s="2">
        <f t="shared" si="49" ref="O191:O225">+E191/$C191*$M191</f>
        <v>117245.32744222117</v>
      </c>
      <c r="P191" s="2">
        <f t="shared" si="38"/>
        <v>1091213.4570297739</v>
      </c>
      <c r="Q191" s="3">
        <f t="shared" si="50" ref="Q191:Q216">+M191-P191</f>
        <v>0</v>
      </c>
    </row>
    <row r="192" spans="1:17" ht="15.65" outlineLevel="2">
      <c r="A192" s="1" t="s">
        <v>97</v>
      </c>
      <c r="B192" s="1" t="s">
        <v>59</v>
      </c>
      <c r="C192" s="2">
        <v>841139.08999999997</v>
      </c>
      <c r="D192" s="2">
        <v>789930.82999999996</v>
      </c>
      <c r="E192" s="2">
        <v>51208.260000000002</v>
      </c>
      <c r="G192" s="1">
        <v>58</v>
      </c>
      <c r="H192" s="1">
        <v>15.371767999999999</v>
      </c>
      <c r="J192" s="9">
        <v>-0.25</v>
      </c>
      <c r="K192" s="2">
        <f t="shared" si="45"/>
        <v>618211.590910153</v>
      </c>
      <c r="L192" s="3">
        <f t="shared" si="46"/>
        <v>1.42879333281884</v>
      </c>
      <c r="M192" s="2">
        <f t="shared" si="47"/>
        <v>883296.59936375485</v>
      </c>
      <c r="N192" s="7">
        <f t="shared" si="48"/>
        <v>829521.80461805477</v>
      </c>
      <c r="O192" s="2">
        <f t="shared" si="49"/>
        <v>53774.794745700143</v>
      </c>
      <c r="P192" s="2">
        <f t="shared" si="38"/>
        <v>883296.59936375497</v>
      </c>
      <c r="Q192" s="3">
        <f t="shared" si="50"/>
        <v>0</v>
      </c>
    </row>
    <row r="193" spans="1:17" ht="15.65" outlineLevel="2">
      <c r="A193" s="1" t="s">
        <v>97</v>
      </c>
      <c r="B193" s="1" t="s">
        <v>58</v>
      </c>
      <c r="C193" s="2">
        <v>741970.98999999999</v>
      </c>
      <c r="D193" s="2">
        <v>708193.44999999995</v>
      </c>
      <c r="E193" s="2">
        <v>33777.540000000001</v>
      </c>
      <c r="G193" s="1">
        <v>58</v>
      </c>
      <c r="H193" s="1">
        <v>14.972363</v>
      </c>
      <c r="J193" s="9">
        <v>-0.25</v>
      </c>
      <c r="K193" s="2">
        <f t="shared" si="45"/>
        <v>550435.49003880401</v>
      </c>
      <c r="L193" s="3">
        <f t="shared" si="46"/>
        <v>1.42879333281884</v>
      </c>
      <c r="M193" s="2">
        <f t="shared" si="47"/>
        <v>786458.55831431423</v>
      </c>
      <c r="N193" s="7">
        <f t="shared" si="48"/>
        <v>750655.7630974768</v>
      </c>
      <c r="O193" s="2">
        <f t="shared" si="49"/>
        <v>35802.795216837359</v>
      </c>
      <c r="P193" s="2">
        <f t="shared" si="38"/>
        <v>786458.55831431411</v>
      </c>
      <c r="Q193" s="3">
        <f t="shared" si="50"/>
        <v>0</v>
      </c>
    </row>
    <row r="194" spans="1:17" ht="15.65" outlineLevel="2">
      <c r="A194" s="1" t="s">
        <v>97</v>
      </c>
      <c r="B194" s="1" t="s">
        <v>57</v>
      </c>
      <c r="C194" s="2">
        <v>837088.19999999995</v>
      </c>
      <c r="D194" s="2">
        <v>709412.14000000001</v>
      </c>
      <c r="E194" s="2">
        <v>127676.06</v>
      </c>
      <c r="G194" s="1">
        <v>58</v>
      </c>
      <c r="H194" s="1">
        <v>14.581137999999999</v>
      </c>
      <c r="J194" s="9">
        <v>-0.25</v>
      </c>
      <c r="K194" s="2">
        <f t="shared" si="45"/>
        <v>626645.12133842066</v>
      </c>
      <c r="L194" s="3">
        <f t="shared" si="46"/>
        <v>1.42879333281884</v>
      </c>
      <c r="M194" s="2">
        <f t="shared" si="47"/>
        <v>895346.37141178851</v>
      </c>
      <c r="N194" s="7">
        <f t="shared" si="48"/>
        <v>758784.54072637949</v>
      </c>
      <c r="O194" s="2">
        <f t="shared" si="49"/>
        <v>136561.83068540902</v>
      </c>
      <c r="P194" s="2">
        <f t="shared" si="51" ref="P194:P226">+N194+O194</f>
        <v>895346.37141178851</v>
      </c>
      <c r="Q194" s="3">
        <f t="shared" si="50"/>
        <v>0</v>
      </c>
    </row>
    <row r="195" spans="1:17" ht="15.65" outlineLevel="2">
      <c r="A195" s="1" t="s">
        <v>97</v>
      </c>
      <c r="B195" s="1" t="s">
        <v>56</v>
      </c>
      <c r="C195" s="2">
        <v>1245758.0600000001</v>
      </c>
      <c r="D195" s="2">
        <v>1132432.02</v>
      </c>
      <c r="E195" s="2">
        <v>113326.03999999999</v>
      </c>
      <c r="G195" s="1">
        <v>58</v>
      </c>
      <c r="H195" s="1">
        <v>14.198003</v>
      </c>
      <c r="J195" s="9">
        <v>-0.25</v>
      </c>
      <c r="K195" s="2">
        <f t="shared" si="45"/>
        <v>940805.0139111348</v>
      </c>
      <c r="L195" s="3">
        <f t="shared" si="46"/>
        <v>1.42879333281884</v>
      </c>
      <c r="M195" s="2">
        <f t="shared" si="47"/>
        <v>1344215.9313587654</v>
      </c>
      <c r="N195" s="7">
        <f t="shared" si="48"/>
        <v>1221933.2239076889</v>
      </c>
      <c r="O195" s="2">
        <f t="shared" si="49"/>
        <v>122282.70745107657</v>
      </c>
      <c r="P195" s="2">
        <f t="shared" si="51"/>
        <v>1344215.9313587654</v>
      </c>
      <c r="Q195" s="3">
        <f t="shared" si="50"/>
        <v>0</v>
      </c>
    </row>
    <row r="196" spans="1:17" ht="15.65" outlineLevel="2">
      <c r="A196" s="1" t="s">
        <v>97</v>
      </c>
      <c r="B196" s="1" t="s">
        <v>55</v>
      </c>
      <c r="C196" s="2">
        <v>764972.08000000007</v>
      </c>
      <c r="D196" s="2">
        <v>625900.92000000004</v>
      </c>
      <c r="E196" s="2">
        <v>139071.16</v>
      </c>
      <c r="G196" s="1">
        <v>58</v>
      </c>
      <c r="H196" s="1">
        <v>13.822590999999999</v>
      </c>
      <c r="J196" s="9">
        <v>-0.25</v>
      </c>
      <c r="K196" s="2">
        <f t="shared" si="45"/>
        <v>582663.52503001248</v>
      </c>
      <c r="L196" s="3">
        <f t="shared" si="46"/>
        <v>1.42879333281884</v>
      </c>
      <c r="M196" s="2">
        <f t="shared" si="47"/>
        <v>832505.75983960519</v>
      </c>
      <c r="N196" s="7">
        <f t="shared" si="48"/>
        <v>681157.0443053398</v>
      </c>
      <c r="O196" s="2">
        <f t="shared" si="49"/>
        <v>151348.71553426536</v>
      </c>
      <c r="P196" s="2">
        <f t="shared" si="51"/>
        <v>832505.75983960519</v>
      </c>
      <c r="Q196" s="3">
        <f t="shared" si="50"/>
        <v>0</v>
      </c>
    </row>
    <row r="197" spans="1:17" ht="15.65" outlineLevel="2">
      <c r="A197" s="1" t="s">
        <v>97</v>
      </c>
      <c r="B197" s="1" t="s">
        <v>54</v>
      </c>
      <c r="C197" s="2">
        <v>531511.77000000002</v>
      </c>
      <c r="D197" s="2">
        <v>516082.84999999998</v>
      </c>
      <c r="E197" s="2">
        <v>15428.92</v>
      </c>
      <c r="G197" s="1">
        <v>58</v>
      </c>
      <c r="H197" s="1">
        <v>13.454639</v>
      </c>
      <c r="J197" s="9">
        <v>-0.25</v>
      </c>
      <c r="K197" s="2">
        <f t="shared" si="45"/>
        <v>408213.51155860291</v>
      </c>
      <c r="L197" s="3">
        <f t="shared" si="46"/>
        <v>1.42879333281884</v>
      </c>
      <c r="M197" s="2">
        <f t="shared" si="47"/>
        <v>583252.74368149834</v>
      </c>
      <c r="N197" s="7">
        <f t="shared" si="48"/>
        <v>566321.86758435681</v>
      </c>
      <c r="O197" s="2">
        <f t="shared" si="49"/>
        <v>16930.876097141449</v>
      </c>
      <c r="P197" s="2">
        <f t="shared" si="51"/>
        <v>583252.74368149822</v>
      </c>
      <c r="Q197" s="3">
        <f t="shared" si="50"/>
        <v>0</v>
      </c>
    </row>
    <row r="198" spans="1:17" ht="15.65" outlineLevel="2">
      <c r="A198" s="1" t="s">
        <v>97</v>
      </c>
      <c r="B198" s="1" t="s">
        <v>53</v>
      </c>
      <c r="C198" s="2">
        <v>806816.18000000005</v>
      </c>
      <c r="D198" s="2">
        <v>786023.26000000001</v>
      </c>
      <c r="E198" s="2">
        <v>20792.919999999998</v>
      </c>
      <c r="G198" s="1">
        <v>58</v>
      </c>
      <c r="H198" s="1">
        <v>13.094093000000001</v>
      </c>
      <c r="J198" s="9">
        <v>-0.25</v>
      </c>
      <c r="K198" s="2">
        <f t="shared" si="45"/>
        <v>624669.17836509075</v>
      </c>
      <c r="L198" s="3">
        <f t="shared" si="46"/>
        <v>1.42879333281884</v>
      </c>
      <c r="M198" s="2">
        <f t="shared" si="47"/>
        <v>892523.15726546443</v>
      </c>
      <c r="N198" s="7">
        <f t="shared" si="48"/>
        <v>869521.43386526161</v>
      </c>
      <c r="O198" s="2">
        <f t="shared" si="49"/>
        <v>23001.72340020278</v>
      </c>
      <c r="P198" s="2">
        <f t="shared" si="51"/>
        <v>892523.15726546443</v>
      </c>
      <c r="Q198" s="3">
        <f t="shared" si="50"/>
        <v>0</v>
      </c>
    </row>
    <row r="199" spans="1:17" ht="15.65" outlineLevel="2">
      <c r="A199" s="1" t="s">
        <v>97</v>
      </c>
      <c r="B199" s="1" t="s">
        <v>52</v>
      </c>
      <c r="C199" s="2">
        <v>383298.03999999998</v>
      </c>
      <c r="D199" s="2">
        <v>344917.25</v>
      </c>
      <c r="E199" s="2">
        <v>38380.790000000001</v>
      </c>
      <c r="G199" s="1">
        <v>58</v>
      </c>
      <c r="H199" s="1">
        <v>12.740786999999999</v>
      </c>
      <c r="J199" s="9">
        <v>-0.25</v>
      </c>
      <c r="K199" s="2">
        <f t="shared" si="45"/>
        <v>299099.44198004343</v>
      </c>
      <c r="L199" s="3">
        <f t="shared" si="46"/>
        <v>1.42879333281884</v>
      </c>
      <c r="M199" s="2">
        <f t="shared" si="47"/>
        <v>427351.28855092154</v>
      </c>
      <c r="N199" s="7">
        <f t="shared" si="48"/>
        <v>384559.31376779376</v>
      </c>
      <c r="O199" s="2">
        <f t="shared" si="49"/>
        <v>42791.974783127836</v>
      </c>
      <c r="P199" s="2">
        <f t="shared" si="51"/>
        <v>427351.2885509216</v>
      </c>
      <c r="Q199" s="3">
        <f t="shared" si="50"/>
        <v>0</v>
      </c>
    </row>
    <row r="200" spans="1:17" ht="15.65" outlineLevel="2">
      <c r="A200" s="1" t="s">
        <v>97</v>
      </c>
      <c r="B200" s="1" t="s">
        <v>51</v>
      </c>
      <c r="C200" s="2">
        <v>331880.09000000003</v>
      </c>
      <c r="D200" s="2">
        <v>281265.44</v>
      </c>
      <c r="E200" s="2">
        <v>50614.650000000001</v>
      </c>
      <c r="G200" s="1">
        <v>58</v>
      </c>
      <c r="H200" s="1">
        <v>12.393582</v>
      </c>
      <c r="J200" s="9">
        <v>-0.25</v>
      </c>
      <c r="K200" s="2">
        <f t="shared" si="45"/>
        <v>260963.13983478656</v>
      </c>
      <c r="L200" s="3">
        <f t="shared" si="46"/>
        <v>1.42879333281884</v>
      </c>
      <c r="M200" s="2">
        <f t="shared" si="47"/>
        <v>372862.39430741366</v>
      </c>
      <c r="N200" s="7">
        <f t="shared" si="48"/>
        <v>315997.58031380607</v>
      </c>
      <c r="O200" s="2">
        <f t="shared" si="49"/>
        <v>56864.813993607546</v>
      </c>
      <c r="P200" s="2">
        <f t="shared" si="51"/>
        <v>372862.3943074136</v>
      </c>
      <c r="Q200" s="3">
        <f t="shared" si="50"/>
        <v>0</v>
      </c>
    </row>
    <row r="201" spans="1:17" ht="15.65" outlineLevel="2">
      <c r="A201" s="1" t="s">
        <v>97</v>
      </c>
      <c r="B201" s="1" t="s">
        <v>50</v>
      </c>
      <c r="C201" s="2">
        <v>38577.599999999999</v>
      </c>
      <c r="D201" s="2">
        <v>38456.089999999997</v>
      </c>
      <c r="E201" s="2">
        <v>121.51000000000001</v>
      </c>
      <c r="G201" s="1">
        <v>58</v>
      </c>
      <c r="H201" s="1">
        <v>12.052897</v>
      </c>
      <c r="J201" s="9">
        <v>-0.25</v>
      </c>
      <c r="K201" s="2">
        <f t="shared" si="45"/>
        <v>30560.844149875862</v>
      </c>
      <c r="L201" s="3">
        <f t="shared" si="46"/>
        <v>1.42879333281884</v>
      </c>
      <c r="M201" s="2">
        <f t="shared" si="47"/>
        <v>43665.130366658283</v>
      </c>
      <c r="N201" s="7">
        <f t="shared" si="48"/>
        <v>43527.595890930068</v>
      </c>
      <c r="O201" s="2">
        <f t="shared" si="49"/>
        <v>137.53447572821139</v>
      </c>
      <c r="P201" s="2">
        <f t="shared" si="51"/>
        <v>43665.130366658283</v>
      </c>
      <c r="Q201" s="3">
        <f t="shared" si="50"/>
        <v>0</v>
      </c>
    </row>
    <row r="202" spans="1:17" ht="15.65" outlineLevel="2">
      <c r="A202" s="1" t="s">
        <v>97</v>
      </c>
      <c r="B202" s="1" t="s">
        <v>49</v>
      </c>
      <c r="C202" s="2">
        <v>26279.440000000002</v>
      </c>
      <c r="D202" s="2">
        <v>26233.400000000001</v>
      </c>
      <c r="E202" s="2">
        <v>46.039999999999999</v>
      </c>
      <c r="G202" s="1">
        <v>58</v>
      </c>
      <c r="H202" s="1">
        <v>11.718583000000001</v>
      </c>
      <c r="J202" s="9">
        <v>-0.25</v>
      </c>
      <c r="K202" s="2">
        <f t="shared" si="45"/>
        <v>20969.822778732418</v>
      </c>
      <c r="L202" s="3">
        <f t="shared" si="46"/>
        <v>1.42879333281884</v>
      </c>
      <c r="M202" s="2">
        <f t="shared" si="47"/>
        <v>29961.54297664552</v>
      </c>
      <c r="N202" s="7">
        <f t="shared" si="48"/>
        <v>29909.052153452758</v>
      </c>
      <c r="O202" s="2">
        <f t="shared" si="49"/>
        <v>52.490823192760558</v>
      </c>
      <c r="P202" s="2">
        <f t="shared" si="51"/>
        <v>29961.54297664552</v>
      </c>
      <c r="Q202" s="3">
        <f t="shared" si="50"/>
        <v>0</v>
      </c>
    </row>
    <row r="203" spans="1:17" ht="15.65" outlineLevel="2">
      <c r="A203" s="1" t="s">
        <v>97</v>
      </c>
      <c r="B203" s="1" t="s">
        <v>48</v>
      </c>
      <c r="C203" s="2">
        <v>836.94000000000005</v>
      </c>
      <c r="D203" s="2">
        <v>828.98000000000002</v>
      </c>
      <c r="E203" s="2">
        <v>7.96</v>
      </c>
      <c r="G203" s="1">
        <v>58</v>
      </c>
      <c r="H203" s="1">
        <v>11.389855000000001</v>
      </c>
      <c r="J203" s="9">
        <v>-0.25</v>
      </c>
      <c r="K203" s="2">
        <f t="shared" si="45"/>
        <v>672.58439235000003</v>
      </c>
      <c r="L203" s="3">
        <f t="shared" si="46"/>
        <v>1.42879333281884</v>
      </c>
      <c r="M203" s="2">
        <f t="shared" si="47"/>
        <v>960.98409554769091</v>
      </c>
      <c r="N203" s="7">
        <f t="shared" si="48"/>
        <v>951.84433236208667</v>
      </c>
      <c r="O203" s="2">
        <f t="shared" si="49"/>
        <v>9.1397631856042487</v>
      </c>
      <c r="P203" s="2">
        <f t="shared" si="51"/>
        <v>960.98409554769091</v>
      </c>
      <c r="Q203" s="3">
        <f t="shared" si="50"/>
        <v>0</v>
      </c>
    </row>
    <row r="204" spans="1:17" ht="15.65" outlineLevel="2">
      <c r="A204" s="1" t="s">
        <v>97</v>
      </c>
      <c r="B204" s="1" t="s">
        <v>104</v>
      </c>
      <c r="C204" s="2">
        <v>4916.1400000000003</v>
      </c>
      <c r="D204" s="2">
        <v>4232.8500000000004</v>
      </c>
      <c r="E204" s="2">
        <v>683.28999999999996</v>
      </c>
      <c r="G204" s="1">
        <v>58</v>
      </c>
      <c r="H204" s="1">
        <v>11.065913</v>
      </c>
      <c r="J204" s="9">
        <v>-0.25</v>
      </c>
      <c r="K204" s="2">
        <f t="shared" si="45"/>
        <v>3978.1817666237935</v>
      </c>
      <c r="L204" s="3">
        <f t="shared" si="46"/>
        <v>1.42879333281884</v>
      </c>
      <c r="M204" s="2">
        <f t="shared" si="47"/>
        <v>5683.9995848935505</v>
      </c>
      <c r="N204" s="7">
        <f t="shared" si="48"/>
        <v>4893.9854525942437</v>
      </c>
      <c r="O204" s="2">
        <f t="shared" si="49"/>
        <v>790.01413229930677</v>
      </c>
      <c r="P204" s="2">
        <f t="shared" si="51"/>
        <v>5683.9995848935505</v>
      </c>
      <c r="Q204" s="3">
        <f t="shared" si="50"/>
        <v>0</v>
      </c>
    </row>
    <row r="205" spans="1:17" ht="15.65" outlineLevel="2">
      <c r="A205" s="1" t="s">
        <v>97</v>
      </c>
      <c r="B205" s="1" t="s">
        <v>103</v>
      </c>
      <c r="C205" s="2">
        <v>9050.7000000000007</v>
      </c>
      <c r="D205" s="2">
        <v>6985.1800000000003</v>
      </c>
      <c r="E205" s="2">
        <v>2065.52</v>
      </c>
      <c r="G205" s="1">
        <v>58</v>
      </c>
      <c r="H205" s="1">
        <v>10.747342</v>
      </c>
      <c r="J205" s="9">
        <v>-0.25</v>
      </c>
      <c r="K205" s="2">
        <f t="shared" si="45"/>
        <v>7373.6143407000009</v>
      </c>
      <c r="L205" s="3">
        <f t="shared" si="46"/>
        <v>1.42879333281884</v>
      </c>
      <c r="M205" s="2">
        <f t="shared" si="47"/>
        <v>10535.371008769547</v>
      </c>
      <c r="N205" s="7">
        <f t="shared" si="48"/>
        <v>8131.0244360145471</v>
      </c>
      <c r="O205" s="2">
        <f t="shared" si="49"/>
        <v>2404.3465727549992</v>
      </c>
      <c r="P205" s="2">
        <f t="shared" si="51"/>
        <v>10535.371008769547</v>
      </c>
      <c r="Q205" s="3">
        <f t="shared" si="50"/>
        <v>0</v>
      </c>
    </row>
    <row r="206" spans="1:17" ht="15.65" outlineLevel="2">
      <c r="A206" s="1" t="s">
        <v>97</v>
      </c>
      <c r="B206" s="1" t="s">
        <v>47</v>
      </c>
      <c r="C206" s="2">
        <v>12197.449999999999</v>
      </c>
      <c r="D206" s="2">
        <v>16518.869999999999</v>
      </c>
      <c r="E206" s="2">
        <v>-4321.4200000000001</v>
      </c>
      <c r="G206" s="1">
        <v>58</v>
      </c>
      <c r="H206" s="1">
        <v>10.433989</v>
      </c>
      <c r="J206" s="9">
        <v>-0.25</v>
      </c>
      <c r="K206" s="2">
        <f t="shared" si="45"/>
        <v>10003.173118481896</v>
      </c>
      <c r="L206" s="3">
        <f t="shared" si="46"/>
        <v>1.42879333281884</v>
      </c>
      <c r="M206" s="2">
        <f t="shared" si="47"/>
        <v>14292.467058719578</v>
      </c>
      <c r="N206" s="7">
        <f t="shared" si="48"/>
        <v>19356.128151562094</v>
      </c>
      <c r="O206" s="2">
        <f t="shared" si="49"/>
        <v>-5063.6610928425171</v>
      </c>
      <c r="P206" s="2">
        <f t="shared" si="51"/>
        <v>14292.467058719576</v>
      </c>
      <c r="Q206" s="3">
        <f t="shared" si="50"/>
        <v>0</v>
      </c>
    </row>
    <row r="207" spans="1:17" ht="15.65" outlineLevel="2">
      <c r="A207" s="1" t="s">
        <v>97</v>
      </c>
      <c r="B207" s="1" t="s">
        <v>46</v>
      </c>
      <c r="C207" s="2">
        <v>253926.25</v>
      </c>
      <c r="D207" s="2">
        <v>239011.72</v>
      </c>
      <c r="E207" s="2">
        <v>14914.530000000001</v>
      </c>
      <c r="G207" s="1">
        <v>58</v>
      </c>
      <c r="H207" s="1">
        <v>10.124104000000001</v>
      </c>
      <c r="J207" s="9">
        <v>-0.25</v>
      </c>
      <c r="K207" s="2">
        <f t="shared" si="45"/>
        <v>209602.5299425862</v>
      </c>
      <c r="L207" s="3">
        <f t="shared" si="46"/>
        <v>1.42879333281884</v>
      </c>
      <c r="M207" s="2">
        <f t="shared" si="47"/>
        <v>299478.69732392847</v>
      </c>
      <c r="N207" s="7">
        <f t="shared" si="48"/>
        <v>281888.61352755589</v>
      </c>
      <c r="O207" s="2">
        <f t="shared" si="49"/>
        <v>17590.083796372575</v>
      </c>
      <c r="P207" s="2">
        <f t="shared" si="51"/>
        <v>299478.69732392847</v>
      </c>
      <c r="Q207" s="3">
        <f t="shared" si="50"/>
        <v>0</v>
      </c>
    </row>
    <row r="208" spans="1:17" ht="15.65" outlineLevel="2">
      <c r="A208" s="1" t="s">
        <v>97</v>
      </c>
      <c r="B208" s="1" t="s">
        <v>45</v>
      </c>
      <c r="C208" s="2">
        <v>29564.699999999997</v>
      </c>
      <c r="D208" s="2">
        <v>29257.509999999998</v>
      </c>
      <c r="E208" s="2">
        <v>307.19</v>
      </c>
      <c r="G208" s="1">
        <v>58</v>
      </c>
      <c r="H208" s="1">
        <v>9.8182259999999992</v>
      </c>
      <c r="J208" s="9">
        <v>-0.25</v>
      </c>
      <c r="K208" s="2">
        <f t="shared" si="45"/>
        <v>24559.994720306895</v>
      </c>
      <c r="L208" s="3">
        <f t="shared" si="46"/>
        <v>1.42879333281884</v>
      </c>
      <c r="M208" s="2">
        <f t="shared" si="47"/>
        <v>35091.156710440402</v>
      </c>
      <c r="N208" s="7">
        <f t="shared" si="48"/>
        <v>34726.544438714991</v>
      </c>
      <c r="O208" s="2">
        <f t="shared" si="49"/>
        <v>364.61227172540862</v>
      </c>
      <c r="P208" s="2">
        <f t="shared" si="51"/>
        <v>35091.156710440402</v>
      </c>
      <c r="Q208" s="3">
        <f t="shared" si="50"/>
        <v>0</v>
      </c>
    </row>
    <row r="209" spans="1:17" ht="15.65" outlineLevel="2">
      <c r="A209" s="1" t="s">
        <v>97</v>
      </c>
      <c r="B209" s="1" t="s">
        <v>44</v>
      </c>
      <c r="C209" s="2">
        <v>17741.759999999998</v>
      </c>
      <c r="D209" s="2">
        <v>16975.849999999999</v>
      </c>
      <c r="E209" s="2">
        <v>765.90999999999997</v>
      </c>
      <c r="G209" s="1">
        <v>58</v>
      </c>
      <c r="H209" s="1">
        <v>9.5167409999999997</v>
      </c>
      <c r="J209" s="9">
        <v>-0.25</v>
      </c>
      <c r="K209" s="2">
        <f t="shared" si="45"/>
        <v>14830.661124066206</v>
      </c>
      <c r="L209" s="3">
        <f t="shared" si="46"/>
        <v>1.42879333281884</v>
      </c>
      <c r="M209" s="2">
        <f t="shared" si="47"/>
        <v>21189.949735361359</v>
      </c>
      <c r="N209" s="7">
        <f t="shared" si="48"/>
        <v>20275.18173028122</v>
      </c>
      <c r="O209" s="2">
        <f t="shared" si="49"/>
        <v>914.76800508013969</v>
      </c>
      <c r="P209" s="2">
        <f t="shared" si="51"/>
        <v>21189.949735361359</v>
      </c>
      <c r="Q209" s="3">
        <f t="shared" si="50"/>
        <v>0</v>
      </c>
    </row>
    <row r="210" spans="1:17" ht="15.65" outlineLevel="2">
      <c r="A210" s="1" t="s">
        <v>97</v>
      </c>
      <c r="B210" s="1" t="s">
        <v>43</v>
      </c>
      <c r="C210" s="2">
        <v>362.5</v>
      </c>
      <c r="D210" s="2">
        <v>362.5</v>
      </c>
      <c r="G210" s="1">
        <v>58</v>
      </c>
      <c r="H210" s="1">
        <v>9.2193140000000007</v>
      </c>
      <c r="J210" s="9">
        <v>-0.25</v>
      </c>
      <c r="K210" s="2">
        <f t="shared" si="45"/>
        <v>304.87928749999998</v>
      </c>
      <c r="L210" s="3">
        <f t="shared" si="46"/>
        <v>1.42879333281884</v>
      </c>
      <c r="M210" s="2">
        <f t="shared" si="47"/>
        <v>435.60949329455826</v>
      </c>
      <c r="N210" s="7">
        <f t="shared" si="48"/>
        <v>435.60949329455826</v>
      </c>
      <c r="O210" s="2">
        <f t="shared" si="49"/>
        <v>0</v>
      </c>
      <c r="P210" s="2">
        <f t="shared" si="51"/>
        <v>435.60949329455826</v>
      </c>
      <c r="Q210" s="3">
        <f t="shared" si="50"/>
        <v>0</v>
      </c>
    </row>
    <row r="211" spans="1:17" ht="15.65" outlineLevel="2">
      <c r="A211" s="1" t="s">
        <v>97</v>
      </c>
      <c r="B211" s="1" t="s">
        <v>102</v>
      </c>
      <c r="C211" s="2">
        <v>10855.74</v>
      </c>
      <c r="D211" s="2">
        <v>10855.74</v>
      </c>
      <c r="G211" s="1">
        <v>58</v>
      </c>
      <c r="H211" s="1">
        <v>8.9237260000000003</v>
      </c>
      <c r="J211" s="9">
        <v>-0.25</v>
      </c>
      <c r="K211" s="2">
        <f t="shared" si="45"/>
        <v>9185.5046674613786</v>
      </c>
      <c r="L211" s="3">
        <f t="shared" si="46"/>
        <v>1.42879333281884</v>
      </c>
      <c r="M211" s="2">
        <f t="shared" si="47"/>
        <v>13124.187827445154</v>
      </c>
      <c r="N211" s="7">
        <f t="shared" si="48"/>
        <v>13124.187827445154</v>
      </c>
      <c r="O211" s="2">
        <f t="shared" si="49"/>
        <v>0</v>
      </c>
      <c r="P211" s="2">
        <f t="shared" si="51"/>
        <v>13124.187827445154</v>
      </c>
      <c r="Q211" s="3">
        <f t="shared" si="50"/>
        <v>0</v>
      </c>
    </row>
    <row r="212" spans="1:17" ht="15.65" outlineLevel="2">
      <c r="A212" s="1" t="s">
        <v>97</v>
      </c>
      <c r="B212" s="1" t="s">
        <v>101</v>
      </c>
      <c r="C212" s="2">
        <v>160.68000000000001</v>
      </c>
      <c r="D212" s="2">
        <v>160.68000000000001</v>
      </c>
      <c r="G212" s="1">
        <v>58</v>
      </c>
      <c r="H212" s="1">
        <v>8.6320540000000001</v>
      </c>
      <c r="J212" s="9">
        <v>-0.25</v>
      </c>
      <c r="K212" s="2">
        <f t="shared" si="45"/>
        <v>136.76623384965518</v>
      </c>
      <c r="L212" s="3">
        <f t="shared" si="46"/>
        <v>1.42879333281884</v>
      </c>
      <c r="M212" s="2">
        <f t="shared" si="47"/>
        <v>195.41068307912968</v>
      </c>
      <c r="N212" s="7">
        <f t="shared" si="48"/>
        <v>195.41068307912968</v>
      </c>
      <c r="O212" s="2">
        <f t="shared" si="49"/>
        <v>0</v>
      </c>
      <c r="P212" s="2">
        <f t="shared" si="51"/>
        <v>195.41068307912968</v>
      </c>
      <c r="Q212" s="3">
        <f t="shared" si="50"/>
        <v>0</v>
      </c>
    </row>
    <row r="213" spans="1:17" ht="15.65" outlineLevel="2">
      <c r="A213" s="1" t="s">
        <v>97</v>
      </c>
      <c r="B213" s="1" t="s">
        <v>100</v>
      </c>
      <c r="C213" s="2">
        <v>66.370000000000005</v>
      </c>
      <c r="D213" s="2">
        <v>60.109999999999999</v>
      </c>
      <c r="E213" s="2">
        <v>6.2599999999999998</v>
      </c>
      <c r="G213" s="1">
        <v>58</v>
      </c>
      <c r="H213" s="1">
        <v>8.0594540000000006</v>
      </c>
      <c r="J213" s="9">
        <v>-0.25</v>
      </c>
      <c r="K213" s="2">
        <f t="shared" si="45"/>
        <v>57.147483414137938</v>
      </c>
      <c r="L213" s="3">
        <f t="shared" si="46"/>
        <v>1.42879333281884</v>
      </c>
      <c r="M213" s="2">
        <f t="shared" si="47"/>
        <v>81.65194328949552</v>
      </c>
      <c r="N213" s="7">
        <f t="shared" si="48"/>
        <v>73.95055463509982</v>
      </c>
      <c r="O213" s="2">
        <f t="shared" si="49"/>
        <v>7.7013886543956893</v>
      </c>
      <c r="P213" s="2">
        <f t="shared" si="51"/>
        <v>81.651943289495506</v>
      </c>
      <c r="Q213" s="3">
        <f t="shared" si="50"/>
        <v>0</v>
      </c>
    </row>
    <row r="214" spans="1:17" ht="15.65" outlineLevel="2">
      <c r="A214" s="1" t="s">
        <v>97</v>
      </c>
      <c r="B214" s="1" t="s">
        <v>99</v>
      </c>
      <c r="C214" s="2">
        <v>293.77999999999997</v>
      </c>
      <c r="D214" s="2">
        <v>125.16</v>
      </c>
      <c r="E214" s="2">
        <v>168.62000000000001</v>
      </c>
      <c r="G214" s="1">
        <v>58</v>
      </c>
      <c r="H214" s="1">
        <v>7.2248140000000003</v>
      </c>
      <c r="J214" s="9">
        <v>-0.25</v>
      </c>
      <c r="K214" s="2">
        <f t="shared" si="45"/>
        <v>257.18507143241379</v>
      </c>
      <c r="L214" s="3">
        <f t="shared" si="46"/>
        <v>1.42879333281884</v>
      </c>
      <c r="M214" s="2">
        <f t="shared" si="47"/>
        <v>367.22499999999997</v>
      </c>
      <c r="N214" s="7">
        <f t="shared" si="48"/>
        <v>156.44999999999999</v>
      </c>
      <c r="O214" s="2">
        <f t="shared" si="49"/>
        <v>210.77500000000001</v>
      </c>
      <c r="P214" s="2">
        <f t="shared" si="51"/>
        <v>367.22500000000002</v>
      </c>
      <c r="Q214" s="3">
        <f t="shared" si="50"/>
        <v>0</v>
      </c>
    </row>
    <row r="215" spans="1:17" ht="15.65" outlineLevel="2">
      <c r="A215" s="1" t="s">
        <v>97</v>
      </c>
      <c r="B215" s="1" t="s">
        <v>42</v>
      </c>
      <c r="C215" s="2">
        <v>41373.760000000002</v>
      </c>
      <c r="D215" s="2">
        <v>40853.360000000001</v>
      </c>
      <c r="E215" s="2">
        <v>520.39999999999998</v>
      </c>
      <c r="G215" s="1">
        <v>58</v>
      </c>
      <c r="H215" s="1">
        <v>6.9523849999999996</v>
      </c>
      <c r="J215" s="9">
        <v>-0.25</v>
      </c>
      <c r="K215" s="2">
        <f t="shared" si="45"/>
        <v>36414.340889351726</v>
      </c>
      <c r="L215" s="3">
        <f t="shared" si="46"/>
        <v>1.42879333281884</v>
      </c>
      <c r="M215" s="2">
        <f t="shared" si="47"/>
        <v>51717.200000000004</v>
      </c>
      <c r="N215" s="7">
        <f t="shared" si="48"/>
        <v>51066.700000000004</v>
      </c>
      <c r="O215" s="2">
        <f t="shared" si="49"/>
        <v>650.5</v>
      </c>
      <c r="P215" s="2">
        <f t="shared" si="51"/>
        <v>51717.200000000004</v>
      </c>
      <c r="Q215" s="3">
        <f t="shared" si="50"/>
        <v>0</v>
      </c>
    </row>
    <row r="216" spans="1:17" ht="15.65" outlineLevel="2">
      <c r="A216" s="1" t="s">
        <v>97</v>
      </c>
      <c r="B216" s="1" t="s">
        <v>41</v>
      </c>
      <c r="C216" s="2">
        <v>78399.229999999996</v>
      </c>
      <c r="D216" s="2">
        <v>83356.809999999998</v>
      </c>
      <c r="E216" s="2">
        <v>-4957.5799999999999</v>
      </c>
      <c r="G216" s="1">
        <v>58</v>
      </c>
      <c r="H216" s="1">
        <v>6.6840760000000001</v>
      </c>
      <c r="J216" s="9">
        <v>-0.25</v>
      </c>
      <c r="K216" s="2">
        <f t="shared" si="45"/>
        <v>69364.291867905515</v>
      </c>
      <c r="L216" s="3">
        <f t="shared" si="46"/>
        <v>1.42879333281884</v>
      </c>
      <c r="M216" s="2">
        <f t="shared" si="47"/>
        <v>97999.037499999991</v>
      </c>
      <c r="N216" s="7">
        <f t="shared" si="48"/>
        <v>104196.0125</v>
      </c>
      <c r="O216" s="2">
        <f t="shared" si="49"/>
        <v>-6196.9749999999995</v>
      </c>
      <c r="P216" s="2">
        <f t="shared" si="51"/>
        <v>97999.037499999991</v>
      </c>
      <c r="Q216" s="3">
        <f t="shared" si="50"/>
        <v>0</v>
      </c>
    </row>
    <row r="217" spans="1:17" ht="15.65" outlineLevel="2">
      <c r="A217" s="1" t="s">
        <v>97</v>
      </c>
      <c r="B217" s="1" t="s">
        <v>40</v>
      </c>
      <c r="C217" s="2">
        <v>135740.22</v>
      </c>
      <c r="D217" s="2">
        <v>134270.79999999999</v>
      </c>
      <c r="E217" s="2">
        <v>1469.4200000000001</v>
      </c>
      <c r="G217" s="1">
        <v>58</v>
      </c>
      <c r="H217" s="1">
        <v>6.4207580000000002</v>
      </c>
      <c r="J217" s="9">
        <v>-0.25</v>
      </c>
      <c r="K217" s="2">
        <f t="shared" si="45"/>
        <v>120713.40787091793</v>
      </c>
      <c r="L217" s="3">
        <f t="shared" si="46"/>
        <v>1.42879333281884</v>
      </c>
      <c r="M217" s="2">
        <f t="shared" si="47"/>
        <v>169675.27499999999</v>
      </c>
      <c r="N217" s="7">
        <f t="shared" si="48"/>
        <v>167838.49999999997</v>
      </c>
      <c r="O217" s="2">
        <f t="shared" si="49"/>
        <v>1836.7750000000001</v>
      </c>
      <c r="P217" s="2">
        <f t="shared" si="51"/>
        <v>169675.27499999997</v>
      </c>
      <c r="Q217" s="3"/>
    </row>
    <row r="218" spans="1:17" ht="15.65" outlineLevel="2">
      <c r="A218" s="1" t="s">
        <v>97</v>
      </c>
      <c r="B218" s="1" t="s">
        <v>39</v>
      </c>
      <c r="C218" s="2">
        <v>145417.98999999999</v>
      </c>
      <c r="D218" s="2">
        <v>145956.87</v>
      </c>
      <c r="E218" s="2">
        <v>-538.88</v>
      </c>
      <c r="G218" s="1">
        <v>58</v>
      </c>
      <c r="H218" s="1">
        <v>6.1615310000000001</v>
      </c>
      <c r="J218" s="9">
        <v>-0.25</v>
      </c>
      <c r="K218" s="2">
        <f t="shared" si="45"/>
        <v>129969.75804581567</v>
      </c>
      <c r="L218" s="3">
        <f t="shared" si="46"/>
        <v>1.42879333281884</v>
      </c>
      <c r="M218" s="2">
        <f t="shared" si="47"/>
        <v>181772.48749999999</v>
      </c>
      <c r="N218" s="7">
        <f t="shared" si="48"/>
        <v>182446.08750000002</v>
      </c>
      <c r="O218" s="2">
        <f t="shared" si="49"/>
        <v>-673.60000000000002</v>
      </c>
      <c r="P218" s="2">
        <f t="shared" si="51"/>
        <v>181772.48750000002</v>
      </c>
      <c r="Q218" s="3"/>
    </row>
    <row r="219" spans="1:17" ht="15.65" outlineLevel="2">
      <c r="A219" s="1" t="s">
        <v>97</v>
      </c>
      <c r="B219" s="1" t="s">
        <v>38</v>
      </c>
      <c r="C219" s="2">
        <v>628.03999999999996</v>
      </c>
      <c r="D219" s="2">
        <v>568.76999999999998</v>
      </c>
      <c r="E219" s="2">
        <v>59.270000000000003</v>
      </c>
      <c r="G219" s="1">
        <v>58</v>
      </c>
      <c r="H219" s="1">
        <v>5.9033160000000002</v>
      </c>
      <c r="J219" s="9">
        <v>-0.25</v>
      </c>
      <c r="K219" s="2">
        <f t="shared" si="45"/>
        <v>564.1172658510344</v>
      </c>
      <c r="L219" s="3">
        <f t="shared" si="46"/>
        <v>1.42879333281884</v>
      </c>
      <c r="M219" s="2">
        <f t="shared" si="47"/>
        <v>785.04999999999995</v>
      </c>
      <c r="N219" s="7">
        <f t="shared" si="48"/>
        <v>710.96249999999998</v>
      </c>
      <c r="O219" s="2">
        <f t="shared" si="49"/>
        <v>74.087500000000006</v>
      </c>
      <c r="P219" s="2">
        <f t="shared" si="51"/>
        <v>785.04999999999995</v>
      </c>
      <c r="Q219" s="3"/>
    </row>
    <row r="220" spans="1:17" ht="15.65" outlineLevel="2">
      <c r="A220" s="1" t="s">
        <v>97</v>
      </c>
      <c r="B220" s="1" t="s">
        <v>37</v>
      </c>
      <c r="C220" s="2">
        <v>3307.4499999999998</v>
      </c>
      <c r="D220" s="2">
        <v>3218.3099999999999</v>
      </c>
      <c r="E220" s="2">
        <v>89.140000000000001</v>
      </c>
      <c r="G220" s="1">
        <v>58</v>
      </c>
      <c r="H220" s="1">
        <v>5.6494010000000001</v>
      </c>
      <c r="J220" s="9">
        <v>-0.25</v>
      </c>
      <c r="K220" s="2">
        <f t="shared" si="45"/>
        <v>2985.2929079750002</v>
      </c>
      <c r="L220" s="3">
        <f t="shared" si="46"/>
        <v>1.42879333281884</v>
      </c>
      <c r="M220" s="2">
        <f t="shared" si="47"/>
        <v>4134.3125</v>
      </c>
      <c r="N220" s="7">
        <f t="shared" si="48"/>
        <v>4022.8874999999998</v>
      </c>
      <c r="O220" s="2">
        <f t="shared" si="49"/>
        <v>111.42500000000001</v>
      </c>
      <c r="P220" s="2">
        <f t="shared" si="51"/>
        <v>4134.3125</v>
      </c>
      <c r="Q220" s="3"/>
    </row>
    <row r="221" spans="1:17" ht="15.65" outlineLevel="2">
      <c r="A221" s="1" t="s">
        <v>97</v>
      </c>
      <c r="B221" s="1" t="s">
        <v>36</v>
      </c>
      <c r="C221" s="2">
        <v>1654.6500000000001</v>
      </c>
      <c r="D221" s="2">
        <v>1000.83</v>
      </c>
      <c r="E221" s="2">
        <v>653.82000000000005</v>
      </c>
      <c r="G221" s="1">
        <v>58</v>
      </c>
      <c r="H221" s="1">
        <v>5.3995569999999997</v>
      </c>
      <c r="J221" s="9">
        <v>-0.25</v>
      </c>
      <c r="K221" s="2">
        <f t="shared" si="45"/>
        <v>1500.6090174129311</v>
      </c>
      <c r="L221" s="3">
        <f t="shared" si="46"/>
        <v>1.42879333281884</v>
      </c>
      <c r="M221" s="2">
        <f t="shared" si="47"/>
        <v>2068.3125</v>
      </c>
      <c r="N221" s="7">
        <f t="shared" si="48"/>
        <v>1251.0375000000001</v>
      </c>
      <c r="O221" s="2">
        <f t="shared" si="49"/>
        <v>817.27499999999998</v>
      </c>
      <c r="P221" s="2">
        <f t="shared" si="51"/>
        <v>2068.3125</v>
      </c>
      <c r="Q221" s="3"/>
    </row>
    <row r="222" spans="1:17" ht="15.65" outlineLevel="2">
      <c r="A222" s="1" t="s">
        <v>97</v>
      </c>
      <c r="B222" s="1" t="s">
        <v>35</v>
      </c>
      <c r="C222" s="2">
        <v>170.44999999999999</v>
      </c>
      <c r="E222" s="2">
        <v>170.44999999999999</v>
      </c>
      <c r="G222" s="1">
        <v>58</v>
      </c>
      <c r="H222" s="1">
        <v>5.1485839999999996</v>
      </c>
      <c r="J222" s="9">
        <v>-0.25</v>
      </c>
      <c r="K222" s="2">
        <f t="shared" si="45"/>
        <v>155.31937684827585</v>
      </c>
      <c r="L222" s="3">
        <f t="shared" si="46"/>
        <v>1.42879333281884</v>
      </c>
      <c r="M222" s="2">
        <f t="shared" si="47"/>
        <v>213.0625</v>
      </c>
      <c r="N222" s="7">
        <f t="shared" si="48"/>
        <v>0</v>
      </c>
      <c r="O222" s="2">
        <f t="shared" si="49"/>
        <v>213.0625</v>
      </c>
      <c r="P222" s="2">
        <f t="shared" si="51"/>
        <v>213.0625</v>
      </c>
      <c r="Q222" s="3"/>
    </row>
    <row r="223" spans="1:17" ht="15.65" outlineLevel="2">
      <c r="A223" s="1" t="s">
        <v>97</v>
      </c>
      <c r="B223" s="1" t="s">
        <v>33</v>
      </c>
      <c r="C223" s="2">
        <v>214.03</v>
      </c>
      <c r="D223" s="2">
        <v>214.03</v>
      </c>
      <c r="G223" s="1">
        <v>58</v>
      </c>
      <c r="H223" s="1">
        <v>4.3801750000000004</v>
      </c>
      <c r="J223" s="9">
        <v>-0.25</v>
      </c>
      <c r="K223" s="2">
        <f t="shared" si="45"/>
        <v>197.86639904741378</v>
      </c>
      <c r="L223" s="3">
        <f t="shared" si="46"/>
        <v>1.42879333281884</v>
      </c>
      <c r="M223" s="2">
        <f t="shared" si="52" ref="M223:M225">IF((C223*(1-J223)-K223*L223)&lt;0,C223*(1-J223),K223*L223)</f>
        <v>267.53750000000002</v>
      </c>
      <c r="N223" s="7">
        <f t="shared" si="48"/>
        <v>267.53750000000002</v>
      </c>
      <c r="O223" s="2">
        <f t="shared" si="49"/>
        <v>0</v>
      </c>
      <c r="P223" s="2">
        <f t="shared" si="51"/>
        <v>267.53750000000002</v>
      </c>
      <c r="Q223" s="3"/>
    </row>
    <row r="224" spans="1:17" ht="15.65" outlineLevel="2">
      <c r="A224" s="1" t="s">
        <v>97</v>
      </c>
      <c r="B224" s="1" t="s">
        <v>98</v>
      </c>
      <c r="C224" s="2">
        <v>45</v>
      </c>
      <c r="D224" s="2">
        <v>45</v>
      </c>
      <c r="G224" s="1">
        <v>58</v>
      </c>
      <c r="H224" s="1">
        <v>4.1005589999999996</v>
      </c>
      <c r="J224" s="9">
        <v>-0.25</v>
      </c>
      <c r="K224" s="2">
        <f t="shared" si="45"/>
        <v>41.81853181034483</v>
      </c>
      <c r="L224" s="3">
        <f t="shared" si="46"/>
        <v>1.42879333281884</v>
      </c>
      <c r="M224" s="2">
        <f t="shared" si="52"/>
        <v>56.25</v>
      </c>
      <c r="N224" s="7">
        <f t="shared" si="48"/>
        <v>56.25</v>
      </c>
      <c r="O224" s="2">
        <f t="shared" si="49"/>
        <v>0</v>
      </c>
      <c r="P224" s="2">
        <f t="shared" si="51"/>
        <v>56.25</v>
      </c>
      <c r="Q224" s="3"/>
    </row>
    <row r="225" spans="1:17" ht="15.65" outlineLevel="2">
      <c r="A225" s="1" t="s">
        <v>97</v>
      </c>
      <c r="B225" s="1" t="s">
        <v>32</v>
      </c>
      <c r="C225" s="2">
        <v>1393.55</v>
      </c>
      <c r="D225" s="2">
        <f>+C225-E225</f>
        <v>1330.1399999999999</v>
      </c>
      <c r="E225" s="2">
        <v>63.409999999999997</v>
      </c>
      <c r="G225" s="1">
        <v>58</v>
      </c>
      <c r="H225" s="1">
        <v>3.4784269999999999</v>
      </c>
      <c r="J225" s="9">
        <v>-0.25</v>
      </c>
      <c r="K225" s="2">
        <f t="shared" si="45"/>
        <v>1309.9747940370689</v>
      </c>
      <c r="L225" s="3">
        <f t="shared" si="46"/>
        <v>1.42879333281884</v>
      </c>
      <c r="M225" s="2">
        <f t="shared" si="52"/>
        <v>1741.9375</v>
      </c>
      <c r="N225" s="7">
        <f t="shared" si="48"/>
        <v>1662.675</v>
      </c>
      <c r="O225" s="2">
        <f t="shared" si="49"/>
        <v>79.262500000000003</v>
      </c>
      <c r="P225" s="2">
        <f t="shared" si="51"/>
        <v>1741.9375</v>
      </c>
      <c r="Q225" s="3"/>
    </row>
    <row r="226" spans="1:17" ht="15.65" outlineLevel="1">
      <c r="A226" s="4" t="s">
        <v>114</v>
      </c>
      <c r="C226" s="2">
        <f>SUBTOTAL(9,C127:C225)</f>
        <v>2328129108.4763751</v>
      </c>
      <c r="D226" s="2">
        <f t="shared" si="53" ref="D226:M226">SUBTOTAL(9,D127:D225)</f>
        <v>1757053882.2463763</v>
      </c>
      <c r="E226" s="2">
        <f t="shared" si="53"/>
        <v>571075226.2299993</v>
      </c>
      <c r="F226" s="2">
        <f t="shared" si="53"/>
        <v>0</v>
      </c>
      <c r="G226" s="2">
        <f>+J226-M226</f>
        <v>-4.5299530029296875E-06</v>
      </c>
      <c r="H226" s="2" t="s">
        <v>118</v>
      </c>
      <c r="I226" s="2">
        <v>578718399.41900265</v>
      </c>
      <c r="J226" s="2">
        <v>578715253.12959778</v>
      </c>
      <c r="K226" s="2">
        <f t="shared" si="53"/>
        <v>405043732.60374755</v>
      </c>
      <c r="L226" s="2">
        <v>1.42879333281884</v>
      </c>
      <c r="M226" s="2">
        <f t="shared" si="53"/>
        <v>578715253.12960231</v>
      </c>
      <c r="N226" s="7">
        <f t="shared" si="54" ref="N226">SUBTOTAL(9,N127:N225)</f>
        <v>463683928.66800302</v>
      </c>
      <c r="O226" s="2">
        <f t="shared" si="55" ref="O226">SUBTOTAL(9,O127:O225)</f>
        <v>115031324.46159908</v>
      </c>
      <c r="P226" s="2">
        <f t="shared" si="51"/>
        <v>578715253.12960207</v>
      </c>
      <c r="Q226" s="3"/>
    </row>
    <row r="227" spans="1:17" ht="15.65" outlineLevel="1">
      <c r="A227" s="4" t="s">
        <v>107</v>
      </c>
      <c r="C227" s="2">
        <f>SUBTOTAL(9,C2:C226)</f>
        <v>2524209542.2163754</v>
      </c>
      <c r="D227" s="2">
        <f t="shared" si="56" ref="D227:F227">SUBTOTAL(9,D2:D226)</f>
        <v>1898653742.5463765</v>
      </c>
      <c r="E227" s="2">
        <f t="shared" si="56"/>
        <v>625555799.6699996</v>
      </c>
      <c r="F227" s="2">
        <f t="shared" si="56"/>
        <v>0</v>
      </c>
      <c r="G227" s="2"/>
      <c r="H227" s="2" t="s">
        <v>118</v>
      </c>
      <c r="I227" s="2"/>
      <c r="J227" s="2"/>
      <c r="K227" s="2">
        <f>SUBTOTAL(9,K2:K226)</f>
        <v>441971069.79924828</v>
      </c>
      <c r="L227" s="2"/>
      <c r="M227" s="2">
        <f>SUBTOTAL(9,M2:M226)</f>
        <v>636033263.91000211</v>
      </c>
      <c r="N227" s="7">
        <f>SUBTOTAL(9,N2:N226)</f>
        <v>506357924.02849811</v>
      </c>
      <c r="O227" s="2">
        <f t="shared" si="57" ref="O227:P227">SUBTOTAL(9,O2:O226)</f>
        <v>129675339.88150342</v>
      </c>
      <c r="P227" s="2">
        <f t="shared" si="57"/>
        <v>1272066527.8200038</v>
      </c>
      <c r="Q227" s="3"/>
    </row>
    <row r="228" spans="17:17" ht="15.65">
      <c r="Q228" s="3"/>
    </row>
    <row r="229" spans="12:12" ht="15.65">
      <c r="L229" s="3"/>
    </row>
    <row r="230" spans="10:11" ht="15.65">
      <c r="J230" s="3"/>
      <c r="K230" s="5" t="s">
        <v>121</v>
      </c>
    </row>
    <row r="231" spans="11:16" ht="15.65">
      <c r="K231" s="12" t="s">
        <v>122</v>
      </c>
      <c r="M231" s="2">
        <f>M30</f>
        <v>1166792.5391729928</v>
      </c>
      <c r="N231" s="2">
        <f t="shared" si="58" ref="N231:P231">N30</f>
        <v>928017.60482451133</v>
      </c>
      <c r="O231" s="2">
        <f t="shared" si="58"/>
        <v>238774.93434848145</v>
      </c>
      <c r="P231" s="2">
        <f t="shared" si="58"/>
        <v>1166792.5391729928</v>
      </c>
    </row>
    <row r="232" spans="10:16" ht="15.65">
      <c r="J232" s="3"/>
      <c r="K232" s="12" t="s">
        <v>123</v>
      </c>
      <c r="M232" s="13">
        <v>8767326.7686165329</v>
      </c>
      <c r="N232" s="13">
        <v>8767326.7686165329</v>
      </c>
      <c r="O232" s="13">
        <v>0</v>
      </c>
      <c r="P232" s="13">
        <v>8767326.7686165329</v>
      </c>
    </row>
    <row r="233" spans="10:16" ht="15.65">
      <c r="J233" s="3"/>
      <c r="K233" s="12" t="s">
        <v>124</v>
      </c>
      <c r="M233" s="2">
        <f>SUM(M231:M232)</f>
        <v>9934119.307789525</v>
      </c>
      <c r="N233" s="2">
        <f t="shared" si="59" ref="N233:P233">SUM(N231:N232)</f>
        <v>9695344.3734410442</v>
      </c>
      <c r="O233" s="2">
        <f t="shared" si="59"/>
        <v>238774.93434848145</v>
      </c>
      <c r="P233" s="2">
        <f t="shared" si="59"/>
        <v>9934119.307789525</v>
      </c>
    </row>
  </sheetData>
  <sortState ref="A2:E232">
    <sortCondition sortBy="value" ref="A2:A232"/>
    <sortCondition descending="1" sortBy="value" ref="B2:B232"/>
  </sortState>
  <pageMargins left="0.75" right="0.75" top="2" bottom="1" header="0.75" footer="0.5"/>
  <pageSetup fitToHeight="0" orientation="landscape" scale="43" r:id="rId1"/>
  <headerFooter>
    <oddHeader>&amp;C
&amp;"Arial,Bold"2022 RATE CASE
ONCOR ELECTRIC DELIVERY COMPANY LLC
WP II-B-5_05 ONCOR LEGACY DISTRIBUTION SUBSTATION
TEST  YEAR ENDED DECEMBER 31, 2021
SPONSOR: D. A. WATSON
&amp;R&amp;"Arial,Bold"WP/II-B-5/05
Page  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II-B-5_05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