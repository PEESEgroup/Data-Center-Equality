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0" yWindow="0" windowWidth="19195" windowHeight="7309" activeTab="0"/>
  </bookViews>
  <sheets>
    <sheet name="WP II-B-6_01" sheetId="1" r:id="rId2"/>
  </sheets>
  <definedNames>
    <definedName name="_xlnm.Print_Titles" localSheetId="0">'WP II-B-6_01'!$1:$1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M42" i="1" l="1"/>
</calcChain>
</file>

<file path=xl/sharedStrings.xml><?xml version="1.0" encoding="utf-8"?>
<sst xmlns="http://schemas.openxmlformats.org/spreadsheetml/2006/main" count="316" uniqueCount="166">
  <si>
    <t>Unit</t>
  </si>
  <si>
    <t>Function</t>
  </si>
  <si>
    <t>Location</t>
  </si>
  <si>
    <t>Location Name</t>
  </si>
  <si>
    <t>Description</t>
  </si>
  <si>
    <t>County</t>
  </si>
  <si>
    <t>Year of Acquisition</t>
  </si>
  <si>
    <t>Purpose</t>
  </si>
  <si>
    <t>Estimated In-service Date</t>
  </si>
  <si>
    <t>AFT</t>
  </si>
  <si>
    <t>0100483</t>
  </si>
  <si>
    <t>HEBRON-PLANO TENNYSON, 138KV</t>
  </si>
  <si>
    <t>ROW for transmission line at Hebron - Plano Tennyson in Denton County</t>
  </si>
  <si>
    <t>Denton</t>
  </si>
  <si>
    <t>1993</t>
  </si>
  <si>
    <t>Transmission Line ROW</t>
  </si>
  <si>
    <t>0101489</t>
  </si>
  <si>
    <t>HEBRON SW-PLANO TENNYSON</t>
  </si>
  <si>
    <t>Fee land at Hebron - Plano Tennyson in Denton County</t>
  </si>
  <si>
    <t>Future Switching Station Site</t>
  </si>
  <si>
    <t>0005350</t>
  </si>
  <si>
    <t>TARRANT,WEST SW STA 345KV</t>
  </si>
  <si>
    <t>Fee land in Tarrant County for West Tarrant 345 KV switching station site</t>
  </si>
  <si>
    <t>Tarrant</t>
  </si>
  <si>
    <t>1987</t>
  </si>
  <si>
    <t>0005375</t>
  </si>
  <si>
    <t>TRINITY SW 345/138-12.5KV</t>
  </si>
  <si>
    <t>Fee land for site of the future Trinity switching station in Tarrant County</t>
  </si>
  <si>
    <t>1986</t>
  </si>
  <si>
    <t>0101429</t>
  </si>
  <si>
    <t>ADDISON 138KV</t>
  </si>
  <si>
    <t>Fee land for East Addison Distribution substation in Dallas County</t>
  </si>
  <si>
    <t>Dallas</t>
  </si>
  <si>
    <t>1983</t>
  </si>
  <si>
    <t>Future Substation Site</t>
  </si>
  <si>
    <t>AFD</t>
  </si>
  <si>
    <t>0000967</t>
  </si>
  <si>
    <t>Dallas Parkdale SC</t>
  </si>
  <si>
    <t>Fee land at old Parkdale Power Plant location for a future service center</t>
  </si>
  <si>
    <t>Future Service Center</t>
  </si>
  <si>
    <t>0007223</t>
  </si>
  <si>
    <t>TARRANT,WEST SW-BENBROOK-PARKE</t>
  </si>
  <si>
    <t>ROW for the transmission line between Tarrant West Switching Station and the Benbrook - Parker 345 KV lines in Tarrant County</t>
  </si>
  <si>
    <t>1989</t>
  </si>
  <si>
    <t>0007640</t>
  </si>
  <si>
    <t>MOSS SW STA - PERMIAN SES (SOU</t>
  </si>
  <si>
    <t>Fee land between Moss switching station and Farm Road 866 for portion of Moss - Permian 345 KV ROW in Ector County</t>
  </si>
  <si>
    <t>Ector</t>
  </si>
  <si>
    <t>Transmission Line Land</t>
  </si>
  <si>
    <t>0000518</t>
  </si>
  <si>
    <t>OLD HICKORY SUBSTATION T&amp;D</t>
  </si>
  <si>
    <t>Fee land for Old Hickory substation in Dallas County</t>
  </si>
  <si>
    <t>1988</t>
  </si>
  <si>
    <t>0005274</t>
  </si>
  <si>
    <t>HURST 138-12.5KV</t>
  </si>
  <si>
    <t>Fee land for expansion of Hurst substation</t>
  </si>
  <si>
    <t>1992</t>
  </si>
  <si>
    <t>Expansion of Substation Site</t>
  </si>
  <si>
    <t>0007214</t>
  </si>
  <si>
    <t>PARKER - BENBROOK (NORTH) 345K</t>
  </si>
  <si>
    <t>ROW for Benbrook - Tarrant West - Parker 345 KV loop in Parker County</t>
  </si>
  <si>
    <t>Parker</t>
  </si>
  <si>
    <t>0000593</t>
  </si>
  <si>
    <t>GRIFFIN STREET SUBSTATION T&amp;D</t>
  </si>
  <si>
    <t>Fee land for Griffin Street East substation in Dallas County</t>
  </si>
  <si>
    <t>1984-1991</t>
  </si>
  <si>
    <t>WACO-LAKESHORE DR. 138KV</t>
  </si>
  <si>
    <t>Fee land for Waco - Lakeshore Distribution Substation in McLennon County</t>
  </si>
  <si>
    <t>McLennon</t>
  </si>
  <si>
    <t>1976</t>
  </si>
  <si>
    <t>7200001</t>
  </si>
  <si>
    <t>TYLER-COPELAND RD.</t>
  </si>
  <si>
    <t>Fee land for Tyler - Copeland Road Distribution substation in Smith County</t>
  </si>
  <si>
    <t>Smith</t>
  </si>
  <si>
    <t>1980</t>
  </si>
  <si>
    <t>0000706</t>
  </si>
  <si>
    <t>KERRVILLE STREET S/STA T&amp;D</t>
  </si>
  <si>
    <t>Fee land for Kerrville substation in Dallas County</t>
  </si>
  <si>
    <t>1985</t>
  </si>
  <si>
    <t>0401450</t>
  </si>
  <si>
    <t>TEMPLE-KNOB CREEK, 138KV</t>
  </si>
  <si>
    <t>Fee land for Temple - Knob Creek substation in Bell County</t>
  </si>
  <si>
    <t>Bell</t>
  </si>
  <si>
    <t>0000587</t>
  </si>
  <si>
    <t>BRUTON ROAD SUBSTATION T&amp;D</t>
  </si>
  <si>
    <t>Fee land for Bruton Road substation in Dallas County</t>
  </si>
  <si>
    <t>0000598</t>
  </si>
  <si>
    <t>REMOND SUBSTATION T&amp;D</t>
  </si>
  <si>
    <t>Fee land for Remond substation in Dallas County</t>
  </si>
  <si>
    <t>0000596</t>
  </si>
  <si>
    <t>MONTFORT STREET SUBSTATION T&amp;D</t>
  </si>
  <si>
    <t>Fee land for Monfort substation in Dallas County</t>
  </si>
  <si>
    <t>1984</t>
  </si>
  <si>
    <t>0007145</t>
  </si>
  <si>
    <t>TRINITY SW STA TAP</t>
  </si>
  <si>
    <t>ROW for transmission line to Trinity switching in east Tarrant County</t>
  </si>
  <si>
    <t>0401453</t>
  </si>
  <si>
    <t>TEMPLE, WEST 138KV</t>
  </si>
  <si>
    <t>Fee land for Temple - West Distribution substation in Bell County</t>
  </si>
  <si>
    <t>1964</t>
  </si>
  <si>
    <t>2025</t>
  </si>
  <si>
    <t>0301462</t>
  </si>
  <si>
    <t>Loy Lake Substation</t>
  </si>
  <si>
    <t>2017</t>
  </si>
  <si>
    <t>Fee land for Loy Lake substation in Grayson County</t>
  </si>
  <si>
    <t>Grayson</t>
  </si>
  <si>
    <t>0005631</t>
  </si>
  <si>
    <t>Black Pearl Sub</t>
  </si>
  <si>
    <t>2018</t>
  </si>
  <si>
    <t>0401526</t>
  </si>
  <si>
    <t>Founders Trail Sub</t>
  </si>
  <si>
    <t>2015</t>
  </si>
  <si>
    <t>0501615</t>
  </si>
  <si>
    <t>Roanoke, West 138Kv</t>
  </si>
  <si>
    <t>Fee land in Denton County for expansion of Roanoke West Substation</t>
  </si>
  <si>
    <t>Fee land in Bell County for Founders Trail substation</t>
  </si>
  <si>
    <t>Loving</t>
  </si>
  <si>
    <t>Fee land in Loving County for Black Pearl substation</t>
  </si>
  <si>
    <t>0501350</t>
  </si>
  <si>
    <t>Bacon Sub</t>
  </si>
  <si>
    <t>Fee land in Wichita County for Bacon substation</t>
  </si>
  <si>
    <t>Wichita</t>
  </si>
  <si>
    <t>2016</t>
  </si>
  <si>
    <t>0401531</t>
  </si>
  <si>
    <t>Brushy Creek Switch</t>
  </si>
  <si>
    <t>Fee land in Wiliiamson County for Brushy Creek Switch</t>
  </si>
  <si>
    <t>Williamson</t>
  </si>
  <si>
    <t>0101532</t>
  </si>
  <si>
    <t>Keller Hicks Road Substation</t>
  </si>
  <si>
    <t>1973</t>
  </si>
  <si>
    <t>Fee land in Tarrant County for Keller Hicks Road substation</t>
  </si>
  <si>
    <t>0401522</t>
  </si>
  <si>
    <t>Mary Avenue Substation</t>
  </si>
  <si>
    <t>Fee land in McLennon County for Mary Avenue Substation</t>
  </si>
  <si>
    <t>0005498</t>
  </si>
  <si>
    <t>Oak Spring Switch</t>
  </si>
  <si>
    <t>Noland</t>
  </si>
  <si>
    <t>Fee land in Noland County for Oak Spring Switch</t>
  </si>
  <si>
    <t>0201519</t>
  </si>
  <si>
    <t>Shamburger North Switch</t>
  </si>
  <si>
    <t>Fee land in Smith County for Shamburger North Switch</t>
  </si>
  <si>
    <t>0005458</t>
  </si>
  <si>
    <t>Union Switch</t>
  </si>
  <si>
    <t>Fee land in Scurry County for Union Switch</t>
  </si>
  <si>
    <t>Scurry</t>
  </si>
  <si>
    <t>0401445</t>
  </si>
  <si>
    <t>Waco-M+M/Mars 138Kv</t>
  </si>
  <si>
    <t>Fee land in McLennon County for expansion of Waco-M+M/Mars substation</t>
  </si>
  <si>
    <t>2019</t>
  </si>
  <si>
    <t>0401489</t>
  </si>
  <si>
    <t>Beyond 2031</t>
  </si>
  <si>
    <t>Investment at 12-31-21</t>
  </si>
  <si>
    <t>0501412</t>
  </si>
  <si>
    <t>Dunham Switch</t>
  </si>
  <si>
    <t>0501414</t>
  </si>
  <si>
    <t>Burger Lake Substation</t>
  </si>
  <si>
    <t xml:space="preserve">Fee land  in Flower Mound for Dunham Switch </t>
  </si>
  <si>
    <t>TCOS %</t>
  </si>
  <si>
    <t>TCOS Amount</t>
  </si>
  <si>
    <t>Fee land in Flower Mound for Burger Lake Substation</t>
  </si>
  <si>
    <t>TRAN</t>
  </si>
  <si>
    <t>DIST</t>
  </si>
  <si>
    <t>DIST Amount</t>
  </si>
  <si>
    <t>Within Ten Year Resource Plan</t>
  </si>
  <si>
    <t>Beyond Ten Year Resource Plan</t>
  </si>
  <si>
    <t>TCOS % for Future Substation Sites from WP II-B-1_09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</si>
</sst>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_);[Red]\(#,##0.0000\)"/>
  </numFmts>
  <fonts count="7">
    <font>
      <sz val="10"/>
      <name val="Arial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 Unicode MS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 style="double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0" fontId="4" fillId="0" borderId="0">
      <alignment/>
      <protection/>
    </xf>
  </cellStyleXfs>
  <cellXfs count="43">
    <xf numFmtId="0" fontId="0" fillId="0" borderId="0" xfId="0"/>
    <xf numFmtId="0" fontId="3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/>
    </xf>
    <xf numFmtId="40" fontId="3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/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left"/>
    </xf>
    <xf numFmtId="0" fontId="3" fillId="0" borderId="0" xfId="0" applyFont="1" applyFill="1"/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164" fontId="3" fillId="0" borderId="1" xfId="0" applyNumberFormat="1" applyFont="1" applyFill="1" applyBorder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/>
    </xf>
    <xf numFmtId="40" fontId="3" fillId="0" borderId="0" xfId="0" applyNumberFormat="1" applyFont="1" applyFill="1"/>
    <xf numFmtId="49" fontId="3" fillId="0" borderId="1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center" wrapText="1"/>
    </xf>
    <xf numFmtId="40" fontId="2" fillId="0" borderId="1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left"/>
    </xf>
    <xf numFmtId="40" fontId="3" fillId="0" borderId="0" xfId="0" applyNumberFormat="1" applyFont="1" applyFill="1" applyBorder="1"/>
    <xf numFmtId="0" fontId="5" fillId="0" borderId="0" xfId="0" applyFont="1" applyFill="1"/>
    <xf numFmtId="49" fontId="6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/>
    <xf numFmtId="49" fontId="6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10" fontId="2" fillId="0" borderId="1" xfId="15" applyNumberFormat="1" applyFont="1" applyFill="1" applyBorder="1" applyAlignment="1">
      <alignment horizontal="center" wrapText="1"/>
    </xf>
    <xf numFmtId="10" fontId="3" fillId="0" borderId="2" xfId="15" applyNumberFormat="1" applyFont="1" applyFill="1" applyBorder="1" applyAlignment="1">
      <alignment horizontal="center"/>
    </xf>
    <xf numFmtId="40" fontId="2" fillId="0" borderId="3" xfId="0" applyNumberFormat="1" applyFont="1" applyFill="1" applyBorder="1" applyAlignment="1">
      <alignment horizontal="center" wrapText="1"/>
    </xf>
    <xf numFmtId="40" fontId="6" fillId="0" borderId="1" xfId="0" applyNumberFormat="1" applyFont="1" applyFill="1" applyBorder="1"/>
    <xf numFmtId="0" fontId="2" fillId="0" borderId="0" xfId="0" applyFont="1" applyFill="1"/>
    <xf numFmtId="10" fontId="3" fillId="0" borderId="0" xfId="15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right"/>
    </xf>
    <xf numFmtId="40" fontId="3" fillId="0" borderId="4" xfId="0" applyNumberFormat="1" applyFont="1" applyFill="1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2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44"/>
  <sheetViews>
    <sheetView tabSelected="1" zoomScale="90" zoomScaleNormal="90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2428571428571" defaultRowHeight="14.25"/>
  <cols>
    <col min="1" max="1" width="7.28571428571429" style="1" customWidth="1"/>
    <col min="2" max="2" width="8.85714285714286" style="1" customWidth="1"/>
    <col min="3" max="3" width="9.14285714285714" style="1"/>
    <col min="4" max="4" width="32.5714285714286" style="10" customWidth="1"/>
    <col min="5" max="5" width="47.1428571428571" style="14" customWidth="1"/>
    <col min="6" max="6" width="12" style="15" customWidth="1"/>
    <col min="7" max="7" width="14.1428571428571" style="1" customWidth="1"/>
    <col min="8" max="8" width="25.8571428571429" style="16" customWidth="1"/>
    <col min="9" max="9" width="12.8571428571429" style="1" customWidth="1"/>
    <col min="10" max="10" width="13.5714285714286" style="17" customWidth="1"/>
    <col min="11" max="11" width="11.7142857142857" style="10" customWidth="1"/>
    <col min="12" max="13" width="16.8571428571429" style="10" customWidth="1"/>
    <col min="14" max="16384" width="9.14285714285714" style="10"/>
  </cols>
  <sheetData>
    <row r="1" spans="1:13" ht="27.2">
      <c r="A1" s="19" t="s">
        <v>0</v>
      </c>
      <c r="B1" s="19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0" t="s">
        <v>151</v>
      </c>
      <c r="K1" s="35" t="s">
        <v>157</v>
      </c>
      <c r="L1" s="37" t="s">
        <v>158</v>
      </c>
      <c r="M1" s="37" t="s">
        <v>162</v>
      </c>
    </row>
    <row r="2" spans="1:13" ht="13.6">
      <c r="A2" s="3" t="s">
        <v>160</v>
      </c>
      <c r="B2" s="3" t="s">
        <v>9</v>
      </c>
      <c r="C2" s="3" t="s">
        <v>131</v>
      </c>
      <c r="D2" s="6" t="s">
        <v>132</v>
      </c>
      <c r="E2" s="7" t="s">
        <v>133</v>
      </c>
      <c r="F2" s="8" t="s">
        <v>68</v>
      </c>
      <c r="G2" s="3" t="s">
        <v>111</v>
      </c>
      <c r="H2" s="9" t="s">
        <v>34</v>
      </c>
      <c r="I2" s="5">
        <v>2022</v>
      </c>
      <c r="J2" s="4">
        <v>599573.06999999995</v>
      </c>
      <c r="K2" s="36">
        <v>0.24186121162488397</v>
      </c>
      <c r="L2" s="4">
        <f t="shared" si="0" ref="L2:L21">ROUND(J2*K2,2)</f>
        <v>145013.47</v>
      </c>
      <c r="M2" s="4">
        <f t="shared" si="1" ref="M2:M21">J2-L2</f>
        <v>454559.59999999998</v>
      </c>
    </row>
    <row r="3" spans="1:13" ht="13.6">
      <c r="A3" s="3" t="s">
        <v>160</v>
      </c>
      <c r="B3" s="3" t="s">
        <v>9</v>
      </c>
      <c r="C3" s="3" t="s">
        <v>101</v>
      </c>
      <c r="D3" s="6" t="s">
        <v>102</v>
      </c>
      <c r="E3" s="18" t="s">
        <v>104</v>
      </c>
      <c r="F3" s="8" t="s">
        <v>105</v>
      </c>
      <c r="G3" s="3" t="s">
        <v>111</v>
      </c>
      <c r="H3" s="9" t="s">
        <v>34</v>
      </c>
      <c r="I3" s="5">
        <v>2022</v>
      </c>
      <c r="J3" s="4">
        <v>346941.65000000002</v>
      </c>
      <c r="K3" s="36">
        <v>0.24186121162488397</v>
      </c>
      <c r="L3" s="4">
        <f t="shared" si="0"/>
        <v>83911.729999999996</v>
      </c>
      <c r="M3" s="4">
        <f t="shared" si="1"/>
        <v>263029.92000000004</v>
      </c>
    </row>
    <row r="4" spans="1:13" ht="13.6">
      <c r="A4" s="3" t="s">
        <v>160</v>
      </c>
      <c r="B4" s="29" t="s">
        <v>9</v>
      </c>
      <c r="C4" s="29" t="s">
        <v>123</v>
      </c>
      <c r="D4" s="30" t="s">
        <v>124</v>
      </c>
      <c r="E4" s="31" t="s">
        <v>125</v>
      </c>
      <c r="F4" s="32" t="s">
        <v>126</v>
      </c>
      <c r="G4" s="29" t="s">
        <v>111</v>
      </c>
      <c r="H4" s="33" t="s">
        <v>19</v>
      </c>
      <c r="I4" s="34">
        <v>2022</v>
      </c>
      <c r="J4" s="38">
        <v>309993.96000000002</v>
      </c>
      <c r="K4" s="36">
        <v>1</v>
      </c>
      <c r="L4" s="4">
        <f t="shared" si="0"/>
        <v>309993.96000000002</v>
      </c>
      <c r="M4" s="4">
        <f t="shared" si="1"/>
        <v>0</v>
      </c>
    </row>
    <row r="5" spans="1:13" ht="27.2">
      <c r="A5" s="3" t="s">
        <v>160</v>
      </c>
      <c r="B5" s="3" t="s">
        <v>9</v>
      </c>
      <c r="C5" s="3" t="s">
        <v>145</v>
      </c>
      <c r="D5" s="6" t="s">
        <v>146</v>
      </c>
      <c r="E5" s="7" t="s">
        <v>147</v>
      </c>
      <c r="F5" s="8" t="s">
        <v>68</v>
      </c>
      <c r="G5" s="3" t="s">
        <v>148</v>
      </c>
      <c r="H5" s="9" t="s">
        <v>34</v>
      </c>
      <c r="I5" s="5">
        <v>2022</v>
      </c>
      <c r="J5" s="4">
        <v>121366.87</v>
      </c>
      <c r="K5" s="36">
        <v>0.24186121162488397</v>
      </c>
      <c r="L5" s="4">
        <f t="shared" si="0"/>
        <v>29353.939999999999</v>
      </c>
      <c r="M5" s="4">
        <f t="shared" si="1"/>
        <v>92012.929999999993</v>
      </c>
    </row>
    <row r="6" spans="1:13" ht="13.6">
      <c r="A6" s="3" t="s">
        <v>160</v>
      </c>
      <c r="B6" s="3" t="s">
        <v>9</v>
      </c>
      <c r="C6" s="3" t="s">
        <v>138</v>
      </c>
      <c r="D6" s="6" t="s">
        <v>139</v>
      </c>
      <c r="E6" s="18" t="s">
        <v>140</v>
      </c>
      <c r="F6" s="8" t="s">
        <v>73</v>
      </c>
      <c r="G6" s="3" t="s">
        <v>108</v>
      </c>
      <c r="H6" s="9" t="s">
        <v>19</v>
      </c>
      <c r="I6" s="5">
        <v>2023</v>
      </c>
      <c r="J6" s="4">
        <v>333339.31</v>
      </c>
      <c r="K6" s="36">
        <v>1</v>
      </c>
      <c r="L6" s="4">
        <f t="shared" si="0"/>
        <v>333339.31</v>
      </c>
      <c r="M6" s="4">
        <f t="shared" si="1"/>
        <v>0</v>
      </c>
    </row>
    <row r="7" spans="1:13" ht="13.6">
      <c r="A7" s="3" t="s">
        <v>160</v>
      </c>
      <c r="B7" s="29" t="s">
        <v>9</v>
      </c>
      <c r="C7" s="29" t="s">
        <v>141</v>
      </c>
      <c r="D7" s="30" t="s">
        <v>142</v>
      </c>
      <c r="E7" s="31" t="s">
        <v>143</v>
      </c>
      <c r="F7" s="32" t="s">
        <v>144</v>
      </c>
      <c r="G7" s="29" t="s">
        <v>108</v>
      </c>
      <c r="H7" s="33" t="s">
        <v>19</v>
      </c>
      <c r="I7" s="34">
        <v>2023</v>
      </c>
      <c r="J7" s="38">
        <v>197260.81</v>
      </c>
      <c r="K7" s="36">
        <v>1</v>
      </c>
      <c r="L7" s="4">
        <f t="shared" si="0"/>
        <v>197260.81</v>
      </c>
      <c r="M7" s="4">
        <f t="shared" si="1"/>
        <v>0</v>
      </c>
    </row>
    <row r="8" spans="1:13" ht="13.6">
      <c r="A8" s="3" t="s">
        <v>160</v>
      </c>
      <c r="B8" s="3" t="s">
        <v>9</v>
      </c>
      <c r="C8" s="3" t="s">
        <v>152</v>
      </c>
      <c r="D8" s="6" t="s">
        <v>153</v>
      </c>
      <c r="E8" s="7" t="s">
        <v>156</v>
      </c>
      <c r="F8" s="8" t="s">
        <v>13</v>
      </c>
      <c r="G8" s="3">
        <v>2021</v>
      </c>
      <c r="H8" s="9" t="s">
        <v>19</v>
      </c>
      <c r="I8" s="5">
        <v>2024</v>
      </c>
      <c r="J8" s="4">
        <v>7536734.7400000002</v>
      </c>
      <c r="K8" s="36">
        <v>1</v>
      </c>
      <c r="L8" s="4">
        <f t="shared" si="0"/>
        <v>7536734.7400000002</v>
      </c>
      <c r="M8" s="4">
        <f t="shared" si="1"/>
        <v>0</v>
      </c>
    </row>
    <row r="9" spans="1:13" ht="13.6">
      <c r="A9" s="3" t="s">
        <v>160</v>
      </c>
      <c r="B9" s="3" t="s">
        <v>9</v>
      </c>
      <c r="C9" s="3" t="s">
        <v>154</v>
      </c>
      <c r="D9" s="6" t="s">
        <v>155</v>
      </c>
      <c r="E9" s="7" t="s">
        <v>159</v>
      </c>
      <c r="F9" s="8" t="s">
        <v>13</v>
      </c>
      <c r="G9" s="3">
        <v>2021</v>
      </c>
      <c r="H9" s="9" t="s">
        <v>34</v>
      </c>
      <c r="I9" s="5">
        <v>2024</v>
      </c>
      <c r="J9" s="4">
        <v>510824.96000000002</v>
      </c>
      <c r="K9" s="36">
        <v>0.24186121162488397</v>
      </c>
      <c r="L9" s="4">
        <f t="shared" si="0"/>
        <v>123548.74000000001</v>
      </c>
      <c r="M9" s="4">
        <f t="shared" si="1"/>
        <v>387276.22000000003</v>
      </c>
    </row>
    <row r="10" spans="1:13" ht="13.6">
      <c r="A10" s="3" t="s">
        <v>160</v>
      </c>
      <c r="B10" s="3" t="s">
        <v>9</v>
      </c>
      <c r="C10" s="3" t="s">
        <v>109</v>
      </c>
      <c r="D10" s="6" t="s">
        <v>110</v>
      </c>
      <c r="E10" s="18" t="s">
        <v>115</v>
      </c>
      <c r="F10" s="8" t="s">
        <v>82</v>
      </c>
      <c r="G10" s="3" t="s">
        <v>108</v>
      </c>
      <c r="H10" s="9" t="s">
        <v>34</v>
      </c>
      <c r="I10" s="5">
        <v>2024</v>
      </c>
      <c r="J10" s="4">
        <v>365835.81</v>
      </c>
      <c r="K10" s="36">
        <v>0.24186121162488397</v>
      </c>
      <c r="L10" s="4">
        <f t="shared" si="0"/>
        <v>88481.490000000005</v>
      </c>
      <c r="M10" s="4">
        <f t="shared" si="1"/>
        <v>277354.32000000001</v>
      </c>
    </row>
    <row r="11" spans="1:13" ht="13.6">
      <c r="A11" s="3" t="s">
        <v>160</v>
      </c>
      <c r="B11" s="3" t="s">
        <v>9</v>
      </c>
      <c r="C11" s="3" t="s">
        <v>127</v>
      </c>
      <c r="D11" s="6" t="s">
        <v>128</v>
      </c>
      <c r="E11" s="18" t="s">
        <v>130</v>
      </c>
      <c r="F11" s="8" t="s">
        <v>23</v>
      </c>
      <c r="G11" s="3" t="s">
        <v>129</v>
      </c>
      <c r="H11" s="9" t="s">
        <v>34</v>
      </c>
      <c r="I11" s="5">
        <v>2024</v>
      </c>
      <c r="J11" s="4">
        <v>242421.82999999999</v>
      </c>
      <c r="K11" s="36">
        <v>0.24186121162488397</v>
      </c>
      <c r="L11" s="4">
        <f t="shared" si="0"/>
        <v>58632.440000000002</v>
      </c>
      <c r="M11" s="4">
        <f t="shared" si="1"/>
        <v>183789.38999999999</v>
      </c>
    </row>
    <row r="12" spans="1:13" ht="13.6">
      <c r="A12" s="3" t="s">
        <v>160</v>
      </c>
      <c r="B12" s="3" t="s">
        <v>9</v>
      </c>
      <c r="C12" s="3" t="s">
        <v>118</v>
      </c>
      <c r="D12" s="6" t="s">
        <v>119</v>
      </c>
      <c r="E12" s="7" t="s">
        <v>120</v>
      </c>
      <c r="F12" s="8" t="s">
        <v>121</v>
      </c>
      <c r="G12" s="3" t="s">
        <v>122</v>
      </c>
      <c r="H12" s="9" t="s">
        <v>34</v>
      </c>
      <c r="I12" s="5">
        <v>2024</v>
      </c>
      <c r="J12" s="4">
        <v>116016.96000000001</v>
      </c>
      <c r="K12" s="36">
        <v>0.24186121162488397</v>
      </c>
      <c r="L12" s="4">
        <f t="shared" si="0"/>
        <v>28060</v>
      </c>
      <c r="M12" s="4">
        <f t="shared" si="1"/>
        <v>87956.960000000006</v>
      </c>
    </row>
    <row r="13" spans="1:13" ht="13.6">
      <c r="A13" s="3" t="s">
        <v>160</v>
      </c>
      <c r="B13" s="3" t="s">
        <v>9</v>
      </c>
      <c r="C13" s="3" t="s">
        <v>134</v>
      </c>
      <c r="D13" s="6" t="s">
        <v>135</v>
      </c>
      <c r="E13" s="7" t="s">
        <v>137</v>
      </c>
      <c r="F13" s="8" t="s">
        <v>136</v>
      </c>
      <c r="G13" s="3" t="s">
        <v>103</v>
      </c>
      <c r="H13" s="9" t="s">
        <v>19</v>
      </c>
      <c r="I13" s="5">
        <v>2026</v>
      </c>
      <c r="J13" s="4">
        <v>439473.60999999999</v>
      </c>
      <c r="K13" s="36">
        <v>1</v>
      </c>
      <c r="L13" s="4">
        <f t="shared" si="0"/>
        <v>439473.60999999999</v>
      </c>
      <c r="M13" s="4">
        <f t="shared" si="1"/>
        <v>0</v>
      </c>
    </row>
    <row r="14" spans="1:13" ht="27.2">
      <c r="A14" s="3" t="s">
        <v>160</v>
      </c>
      <c r="B14" s="3" t="s">
        <v>9</v>
      </c>
      <c r="C14" s="3" t="s">
        <v>10</v>
      </c>
      <c r="D14" s="6" t="s">
        <v>11</v>
      </c>
      <c r="E14" s="7" t="s">
        <v>12</v>
      </c>
      <c r="F14" s="8" t="s">
        <v>13</v>
      </c>
      <c r="G14" s="3" t="s">
        <v>14</v>
      </c>
      <c r="H14" s="9" t="s">
        <v>15</v>
      </c>
      <c r="I14" s="3" t="s">
        <v>100</v>
      </c>
      <c r="J14" s="4">
        <v>4325670.8700000001</v>
      </c>
      <c r="K14" s="36">
        <v>1</v>
      </c>
      <c r="L14" s="4">
        <f t="shared" si="0"/>
        <v>4325670.8700000001</v>
      </c>
      <c r="M14" s="4">
        <f t="shared" si="1"/>
        <v>0</v>
      </c>
    </row>
    <row r="15" spans="1:13" ht="13.6">
      <c r="A15" s="3" t="s">
        <v>160</v>
      </c>
      <c r="B15" s="3" t="s">
        <v>9</v>
      </c>
      <c r="C15" s="3" t="s">
        <v>16</v>
      </c>
      <c r="D15" s="6" t="s">
        <v>17</v>
      </c>
      <c r="E15" s="7" t="s">
        <v>18</v>
      </c>
      <c r="F15" s="8" t="s">
        <v>13</v>
      </c>
      <c r="G15" s="3" t="s">
        <v>14</v>
      </c>
      <c r="H15" s="9" t="s">
        <v>19</v>
      </c>
      <c r="I15" s="3" t="s">
        <v>100</v>
      </c>
      <c r="J15" s="4">
        <v>4219129.1699999999</v>
      </c>
      <c r="K15" s="36">
        <v>1</v>
      </c>
      <c r="L15" s="4">
        <f t="shared" si="0"/>
        <v>4219129.1699999999</v>
      </c>
      <c r="M15" s="4">
        <f t="shared" si="1"/>
        <v>0</v>
      </c>
    </row>
    <row r="16" spans="1:13" ht="27.2">
      <c r="A16" s="3" t="s">
        <v>160</v>
      </c>
      <c r="B16" s="3" t="s">
        <v>9</v>
      </c>
      <c r="C16" s="3" t="s">
        <v>20</v>
      </c>
      <c r="D16" s="6" t="s">
        <v>21</v>
      </c>
      <c r="E16" s="7" t="s">
        <v>22</v>
      </c>
      <c r="F16" s="8" t="s">
        <v>23</v>
      </c>
      <c r="G16" s="3" t="s">
        <v>24</v>
      </c>
      <c r="H16" s="9" t="s">
        <v>19</v>
      </c>
      <c r="I16" s="3" t="s">
        <v>100</v>
      </c>
      <c r="J16" s="4">
        <v>1158333.8400000001</v>
      </c>
      <c r="K16" s="36">
        <v>1</v>
      </c>
      <c r="L16" s="4">
        <f t="shared" si="0"/>
        <v>1158333.8400000001</v>
      </c>
      <c r="M16" s="4">
        <f t="shared" si="1"/>
        <v>0</v>
      </c>
    </row>
    <row r="17" spans="1:13" ht="27.2">
      <c r="A17" s="3" t="s">
        <v>160</v>
      </c>
      <c r="B17" s="3" t="s">
        <v>9</v>
      </c>
      <c r="C17" s="3" t="s">
        <v>25</v>
      </c>
      <c r="D17" s="6" t="s">
        <v>26</v>
      </c>
      <c r="E17" s="7" t="s">
        <v>27</v>
      </c>
      <c r="F17" s="8" t="s">
        <v>23</v>
      </c>
      <c r="G17" s="3" t="s">
        <v>28</v>
      </c>
      <c r="H17" s="9" t="s">
        <v>19</v>
      </c>
      <c r="I17" s="3" t="s">
        <v>100</v>
      </c>
      <c r="J17" s="4">
        <v>1115517.5</v>
      </c>
      <c r="K17" s="36">
        <v>1</v>
      </c>
      <c r="L17" s="4">
        <f t="shared" si="0"/>
        <v>1115517.5</v>
      </c>
      <c r="M17" s="4">
        <f t="shared" si="1"/>
        <v>0</v>
      </c>
    </row>
    <row r="18" spans="1:13" ht="40.75">
      <c r="A18" s="3" t="s">
        <v>160</v>
      </c>
      <c r="B18" s="3" t="s">
        <v>9</v>
      </c>
      <c r="C18" s="3" t="s">
        <v>40</v>
      </c>
      <c r="D18" s="6" t="s">
        <v>41</v>
      </c>
      <c r="E18" s="7" t="s">
        <v>42</v>
      </c>
      <c r="F18" s="8" t="s">
        <v>23</v>
      </c>
      <c r="G18" s="3" t="s">
        <v>43</v>
      </c>
      <c r="H18" s="9" t="s">
        <v>15</v>
      </c>
      <c r="I18" s="3" t="s">
        <v>100</v>
      </c>
      <c r="J18" s="4">
        <v>721467.08999999997</v>
      </c>
      <c r="K18" s="36">
        <v>1</v>
      </c>
      <c r="L18" s="4">
        <f t="shared" si="0"/>
        <v>721467.08999999997</v>
      </c>
      <c r="M18" s="4">
        <f t="shared" si="1"/>
        <v>0</v>
      </c>
    </row>
    <row r="19" spans="1:13" s="28" customFormat="1" ht="24.8" customHeight="1">
      <c r="A19" s="3" t="s">
        <v>160</v>
      </c>
      <c r="B19" s="3" t="s">
        <v>9</v>
      </c>
      <c r="C19" s="3" t="s">
        <v>44</v>
      </c>
      <c r="D19" s="6" t="s">
        <v>45</v>
      </c>
      <c r="E19" s="7" t="s">
        <v>46</v>
      </c>
      <c r="F19" s="8" t="s">
        <v>47</v>
      </c>
      <c r="G19" s="3" t="s">
        <v>24</v>
      </c>
      <c r="H19" s="9" t="s">
        <v>48</v>
      </c>
      <c r="I19" s="3" t="s">
        <v>100</v>
      </c>
      <c r="J19" s="4">
        <v>412573.78000000003</v>
      </c>
      <c r="K19" s="36">
        <v>1</v>
      </c>
      <c r="L19" s="4">
        <f t="shared" si="0"/>
        <v>412573.78000000003</v>
      </c>
      <c r="M19" s="4">
        <f t="shared" si="1"/>
        <v>0</v>
      </c>
    </row>
    <row r="20" spans="1:13" ht="24.8" customHeight="1">
      <c r="A20" s="3" t="s">
        <v>160</v>
      </c>
      <c r="B20" s="3" t="s">
        <v>9</v>
      </c>
      <c r="C20" s="3" t="s">
        <v>58</v>
      </c>
      <c r="D20" s="6" t="s">
        <v>59</v>
      </c>
      <c r="E20" s="7" t="s">
        <v>60</v>
      </c>
      <c r="F20" s="8" t="s">
        <v>61</v>
      </c>
      <c r="G20" s="3" t="s">
        <v>43</v>
      </c>
      <c r="H20" s="9" t="s">
        <v>15</v>
      </c>
      <c r="I20" s="3" t="s">
        <v>100</v>
      </c>
      <c r="J20" s="4">
        <v>137245.04000000001</v>
      </c>
      <c r="K20" s="36">
        <v>1</v>
      </c>
      <c r="L20" s="4">
        <f t="shared" si="0"/>
        <v>137245.04000000001</v>
      </c>
      <c r="M20" s="4">
        <f t="shared" si="1"/>
        <v>0</v>
      </c>
    </row>
    <row r="21" spans="1:13" s="28" customFormat="1" ht="24.8" customHeight="1">
      <c r="A21" s="3" t="s">
        <v>160</v>
      </c>
      <c r="B21" s="3" t="s">
        <v>9</v>
      </c>
      <c r="C21" s="3" t="s">
        <v>93</v>
      </c>
      <c r="D21" s="6" t="s">
        <v>94</v>
      </c>
      <c r="E21" s="7" t="s">
        <v>95</v>
      </c>
      <c r="F21" s="8" t="s">
        <v>23</v>
      </c>
      <c r="G21" s="3" t="s">
        <v>33</v>
      </c>
      <c r="H21" s="9" t="s">
        <v>15</v>
      </c>
      <c r="I21" s="3" t="s">
        <v>100</v>
      </c>
      <c r="J21" s="4">
        <v>5326.6300000000001</v>
      </c>
      <c r="K21" s="36">
        <v>1</v>
      </c>
      <c r="L21" s="4">
        <f t="shared" si="0"/>
        <v>5326.6300000000001</v>
      </c>
      <c r="M21" s="4">
        <f t="shared" si="1"/>
        <v>0</v>
      </c>
    </row>
    <row r="22" spans="1:13" s="28" customFormat="1" ht="24.8" customHeight="1">
      <c r="A22" s="21"/>
      <c r="B22" s="21"/>
      <c r="C22" s="21"/>
      <c r="D22" s="22"/>
      <c r="E22" s="23"/>
      <c r="F22" s="24"/>
      <c r="G22" s="21"/>
      <c r="H22" s="26"/>
      <c r="I22" s="41" t="s">
        <v>163</v>
      </c>
      <c r="J22" s="27">
        <f>SUM(J2:J21)</f>
        <v>23215047.500000004</v>
      </c>
      <c r="K22" s="40"/>
      <c r="L22" s="27">
        <f t="shared" si="2" ref="L22:M22">SUM(L2:L21)</f>
        <v>21469068.16</v>
      </c>
      <c r="M22" s="27">
        <f t="shared" si="2"/>
        <v>1745979.3399999999</v>
      </c>
    </row>
    <row r="23" spans="1:13" s="28" customFormat="1" ht="24.8" customHeight="1">
      <c r="A23" s="21"/>
      <c r="B23" s="21"/>
      <c r="C23" s="21"/>
      <c r="D23" s="22"/>
      <c r="E23" s="23"/>
      <c r="F23" s="24"/>
      <c r="G23" s="21"/>
      <c r="H23" s="26"/>
      <c r="I23" s="21"/>
      <c r="J23" s="27"/>
      <c r="K23" s="40"/>
      <c r="L23" s="27"/>
      <c r="M23" s="27"/>
    </row>
    <row r="24" spans="1:13" ht="27.2">
      <c r="A24" s="3" t="s">
        <v>160</v>
      </c>
      <c r="B24" s="3" t="s">
        <v>9</v>
      </c>
      <c r="C24" s="3" t="s">
        <v>29</v>
      </c>
      <c r="D24" s="6" t="s">
        <v>30</v>
      </c>
      <c r="E24" s="7" t="s">
        <v>31</v>
      </c>
      <c r="F24" s="8" t="s">
        <v>32</v>
      </c>
      <c r="G24" s="3" t="s">
        <v>33</v>
      </c>
      <c r="H24" s="9" t="s">
        <v>34</v>
      </c>
      <c r="I24" s="5" t="s">
        <v>150</v>
      </c>
      <c r="J24" s="4">
        <v>987050.64000000001</v>
      </c>
      <c r="K24" s="36">
        <v>0.24186121162488397</v>
      </c>
      <c r="L24" s="4">
        <f t="shared" si="3" ref="L24:L38">ROUND(J24*K24,2)</f>
        <v>238729.26000000001</v>
      </c>
      <c r="M24" s="4">
        <f t="shared" si="4" ref="M24:M38">J24-L24</f>
        <v>748321.38</v>
      </c>
    </row>
    <row r="25" spans="1:13" ht="27.2">
      <c r="A25" s="5" t="s">
        <v>161</v>
      </c>
      <c r="B25" s="5" t="s">
        <v>35</v>
      </c>
      <c r="C25" s="5" t="s">
        <v>36</v>
      </c>
      <c r="D25" s="11" t="s">
        <v>37</v>
      </c>
      <c r="E25" s="7" t="s">
        <v>38</v>
      </c>
      <c r="F25" s="8" t="s">
        <v>32</v>
      </c>
      <c r="G25" s="5">
        <v>2009</v>
      </c>
      <c r="H25" s="12" t="s">
        <v>39</v>
      </c>
      <c r="I25" s="5" t="s">
        <v>150</v>
      </c>
      <c r="J25" s="4">
        <v>954491.5</v>
      </c>
      <c r="K25" s="36">
        <v>0</v>
      </c>
      <c r="L25" s="4">
        <f t="shared" si="3"/>
        <v>0</v>
      </c>
      <c r="M25" s="4">
        <f t="shared" si="4"/>
        <v>954491.5</v>
      </c>
    </row>
    <row r="26" spans="1:13" ht="27.2">
      <c r="A26" s="3" t="s">
        <v>160</v>
      </c>
      <c r="B26" s="3" t="s">
        <v>9</v>
      </c>
      <c r="C26" s="3" t="s">
        <v>112</v>
      </c>
      <c r="D26" s="6" t="s">
        <v>113</v>
      </c>
      <c r="E26" s="7" t="s">
        <v>114</v>
      </c>
      <c r="F26" s="8" t="s">
        <v>13</v>
      </c>
      <c r="G26" s="3" t="s">
        <v>108</v>
      </c>
      <c r="H26" s="9" t="s">
        <v>34</v>
      </c>
      <c r="I26" s="5" t="s">
        <v>150</v>
      </c>
      <c r="J26" s="4">
        <v>660766.90000000002</v>
      </c>
      <c r="K26" s="36">
        <v>0.24186121162488397</v>
      </c>
      <c r="L26" s="4">
        <f t="shared" si="3"/>
        <v>159813.88000000001</v>
      </c>
      <c r="M26" s="4">
        <f t="shared" si="4"/>
        <v>500953.02000000002</v>
      </c>
    </row>
    <row r="27" spans="1:13" ht="13.6">
      <c r="A27" s="3" t="s">
        <v>160</v>
      </c>
      <c r="B27" s="3" t="s">
        <v>9</v>
      </c>
      <c r="C27" s="3" t="s">
        <v>49</v>
      </c>
      <c r="D27" s="6" t="s">
        <v>50</v>
      </c>
      <c r="E27" s="7" t="s">
        <v>51</v>
      </c>
      <c r="F27" s="8" t="s">
        <v>32</v>
      </c>
      <c r="G27" s="3" t="s">
        <v>52</v>
      </c>
      <c r="H27" s="9" t="s">
        <v>34</v>
      </c>
      <c r="I27" s="5" t="s">
        <v>150</v>
      </c>
      <c r="J27" s="4">
        <v>405910.52000000002</v>
      </c>
      <c r="K27" s="36">
        <v>0.24186121162488397</v>
      </c>
      <c r="L27" s="4">
        <f t="shared" si="3"/>
        <v>98174.009999999995</v>
      </c>
      <c r="M27" s="4">
        <f t="shared" si="4"/>
        <v>307736.51000000001</v>
      </c>
    </row>
    <row r="28" spans="1:13" ht="12.6" customHeight="1">
      <c r="A28" s="3" t="s">
        <v>160</v>
      </c>
      <c r="B28" s="3" t="s">
        <v>9</v>
      </c>
      <c r="C28" s="3" t="s">
        <v>53</v>
      </c>
      <c r="D28" s="6" t="s">
        <v>54</v>
      </c>
      <c r="E28" s="7" t="s">
        <v>55</v>
      </c>
      <c r="F28" s="8" t="s">
        <v>23</v>
      </c>
      <c r="G28" s="3" t="s">
        <v>56</v>
      </c>
      <c r="H28" s="13" t="s">
        <v>57</v>
      </c>
      <c r="I28" s="5" t="s">
        <v>150</v>
      </c>
      <c r="J28" s="4">
        <v>185287.51999999999</v>
      </c>
      <c r="K28" s="36">
        <v>0.24186121162488397</v>
      </c>
      <c r="L28" s="4">
        <f t="shared" si="3"/>
        <v>44813.860000000001</v>
      </c>
      <c r="M28" s="4">
        <f t="shared" si="4"/>
        <v>140473.65999999997</v>
      </c>
    </row>
    <row r="29" spans="1:13" ht="13.6">
      <c r="A29" s="3" t="s">
        <v>160</v>
      </c>
      <c r="B29" s="3" t="s">
        <v>9</v>
      </c>
      <c r="C29" s="3" t="s">
        <v>106</v>
      </c>
      <c r="D29" s="6" t="s">
        <v>107</v>
      </c>
      <c r="E29" s="7" t="s">
        <v>117</v>
      </c>
      <c r="F29" s="8" t="s">
        <v>116</v>
      </c>
      <c r="G29" s="3" t="s">
        <v>108</v>
      </c>
      <c r="H29" s="9" t="s">
        <v>34</v>
      </c>
      <c r="I29" s="5" t="s">
        <v>150</v>
      </c>
      <c r="J29" s="4">
        <v>130889.66</v>
      </c>
      <c r="K29" s="36">
        <v>0.24186121162488397</v>
      </c>
      <c r="L29" s="4">
        <f t="shared" si="3"/>
        <v>31657.130000000001</v>
      </c>
      <c r="M29" s="4">
        <f t="shared" si="4"/>
        <v>99232.529999999999</v>
      </c>
    </row>
    <row r="30" spans="1:13" ht="13.6">
      <c r="A30" s="3" t="s">
        <v>160</v>
      </c>
      <c r="B30" s="3" t="s">
        <v>9</v>
      </c>
      <c r="C30" s="3" t="s">
        <v>62</v>
      </c>
      <c r="D30" s="6" t="s">
        <v>63</v>
      </c>
      <c r="E30" s="7" t="s">
        <v>64</v>
      </c>
      <c r="F30" s="8" t="s">
        <v>32</v>
      </c>
      <c r="G30" s="3" t="s">
        <v>65</v>
      </c>
      <c r="H30" s="9" t="s">
        <v>34</v>
      </c>
      <c r="I30" s="5" t="s">
        <v>150</v>
      </c>
      <c r="J30" s="4">
        <v>47978.870000000003</v>
      </c>
      <c r="K30" s="36">
        <v>0.24186121162488397</v>
      </c>
      <c r="L30" s="4">
        <f t="shared" si="3"/>
        <v>11604.23</v>
      </c>
      <c r="M30" s="4">
        <f t="shared" si="4"/>
        <v>36374.639999999999</v>
      </c>
    </row>
    <row r="31" spans="1:13" ht="27.2">
      <c r="A31" s="3" t="s">
        <v>160</v>
      </c>
      <c r="B31" s="3" t="s">
        <v>9</v>
      </c>
      <c r="C31" s="3" t="s">
        <v>149</v>
      </c>
      <c r="D31" s="6" t="s">
        <v>66</v>
      </c>
      <c r="E31" s="7" t="s">
        <v>67</v>
      </c>
      <c r="F31" s="8" t="s">
        <v>68</v>
      </c>
      <c r="G31" s="3" t="s">
        <v>69</v>
      </c>
      <c r="H31" s="9" t="s">
        <v>34</v>
      </c>
      <c r="I31" s="5" t="s">
        <v>150</v>
      </c>
      <c r="J31" s="4">
        <v>44209.650000000001</v>
      </c>
      <c r="K31" s="36">
        <v>0.24186121162488397</v>
      </c>
      <c r="L31" s="4">
        <f t="shared" si="3"/>
        <v>10692.6</v>
      </c>
      <c r="M31" s="4">
        <f t="shared" si="4"/>
        <v>33517.050000000003</v>
      </c>
    </row>
    <row r="32" spans="1:13" ht="27.2">
      <c r="A32" s="3" t="s">
        <v>160</v>
      </c>
      <c r="B32" s="3" t="s">
        <v>9</v>
      </c>
      <c r="C32" s="3" t="s">
        <v>70</v>
      </c>
      <c r="D32" s="6" t="s">
        <v>71</v>
      </c>
      <c r="E32" s="7" t="s">
        <v>72</v>
      </c>
      <c r="F32" s="8" t="s">
        <v>73</v>
      </c>
      <c r="G32" s="3" t="s">
        <v>74</v>
      </c>
      <c r="H32" s="9" t="s">
        <v>34</v>
      </c>
      <c r="I32" s="5" t="s">
        <v>150</v>
      </c>
      <c r="J32" s="4">
        <v>25282.220000000001</v>
      </c>
      <c r="K32" s="36">
        <v>0.24186121162488397</v>
      </c>
      <c r="L32" s="4">
        <f t="shared" si="3"/>
        <v>6114.79</v>
      </c>
      <c r="M32" s="4">
        <f t="shared" si="4"/>
        <v>19167.43</v>
      </c>
    </row>
    <row r="33" spans="1:13" ht="13.6">
      <c r="A33" s="3" t="s">
        <v>160</v>
      </c>
      <c r="B33" s="3" t="s">
        <v>9</v>
      </c>
      <c r="C33" s="3" t="s">
        <v>75</v>
      </c>
      <c r="D33" s="6" t="s">
        <v>76</v>
      </c>
      <c r="E33" s="7" t="s">
        <v>77</v>
      </c>
      <c r="F33" s="8" t="s">
        <v>32</v>
      </c>
      <c r="G33" s="3" t="s">
        <v>78</v>
      </c>
      <c r="H33" s="9" t="s">
        <v>34</v>
      </c>
      <c r="I33" s="5" t="s">
        <v>150</v>
      </c>
      <c r="J33" s="4">
        <v>8860.6599999999999</v>
      </c>
      <c r="K33" s="36">
        <v>0.24186121162488397</v>
      </c>
      <c r="L33" s="4">
        <f t="shared" si="3"/>
        <v>2143.0500000000002</v>
      </c>
      <c r="M33" s="4">
        <f t="shared" si="4"/>
        <v>6717.6099999999997</v>
      </c>
    </row>
    <row r="34" spans="1:13" ht="27.2">
      <c r="A34" s="3" t="s">
        <v>160</v>
      </c>
      <c r="B34" s="3" t="s">
        <v>9</v>
      </c>
      <c r="C34" s="3" t="s">
        <v>79</v>
      </c>
      <c r="D34" s="6" t="s">
        <v>80</v>
      </c>
      <c r="E34" s="7" t="s">
        <v>81</v>
      </c>
      <c r="F34" s="8" t="s">
        <v>82</v>
      </c>
      <c r="G34" s="3" t="s">
        <v>52</v>
      </c>
      <c r="H34" s="9" t="s">
        <v>34</v>
      </c>
      <c r="I34" s="5" t="s">
        <v>150</v>
      </c>
      <c r="J34" s="4">
        <v>8280.5499999999993</v>
      </c>
      <c r="K34" s="36">
        <v>0.24186121162488397</v>
      </c>
      <c r="L34" s="4">
        <f t="shared" si="3"/>
        <v>2002.74</v>
      </c>
      <c r="M34" s="4">
        <f t="shared" si="4"/>
        <v>6277.8099999999995</v>
      </c>
    </row>
    <row r="35" spans="1:13" ht="13.6">
      <c r="A35" s="3" t="s">
        <v>160</v>
      </c>
      <c r="B35" s="3" t="s">
        <v>9</v>
      </c>
      <c r="C35" s="3" t="s">
        <v>83</v>
      </c>
      <c r="D35" s="6" t="s">
        <v>84</v>
      </c>
      <c r="E35" s="7" t="s">
        <v>85</v>
      </c>
      <c r="F35" s="8" t="s">
        <v>32</v>
      </c>
      <c r="G35" s="3" t="s">
        <v>33</v>
      </c>
      <c r="H35" s="9" t="s">
        <v>34</v>
      </c>
      <c r="I35" s="5" t="s">
        <v>150</v>
      </c>
      <c r="J35" s="4">
        <v>8279.0599999999995</v>
      </c>
      <c r="K35" s="36">
        <v>0.24186121162488397</v>
      </c>
      <c r="L35" s="4">
        <f t="shared" si="3"/>
        <v>2002.3800000000001</v>
      </c>
      <c r="M35" s="4">
        <f t="shared" si="4"/>
        <v>6276.6799999999994</v>
      </c>
    </row>
    <row r="36" spans="1:13" ht="13.6">
      <c r="A36" s="3" t="s">
        <v>160</v>
      </c>
      <c r="B36" s="3" t="s">
        <v>9</v>
      </c>
      <c r="C36" s="3" t="s">
        <v>86</v>
      </c>
      <c r="D36" s="6" t="s">
        <v>87</v>
      </c>
      <c r="E36" s="7" t="s">
        <v>88</v>
      </c>
      <c r="F36" s="8" t="s">
        <v>32</v>
      </c>
      <c r="G36" s="3" t="s">
        <v>33</v>
      </c>
      <c r="H36" s="9" t="s">
        <v>34</v>
      </c>
      <c r="I36" s="5" t="s">
        <v>150</v>
      </c>
      <c r="J36" s="4">
        <v>8129.3599999999997</v>
      </c>
      <c r="K36" s="36">
        <v>0.24186121162488397</v>
      </c>
      <c r="L36" s="4">
        <f t="shared" si="3"/>
        <v>1966.1800000000001</v>
      </c>
      <c r="M36" s="4">
        <f t="shared" si="4"/>
        <v>6163.1799999999994</v>
      </c>
    </row>
    <row r="37" spans="1:13" ht="13.6">
      <c r="A37" s="3" t="s">
        <v>160</v>
      </c>
      <c r="B37" s="3" t="s">
        <v>9</v>
      </c>
      <c r="C37" s="3" t="s">
        <v>89</v>
      </c>
      <c r="D37" s="6" t="s">
        <v>90</v>
      </c>
      <c r="E37" s="7" t="s">
        <v>91</v>
      </c>
      <c r="F37" s="8" t="s">
        <v>32</v>
      </c>
      <c r="G37" s="3" t="s">
        <v>92</v>
      </c>
      <c r="H37" s="9" t="s">
        <v>34</v>
      </c>
      <c r="I37" s="5" t="s">
        <v>150</v>
      </c>
      <c r="J37" s="4">
        <v>5638.1000000000004</v>
      </c>
      <c r="K37" s="36">
        <v>0.24186121162488397</v>
      </c>
      <c r="L37" s="4">
        <f t="shared" si="3"/>
        <v>1363.6400000000001</v>
      </c>
      <c r="M37" s="4">
        <f t="shared" si="4"/>
        <v>4274.46</v>
      </c>
    </row>
    <row r="38" spans="1:13" ht="27.2">
      <c r="A38" s="3" t="s">
        <v>160</v>
      </c>
      <c r="B38" s="3" t="s">
        <v>9</v>
      </c>
      <c r="C38" s="3" t="s">
        <v>96</v>
      </c>
      <c r="D38" s="6" t="s">
        <v>97</v>
      </c>
      <c r="E38" s="7" t="s">
        <v>98</v>
      </c>
      <c r="F38" s="8" t="s">
        <v>82</v>
      </c>
      <c r="G38" s="3" t="s">
        <v>99</v>
      </c>
      <c r="H38" s="9" t="s">
        <v>34</v>
      </c>
      <c r="I38" s="5" t="s">
        <v>150</v>
      </c>
      <c r="J38" s="4">
        <v>4582.75</v>
      </c>
      <c r="K38" s="36">
        <v>0.24186121162488397</v>
      </c>
      <c r="L38" s="4">
        <f t="shared" si="3"/>
        <v>1108.3900000000001</v>
      </c>
      <c r="M38" s="4">
        <f t="shared" si="4"/>
        <v>3474.3599999999997</v>
      </c>
    </row>
    <row r="39" spans="1:10" ht="13.6">
      <c r="A39" s="21"/>
      <c r="B39" s="21"/>
      <c r="C39" s="21"/>
      <c r="D39" s="22"/>
      <c r="E39" s="23"/>
      <c r="F39" s="24"/>
      <c r="G39" s="21"/>
      <c r="H39" s="26"/>
      <c r="I39" s="25"/>
      <c r="J39" s="27"/>
    </row>
    <row r="40" spans="9:13" ht="13.6">
      <c r="I40" s="41" t="s">
        <v>164</v>
      </c>
      <c r="J40" s="17">
        <f>SUM(J24:J38)</f>
        <v>3485637.9600000004</v>
      </c>
      <c r="L40" s="17">
        <f t="shared" si="5" ref="L40:M40">SUM(L24:L38)</f>
        <v>612186.14000000013</v>
      </c>
      <c r="M40" s="17">
        <f t="shared" si="5"/>
        <v>2873451.8200000003</v>
      </c>
    </row>
    <row r="41" spans="9:13" ht="13.6">
      <c r="I41" s="41"/>
      <c r="L41" s="17"/>
      <c r="M41" s="17"/>
    </row>
    <row r="42" spans="9:13" ht="14.3" thickBot="1">
      <c r="I42" s="41"/>
      <c r="J42" s="42">
        <f>J22+J40</f>
        <v>26700685.460000005</v>
      </c>
      <c r="L42" s="42">
        <f t="shared" si="6" ref="L42:M42">L22+L40</f>
        <v>22081254.300000001</v>
      </c>
      <c r="M42" s="42">
        <f t="shared" si="6"/>
        <v>4619431.1600000001</v>
      </c>
    </row>
    <row r="43" ht="14.3" thickTop="1"/>
    <row r="44" spans="4:4" ht="13.6">
      <c r="D44" s="39" t="s">
        <v>165</v>
      </c>
    </row>
  </sheetData>
  <sortState ref="A2:M36">
    <sortCondition sortBy="value" ref="I2:I36"/>
  </sortState>
  <printOptions horizontalCentered="1"/>
  <pageMargins left="0.7" right="0.7" top="2.5" bottom="0.75" header="1.5" footer="0.3"/>
  <pageSetup fitToHeight="0" orientation="landscape" scale="54" r:id="rId1"/>
  <headerFooter alignWithMargins="0">
    <oddHeader>&amp;C
&amp;"Arial,Bold"
2022 RATE CASE
ONCOR ELECTRIC DELIVERY COMPANY LLC
PLANT HELD FOR FUTURE USE
FOR THE TEST YEAR ENDING DECEMBER 31, 2021
SPONSOR: W. A. LEDBETTER&amp;R&amp;"Arial,Bold"WP/II-B-6/01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FHHXVRPN3UPD-1807981734-30315</_dlc_DocId>
    <_dlc_DocIdUrl xmlns="4f7156c1-be87-4d1f-9274-ce189f982c1a">
      <Url>http://intranet.corp.oncor.com/sites/Finance/_layouts/15/DocIdRedir.aspx?ID=FHHXVRPN3UPD-1807981734-30315</Url>
      <Description>FHHXVRPN3UPD-1807981734-30315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78E49-B2F1-4782-8D82-A12AFE4B23C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3FACBB1-3933-48FF-AA12-9236ECED50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68BEAA-12F9-47DC-AC02-1B5334D3ED4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4.xml><?xml version="1.0" encoding="utf-8"?>
<ds:datastoreItem xmlns:ds="http://schemas.openxmlformats.org/officeDocument/2006/customXml" ds:itemID="{D9E92EAA-B634-4904-9555-4236D3C16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II-B-6_01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1a0386c1-997f-42dc-8627-0682f1b82eb1</vt:lpwstr>
  </property>
</Properties>
</file>