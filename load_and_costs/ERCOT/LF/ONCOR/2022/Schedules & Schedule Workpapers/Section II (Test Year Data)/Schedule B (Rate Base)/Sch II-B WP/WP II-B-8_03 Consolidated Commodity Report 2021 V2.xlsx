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0" yWindow="0" windowWidth="28800" windowHeight="12720" activeTab="0"/>
  </bookViews>
  <sheets>
    <sheet name="WP II-B-8_03" sheetId="2" r:id="rId2"/>
  </sheets>
  <definedNames>
    <definedName name="_xlnm.Print_Area" localSheetId="0">'WP II-B-8_03'!$A$1:$P$79</definedName>
    <definedName name="_xlnm.Print_Titles" localSheetId="0">'WP II-B-8_03'!$1:$8</definedName>
  </definedNames>
  <calcPr calcId="152511"/>
</workbook>
</file>

<file path=xl/calcChain.xml><?xml version="1.0" encoding="utf-8"?>
<calcChain xmlns="http://schemas.openxmlformats.org/spreadsheetml/2006/main">
  <c r="P79" i="2" l="1"/>
</calcChain>
</file>

<file path=xl/sharedStrings.xml><?xml version="1.0" encoding="utf-8"?>
<sst xmlns="http://schemas.openxmlformats.org/spreadsheetml/2006/main" count="162" uniqueCount="63">
  <si>
    <t>SITEID</t>
  </si>
  <si>
    <t>DIS</t>
  </si>
  <si>
    <t>CAPACITORS,  TRANSFORMERS,  REGULATORS,  REACTORS</t>
  </si>
  <si>
    <t>CHAIN,  WIRE ROPE  &amp;  FITTINGS</t>
  </si>
  <si>
    <t>CHEMICALS  &amp;  LAB EQUIPMENT</t>
  </si>
  <si>
    <t>CIRCUIT BREAKERS,  INTERRUPTING DEVICES,  SWITCHES &amp; FUSES</t>
  </si>
  <si>
    <t>CONDUCTORS,  CABLE  &amp;  WIRE</t>
  </si>
  <si>
    <t>CONNECTORS  &amp;  DEVICES,  ELECTRICAL CONDUCTOR</t>
  </si>
  <si>
    <t>DISTRIBUTION  &amp;  TRANSMISSION STRUCTURES</t>
  </si>
  <si>
    <t>ELECTRICAL SUPPLIES</t>
  </si>
  <si>
    <t>FASTENERS</t>
  </si>
  <si>
    <t>INDUSTRIAL,  BUILDING SUPPLIES  &amp;  PAINTS</t>
  </si>
  <si>
    <t>INSTRUMENTATION,  ELECTRONIC,  COMPUTERS &amp; CONTROL EQUIPMENT</t>
  </si>
  <si>
    <t>INSULATORS &amp; ARRESTORS</t>
  </si>
  <si>
    <t xml:space="preserve">JANITORIAL &amp;  BREAK ROOM SUPPLIES  &amp;  BOTTLED WATER </t>
  </si>
  <si>
    <t>LIFTING  &amp;  PULLING EQUIPMENT</t>
  </si>
  <si>
    <t>LIGHTING</t>
  </si>
  <si>
    <t>LINE HARDWARE,  T &amp; D</t>
  </si>
  <si>
    <t>METALS</t>
  </si>
  <si>
    <t>METERING EQUIPMENT,  CUSTOMER BILLING</t>
  </si>
  <si>
    <t>OFFICE SUPPLIES</t>
  </si>
  <si>
    <t>OIL,  LUBRICANTS,  FUEL  &amp;  GASES</t>
  </si>
  <si>
    <t>PACKING,  GASKET MATERIAL,  GASKETS,  O-RINGS,  INSULATION MATERIAL</t>
  </si>
  <si>
    <t>PIPE,  TUBING,  HOSE,  VALVES,  FITTINGS</t>
  </si>
  <si>
    <t>SAFETY SUPPLIES, SECURITY EQUIPMENT/SUPPLIES</t>
  </si>
  <si>
    <t>TOOLS  &amp;  SURVEY EQUIPMENT</t>
  </si>
  <si>
    <t>VAULTS,  MANHOLES,  ENCLOSURES,  BUSSWAYS PADS</t>
  </si>
  <si>
    <t>VEHICLES  &amp;  RELATED EQUIPMENT</t>
  </si>
  <si>
    <t>MOTORS  &amp;  ELECTRIC GENERATORS</t>
  </si>
  <si>
    <t>TELECOMMUNICATION SYSTEMS &amp; EQUIPMENT</t>
  </si>
  <si>
    <t>INSTRUMENT  &amp;  SERVICE AIR</t>
  </si>
  <si>
    <t>POWER TRANSMISSION MATERIALS &amp; SUPPLIES</t>
  </si>
  <si>
    <t>PUMPS,  PARTS  &amp;  REPAIRS</t>
  </si>
  <si>
    <t>TURBINE,  GENERATOR,  AUXILIARIES SYSTEMS,  PARTS &amp; REPAIRS</t>
  </si>
  <si>
    <t>TRN</t>
  </si>
  <si>
    <t>BOILERS  &amp;  AUXILIARIES</t>
  </si>
  <si>
    <t>Grand Total</t>
  </si>
  <si>
    <t>ONCOR ELECTRIC DELIVERY COMPANY LLC</t>
  </si>
  <si>
    <t>CONSOLIDATED COMMODITY REPORT</t>
  </si>
  <si>
    <t>2020.12</t>
  </si>
  <si>
    <t>PARTICULATE REMOVAL,  ASH HANDLING,  TRAVELING WATER SCREENS,  EQUIPMENT  &amp; REPAIR, ( EXCLUDING AUTOMOTIVE )</t>
  </si>
  <si>
    <t>TRN TOTAL</t>
  </si>
  <si>
    <t>DIS TOTAL</t>
  </si>
  <si>
    <t>2022 RATE CASE</t>
  </si>
  <si>
    <t>FOR THE TEST YEAR ENDING DECEMBER 31, 2021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</si>
  <si>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</si>
  <si>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</si>
  <si>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</si>
  <si>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</si>
  <si>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</si>
  <si>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</si>
  <si>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</si>
  <si>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</si>
  <si>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</si>
  <si>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</si>
  <si>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</si>
  <si>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</si>
  <si>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DIFFERENCE BETWEEN WD 1 AND WD 4 RUN TIME</t>
  </si>
  <si>
    <t>Commodity Code</t>
  </si>
  <si>
    <t>ITEMS NOT TO BE REORDERED</t>
  </si>
  <si>
    <t>CAPACITORS,  TRANSFORMERS,  REGULATORS,  REACTORS PARTS</t>
  </si>
  <si>
    <t>KNOWN &amp; MEASURABLE ADJUSTMENT</t>
  </si>
  <si>
    <t>SPONSOR:  A. THENMADATHIL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</si>
</sst>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6" fillId="0" borderId="0">
      <alignment/>
      <protection/>
    </xf>
    <xf numFmtId="0" fontId="1" fillId="0" borderId="0">
      <alignment/>
      <protection/>
    </xf>
    <xf numFmtId="0" fontId="7" fillId="0" borderId="0">
      <alignment/>
      <protection/>
    </xf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Fill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3" fontId="3" fillId="0" borderId="0" xfId="18" applyFont="1" applyFill="1" applyAlignment="1">
      <alignment horizontal="centerContinuous" vertical="center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43" fontId="3" fillId="0" borderId="0" xfId="18" applyFont="1" applyFill="1"/>
    <xf numFmtId="0" fontId="2" fillId="0" borderId="0" xfId="0" applyFont="1" applyFill="1"/>
    <xf numFmtId="0" fontId="3" fillId="0" borderId="0" xfId="0" applyFont="1" applyFill="1" applyAlignment="1">
      <alignment horizontal="left" wrapText="1"/>
    </xf>
    <xf numFmtId="40" fontId="4" fillId="0" borderId="0" xfId="21" applyNumberFormat="1" applyFont="1" applyBorder="1">
      <alignment/>
      <protection/>
    </xf>
    <xf numFmtId="40" fontId="4" fillId="0" borderId="0" xfId="0" applyNumberFormat="1" applyFont="1"/>
    <xf numFmtId="43" fontId="3" fillId="0" borderId="0" xfId="20" applyFont="1" applyFill="1"/>
    <xf numFmtId="43" fontId="3" fillId="0" borderId="0" xfId="18" applyFont="1"/>
    <xf numFmtId="40" fontId="4" fillId="0" borderId="0" xfId="21" applyNumberFormat="1" applyFont="1">
      <alignment/>
      <protection/>
    </xf>
    <xf numFmtId="40" fontId="4" fillId="0" borderId="0" xfId="0" applyNumberFormat="1" applyFont="1" applyBorder="1"/>
    <xf numFmtId="43" fontId="3" fillId="0" borderId="0" xfId="20" applyFont="1" applyFill="1" applyBorder="1"/>
    <xf numFmtId="40" fontId="3" fillId="0" borderId="0" xfId="21" applyNumberFormat="1" applyFont="1" applyFill="1">
      <alignment/>
      <protection/>
    </xf>
    <xf numFmtId="0" fontId="2" fillId="0" borderId="0" xfId="0" applyFont="1" applyAlignment="1">
      <alignment horizontal="left"/>
    </xf>
    <xf numFmtId="40" fontId="2" fillId="0" borderId="1" xfId="0" applyNumberFormat="1" applyFont="1" applyBorder="1"/>
    <xf numFmtId="0" fontId="3" fillId="0" borderId="0" xfId="0" applyFont="1" applyFill="1" applyAlignment="1">
      <alignment wrapText="1"/>
    </xf>
    <xf numFmtId="40" fontId="4" fillId="0" borderId="0" xfId="21" applyNumberFormat="1" applyFont="1" applyFill="1" applyBorder="1">
      <alignment/>
      <protection/>
    </xf>
    <xf numFmtId="40" fontId="4" fillId="0" borderId="0" xfId="0" applyNumberFormat="1" applyFont="1" applyFill="1"/>
    <xf numFmtId="0" fontId="2" fillId="0" borderId="0" xfId="0" applyFont="1" applyFill="1" applyAlignment="1">
      <alignment horizontal="left" wrapText="1"/>
    </xf>
    <xf numFmtId="40" fontId="5" fillId="0" borderId="0" xfId="0" applyNumberFormat="1" applyFont="1"/>
    <xf numFmtId="40" fontId="2" fillId="0" borderId="0" xfId="0" applyNumberFormat="1" applyFont="1"/>
    <xf numFmtId="40" fontId="3" fillId="0" borderId="0" xfId="0" applyNumberFormat="1" applyFont="1"/>
    <xf numFmtId="17" fontId="2" fillId="0" borderId="0" xfId="0" applyNumberFormat="1" applyFont="1" quotePrefix="1"/>
    <xf numFmtId="17" fontId="2" fillId="0" borderId="0" xfId="0" applyNumberFormat="1" applyFont="1" applyFill="1" quotePrefix="1"/>
    <xf numFmtId="39" fontId="3" fillId="0" borderId="0" xfId="21" applyNumberFormat="1" applyFont="1" applyFill="1">
      <alignment/>
      <protection/>
    </xf>
    <xf numFmtId="4" fontId="0" fillId="0" borderId="0" xfId="0" applyNumberFormat="1"/>
    <xf numFmtId="39" fontId="3" fillId="0" borderId="0" xfId="0" applyNumberFormat="1" applyFont="1"/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Normal 3" xfId="21"/>
    <cellStyle name="Normal 2" xfId="22"/>
    <cellStyle name="Normal 2 2" xfId="23"/>
    <cellStyle name="Normal 3 2" xfId="24"/>
    <cellStyle name="Comma 2 2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P80"/>
  <sheetViews>
    <sheetView tabSelected="1" view="pageBreakPreview" zoomScale="60" zoomScaleNormal="100" workbookViewId="0" topLeftCell="A1">
      <pane xSplit="2" ySplit="8" topLeftCell="K9" activePane="bottomRight" state="frozen"/>
      <selection pane="topLeft" activeCell="A1" sqref="A1"/>
      <selection pane="bottomLeft" activeCell="A8" sqref="A8"/>
      <selection pane="topRight" activeCell="C1" sqref="C1"/>
      <selection pane="bottomRight" activeCell="S6" sqref="S6"/>
    </sheetView>
  </sheetViews>
  <sheetFormatPr defaultColWidth="9.09428571428571" defaultRowHeight="15.75"/>
  <cols>
    <col min="1" max="1" width="13.8571428571429" style="7" bestFit="1" customWidth="1"/>
    <col min="2" max="2" width="89" style="5" bestFit="1" customWidth="1"/>
    <col min="3" max="4" width="22.4285714285714" style="6" bestFit="1" customWidth="1"/>
    <col min="5" max="7" width="23" style="6" bestFit="1" customWidth="1"/>
    <col min="8" max="8" width="22.4285714285714" style="6" bestFit="1" customWidth="1"/>
    <col min="9" max="12" width="23" style="6" bestFit="1" customWidth="1"/>
    <col min="13" max="13" width="22" style="9" bestFit="1" customWidth="1"/>
    <col min="14" max="14" width="22" style="5" bestFit="1" customWidth="1"/>
    <col min="15" max="15" width="22.4285714285714" style="5" bestFit="1" customWidth="1"/>
    <col min="16" max="16" width="19.5714285714286" style="6" bestFit="1" customWidth="1"/>
    <col min="17" max="16384" width="9.14285714285714" style="6"/>
  </cols>
  <sheetData>
    <row r="1" spans="1:15" ht="15.5">
      <c r="A1" s="1" t="s">
        <v>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/>
      <c r="O1" s="2"/>
    </row>
    <row r="2" spans="1:15" ht="15.5">
      <c r="A2" s="1" t="s">
        <v>37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2"/>
      <c r="O2" s="2"/>
    </row>
    <row r="3" spans="1:15" ht="15.5">
      <c r="A3" s="1" t="s">
        <v>38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2"/>
      <c r="O3" s="2"/>
    </row>
    <row r="4" spans="1:15" ht="15.5">
      <c r="A4" s="1" t="s">
        <v>44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2"/>
      <c r="O4" s="2"/>
    </row>
    <row r="5" spans="1:15" ht="15.5">
      <c r="A5" s="1" t="s">
        <v>62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2"/>
      <c r="O5" s="2"/>
    </row>
    <row r="6" spans="1:15" ht="15.5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2"/>
      <c r="O6" s="2"/>
    </row>
    <row r="7" spans="3:3" ht="15.5">
      <c r="C7" s="8"/>
    </row>
    <row r="8" spans="1:16" s="7" customFormat="1" ht="15.5">
      <c r="A8" s="7" t="s">
        <v>0</v>
      </c>
      <c r="B8" s="10" t="s">
        <v>58</v>
      </c>
      <c r="C8" s="29" t="s">
        <v>39</v>
      </c>
      <c r="D8" s="29" t="s">
        <v>45</v>
      </c>
      <c r="E8" s="29" t="s">
        <v>46</v>
      </c>
      <c r="F8" s="29" t="s">
        <v>47</v>
      </c>
      <c r="G8" s="29" t="s">
        <v>48</v>
      </c>
      <c r="H8" s="29" t="s">
        <v>49</v>
      </c>
      <c r="I8" s="29" t="s">
        <v>50</v>
      </c>
      <c r="J8" s="29" t="s">
        <v>51</v>
      </c>
      <c r="K8" s="29" t="s">
        <v>52</v>
      </c>
      <c r="L8" s="29" t="s">
        <v>53</v>
      </c>
      <c r="M8" s="30" t="s">
        <v>54</v>
      </c>
      <c r="N8" s="30" t="s">
        <v>55</v>
      </c>
      <c r="O8" s="30" t="s">
        <v>56</v>
      </c>
      <c r="P8" s="7" t="s">
        <v>36</v>
      </c>
    </row>
    <row r="9" spans="1:16" ht="15.5">
      <c r="A9" s="7" t="s">
        <v>1</v>
      </c>
      <c r="B9" s="11" t="s">
        <v>59</v>
      </c>
      <c r="C9" s="12">
        <v>3046391.2616400043</v>
      </c>
      <c r="D9" s="12">
        <v>2973507.0934400023</v>
      </c>
      <c r="E9" s="12">
        <v>2993745.9707399993</v>
      </c>
      <c r="F9" s="12">
        <v>3000812.8864399991</v>
      </c>
      <c r="G9" s="12">
        <v>2900101.5854400015</v>
      </c>
      <c r="H9" s="12">
        <v>2904196.9015400005</v>
      </c>
      <c r="I9" s="12">
        <v>2917351.1026000013</v>
      </c>
      <c r="J9" s="12">
        <v>2912416.0769000011</v>
      </c>
      <c r="K9" s="12">
        <v>2909059.2943000002</v>
      </c>
      <c r="L9" s="12">
        <v>2909508.159</v>
      </c>
      <c r="M9" s="12">
        <v>2906359.362600001</v>
      </c>
      <c r="N9" s="12">
        <v>2904843.6750000003</v>
      </c>
      <c r="O9" s="23">
        <v>2912312.4503000011</v>
      </c>
      <c r="P9" s="28">
        <f>ROUND(SUM(C9:O9),2)</f>
        <v>38190605.82</v>
      </c>
    </row>
    <row r="10" spans="1:16" ht="15.5">
      <c r="A10" s="7" t="s">
        <v>1</v>
      </c>
      <c r="B10" s="11" t="s">
        <v>60</v>
      </c>
      <c r="C10" s="13">
        <v>1226248.0037000002</v>
      </c>
      <c r="D10" s="32">
        <v>1289364.3612000002</v>
      </c>
      <c r="E10" s="13">
        <v>1914717.8688999992</v>
      </c>
      <c r="F10" s="13">
        <v>1472231.6700999993</v>
      </c>
      <c r="G10" s="13">
        <v>1539549.904899999</v>
      </c>
      <c r="H10" s="13">
        <v>2099715.4686999987</v>
      </c>
      <c r="I10" s="13">
        <v>1732251.722099999</v>
      </c>
      <c r="J10" s="13">
        <v>1752553.0639999996</v>
      </c>
      <c r="K10" s="13">
        <v>1763211.9394999996</v>
      </c>
      <c r="L10" s="14">
        <v>2176008.5851999987</v>
      </c>
      <c r="M10" s="14">
        <v>2065840.6335999996</v>
      </c>
      <c r="N10" s="14">
        <v>1630824.1224999991</v>
      </c>
      <c r="O10" s="14">
        <v>1750469.5304999994</v>
      </c>
      <c r="P10" s="28">
        <f t="shared" si="0" ref="P10:P74">ROUND(SUM(C10:O10),2)</f>
        <v>22412986.870000001</v>
      </c>
    </row>
    <row r="11" spans="1:16" ht="15.5">
      <c r="A11" s="7" t="s">
        <v>1</v>
      </c>
      <c r="B11" s="11" t="s">
        <v>3</v>
      </c>
      <c r="C11" s="13">
        <v>8441.6879000000026</v>
      </c>
      <c r="D11" s="13">
        <v>8710.402500000002</v>
      </c>
      <c r="E11" s="13">
        <v>8464.6416999999983</v>
      </c>
      <c r="F11" s="13">
        <v>7456.1052</v>
      </c>
      <c r="G11" s="13">
        <v>7834.4222999999993</v>
      </c>
      <c r="H11" s="13">
        <v>10402.037400000005</v>
      </c>
      <c r="I11" s="13">
        <v>10411.413800000004</v>
      </c>
      <c r="J11" s="13">
        <v>11125.569600000004</v>
      </c>
      <c r="K11" s="13">
        <v>10616.040800000004</v>
      </c>
      <c r="L11" s="14">
        <v>9704.8042000000023</v>
      </c>
      <c r="M11" s="14">
        <v>9478.3011000000042</v>
      </c>
      <c r="N11" s="14">
        <v>10097.394000000002</v>
      </c>
      <c r="O11" s="14">
        <v>10038.988000000003</v>
      </c>
      <c r="P11" s="28">
        <f t="shared" si="0"/>
        <v>122781.81</v>
      </c>
    </row>
    <row r="12" spans="1:16" ht="15.5">
      <c r="A12" s="7" t="s">
        <v>1</v>
      </c>
      <c r="B12" s="11" t="s">
        <v>4</v>
      </c>
      <c r="C12" s="13">
        <v>30053.661899999996</v>
      </c>
      <c r="D12" s="13">
        <v>38399.309600000015</v>
      </c>
      <c r="E12" s="13">
        <v>44984.004099999998</v>
      </c>
      <c r="F12" s="13">
        <v>37784.559400000006</v>
      </c>
      <c r="G12" s="13">
        <v>37667.655599999998</v>
      </c>
      <c r="H12" s="13">
        <v>36792.478200000012</v>
      </c>
      <c r="I12" s="13">
        <v>38690.551300000006</v>
      </c>
      <c r="J12" s="13">
        <v>35165.051200000009</v>
      </c>
      <c r="K12" s="13">
        <v>34511.877200000003</v>
      </c>
      <c r="L12" s="14">
        <v>33981.852899999998</v>
      </c>
      <c r="M12" s="14">
        <v>23964.183099999995</v>
      </c>
      <c r="N12" s="14">
        <v>36432.820800000001</v>
      </c>
      <c r="O12" s="14">
        <v>39894.626599999996</v>
      </c>
      <c r="P12" s="28">
        <f t="shared" si="0"/>
        <v>468322.63</v>
      </c>
    </row>
    <row r="13" spans="1:16" ht="15.5">
      <c r="A13" s="7" t="s">
        <v>1</v>
      </c>
      <c r="B13" s="11" t="s">
        <v>5</v>
      </c>
      <c r="C13" s="13">
        <v>11188474.545699975</v>
      </c>
      <c r="D13" s="13">
        <v>10876589.473399971</v>
      </c>
      <c r="E13" s="13">
        <v>13343767.519599993</v>
      </c>
      <c r="F13" s="13">
        <v>10538296.981900003</v>
      </c>
      <c r="G13" s="13">
        <v>10142966.892600006</v>
      </c>
      <c r="H13" s="13">
        <v>10613565.623600002</v>
      </c>
      <c r="I13" s="13">
        <v>10536029.427600002</v>
      </c>
      <c r="J13" s="13">
        <v>10863736.555500004</v>
      </c>
      <c r="K13" s="13">
        <v>10726471.945100006</v>
      </c>
      <c r="L13" s="14">
        <v>11343024.509900002</v>
      </c>
      <c r="M13" s="14">
        <v>10960791.821099997</v>
      </c>
      <c r="N13" s="14">
        <v>10838448.102499994</v>
      </c>
      <c r="O13" s="14">
        <v>11098932.777799984</v>
      </c>
      <c r="P13" s="28">
        <f t="shared" si="0"/>
        <v>143071096.18000001</v>
      </c>
    </row>
    <row r="14" spans="1:16" ht="15.5">
      <c r="A14" s="7" t="s">
        <v>1</v>
      </c>
      <c r="B14" s="11" t="s">
        <v>6</v>
      </c>
      <c r="C14" s="13">
        <v>21027368.270640079</v>
      </c>
      <c r="D14" s="13">
        <v>20121223.635604028</v>
      </c>
      <c r="E14" s="13">
        <v>26248197.079918016</v>
      </c>
      <c r="F14" s="13">
        <v>20749061.411514018</v>
      </c>
      <c r="G14" s="13">
        <v>20040426.870204002</v>
      </c>
      <c r="H14" s="13">
        <v>19797855.974006001</v>
      </c>
      <c r="I14" s="13">
        <v>21839721.031901985</v>
      </c>
      <c r="J14" s="13">
        <v>25375247.274808004</v>
      </c>
      <c r="K14" s="13">
        <v>28574760.565130014</v>
      </c>
      <c r="L14" s="14">
        <v>30603609.438227002</v>
      </c>
      <c r="M14" s="14">
        <v>31332665.675629005</v>
      </c>
      <c r="N14" s="14">
        <v>32798046.790593002</v>
      </c>
      <c r="O14" s="14">
        <v>35052898.973245017</v>
      </c>
      <c r="P14" s="28">
        <f t="shared" si="0"/>
        <v>333561082.99000001</v>
      </c>
    </row>
    <row r="15" spans="1:16" ht="15.5">
      <c r="A15" s="7" t="s">
        <v>1</v>
      </c>
      <c r="B15" s="11" t="s">
        <v>7</v>
      </c>
      <c r="C15" s="13">
        <v>6008905.929494964</v>
      </c>
      <c r="D15" s="13">
        <v>5705541.266534972</v>
      </c>
      <c r="E15" s="13">
        <v>4750671.068935005</v>
      </c>
      <c r="F15" s="13">
        <v>4369390.6442350075</v>
      </c>
      <c r="G15" s="13">
        <v>4201113.8279350093</v>
      </c>
      <c r="H15" s="13">
        <v>4053126.6631000019</v>
      </c>
      <c r="I15" s="13">
        <v>4124821.2108000051</v>
      </c>
      <c r="J15" s="13">
        <v>4089421.1188000026</v>
      </c>
      <c r="K15" s="13">
        <v>4143204.9618999986</v>
      </c>
      <c r="L15" s="14">
        <v>3986875.2362000062</v>
      </c>
      <c r="M15" s="14">
        <v>4328791.7631000029</v>
      </c>
      <c r="N15" s="14">
        <v>4668865.8151999982</v>
      </c>
      <c r="O15" s="14">
        <v>4675714.3672999972</v>
      </c>
      <c r="P15" s="28">
        <f t="shared" si="0"/>
        <v>59106443.869999997</v>
      </c>
    </row>
    <row r="16" spans="1:16" ht="15.5">
      <c r="A16" s="7" t="s">
        <v>1</v>
      </c>
      <c r="B16" s="11" t="s">
        <v>8</v>
      </c>
      <c r="C16" s="13">
        <v>2015855.4037999988</v>
      </c>
      <c r="D16" s="13">
        <v>1818440.1180999989</v>
      </c>
      <c r="E16" s="13">
        <v>2171175.4424999994</v>
      </c>
      <c r="F16" s="13">
        <v>1741916.2561000006</v>
      </c>
      <c r="G16" s="13">
        <v>1512588.039000001</v>
      </c>
      <c r="H16" s="13">
        <v>1413271.0897000008</v>
      </c>
      <c r="I16" s="13">
        <v>1357440.476</v>
      </c>
      <c r="J16" s="13">
        <v>1440059.6603999999</v>
      </c>
      <c r="K16" s="13">
        <v>1369059.1455000013</v>
      </c>
      <c r="L16" s="14">
        <v>1244214.7852000005</v>
      </c>
      <c r="M16" s="14">
        <v>1512365.0025000002</v>
      </c>
      <c r="N16" s="14">
        <v>1361672.5528000004</v>
      </c>
      <c r="O16" s="14">
        <v>1207373.6682000002</v>
      </c>
      <c r="P16" s="28">
        <f t="shared" si="0"/>
        <v>20165431.640000001</v>
      </c>
    </row>
    <row r="17" spans="1:16" ht="15.5">
      <c r="A17" s="7" t="s">
        <v>1</v>
      </c>
      <c r="B17" s="11" t="s">
        <v>9</v>
      </c>
      <c r="C17" s="13">
        <v>1930774.1569999997</v>
      </c>
      <c r="D17" s="13">
        <v>2270864.6556999972</v>
      </c>
      <c r="E17" s="13">
        <v>3526385.5091000027</v>
      </c>
      <c r="F17" s="13">
        <v>2312713.7095000008</v>
      </c>
      <c r="G17" s="13">
        <v>2620528.5849000015</v>
      </c>
      <c r="H17" s="13">
        <v>2303730.0403000023</v>
      </c>
      <c r="I17" s="13">
        <v>3031347.8284000037</v>
      </c>
      <c r="J17" s="13">
        <v>3732162.7983000004</v>
      </c>
      <c r="K17" s="13">
        <v>3183169.7035000012</v>
      </c>
      <c r="L17" s="14">
        <v>3514909.0407000026</v>
      </c>
      <c r="M17" s="14">
        <v>3824781.4413999994</v>
      </c>
      <c r="N17" s="14">
        <v>5786173.9043999994</v>
      </c>
      <c r="O17" s="14">
        <v>7287402.3474999983</v>
      </c>
      <c r="P17" s="28">
        <f t="shared" si="0"/>
        <v>45324943.719999999</v>
      </c>
    </row>
    <row r="18" spans="1:16" ht="15.5">
      <c r="A18" s="7" t="s">
        <v>1</v>
      </c>
      <c r="B18" s="11" t="s">
        <v>10</v>
      </c>
      <c r="C18" s="13">
        <v>35039.346600000004</v>
      </c>
      <c r="D18" s="13">
        <v>33298.280599999991</v>
      </c>
      <c r="E18" s="13">
        <v>33661.901099999995</v>
      </c>
      <c r="F18" s="13">
        <v>41862.257100000003</v>
      </c>
      <c r="G18" s="13">
        <v>47005.314599999991</v>
      </c>
      <c r="H18" s="13">
        <v>44323.329999999994</v>
      </c>
      <c r="I18" s="13">
        <v>42454.847999999991</v>
      </c>
      <c r="J18" s="13">
        <v>40517.860400000005</v>
      </c>
      <c r="K18" s="13">
        <v>37964.800899999995</v>
      </c>
      <c r="L18" s="14">
        <v>29589.3017</v>
      </c>
      <c r="M18" s="14">
        <v>30046.385399999996</v>
      </c>
      <c r="N18" s="14">
        <v>41357.538399999998</v>
      </c>
      <c r="O18" s="14">
        <v>46358.201099999998</v>
      </c>
      <c r="P18" s="28">
        <f t="shared" si="0"/>
        <v>503479.37</v>
      </c>
    </row>
    <row r="19" spans="1:16" ht="15.5">
      <c r="A19" s="7" t="s">
        <v>1</v>
      </c>
      <c r="B19" s="11" t="s">
        <v>11</v>
      </c>
      <c r="C19" s="15">
        <v>685735.90560000017</v>
      </c>
      <c r="D19" s="15">
        <v>726530.54630000202</v>
      </c>
      <c r="E19" s="15">
        <v>674797.35539999953</v>
      </c>
      <c r="F19" s="15">
        <v>666213.46349999926</v>
      </c>
      <c r="G19" s="15">
        <v>648122.84109999961</v>
      </c>
      <c r="H19" s="15">
        <v>664367.02299999958</v>
      </c>
      <c r="I19" s="15">
        <v>667727.14729999984</v>
      </c>
      <c r="J19" s="15">
        <v>643315.67770000047</v>
      </c>
      <c r="K19" s="15">
        <v>662285.14010000054</v>
      </c>
      <c r="L19" s="14">
        <v>671915.13100000052</v>
      </c>
      <c r="M19" s="14">
        <v>706132.80790000001</v>
      </c>
      <c r="N19" s="14">
        <v>730808.95730000024</v>
      </c>
      <c r="O19" s="14">
        <v>656828.39709999994</v>
      </c>
      <c r="P19" s="28">
        <f t="shared" si="0"/>
        <v>8804780.3900000006</v>
      </c>
    </row>
    <row r="20" spans="1:16" ht="15.5">
      <c r="A20" s="7" t="s">
        <v>1</v>
      </c>
      <c r="B20" s="11" t="s">
        <v>30</v>
      </c>
      <c r="C20" s="13">
        <v>4978.7565999999997</v>
      </c>
      <c r="D20" s="13">
        <v>3738.9965999999995</v>
      </c>
      <c r="E20" s="13">
        <v>4978.7566000000006</v>
      </c>
      <c r="F20" s="13">
        <v>9850.2766000000011</v>
      </c>
      <c r="G20" s="13">
        <v>8603.9444000000003</v>
      </c>
      <c r="H20" s="13">
        <v>8603.9444000000003</v>
      </c>
      <c r="I20" s="13">
        <v>8603.9444000000003</v>
      </c>
      <c r="J20" s="13">
        <v>9000.2644</v>
      </c>
      <c r="K20" s="13">
        <v>6238.8122000000003</v>
      </c>
      <c r="L20" s="14">
        <v>6238.8122000000003</v>
      </c>
      <c r="M20" s="14">
        <v>2761.4521999999997</v>
      </c>
      <c r="N20" s="14">
        <v>15464.5723</v>
      </c>
      <c r="O20" s="14">
        <v>43477.499799999998</v>
      </c>
      <c r="P20" s="28">
        <f t="shared" si="0"/>
        <v>132540.03</v>
      </c>
    </row>
    <row r="21" spans="1:16" ht="15.5">
      <c r="A21" s="7" t="s">
        <v>1</v>
      </c>
      <c r="B21" s="11" t="s">
        <v>12</v>
      </c>
      <c r="C21" s="13">
        <v>1035937.1624000002</v>
      </c>
      <c r="D21" s="13">
        <v>980861.43780000031</v>
      </c>
      <c r="E21" s="13">
        <v>904597.91129999992</v>
      </c>
      <c r="F21" s="13">
        <v>948355.78029999998</v>
      </c>
      <c r="G21" s="13">
        <v>924037.96429999988</v>
      </c>
      <c r="H21" s="13">
        <v>892492.06789999979</v>
      </c>
      <c r="I21" s="13">
        <v>911542.30240000004</v>
      </c>
      <c r="J21" s="13">
        <v>872486.77189999993</v>
      </c>
      <c r="K21" s="13">
        <v>920628.60250000039</v>
      </c>
      <c r="L21" s="14">
        <v>926628.30079999997</v>
      </c>
      <c r="M21" s="14">
        <v>974248.6190000003</v>
      </c>
      <c r="N21" s="14">
        <v>1009920.689100001</v>
      </c>
      <c r="O21" s="14">
        <v>1051030.4177000003</v>
      </c>
      <c r="P21" s="28">
        <f t="shared" si="0"/>
        <v>12352768.029999999</v>
      </c>
    </row>
    <row r="22" spans="1:16" ht="15.5">
      <c r="A22" s="7" t="s">
        <v>1</v>
      </c>
      <c r="B22" s="11" t="s">
        <v>13</v>
      </c>
      <c r="C22" s="13">
        <v>1109318.9640999981</v>
      </c>
      <c r="D22" s="13">
        <v>1049186.3548999997</v>
      </c>
      <c r="E22" s="13">
        <v>1251429.7176999999</v>
      </c>
      <c r="F22" s="13">
        <v>1013650.0501</v>
      </c>
      <c r="G22" s="13">
        <v>992259.21909999999</v>
      </c>
      <c r="H22" s="13">
        <v>989309.1754999999</v>
      </c>
      <c r="I22" s="13">
        <v>878861.56570000004</v>
      </c>
      <c r="J22" s="13">
        <v>849315.31960000005</v>
      </c>
      <c r="K22" s="13">
        <v>823015.29730000009</v>
      </c>
      <c r="L22" s="14">
        <v>906725.44850000029</v>
      </c>
      <c r="M22" s="14">
        <v>998011.07719999983</v>
      </c>
      <c r="N22" s="14">
        <v>1007690.0792000005</v>
      </c>
      <c r="O22" s="14">
        <v>1185738.0821999998</v>
      </c>
      <c r="P22" s="28">
        <f t="shared" si="0"/>
        <v>13054510.35</v>
      </c>
    </row>
    <row r="23" spans="1:16" ht="15.5">
      <c r="A23" s="7" t="s">
        <v>1</v>
      </c>
      <c r="B23" s="11" t="s">
        <v>14</v>
      </c>
      <c r="C23" s="13">
        <v>14014.854999999998</v>
      </c>
      <c r="D23" s="13">
        <v>16830.316300000002</v>
      </c>
      <c r="E23" s="13">
        <v>35860.905700000003</v>
      </c>
      <c r="F23" s="13">
        <v>17363.075699999998</v>
      </c>
      <c r="G23" s="13">
        <v>20831.799800000001</v>
      </c>
      <c r="H23" s="13">
        <v>21427.543900000001</v>
      </c>
      <c r="I23" s="13">
        <v>21367.519800000002</v>
      </c>
      <c r="J23" s="13">
        <v>24259.634299999998</v>
      </c>
      <c r="K23" s="13">
        <v>28172.045500000004</v>
      </c>
      <c r="L23" s="14">
        <v>28859.115600000005</v>
      </c>
      <c r="M23" s="14">
        <v>29151.426099999997</v>
      </c>
      <c r="N23" s="14">
        <v>26072.018400000001</v>
      </c>
      <c r="O23" s="14">
        <v>24204.783200000002</v>
      </c>
      <c r="P23" s="28">
        <f t="shared" si="0"/>
        <v>308415.03999999998</v>
      </c>
    </row>
    <row r="24" spans="1:16" ht="15.5">
      <c r="A24" s="7" t="s">
        <v>1</v>
      </c>
      <c r="B24" s="11" t="s">
        <v>15</v>
      </c>
      <c r="C24" s="13">
        <v>3583.6927999999989</v>
      </c>
      <c r="D24" s="13">
        <v>2297.7825000000003</v>
      </c>
      <c r="E24" s="13">
        <v>2581.2190999999998</v>
      </c>
      <c r="F24" s="13">
        <v>4999.7486000000008</v>
      </c>
      <c r="G24" s="13">
        <v>4595.6196</v>
      </c>
      <c r="H24" s="13">
        <v>5149.8176999999996</v>
      </c>
      <c r="I24" s="13">
        <v>5797.9461999999994</v>
      </c>
      <c r="J24" s="13">
        <v>5760.0040999999992</v>
      </c>
      <c r="K24" s="13">
        <v>7490.6133</v>
      </c>
      <c r="L24" s="14">
        <v>7490.6133</v>
      </c>
      <c r="M24" s="14">
        <v>7659.0577999999996</v>
      </c>
      <c r="N24" s="14">
        <v>7833.9877999999999</v>
      </c>
      <c r="O24" s="14">
        <v>7655.5021999999999</v>
      </c>
      <c r="P24" s="28">
        <f t="shared" si="0"/>
        <v>72895.610000000001</v>
      </c>
    </row>
    <row r="25" spans="1:16" ht="15.5">
      <c r="A25" s="7" t="s">
        <v>1</v>
      </c>
      <c r="B25" s="11" t="s">
        <v>16</v>
      </c>
      <c r="C25" s="13">
        <v>3703900.9362999918</v>
      </c>
      <c r="D25" s="13">
        <v>3715559.5693999925</v>
      </c>
      <c r="E25" s="13">
        <v>3737323.2586999973</v>
      </c>
      <c r="F25" s="13">
        <v>3535800.0555000012</v>
      </c>
      <c r="G25" s="13">
        <v>3555579.0802999986</v>
      </c>
      <c r="H25" s="13">
        <v>3530808.1517999978</v>
      </c>
      <c r="I25" s="13">
        <v>3834958.8728000009</v>
      </c>
      <c r="J25" s="13">
        <v>3773497.7267000009</v>
      </c>
      <c r="K25" s="13">
        <v>4334436.918999997</v>
      </c>
      <c r="L25" s="14">
        <v>4159098.3426999985</v>
      </c>
      <c r="M25" s="14">
        <v>4416658.5208000029</v>
      </c>
      <c r="N25" s="14">
        <v>4595721.5376999993</v>
      </c>
      <c r="O25" s="14">
        <v>4755046.3467000006</v>
      </c>
      <c r="P25" s="28">
        <f t="shared" si="0"/>
        <v>51648389.32</v>
      </c>
    </row>
    <row r="26" spans="1:16" ht="15.5">
      <c r="A26" s="7" t="s">
        <v>1</v>
      </c>
      <c r="B26" s="11" t="s">
        <v>17</v>
      </c>
      <c r="C26" s="13">
        <v>2084054.578300003</v>
      </c>
      <c r="D26" s="13">
        <v>1888757.8505000044</v>
      </c>
      <c r="E26" s="13">
        <v>3051576.7950000018</v>
      </c>
      <c r="F26" s="13">
        <v>2271540.8298000018</v>
      </c>
      <c r="G26" s="13">
        <v>2252647.0387000004</v>
      </c>
      <c r="H26" s="13">
        <v>2435133.6977000008</v>
      </c>
      <c r="I26" s="13">
        <v>2603973.418599999</v>
      </c>
      <c r="J26" s="13">
        <v>2834186.9547999999</v>
      </c>
      <c r="K26" s="13">
        <v>2607147.9498999985</v>
      </c>
      <c r="L26" s="14">
        <v>2565383.4766999991</v>
      </c>
      <c r="M26" s="14">
        <v>2449335.6690999987</v>
      </c>
      <c r="N26" s="14">
        <v>2958798.3889999986</v>
      </c>
      <c r="O26" s="14">
        <v>3209042.6589999963</v>
      </c>
      <c r="P26" s="28">
        <f t="shared" si="0"/>
        <v>33211579.309999999</v>
      </c>
    </row>
    <row r="27" spans="1:16" ht="15.5">
      <c r="A27" s="7" t="s">
        <v>1</v>
      </c>
      <c r="B27" s="11" t="s">
        <v>18</v>
      </c>
      <c r="C27" s="13">
        <v>5994.5717999999988</v>
      </c>
      <c r="D27" s="13">
        <v>5602.012999999999</v>
      </c>
      <c r="E27" s="13">
        <v>5915.9790000000003</v>
      </c>
      <c r="F27" s="13">
        <v>5644.9494000000004</v>
      </c>
      <c r="G27" s="13">
        <v>5247.0534000000007</v>
      </c>
      <c r="H27" s="13">
        <v>4527.6054000000004</v>
      </c>
      <c r="I27" s="13">
        <v>5352.4143999999997</v>
      </c>
      <c r="J27" s="13">
        <v>5938.2244000000001</v>
      </c>
      <c r="K27" s="13">
        <v>4405.0384000000004</v>
      </c>
      <c r="L27" s="14">
        <v>4496.6412</v>
      </c>
      <c r="M27" s="14">
        <v>4228.6332000000002</v>
      </c>
      <c r="N27" s="14">
        <v>3791.9471999999996</v>
      </c>
      <c r="O27" s="14">
        <v>4658.9552000000003</v>
      </c>
      <c r="P27" s="28">
        <f t="shared" si="0"/>
        <v>65804.029999999999</v>
      </c>
    </row>
    <row r="28" spans="1:16" ht="15.5">
      <c r="A28" s="7" t="s">
        <v>1</v>
      </c>
      <c r="B28" s="11" t="s">
        <v>19</v>
      </c>
      <c r="C28" s="13">
        <v>340160.00859999983</v>
      </c>
      <c r="D28" s="13">
        <v>337666.44169999968</v>
      </c>
      <c r="E28" s="13">
        <v>346641.87909999996</v>
      </c>
      <c r="F28" s="13">
        <v>359227.47790000006</v>
      </c>
      <c r="G28" s="13">
        <v>375337.33949999994</v>
      </c>
      <c r="H28" s="13">
        <v>335968.17749999999</v>
      </c>
      <c r="I28" s="13">
        <v>304853.35230000003</v>
      </c>
      <c r="J28" s="13">
        <v>312211.14030000003</v>
      </c>
      <c r="K28" s="13">
        <v>278807.49860000005</v>
      </c>
      <c r="L28" s="14">
        <v>307153.60420000006</v>
      </c>
      <c r="M28" s="14">
        <v>283304.27160000004</v>
      </c>
      <c r="N28" s="14">
        <v>305799.53680000006</v>
      </c>
      <c r="O28" s="14">
        <v>365755.25470000011</v>
      </c>
      <c r="P28" s="28">
        <f t="shared" si="0"/>
        <v>4252885.9800000004</v>
      </c>
    </row>
    <row r="29" spans="1:16" ht="15.5">
      <c r="A29" s="7" t="s">
        <v>1</v>
      </c>
      <c r="B29" s="11" t="s">
        <v>28</v>
      </c>
      <c r="C29" s="13">
        <v>5598.3732</v>
      </c>
      <c r="D29" s="13">
        <v>7761.8584000000001</v>
      </c>
      <c r="E29" s="13">
        <v>7761.8584000000001</v>
      </c>
      <c r="F29" s="13">
        <v>7331.1008000000002</v>
      </c>
      <c r="G29" s="13">
        <v>6900.3431999999993</v>
      </c>
      <c r="H29" s="13">
        <v>6900.3431999999993</v>
      </c>
      <c r="I29" s="13">
        <v>2878.3127999999997</v>
      </c>
      <c r="J29" s="13">
        <v>7517.5549000000001</v>
      </c>
      <c r="K29" s="13">
        <v>6655.6934999999994</v>
      </c>
      <c r="L29" s="14">
        <v>5793.8320999999996</v>
      </c>
      <c r="M29" s="14">
        <v>5362.9013999999997</v>
      </c>
      <c r="N29" s="14">
        <v>4931.9706999999999</v>
      </c>
      <c r="O29" s="14">
        <v>7086.9709999999995</v>
      </c>
      <c r="P29" s="28">
        <f t="shared" si="0"/>
        <v>82481.110000000001</v>
      </c>
    </row>
    <row r="30" spans="1:16" ht="15.5">
      <c r="A30" s="7" t="s">
        <v>1</v>
      </c>
      <c r="B30" s="11" t="s">
        <v>20</v>
      </c>
      <c r="C30" s="13">
        <v>7120.4061000000102</v>
      </c>
      <c r="D30" s="13">
        <v>6649.3153000000084</v>
      </c>
      <c r="E30" s="13">
        <v>7013.0294999999996</v>
      </c>
      <c r="F30" s="13">
        <v>7801.2569999999996</v>
      </c>
      <c r="G30" s="13">
        <v>7322.9750999999987</v>
      </c>
      <c r="H30" s="13">
        <v>7391.9368000000004</v>
      </c>
      <c r="I30" s="13">
        <v>7124.9689000000008</v>
      </c>
      <c r="J30" s="13">
        <v>7031.4859000000015</v>
      </c>
      <c r="K30" s="13">
        <v>7966.9733000000015</v>
      </c>
      <c r="L30" s="14">
        <v>6804.5647000000026</v>
      </c>
      <c r="M30" s="14">
        <v>7090.8180000000011</v>
      </c>
      <c r="N30" s="14">
        <v>6728.7291999999998</v>
      </c>
      <c r="O30" s="14">
        <v>7084.6259000000009</v>
      </c>
      <c r="P30" s="28">
        <f t="shared" si="0"/>
        <v>93131.089999999997</v>
      </c>
    </row>
    <row r="31" spans="1:16" ht="15.5">
      <c r="A31" s="7" t="s">
        <v>1</v>
      </c>
      <c r="B31" s="11" t="s">
        <v>21</v>
      </c>
      <c r="C31" s="13">
        <v>537413.79461700004</v>
      </c>
      <c r="D31" s="13">
        <v>539587.36278399953</v>
      </c>
      <c r="E31" s="13">
        <v>663803.29091899982</v>
      </c>
      <c r="F31" s="13">
        <v>695396.45331599948</v>
      </c>
      <c r="G31" s="13">
        <v>797000.74488999951</v>
      </c>
      <c r="H31" s="13">
        <v>827741.42977999954</v>
      </c>
      <c r="I31" s="13">
        <v>938828.45033399994</v>
      </c>
      <c r="J31" s="13">
        <v>941759.75784099998</v>
      </c>
      <c r="K31" s="13">
        <v>989269.26980199968</v>
      </c>
      <c r="L31" s="14">
        <v>1105877.4810530006</v>
      </c>
      <c r="M31" s="14">
        <v>1050980.457592</v>
      </c>
      <c r="N31" s="14">
        <v>1067025.413774001</v>
      </c>
      <c r="O31" s="14">
        <v>704307.21240199998</v>
      </c>
      <c r="P31" s="28">
        <f t="shared" si="0"/>
        <v>10858991.119999999</v>
      </c>
    </row>
    <row r="32" spans="1:16" ht="15.5">
      <c r="A32" s="7" t="s">
        <v>1</v>
      </c>
      <c r="B32" s="11" t="s">
        <v>22</v>
      </c>
      <c r="C32" s="13">
        <v>30889.398599999993</v>
      </c>
      <c r="D32" s="13">
        <v>25796.224299999991</v>
      </c>
      <c r="E32" s="13">
        <v>23858.180999999993</v>
      </c>
      <c r="F32" s="13">
        <v>29324.271899999992</v>
      </c>
      <c r="G32" s="13">
        <v>29860.886300000002</v>
      </c>
      <c r="H32" s="13">
        <v>31061.916700000002</v>
      </c>
      <c r="I32" s="13">
        <v>35299.407100000004</v>
      </c>
      <c r="J32" s="13">
        <v>32891.623900000006</v>
      </c>
      <c r="K32" s="13">
        <v>34125.746700000003</v>
      </c>
      <c r="L32" s="14">
        <v>35213.551200000002</v>
      </c>
      <c r="M32" s="14">
        <v>37473.759300000005</v>
      </c>
      <c r="N32" s="14">
        <v>35693.01920000001</v>
      </c>
      <c r="O32" s="14">
        <v>37592.126599999996</v>
      </c>
      <c r="P32" s="28">
        <f t="shared" si="0"/>
        <v>419080.10999999999</v>
      </c>
    </row>
    <row r="33" spans="1:16" ht="31">
      <c r="A33" s="7" t="s">
        <v>1</v>
      </c>
      <c r="B33" s="11" t="s">
        <v>40</v>
      </c>
      <c r="C33" s="13">
        <v>16188.4908</v>
      </c>
      <c r="D33" s="13">
        <v>20324.667399999998</v>
      </c>
      <c r="E33" s="13">
        <v>20324.667399999998</v>
      </c>
      <c r="F33" s="13">
        <v>18565.362599999997</v>
      </c>
      <c r="G33" s="13">
        <v>12688.565300000002</v>
      </c>
      <c r="H33" s="13">
        <v>16746.5095</v>
      </c>
      <c r="I33" s="13">
        <v>15171.822000000002</v>
      </c>
      <c r="J33" s="13">
        <v>21180.648699999998</v>
      </c>
      <c r="K33" s="13">
        <v>22207.748299999999</v>
      </c>
      <c r="L33" s="14">
        <v>18456.905900000002</v>
      </c>
      <c r="M33" s="14">
        <v>25965.8999</v>
      </c>
      <c r="N33" s="14">
        <v>20530.222200000004</v>
      </c>
      <c r="O33" s="14">
        <v>22237.572</v>
      </c>
      <c r="P33" s="28">
        <f t="shared" si="0"/>
        <v>250589.07999999999</v>
      </c>
    </row>
    <row r="34" spans="1:16" ht="15.5">
      <c r="A34" s="7" t="s">
        <v>1</v>
      </c>
      <c r="B34" s="11" t="s">
        <v>23</v>
      </c>
      <c r="C34" s="13">
        <v>35094.723999999995</v>
      </c>
      <c r="D34" s="13">
        <v>36175.941300000006</v>
      </c>
      <c r="E34" s="13">
        <v>33746.523699999998</v>
      </c>
      <c r="F34" s="13">
        <v>30493.814299999998</v>
      </c>
      <c r="G34" s="13">
        <v>29905.871800000001</v>
      </c>
      <c r="H34" s="13">
        <v>21071.801800000001</v>
      </c>
      <c r="I34" s="13">
        <v>28079.126300000004</v>
      </c>
      <c r="J34" s="13">
        <v>28910.8207</v>
      </c>
      <c r="K34" s="13">
        <v>49817.771400000005</v>
      </c>
      <c r="L34" s="14">
        <v>57165.369500000008</v>
      </c>
      <c r="M34" s="14">
        <v>52481.041900000004</v>
      </c>
      <c r="N34" s="14">
        <v>46178.080499999996</v>
      </c>
      <c r="O34" s="14">
        <v>53808.319800000005</v>
      </c>
      <c r="P34" s="28">
        <f t="shared" si="0"/>
        <v>502929.21000000002</v>
      </c>
    </row>
    <row r="35" spans="1:16" ht="15.5">
      <c r="A35" s="7" t="s">
        <v>1</v>
      </c>
      <c r="B35" s="11" t="s">
        <v>32</v>
      </c>
      <c r="C35" s="13">
        <v>30727.925499999998</v>
      </c>
      <c r="D35" s="13">
        <v>26948.925499999998</v>
      </c>
      <c r="E35" s="13">
        <v>28225.3694</v>
      </c>
      <c r="F35" s="13">
        <v>28147.1793</v>
      </c>
      <c r="G35" s="13">
        <v>26148.263599999998</v>
      </c>
      <c r="H35" s="13">
        <v>30113.521599999996</v>
      </c>
      <c r="I35" s="13">
        <v>32878.8894</v>
      </c>
      <c r="J35" s="13">
        <v>34178.670700000002</v>
      </c>
      <c r="K35" s="13">
        <v>33059.705900000001</v>
      </c>
      <c r="L35" s="14">
        <v>30421.282500000001</v>
      </c>
      <c r="M35" s="14">
        <v>30404.6031</v>
      </c>
      <c r="N35" s="14">
        <v>30367.945100000001</v>
      </c>
      <c r="O35" s="14">
        <v>29063.945100000001</v>
      </c>
      <c r="P35" s="28">
        <f t="shared" si="0"/>
        <v>390686.22999999998</v>
      </c>
    </row>
    <row r="36" spans="1:16" ht="15.5">
      <c r="A36" s="7" t="s">
        <v>1</v>
      </c>
      <c r="B36" s="11" t="s">
        <v>24</v>
      </c>
      <c r="C36" s="15">
        <v>1977966.0661199919</v>
      </c>
      <c r="D36" s="15">
        <v>1948783.4962199936</v>
      </c>
      <c r="E36" s="15">
        <v>2352213.0212199986</v>
      </c>
      <c r="F36" s="15">
        <v>2002384.9697200002</v>
      </c>
      <c r="G36" s="15">
        <v>1848283.4299000017</v>
      </c>
      <c r="H36" s="15">
        <v>1913772.1673000008</v>
      </c>
      <c r="I36" s="15">
        <v>2044203.323799999</v>
      </c>
      <c r="J36" s="15">
        <v>2065314.1931999992</v>
      </c>
      <c r="K36" s="15">
        <v>1762105.5408000003</v>
      </c>
      <c r="L36" s="14">
        <v>1966392.4615999989</v>
      </c>
      <c r="M36" s="14">
        <v>2127266.7861000001</v>
      </c>
      <c r="N36" s="14">
        <v>2265038.2490999987</v>
      </c>
      <c r="O36" s="14">
        <v>2346165.4875999959</v>
      </c>
      <c r="P36" s="28">
        <f t="shared" si="0"/>
        <v>26619889.190000001</v>
      </c>
    </row>
    <row r="37" spans="1:16" ht="15.5">
      <c r="A37" s="7" t="s">
        <v>1</v>
      </c>
      <c r="B37" s="11" t="s">
        <v>29</v>
      </c>
      <c r="C37" s="13">
        <v>363255.7709</v>
      </c>
      <c r="D37" s="13">
        <v>393138.93450000003</v>
      </c>
      <c r="E37" s="13">
        <v>382344.56990000006</v>
      </c>
      <c r="F37" s="13">
        <v>357443.72140000004</v>
      </c>
      <c r="G37" s="13">
        <v>324341.76210000005</v>
      </c>
      <c r="H37" s="13">
        <v>338158.02120000002</v>
      </c>
      <c r="I37" s="13">
        <v>317813.02120000002</v>
      </c>
      <c r="J37" s="13">
        <v>296805.77120000002</v>
      </c>
      <c r="K37" s="13">
        <v>350193.6139</v>
      </c>
      <c r="L37" s="14">
        <v>388108.98060000007</v>
      </c>
      <c r="M37" s="14">
        <v>381645.42670000001</v>
      </c>
      <c r="N37" s="14">
        <v>404433.11929999996</v>
      </c>
      <c r="O37" s="14">
        <v>438150.7781</v>
      </c>
      <c r="P37" s="28">
        <f t="shared" si="0"/>
        <v>4735833.4900000002</v>
      </c>
    </row>
    <row r="38" spans="1:16" ht="15.5">
      <c r="A38" s="7" t="s">
        <v>1</v>
      </c>
      <c r="B38" s="11" t="s">
        <v>25</v>
      </c>
      <c r="C38" s="16">
        <v>342464.90930000012</v>
      </c>
      <c r="D38" s="16">
        <v>330967.18440000038</v>
      </c>
      <c r="E38" s="16">
        <v>309146.08330000023</v>
      </c>
      <c r="F38" s="16">
        <v>313000.47800000012</v>
      </c>
      <c r="G38" s="16">
        <v>392930.63800000004</v>
      </c>
      <c r="H38" s="16">
        <v>731449.35139999969</v>
      </c>
      <c r="I38" s="16">
        <v>705819.09639999969</v>
      </c>
      <c r="J38" s="16">
        <v>685055.67539999972</v>
      </c>
      <c r="K38" s="16">
        <v>625878.88659999997</v>
      </c>
      <c r="L38" s="14">
        <v>605846.26230000006</v>
      </c>
      <c r="M38" s="14">
        <v>578139.04489999998</v>
      </c>
      <c r="N38" s="14">
        <v>556953.98329999985</v>
      </c>
      <c r="O38" s="14">
        <v>553746.99949999992</v>
      </c>
      <c r="P38" s="28">
        <f t="shared" si="0"/>
        <v>6731398.5899999999</v>
      </c>
    </row>
    <row r="39" spans="1:16" ht="15.5">
      <c r="A39" s="7" t="s">
        <v>1</v>
      </c>
      <c r="B39" s="11" t="s">
        <v>33</v>
      </c>
      <c r="C39" s="13">
        <v>112.4054</v>
      </c>
      <c r="D39" s="13">
        <v>286.81259999999997</v>
      </c>
      <c r="E39" s="13">
        <v>286.81259999999997</v>
      </c>
      <c r="F39" s="13">
        <v>286.81259999999997</v>
      </c>
      <c r="G39" s="13">
        <v>247.19759999999999</v>
      </c>
      <c r="H39" s="13">
        <v>247.19759999999999</v>
      </c>
      <c r="I39" s="13">
        <v>247.19759999999999</v>
      </c>
      <c r="J39" s="13">
        <v>183.81360000000001</v>
      </c>
      <c r="K39" s="13">
        <v>183.81360000000001</v>
      </c>
      <c r="L39" s="14">
        <v>183.81360000000001</v>
      </c>
      <c r="M39" s="14">
        <v>120.42959999999999</v>
      </c>
      <c r="N39" s="14">
        <v>112.50660000000001</v>
      </c>
      <c r="O39" s="14">
        <v>322.08330000000001</v>
      </c>
      <c r="P39" s="28">
        <f t="shared" si="0"/>
        <v>2820.9000000000001</v>
      </c>
    </row>
    <row r="40" spans="1:16" ht="15.5">
      <c r="A40" s="7" t="s">
        <v>1</v>
      </c>
      <c r="B40" s="11" t="s">
        <v>26</v>
      </c>
      <c r="C40" s="13">
        <v>834923.7214000005</v>
      </c>
      <c r="D40" s="13">
        <v>797768.58280000044</v>
      </c>
      <c r="E40" s="13">
        <v>1505613.7695999998</v>
      </c>
      <c r="F40" s="13">
        <v>1043896.3258999999</v>
      </c>
      <c r="G40" s="13">
        <v>950053.09079999966</v>
      </c>
      <c r="H40" s="13">
        <v>813662.75979999988</v>
      </c>
      <c r="I40" s="13">
        <v>851258.04760000017</v>
      </c>
      <c r="J40" s="13">
        <v>782940.23000000033</v>
      </c>
      <c r="K40" s="13">
        <v>658372.74879999994</v>
      </c>
      <c r="L40" s="14">
        <v>610650.8145000001</v>
      </c>
      <c r="M40" s="14">
        <v>649538.52579999983</v>
      </c>
      <c r="N40" s="14">
        <v>652397.74989999982</v>
      </c>
      <c r="O40" s="14">
        <v>560064.90449999995</v>
      </c>
      <c r="P40" s="28">
        <f t="shared" si="0"/>
        <v>10711141.27</v>
      </c>
    </row>
    <row r="41" spans="1:16" ht="15.5">
      <c r="A41" s="7" t="s">
        <v>1</v>
      </c>
      <c r="B41" s="11" t="s">
        <v>27</v>
      </c>
      <c r="C41" s="13">
        <v>211.13549999999995</v>
      </c>
      <c r="D41" s="13">
        <v>136.4115000000001</v>
      </c>
      <c r="E41" s="13">
        <v>1137.6606999999999</v>
      </c>
      <c r="F41" s="13">
        <v>1470.0306999999998</v>
      </c>
      <c r="G41" s="13">
        <v>1416.0474999999997</v>
      </c>
      <c r="H41" s="13">
        <v>1416.0474999999997</v>
      </c>
      <c r="I41" s="13">
        <v>1277.03</v>
      </c>
      <c r="J41" s="13">
        <v>1115.7071000000001</v>
      </c>
      <c r="K41" s="13">
        <v>1115.7071000000001</v>
      </c>
      <c r="L41" s="14">
        <v>1115.7071000000001</v>
      </c>
      <c r="M41" s="14">
        <v>1115.7071000000001</v>
      </c>
      <c r="N41" s="14">
        <v>1811.1873999999998</v>
      </c>
      <c r="O41" s="14">
        <v>1676.335</v>
      </c>
      <c r="P41" s="28">
        <f t="shared" si="0"/>
        <v>15014.709999999999</v>
      </c>
    </row>
    <row r="42" spans="1:16" ht="15.5">
      <c r="A42" s="7" t="s">
        <v>1</v>
      </c>
      <c r="B42" s="11" t="s">
        <v>57</v>
      </c>
      <c r="C42" s="14">
        <v>-290492.69</v>
      </c>
      <c r="D42" s="14">
        <v>-54043.769999999997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33">
        <f t="shared" si="0"/>
        <v>-344536.46000000002</v>
      </c>
    </row>
    <row r="43" spans="1:16" ht="15.5">
      <c r="A43" s="7" t="s">
        <v>1</v>
      </c>
      <c r="B43" s="11" t="s">
        <v>61</v>
      </c>
      <c r="C43" s="14">
        <v>0</v>
      </c>
      <c r="D43" s="14"/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/>
      <c r="K43" s="14">
        <v>0</v>
      </c>
      <c r="L43" s="14">
        <v>0</v>
      </c>
      <c r="M43" s="14">
        <v>-260.55000000000001</v>
      </c>
      <c r="N43" s="14">
        <v>-47619.910000000003</v>
      </c>
      <c r="O43" s="14">
        <v>-2431379.3599999999</v>
      </c>
      <c r="P43" s="33">
        <f t="shared" si="0"/>
        <v>-2479259.8199999998</v>
      </c>
    </row>
    <row r="44" spans="1:16" s="7" customFormat="1" ht="15.5">
      <c r="A44" s="7" t="s">
        <v>1</v>
      </c>
      <c r="B44" s="25" t="s">
        <v>42</v>
      </c>
      <c r="C44" s="26">
        <f>ROUND(SUM(C9:C43),2)</f>
        <v>59396706.130000003</v>
      </c>
      <c r="D44" s="26">
        <f t="shared" si="1" ref="D44:P44">ROUND(SUM(D9:D43),2)</f>
        <v>57943251.850000001</v>
      </c>
      <c r="E44" s="26">
        <f t="shared" si="1"/>
        <v>70386949.620000005</v>
      </c>
      <c r="F44" s="26">
        <f t="shared" si="1"/>
        <v>57639713.969999999</v>
      </c>
      <c r="G44" s="26">
        <f t="shared" si="1"/>
        <v>56264144.810000002</v>
      </c>
      <c r="H44" s="26">
        <f t="shared" si="1"/>
        <v>56904499.82</v>
      </c>
      <c r="I44" s="26">
        <f t="shared" si="1"/>
        <v>59854436.789999999</v>
      </c>
      <c r="J44" s="26">
        <f t="shared" si="1"/>
        <v>64487262.700000003</v>
      </c>
      <c r="K44" s="26">
        <f t="shared" si="1"/>
        <v>66965611.409999996</v>
      </c>
      <c r="L44" s="26">
        <f t="shared" si="1"/>
        <v>70267446.230000004</v>
      </c>
      <c r="M44" s="26">
        <f t="shared" si="1"/>
        <v>71813900.959999993</v>
      </c>
      <c r="N44" s="26">
        <f t="shared" si="1"/>
        <v>75783246.700000003</v>
      </c>
      <c r="O44" s="26">
        <f t="shared" si="1"/>
        <v>77714761.829999998</v>
      </c>
      <c r="P44" s="26">
        <f t="shared" si="1"/>
        <v>845421932.80999994</v>
      </c>
    </row>
    <row r="45" spans="1:16" ht="15.5">
      <c r="A45" s="7" t="s">
        <v>34</v>
      </c>
      <c r="B45" s="11" t="s">
        <v>35</v>
      </c>
      <c r="C45" s="13">
        <v>2698.4000000000001</v>
      </c>
      <c r="D45" s="13">
        <v>2698.4000000000001</v>
      </c>
      <c r="E45" s="13">
        <v>2698.3999999999996</v>
      </c>
      <c r="F45" s="13">
        <v>2698.4000000000001</v>
      </c>
      <c r="G45" s="13">
        <v>2698.4000000000001</v>
      </c>
      <c r="H45" s="13">
        <v>2698.4000000000001</v>
      </c>
      <c r="I45" s="13">
        <v>2698.4000000000001</v>
      </c>
      <c r="J45" s="13">
        <v>2698.4000000000001</v>
      </c>
      <c r="K45" s="13">
        <v>2698.4000000000001</v>
      </c>
      <c r="L45" s="14">
        <v>2698.4000000000001</v>
      </c>
      <c r="M45" s="14">
        <v>2698.4000000000001</v>
      </c>
      <c r="N45" s="14">
        <v>2698.4000000000001</v>
      </c>
      <c r="O45" s="14">
        <v>2698.4000000000001</v>
      </c>
      <c r="P45" s="28">
        <f t="shared" si="0"/>
        <v>35079.199999999997</v>
      </c>
    </row>
    <row r="46" spans="1:16" ht="15.5">
      <c r="A46" s="7" t="s">
        <v>34</v>
      </c>
      <c r="B46" s="11" t="s">
        <v>59</v>
      </c>
      <c r="C46" s="13">
        <v>15778.910099999996</v>
      </c>
      <c r="D46" s="13">
        <v>15685.631299999996</v>
      </c>
      <c r="E46" s="13">
        <v>14860.919099999999</v>
      </c>
      <c r="F46" s="13">
        <v>320887.91899999994</v>
      </c>
      <c r="G46" s="13">
        <v>319127.65110000002</v>
      </c>
      <c r="H46" s="13">
        <v>319767.79099999997</v>
      </c>
      <c r="I46" s="13">
        <v>316251.59210000001</v>
      </c>
      <c r="J46" s="13">
        <v>309495.52010000002</v>
      </c>
      <c r="K46" s="13">
        <v>302840.46879999997</v>
      </c>
      <c r="L46" s="14">
        <v>284670.04920000007</v>
      </c>
      <c r="M46" s="14">
        <v>284153.66299999994</v>
      </c>
      <c r="N46" s="14">
        <v>284135.45039999997</v>
      </c>
      <c r="O46" s="14">
        <v>284067.19339999993</v>
      </c>
      <c r="P46" s="28">
        <f t="shared" si="0"/>
        <v>3071722.7599999998</v>
      </c>
    </row>
    <row r="47" spans="1:16" ht="15.5">
      <c r="A47" s="7" t="s">
        <v>34</v>
      </c>
      <c r="B47" s="11" t="s">
        <v>2</v>
      </c>
      <c r="C47" s="17">
        <v>6455394.9015999949</v>
      </c>
      <c r="D47" s="13">
        <v>6633140.7842999948</v>
      </c>
      <c r="E47" s="13">
        <v>6290809.0760999983</v>
      </c>
      <c r="F47" s="13">
        <v>6427960.3019999992</v>
      </c>
      <c r="G47" s="13">
        <v>6676438.8314999985</v>
      </c>
      <c r="H47" s="13">
        <v>6447289.3662</v>
      </c>
      <c r="I47" s="13">
        <v>6712382.5004999992</v>
      </c>
      <c r="J47" s="13">
        <v>6771191.7571999989</v>
      </c>
      <c r="K47" s="13">
        <v>6599109.2649000008</v>
      </c>
      <c r="L47" s="18">
        <v>6725149.7741999999</v>
      </c>
      <c r="M47" s="18">
        <v>6697933.8083999986</v>
      </c>
      <c r="N47" s="19">
        <v>6672264.9396999981</v>
      </c>
      <c r="O47" s="19">
        <v>6722604.269199999</v>
      </c>
      <c r="P47" s="28">
        <f t="shared" si="0"/>
        <v>85831669.579999998</v>
      </c>
    </row>
    <row r="48" spans="1:16" ht="15.5">
      <c r="A48" s="7" t="s">
        <v>34</v>
      </c>
      <c r="B48" s="11" t="s">
        <v>3</v>
      </c>
      <c r="C48" s="13">
        <v>37024.849099999992</v>
      </c>
      <c r="D48" s="13">
        <v>246658.48699999997</v>
      </c>
      <c r="E48" s="13">
        <v>219754.73639999997</v>
      </c>
      <c r="F48" s="13">
        <v>172046.07470000003</v>
      </c>
      <c r="G48" s="13">
        <v>170153.4958</v>
      </c>
      <c r="H48" s="13">
        <v>236646.43539999999</v>
      </c>
      <c r="I48" s="13">
        <v>786213.84140000003</v>
      </c>
      <c r="J48" s="13">
        <v>756303.80129999993</v>
      </c>
      <c r="K48" s="13">
        <v>566006.36580000003</v>
      </c>
      <c r="L48" s="13">
        <v>463096.42850000004</v>
      </c>
      <c r="M48" s="13">
        <v>482435.63980000006</v>
      </c>
      <c r="N48" s="13">
        <v>433042.28389999998</v>
      </c>
      <c r="O48" s="24">
        <v>379856.43359999999</v>
      </c>
      <c r="P48" s="28">
        <f t="shared" si="0"/>
        <v>4949238.8700000001</v>
      </c>
    </row>
    <row r="49" spans="1:16" ht="15.5">
      <c r="A49" s="7" t="s">
        <v>34</v>
      </c>
      <c r="B49" s="11" t="s">
        <v>4</v>
      </c>
      <c r="C49" s="13">
        <v>24324.172599999998</v>
      </c>
      <c r="D49" s="13">
        <v>24266.532400000007</v>
      </c>
      <c r="E49" s="13">
        <v>22734.1446</v>
      </c>
      <c r="F49" s="13">
        <v>24477.817699999992</v>
      </c>
      <c r="G49" s="13">
        <v>24278.259299999998</v>
      </c>
      <c r="H49" s="13">
        <v>24131.830399999999</v>
      </c>
      <c r="I49" s="13">
        <v>23913.823299999996</v>
      </c>
      <c r="J49" s="13">
        <v>23327.862200000003</v>
      </c>
      <c r="K49" s="13">
        <v>24240.260300000002</v>
      </c>
      <c r="L49" s="18">
        <v>24552.736700000005</v>
      </c>
      <c r="M49" s="18">
        <v>24014.427700000004</v>
      </c>
      <c r="N49" s="19">
        <v>26151.675800000005</v>
      </c>
      <c r="O49" s="19">
        <v>26360.1584</v>
      </c>
      <c r="P49" s="28">
        <f t="shared" si="0"/>
        <v>316773.70000000001</v>
      </c>
    </row>
    <row r="50" spans="1:16" ht="15.5">
      <c r="A50" s="7" t="s">
        <v>34</v>
      </c>
      <c r="B50" s="11" t="s">
        <v>5</v>
      </c>
      <c r="C50" s="13">
        <v>8296800.5204000166</v>
      </c>
      <c r="D50" s="13">
        <v>7964138.4402000178</v>
      </c>
      <c r="E50" s="13">
        <v>8347040.1587000052</v>
      </c>
      <c r="F50" s="13">
        <v>8531557.3789999988</v>
      </c>
      <c r="G50" s="13">
        <v>8494457.9000999965</v>
      </c>
      <c r="H50" s="13">
        <v>8420888.8092999961</v>
      </c>
      <c r="I50" s="13">
        <v>8492493.1759000011</v>
      </c>
      <c r="J50" s="13">
        <v>8401856.0463999957</v>
      </c>
      <c r="K50" s="13">
        <v>8223026.3621000014</v>
      </c>
      <c r="L50" s="18">
        <v>8528657.1110999938</v>
      </c>
      <c r="M50" s="18">
        <v>8384027.5159</v>
      </c>
      <c r="N50" s="19">
        <v>8278014.8849000018</v>
      </c>
      <c r="O50" s="19">
        <v>8400391.3025999982</v>
      </c>
      <c r="P50" s="28">
        <f t="shared" si="0"/>
        <v>108763349.61</v>
      </c>
    </row>
    <row r="51" spans="1:16" ht="15.5">
      <c r="A51" s="7" t="s">
        <v>34</v>
      </c>
      <c r="B51" s="11" t="s">
        <v>6</v>
      </c>
      <c r="C51" s="13">
        <v>8608720.2770000044</v>
      </c>
      <c r="D51" s="13">
        <v>11089444.632700004</v>
      </c>
      <c r="E51" s="13">
        <v>11477091.164800011</v>
      </c>
      <c r="F51" s="13">
        <v>10304394.161900008</v>
      </c>
      <c r="G51" s="13">
        <v>9573662.8070000075</v>
      </c>
      <c r="H51" s="13">
        <v>10724708.716504004</v>
      </c>
      <c r="I51" s="13">
        <v>11744538.1009</v>
      </c>
      <c r="J51" s="13">
        <v>11396355.009600004</v>
      </c>
      <c r="K51" s="13">
        <v>11320727.989800016</v>
      </c>
      <c r="L51" s="18">
        <v>10503229.444900008</v>
      </c>
      <c r="M51" s="18">
        <v>10730217.658500018</v>
      </c>
      <c r="N51" s="19">
        <v>10913836.980400017</v>
      </c>
      <c r="O51" s="19">
        <v>12247679.919800015</v>
      </c>
      <c r="P51" s="28">
        <f t="shared" si="0"/>
        <v>140634606.86000001</v>
      </c>
    </row>
    <row r="52" spans="1:16" ht="15.5">
      <c r="A52" s="7" t="s">
        <v>34</v>
      </c>
      <c r="B52" s="11" t="s">
        <v>7</v>
      </c>
      <c r="C52" s="13">
        <v>7469405.2947000051</v>
      </c>
      <c r="D52" s="13">
        <v>7875911.8866999922</v>
      </c>
      <c r="E52" s="13">
        <v>7019583.4272999894</v>
      </c>
      <c r="F52" s="13">
        <v>6479755.5987999905</v>
      </c>
      <c r="G52" s="13">
        <v>6323217.5499999905</v>
      </c>
      <c r="H52" s="13">
        <v>6094516.3230999922</v>
      </c>
      <c r="I52" s="13">
        <v>6079923.1702999892</v>
      </c>
      <c r="J52" s="13">
        <v>6169535.4670999991</v>
      </c>
      <c r="K52" s="13">
        <v>6314896.8043999979</v>
      </c>
      <c r="L52" s="18">
        <v>6110581.7336999997</v>
      </c>
      <c r="M52" s="18">
        <v>5889269.3605999965</v>
      </c>
      <c r="N52" s="19">
        <v>5740999.2748999894</v>
      </c>
      <c r="O52" s="19">
        <v>5371560.2818999998</v>
      </c>
      <c r="P52" s="28">
        <f t="shared" si="0"/>
        <v>82939156.170000002</v>
      </c>
    </row>
    <row r="53" spans="1:16" ht="15.5">
      <c r="A53" s="7" t="s">
        <v>34</v>
      </c>
      <c r="B53" s="11" t="s">
        <v>8</v>
      </c>
      <c r="C53" s="13">
        <v>10690492.51699999</v>
      </c>
      <c r="D53" s="13">
        <v>10639673.929399991</v>
      </c>
      <c r="E53" s="13">
        <v>10302746.446399996</v>
      </c>
      <c r="F53" s="13">
        <v>10155740.328899993</v>
      </c>
      <c r="G53" s="13">
        <v>10276221.3783</v>
      </c>
      <c r="H53" s="13">
        <v>10098485.776399998</v>
      </c>
      <c r="I53" s="13">
        <v>10107493.510299999</v>
      </c>
      <c r="J53" s="13">
        <v>8947022.4700999968</v>
      </c>
      <c r="K53" s="13">
        <v>8927341.5625999961</v>
      </c>
      <c r="L53" s="18">
        <v>8412435.0535999965</v>
      </c>
      <c r="M53" s="18">
        <v>8648246.6157999951</v>
      </c>
      <c r="N53" s="19">
        <v>8677640.7751999982</v>
      </c>
      <c r="O53" s="19">
        <v>9395559.7550999969</v>
      </c>
      <c r="P53" s="28">
        <f t="shared" si="0"/>
        <v>125279100.12000001</v>
      </c>
    </row>
    <row r="54" spans="1:16" ht="15.5">
      <c r="A54" s="7" t="s">
        <v>34</v>
      </c>
      <c r="B54" s="11" t="s">
        <v>9</v>
      </c>
      <c r="C54" s="13">
        <v>519027.08999999973</v>
      </c>
      <c r="D54" s="13">
        <v>425040.81050000002</v>
      </c>
      <c r="E54" s="13">
        <v>400968.2433999998</v>
      </c>
      <c r="F54" s="13">
        <v>402933.04219999979</v>
      </c>
      <c r="G54" s="13">
        <v>449642.44759999961</v>
      </c>
      <c r="H54" s="13">
        <v>545234.4532999997</v>
      </c>
      <c r="I54" s="13">
        <v>490824.63049999968</v>
      </c>
      <c r="J54" s="13">
        <v>577646.51649999991</v>
      </c>
      <c r="K54" s="13">
        <v>656009.64809999976</v>
      </c>
      <c r="L54" s="18">
        <v>551930.65049999976</v>
      </c>
      <c r="M54" s="18">
        <v>743040.86170000012</v>
      </c>
      <c r="N54" s="19">
        <v>748048.64870000037</v>
      </c>
      <c r="O54" s="19">
        <v>548465.62419999985</v>
      </c>
      <c r="P54" s="28">
        <f t="shared" si="0"/>
        <v>7058812.6699999999</v>
      </c>
    </row>
    <row r="55" spans="1:16" ht="15.5">
      <c r="A55" s="7" t="s">
        <v>34</v>
      </c>
      <c r="B55" s="11" t="s">
        <v>10</v>
      </c>
      <c r="C55" s="13">
        <v>112286.97740000002</v>
      </c>
      <c r="D55" s="13">
        <v>116984.29180000004</v>
      </c>
      <c r="E55" s="13">
        <v>114418.6234</v>
      </c>
      <c r="F55" s="13">
        <v>109427.1118</v>
      </c>
      <c r="G55" s="13">
        <v>107017.7309</v>
      </c>
      <c r="H55" s="13">
        <v>113465.64479999998</v>
      </c>
      <c r="I55" s="13">
        <v>112268.49589999998</v>
      </c>
      <c r="J55" s="13">
        <v>107108.74459999999</v>
      </c>
      <c r="K55" s="13">
        <v>101682.9904</v>
      </c>
      <c r="L55" s="18">
        <v>97651.665599999993</v>
      </c>
      <c r="M55" s="18">
        <v>97370.372299999988</v>
      </c>
      <c r="N55" s="19">
        <v>102215.64769999999</v>
      </c>
      <c r="O55" s="19">
        <v>94945.343799999988</v>
      </c>
      <c r="P55" s="28">
        <f t="shared" si="0"/>
        <v>1386843.6399999999</v>
      </c>
    </row>
    <row r="56" spans="1:16" ht="15.5">
      <c r="A56" s="7" t="s">
        <v>34</v>
      </c>
      <c r="B56" s="11" t="s">
        <v>11</v>
      </c>
      <c r="C56" s="13">
        <v>589668.50570000103</v>
      </c>
      <c r="D56" s="13">
        <v>467918.17549999949</v>
      </c>
      <c r="E56" s="13">
        <v>504615.57010000001</v>
      </c>
      <c r="F56" s="13">
        <v>609291.94360000012</v>
      </c>
      <c r="G56" s="13">
        <v>649386.74430000072</v>
      </c>
      <c r="H56" s="13">
        <v>656944.46629999962</v>
      </c>
      <c r="I56" s="13">
        <v>666026.35289999982</v>
      </c>
      <c r="J56" s="13">
        <v>849843.13779999991</v>
      </c>
      <c r="K56" s="13">
        <v>864718.3300999999</v>
      </c>
      <c r="L56" s="18">
        <v>925049.79449999984</v>
      </c>
      <c r="M56" s="18">
        <v>865213.2681000001</v>
      </c>
      <c r="N56" s="19">
        <v>810873.78840000066</v>
      </c>
      <c r="O56" s="19">
        <v>762362.48910000036</v>
      </c>
      <c r="P56" s="28">
        <f t="shared" si="0"/>
        <v>9221912.5700000003</v>
      </c>
    </row>
    <row r="57" spans="1:16" ht="15.5">
      <c r="A57" s="7" t="s">
        <v>34</v>
      </c>
      <c r="B57" s="11" t="s">
        <v>12</v>
      </c>
      <c r="C57" s="13">
        <v>10081798.086000003</v>
      </c>
      <c r="D57" s="13">
        <v>10353219.4246</v>
      </c>
      <c r="E57" s="13">
        <v>10453652.595200002</v>
      </c>
      <c r="F57" s="13">
        <v>10300970.902900005</v>
      </c>
      <c r="G57" s="13">
        <v>9504733.7427000068</v>
      </c>
      <c r="H57" s="13">
        <v>9548558.8433000054</v>
      </c>
      <c r="I57" s="13">
        <v>9532343.6086000074</v>
      </c>
      <c r="J57" s="13">
        <v>9483419.8251000065</v>
      </c>
      <c r="K57" s="13">
        <v>9239854.7265000045</v>
      </c>
      <c r="L57" s="18">
        <v>9342551.5492000021</v>
      </c>
      <c r="M57" s="18">
        <v>9059565.505300004</v>
      </c>
      <c r="N57" s="19">
        <v>8853152.9706000052</v>
      </c>
      <c r="O57" s="19">
        <v>10778928.194600001</v>
      </c>
      <c r="P57" s="28">
        <f t="shared" si="0"/>
        <v>126532749.97</v>
      </c>
    </row>
    <row r="58" spans="1:16" ht="15.5">
      <c r="A58" s="7" t="s">
        <v>34</v>
      </c>
      <c r="B58" s="11" t="s">
        <v>13</v>
      </c>
      <c r="C58" s="13">
        <v>7075367.4514999986</v>
      </c>
      <c r="D58" s="13">
        <v>7379754.9117000056</v>
      </c>
      <c r="E58" s="13">
        <v>7638627.5329000019</v>
      </c>
      <c r="F58" s="13">
        <v>7340500.0156000005</v>
      </c>
      <c r="G58" s="13">
        <v>7097333.5193000017</v>
      </c>
      <c r="H58" s="13">
        <v>6410835.7844000012</v>
      </c>
      <c r="I58" s="13">
        <v>6597866.8173999982</v>
      </c>
      <c r="J58" s="13">
        <v>6101310.8277000003</v>
      </c>
      <c r="K58" s="13">
        <v>5612396.5834999997</v>
      </c>
      <c r="L58" s="18">
        <v>5803189.7176999999</v>
      </c>
      <c r="M58" s="18">
        <v>5821891.9035</v>
      </c>
      <c r="N58" s="19">
        <v>5712285.1966999965</v>
      </c>
      <c r="O58" s="19">
        <v>5477737.8394000009</v>
      </c>
      <c r="P58" s="28">
        <f t="shared" si="0"/>
        <v>84069098.099999994</v>
      </c>
    </row>
    <row r="59" spans="1:16" ht="15.5">
      <c r="A59" s="7" t="s">
        <v>34</v>
      </c>
      <c r="B59" s="11" t="s">
        <v>14</v>
      </c>
      <c r="C59" s="15">
        <v>7787.8552999999984</v>
      </c>
      <c r="D59" s="15">
        <v>7692.7915000000003</v>
      </c>
      <c r="E59" s="15">
        <v>8758.8412999999982</v>
      </c>
      <c r="F59" s="15">
        <v>7937.702299999999</v>
      </c>
      <c r="G59" s="15">
        <v>7311.7279000000008</v>
      </c>
      <c r="H59" s="15">
        <v>7118.4565999999995</v>
      </c>
      <c r="I59" s="15">
        <v>8325.6206999999995</v>
      </c>
      <c r="J59" s="15">
        <v>8026.5858000000007</v>
      </c>
      <c r="K59" s="15">
        <v>7998.0019000000002</v>
      </c>
      <c r="L59" s="18">
        <v>8325.2236000000012</v>
      </c>
      <c r="M59" s="18">
        <v>7683.1572000000006</v>
      </c>
      <c r="N59" s="19">
        <v>8271.3104999999996</v>
      </c>
      <c r="O59" s="19">
        <v>7543.9799999999996</v>
      </c>
      <c r="P59" s="28">
        <f t="shared" si="0"/>
        <v>102781.25</v>
      </c>
    </row>
    <row r="60" spans="1:16" ht="15.5">
      <c r="A60" s="7" t="s">
        <v>34</v>
      </c>
      <c r="B60" s="11" t="s">
        <v>15</v>
      </c>
      <c r="C60" s="13">
        <v>125.7775</v>
      </c>
      <c r="D60" s="13">
        <v>125.7775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8">
        <v>0</v>
      </c>
      <c r="M60" s="18">
        <v>0</v>
      </c>
      <c r="N60" s="19">
        <v>0</v>
      </c>
      <c r="O60" s="19">
        <v>0</v>
      </c>
      <c r="P60" s="28">
        <f t="shared" si="0"/>
        <v>251.56</v>
      </c>
    </row>
    <row r="61" spans="1:16" ht="15.5">
      <c r="A61" s="7" t="s">
        <v>34</v>
      </c>
      <c r="B61" s="11" t="s">
        <v>16</v>
      </c>
      <c r="C61" s="13">
        <v>147938.53359999994</v>
      </c>
      <c r="D61" s="13">
        <v>156773.18919999994</v>
      </c>
      <c r="E61" s="13">
        <v>155569.95290000006</v>
      </c>
      <c r="F61" s="13">
        <v>143912.88430000003</v>
      </c>
      <c r="G61" s="13">
        <v>145877.84860000006</v>
      </c>
      <c r="H61" s="13">
        <v>144854.37700000007</v>
      </c>
      <c r="I61" s="13">
        <v>150582.18330000003</v>
      </c>
      <c r="J61" s="13">
        <v>157060.28300000008</v>
      </c>
      <c r="K61" s="13">
        <v>153082.21030000004</v>
      </c>
      <c r="L61" s="18">
        <v>154627.57010000007</v>
      </c>
      <c r="M61" s="18">
        <v>153150.04950000005</v>
      </c>
      <c r="N61" s="19">
        <v>151947.87609999999</v>
      </c>
      <c r="O61" s="19">
        <v>159666.45370000007</v>
      </c>
      <c r="P61" s="28">
        <f t="shared" si="0"/>
        <v>1975043.4099999999</v>
      </c>
    </row>
    <row r="62" spans="1:16" ht="15.5">
      <c r="A62" s="7" t="s">
        <v>34</v>
      </c>
      <c r="B62" s="11" t="s">
        <v>17</v>
      </c>
      <c r="C62" s="13">
        <v>2677404.2543000039</v>
      </c>
      <c r="D62" s="13">
        <v>2779908.332299999</v>
      </c>
      <c r="E62" s="13">
        <v>2692194.0209999974</v>
      </c>
      <c r="F62" s="13">
        <v>2601647.7634999994</v>
      </c>
      <c r="G62" s="13">
        <v>2552730.4464999978</v>
      </c>
      <c r="H62" s="13">
        <v>2502093.2268999973</v>
      </c>
      <c r="I62" s="13">
        <v>2444870.5422999966</v>
      </c>
      <c r="J62" s="13">
        <v>2631049.0366999963</v>
      </c>
      <c r="K62" s="13">
        <v>2675713.7385999979</v>
      </c>
      <c r="L62" s="18">
        <v>2517842.8247999982</v>
      </c>
      <c r="M62" s="18">
        <v>2592770.957599998</v>
      </c>
      <c r="N62" s="19">
        <v>2597822.9377999967</v>
      </c>
      <c r="O62" s="19">
        <v>2637278.0358999986</v>
      </c>
      <c r="P62" s="28">
        <f t="shared" si="0"/>
        <v>33903326.119999997</v>
      </c>
    </row>
    <row r="63" spans="1:16" ht="15.5">
      <c r="A63" s="7" t="s">
        <v>34</v>
      </c>
      <c r="B63" s="11" t="s">
        <v>18</v>
      </c>
      <c r="C63" s="13">
        <v>10991.802099999999</v>
      </c>
      <c r="D63" s="13">
        <v>11085.3244</v>
      </c>
      <c r="E63" s="13">
        <v>10962.099899999997</v>
      </c>
      <c r="F63" s="13">
        <v>11577.936399999999</v>
      </c>
      <c r="G63" s="13">
        <v>11921.535100000001</v>
      </c>
      <c r="H63" s="13">
        <v>11667.660100000001</v>
      </c>
      <c r="I63" s="13">
        <v>14178.4056</v>
      </c>
      <c r="J63" s="13">
        <v>13856.816800000001</v>
      </c>
      <c r="K63" s="13">
        <v>13553.447099999999</v>
      </c>
      <c r="L63" s="18">
        <v>12107.071</v>
      </c>
      <c r="M63" s="18">
        <v>11049.252399999999</v>
      </c>
      <c r="N63" s="19">
        <v>10805.372799999999</v>
      </c>
      <c r="O63" s="19">
        <v>10973.608799999998</v>
      </c>
      <c r="P63" s="28">
        <f t="shared" si="0"/>
        <v>154730.32999999999</v>
      </c>
    </row>
    <row r="64" spans="1:16" ht="15.5">
      <c r="A64" s="7" t="s">
        <v>34</v>
      </c>
      <c r="B64" s="11" t="s">
        <v>19</v>
      </c>
      <c r="C64" s="13">
        <v>4244772.408400001</v>
      </c>
      <c r="D64" s="13">
        <v>4907867.0381000014</v>
      </c>
      <c r="E64" s="13">
        <v>4759389.1032999996</v>
      </c>
      <c r="F64" s="13">
        <v>5530918.9338999996</v>
      </c>
      <c r="G64" s="13">
        <v>5325571.6632000003</v>
      </c>
      <c r="H64" s="13">
        <v>5125957.6987999994</v>
      </c>
      <c r="I64" s="13">
        <v>5324151.3772</v>
      </c>
      <c r="J64" s="13">
        <v>5667626.8635</v>
      </c>
      <c r="K64" s="13">
        <v>6373588.6776999999</v>
      </c>
      <c r="L64" s="18">
        <v>6373938.2438000003</v>
      </c>
      <c r="M64" s="18">
        <v>6243341.5818999996</v>
      </c>
      <c r="N64" s="19">
        <v>6123720.6793999998</v>
      </c>
      <c r="O64" s="19">
        <v>6240617.3293000003</v>
      </c>
      <c r="P64" s="28">
        <f t="shared" si="0"/>
        <v>72241461.599999994</v>
      </c>
    </row>
    <row r="65" spans="1:16" ht="15.5">
      <c r="A65" s="7" t="s">
        <v>34</v>
      </c>
      <c r="B65" s="11" t="s">
        <v>28</v>
      </c>
      <c r="C65" s="13">
        <v>3669.7529999999997</v>
      </c>
      <c r="D65" s="13">
        <v>4591.0532000000003</v>
      </c>
      <c r="E65" s="13">
        <v>4591.0532000000003</v>
      </c>
      <c r="F65" s="13">
        <v>4591.0532000000003</v>
      </c>
      <c r="G65" s="13">
        <v>4591.0532000000003</v>
      </c>
      <c r="H65" s="13">
        <v>4591.0532000000003</v>
      </c>
      <c r="I65" s="13">
        <v>4591.0532000000003</v>
      </c>
      <c r="J65" s="13">
        <v>4591.0532000000003</v>
      </c>
      <c r="K65" s="13">
        <v>4591.0532000000003</v>
      </c>
      <c r="L65" s="18">
        <v>4591.0532000000003</v>
      </c>
      <c r="M65" s="18">
        <v>4591.0532000000003</v>
      </c>
      <c r="N65" s="19">
        <v>4591.0532000000003</v>
      </c>
      <c r="O65" s="19">
        <v>4591.0532000000003</v>
      </c>
      <c r="P65" s="28">
        <f t="shared" si="0"/>
        <v>58762.389999999999</v>
      </c>
    </row>
    <row r="66" spans="1:16" ht="15.5">
      <c r="A66" s="7" t="s">
        <v>34</v>
      </c>
      <c r="B66" s="11" t="s">
        <v>20</v>
      </c>
      <c r="C66" s="13">
        <v>647581.85029999993</v>
      </c>
      <c r="D66" s="13">
        <v>645869.52029999986</v>
      </c>
      <c r="E66" s="13">
        <v>645855.21969999967</v>
      </c>
      <c r="F66" s="13">
        <v>644928.68379999988</v>
      </c>
      <c r="G66" s="13">
        <v>644818.69729999977</v>
      </c>
      <c r="H66" s="13">
        <v>644625.70609999972</v>
      </c>
      <c r="I66" s="13">
        <v>644618.52549999976</v>
      </c>
      <c r="J66" s="13">
        <v>643334.51389999967</v>
      </c>
      <c r="K66" s="13">
        <v>643366.78219999967</v>
      </c>
      <c r="L66" s="18">
        <v>643117.21219999983</v>
      </c>
      <c r="M66" s="18">
        <v>643059.39029999985</v>
      </c>
      <c r="N66" s="19">
        <v>642750.26029999973</v>
      </c>
      <c r="O66" s="19">
        <v>642950.61839999969</v>
      </c>
      <c r="P66" s="28">
        <f t="shared" si="0"/>
        <v>8376876.9800000004</v>
      </c>
    </row>
    <row r="67" spans="1:16" ht="15.5">
      <c r="A67" s="7" t="s">
        <v>34</v>
      </c>
      <c r="B67" s="11" t="s">
        <v>21</v>
      </c>
      <c r="C67" s="13">
        <v>268729.24136800005</v>
      </c>
      <c r="D67" s="13">
        <v>233866.60598300002</v>
      </c>
      <c r="E67" s="13">
        <v>246664.50690399998</v>
      </c>
      <c r="F67" s="13">
        <v>212227.64454399992</v>
      </c>
      <c r="G67" s="13">
        <v>259483.73926399992</v>
      </c>
      <c r="H67" s="13">
        <v>297333.99116799998</v>
      </c>
      <c r="I67" s="13">
        <v>316903.90899999999</v>
      </c>
      <c r="J67" s="13">
        <v>305717.41289999994</v>
      </c>
      <c r="K67" s="13">
        <v>357905.95549999992</v>
      </c>
      <c r="L67" s="18">
        <v>319842.1902999999</v>
      </c>
      <c r="M67" s="18">
        <v>158800.57445800002</v>
      </c>
      <c r="N67" s="19">
        <v>243449.32789800002</v>
      </c>
      <c r="O67" s="19">
        <v>562709.99496400019</v>
      </c>
      <c r="P67" s="28">
        <f t="shared" si="0"/>
        <v>3783635.0899999999</v>
      </c>
    </row>
    <row r="68" spans="1:16" ht="15.5">
      <c r="A68" s="7" t="s">
        <v>34</v>
      </c>
      <c r="B68" s="11" t="s">
        <v>22</v>
      </c>
      <c r="C68" s="13">
        <v>47469.490200000022</v>
      </c>
      <c r="D68" s="13">
        <v>47816.685700000031</v>
      </c>
      <c r="E68" s="13">
        <v>48222.445200000002</v>
      </c>
      <c r="F68" s="13">
        <v>45843.083799999993</v>
      </c>
      <c r="G68" s="13">
        <v>45430.523200000003</v>
      </c>
      <c r="H68" s="13">
        <v>45046.172300000006</v>
      </c>
      <c r="I68" s="13">
        <v>44537.494200000001</v>
      </c>
      <c r="J68" s="13">
        <v>46095.072800000009</v>
      </c>
      <c r="K68" s="13">
        <v>46758.939400000003</v>
      </c>
      <c r="L68" s="18">
        <v>46205.554700000001</v>
      </c>
      <c r="M68" s="18">
        <v>46480.376600000003</v>
      </c>
      <c r="N68" s="19">
        <v>46771.516699999993</v>
      </c>
      <c r="O68" s="19">
        <v>50943.150999999991</v>
      </c>
      <c r="P68" s="28">
        <f t="shared" si="0"/>
        <v>607620.51000000001</v>
      </c>
    </row>
    <row r="69" spans="1:16" ht="31">
      <c r="A69" s="7" t="s">
        <v>34</v>
      </c>
      <c r="B69" s="11" t="s">
        <v>40</v>
      </c>
      <c r="C69" s="13">
        <v>93432.817600000009</v>
      </c>
      <c r="D69" s="13">
        <v>91848.901600000012</v>
      </c>
      <c r="E69" s="13">
        <v>91626.287599999981</v>
      </c>
      <c r="F69" s="13">
        <v>144088.80499999996</v>
      </c>
      <c r="G69" s="13">
        <v>138818.38740000001</v>
      </c>
      <c r="H69" s="13">
        <v>133205.3804</v>
      </c>
      <c r="I69" s="13">
        <v>109244.33610000002</v>
      </c>
      <c r="J69" s="13">
        <v>88556.493599999987</v>
      </c>
      <c r="K69" s="13">
        <v>82985.568499999979</v>
      </c>
      <c r="L69" s="18">
        <v>77807.417799999996</v>
      </c>
      <c r="M69" s="18">
        <v>71281.016799999983</v>
      </c>
      <c r="N69" s="19">
        <v>87606.911499999987</v>
      </c>
      <c r="O69" s="19">
        <v>82442.1443</v>
      </c>
      <c r="P69" s="28">
        <f t="shared" si="0"/>
        <v>1292944.47</v>
      </c>
    </row>
    <row r="70" spans="1:16" ht="15.5">
      <c r="A70" s="7" t="s">
        <v>34</v>
      </c>
      <c r="B70" s="11" t="s">
        <v>23</v>
      </c>
      <c r="C70" s="13">
        <v>12590.018100000001</v>
      </c>
      <c r="D70" s="13">
        <v>10323.671299999998</v>
      </c>
      <c r="E70" s="13">
        <v>10259.334499999999</v>
      </c>
      <c r="F70" s="13">
        <v>13495.376</v>
      </c>
      <c r="G70" s="13">
        <v>12181.942999999999</v>
      </c>
      <c r="H70" s="13">
        <v>10901.781299999999</v>
      </c>
      <c r="I70" s="13">
        <v>9461.4758999999995</v>
      </c>
      <c r="J70" s="13">
        <v>9918.8432999999986</v>
      </c>
      <c r="K70" s="13">
        <v>9237.8662999999997</v>
      </c>
      <c r="L70" s="18">
        <v>11868.842699999999</v>
      </c>
      <c r="M70" s="18">
        <v>11603.399699999998</v>
      </c>
      <c r="N70" s="19">
        <v>11370.052599999999</v>
      </c>
      <c r="O70" s="19">
        <v>12507.123299999999</v>
      </c>
      <c r="P70" s="28">
        <f t="shared" si="0"/>
        <v>145719.73000000001</v>
      </c>
    </row>
    <row r="71" spans="1:16" ht="15.5">
      <c r="A71" s="7" t="s">
        <v>34</v>
      </c>
      <c r="B71" s="11" t="s">
        <v>31</v>
      </c>
      <c r="C71" s="13">
        <v>1280.0820000000001</v>
      </c>
      <c r="D71" s="13">
        <v>1280.0820000000001</v>
      </c>
      <c r="E71" s="13">
        <v>1280.0820000000001</v>
      </c>
      <c r="F71" s="13">
        <v>1280.0820000000001</v>
      </c>
      <c r="G71" s="13">
        <v>1280.0820000000001</v>
      </c>
      <c r="H71" s="13">
        <v>1280.0820000000001</v>
      </c>
      <c r="I71" s="13">
        <v>1280.0820000000001</v>
      </c>
      <c r="J71" s="13">
        <v>1280.0820000000001</v>
      </c>
      <c r="K71" s="13">
        <v>1280.0820000000001</v>
      </c>
      <c r="L71" s="18">
        <v>1280.0820000000001</v>
      </c>
      <c r="M71" s="18">
        <v>1280.0820000000001</v>
      </c>
      <c r="N71" s="19">
        <v>1280.0820000000001</v>
      </c>
      <c r="O71" s="19">
        <v>1280.0820000000001</v>
      </c>
      <c r="P71" s="28">
        <f t="shared" si="0"/>
        <v>16641.07</v>
      </c>
    </row>
    <row r="72" spans="1:16" ht="15.5">
      <c r="A72" s="7" t="s">
        <v>34</v>
      </c>
      <c r="B72" s="11" t="s">
        <v>24</v>
      </c>
      <c r="C72" s="13">
        <v>111227.49450000006</v>
      </c>
      <c r="D72" s="13">
        <v>111463.92750000018</v>
      </c>
      <c r="E72" s="13">
        <v>107384.18130000003</v>
      </c>
      <c r="F72" s="13">
        <v>110623.15030000002</v>
      </c>
      <c r="G72" s="13">
        <v>109870.39020000008</v>
      </c>
      <c r="H72" s="13">
        <v>112252.50899999999</v>
      </c>
      <c r="I72" s="13">
        <v>109858.2908</v>
      </c>
      <c r="J72" s="13">
        <v>110525.44560000002</v>
      </c>
      <c r="K72" s="13">
        <v>109974.78539999999</v>
      </c>
      <c r="L72" s="18">
        <v>106277.52499999998</v>
      </c>
      <c r="M72" s="18">
        <v>103016.94909999998</v>
      </c>
      <c r="N72" s="19">
        <v>105815.82409999998</v>
      </c>
      <c r="O72" s="19">
        <v>103390.97700000003</v>
      </c>
      <c r="P72" s="28">
        <f t="shared" si="0"/>
        <v>1411681.45</v>
      </c>
    </row>
    <row r="73" spans="1:16" ht="15.5">
      <c r="A73" s="7" t="s">
        <v>34</v>
      </c>
      <c r="B73" s="11" t="s">
        <v>29</v>
      </c>
      <c r="C73" s="13">
        <v>1248105.9108999998</v>
      </c>
      <c r="D73" s="13">
        <v>1322187.4935999997</v>
      </c>
      <c r="E73" s="13">
        <v>1261469.5182999999</v>
      </c>
      <c r="F73" s="13">
        <v>1263618.5092999996</v>
      </c>
      <c r="G73" s="13">
        <v>1238539.0187999993</v>
      </c>
      <c r="H73" s="13">
        <v>1265284.5568999993</v>
      </c>
      <c r="I73" s="13">
        <v>1292358.6974999993</v>
      </c>
      <c r="J73" s="13">
        <v>1277872.6359999995</v>
      </c>
      <c r="K73" s="13">
        <v>1379668.3659999997</v>
      </c>
      <c r="L73" s="18">
        <v>1371566.0472999995</v>
      </c>
      <c r="M73" s="18">
        <v>1558586.0441999994</v>
      </c>
      <c r="N73" s="19">
        <v>1553693.3110999996</v>
      </c>
      <c r="O73" s="19">
        <v>1565073.9171999998</v>
      </c>
      <c r="P73" s="28">
        <f t="shared" si="0"/>
        <v>17598024.030000001</v>
      </c>
    </row>
    <row r="74" spans="1:16" ht="15.5">
      <c r="A74" s="7" t="s">
        <v>34</v>
      </c>
      <c r="B74" s="11" t="s">
        <v>25</v>
      </c>
      <c r="C74" s="13">
        <v>93643.517999999982</v>
      </c>
      <c r="D74" s="13">
        <v>79795.01049999996</v>
      </c>
      <c r="E74" s="13">
        <v>73072.519100000005</v>
      </c>
      <c r="F74" s="13">
        <v>60449.466099999998</v>
      </c>
      <c r="G74" s="13">
        <v>130642.77109999998</v>
      </c>
      <c r="H74" s="13">
        <v>132219.50319999998</v>
      </c>
      <c r="I74" s="13">
        <v>121374.00489999997</v>
      </c>
      <c r="J74" s="13">
        <v>113419.42889999997</v>
      </c>
      <c r="K74" s="13">
        <v>99968.215399999972</v>
      </c>
      <c r="L74" s="18">
        <v>72064.92809999999</v>
      </c>
      <c r="M74" s="18">
        <v>54609.951899999993</v>
      </c>
      <c r="N74" s="19">
        <v>80770.730499999991</v>
      </c>
      <c r="O74" s="19">
        <v>70798.94739999999</v>
      </c>
      <c r="P74" s="28">
        <f t="shared" si="0"/>
        <v>1182829</v>
      </c>
    </row>
    <row r="75" spans="1:16" ht="15.5">
      <c r="A75" s="7" t="s">
        <v>34</v>
      </c>
      <c r="B75" s="11" t="s">
        <v>26</v>
      </c>
      <c r="C75" s="15">
        <v>84814.486200000028</v>
      </c>
      <c r="D75" s="15">
        <v>70347.219500000021</v>
      </c>
      <c r="E75" s="15">
        <v>73381.013500000001</v>
      </c>
      <c r="F75" s="15">
        <v>80863.844800000006</v>
      </c>
      <c r="G75" s="15">
        <v>75224.458599999984</v>
      </c>
      <c r="H75" s="15">
        <v>77132.277699999991</v>
      </c>
      <c r="I75" s="15">
        <v>83461.317800000004</v>
      </c>
      <c r="J75" s="15">
        <v>65375.248699999989</v>
      </c>
      <c r="K75" s="15">
        <v>72121.772100000002</v>
      </c>
      <c r="L75" s="18">
        <v>75165.987699999998</v>
      </c>
      <c r="M75" s="18">
        <v>72262.694100000008</v>
      </c>
      <c r="N75" s="19">
        <v>80615.26460000001</v>
      </c>
      <c r="O75" s="19">
        <v>80145.009999999995</v>
      </c>
      <c r="P75" s="28">
        <f t="shared" si="2" ref="P75:P77">ROUND(SUM(C75:O75),2)</f>
        <v>990910.59999999998</v>
      </c>
    </row>
    <row r="76" spans="1:16" ht="15.5">
      <c r="A76" s="7" t="s">
        <v>34</v>
      </c>
      <c r="B76" s="11" t="s">
        <v>27</v>
      </c>
      <c r="C76" s="13">
        <v>3094.0151000000001</v>
      </c>
      <c r="D76" s="13">
        <v>2939.0612999999998</v>
      </c>
      <c r="E76" s="13">
        <v>2691.7888000000003</v>
      </c>
      <c r="F76" s="13">
        <v>2861.1103000000003</v>
      </c>
      <c r="G76" s="13">
        <v>2922.3977999999997</v>
      </c>
      <c r="H76" s="13">
        <v>2672.7078000000001</v>
      </c>
      <c r="I76" s="13">
        <v>2423.0178000000001</v>
      </c>
      <c r="J76" s="13">
        <v>2672.7078000000001</v>
      </c>
      <c r="K76" s="13">
        <v>2672.7078000000001</v>
      </c>
      <c r="L76" s="18">
        <v>2672.7078000000001</v>
      </c>
      <c r="M76" s="18">
        <v>2672.7078000000001</v>
      </c>
      <c r="N76" s="19">
        <v>1802.9478000000001</v>
      </c>
      <c r="O76" s="19">
        <v>2728.1477999999997</v>
      </c>
      <c r="P76" s="28">
        <f t="shared" si="2"/>
        <v>34826.029999999999</v>
      </c>
    </row>
    <row r="77" spans="1:16" ht="15.5">
      <c r="A77" s="7" t="s">
        <v>34</v>
      </c>
      <c r="B77" s="11" t="s">
        <v>57</v>
      </c>
      <c r="C77" s="19">
        <v>167492.17999999999</v>
      </c>
      <c r="D77" s="31">
        <v>-482428.77329982817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28">
        <f t="shared" si="2"/>
        <v>-314936.59000000003</v>
      </c>
    </row>
    <row r="78" spans="1:16" s="7" customFormat="1" ht="15.5">
      <c r="A78" s="7" t="s">
        <v>34</v>
      </c>
      <c r="B78" s="25" t="s">
        <v>41</v>
      </c>
      <c r="C78" s="26">
        <f t="shared" si="3" ref="C78:N78">ROUND(SUM(C45:C77),2)</f>
        <v>69850939.439999998</v>
      </c>
      <c r="D78" s="26">
        <f t="shared" si="3"/>
        <v>73237889.25</v>
      </c>
      <c r="E78" s="26">
        <f t="shared" si="3"/>
        <v>73002973.010000005</v>
      </c>
      <c r="F78" s="26">
        <f t="shared" si="3"/>
        <v>72063507.030000001</v>
      </c>
      <c r="G78" s="26">
        <f t="shared" si="3"/>
        <v>70375587.140000001</v>
      </c>
      <c r="H78" s="26">
        <f t="shared" si="3"/>
        <v>70162409.780000001</v>
      </c>
      <c r="I78" s="26">
        <f t="shared" si="3"/>
        <v>72347458.349999994</v>
      </c>
      <c r="J78" s="26">
        <f t="shared" si="3"/>
        <v>71044093.909999996</v>
      </c>
      <c r="K78" s="26">
        <f t="shared" si="3"/>
        <v>70790017.930000007</v>
      </c>
      <c r="L78" s="26">
        <f t="shared" si="3"/>
        <v>69574744.590000004</v>
      </c>
      <c r="M78" s="26">
        <f t="shared" si="3"/>
        <v>69466318.239999995</v>
      </c>
      <c r="N78" s="26">
        <f t="shared" si="3"/>
        <v>69008446.379999995</v>
      </c>
      <c r="O78" s="26">
        <f>ROUND(SUM(O45:O77),2)</f>
        <v>72728857.780000001</v>
      </c>
      <c r="P78" s="27">
        <f>ROUND(SUM(C78:O78),2)</f>
        <v>923653242.83000004</v>
      </c>
    </row>
    <row r="79" spans="1:16" ht="16" thickBot="1">
      <c r="A79" s="20" t="s">
        <v>36</v>
      </c>
      <c r="B79" s="11"/>
      <c r="C79" s="21">
        <f>ROUND(C44+C78,2)</f>
        <v>129247645.56999999</v>
      </c>
      <c r="D79" s="21">
        <f t="shared" si="4" ref="D79:O79">ROUND(D44+D78,2)</f>
        <v>131181141.09999999</v>
      </c>
      <c r="E79" s="21">
        <f t="shared" si="4"/>
        <v>143389922.63</v>
      </c>
      <c r="F79" s="21">
        <f t="shared" si="4"/>
        <v>129703221</v>
      </c>
      <c r="G79" s="21">
        <f t="shared" si="4"/>
        <v>126639731.95</v>
      </c>
      <c r="H79" s="21">
        <f t="shared" si="4"/>
        <v>127066909.59999999</v>
      </c>
      <c r="I79" s="21">
        <f t="shared" si="4"/>
        <v>132201895.14</v>
      </c>
      <c r="J79" s="21">
        <f t="shared" si="4"/>
        <v>135531356.61000001</v>
      </c>
      <c r="K79" s="21">
        <f t="shared" si="4"/>
        <v>137755629.34</v>
      </c>
      <c r="L79" s="21">
        <f t="shared" si="4"/>
        <v>139842190.81999999</v>
      </c>
      <c r="M79" s="21">
        <f t="shared" si="4"/>
        <v>141280219.19999999</v>
      </c>
      <c r="N79" s="21">
        <f t="shared" si="4"/>
        <v>144791693.08000001</v>
      </c>
      <c r="O79" s="21">
        <f t="shared" si="4"/>
        <v>150443619.61000001</v>
      </c>
      <c r="P79" s="21">
        <f>ROUND(P44+P78,2)</f>
        <v>1769075175.6400001</v>
      </c>
    </row>
    <row r="80" spans="2:2" ht="16" thickTop="1">
      <c r="B80" s="22"/>
    </row>
  </sheetData>
  <pageMargins left="0.7" right="0.7" top="1.75" bottom="0.75" header="1" footer="0.3"/>
  <pageSetup fitToWidth="0" orientation="landscape" scale="29" r:id="rId1"/>
  <headerFooter>
    <oddHeader>&amp;R&amp;"Arial,Bold"&amp;12WP II-B-8/03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FHHXVRPN3UPD-1807981734-31626</_dlc_DocId>
    <_dlc_DocIdUrl xmlns="4f7156c1-be87-4d1f-9274-ce189f982c1a">
      <Url>http://intranet.corp.oncor.com/sites/Finance/_layouts/15/DocIdRedir.aspx?ID=FHHXVRPN3UPD-1807981734-31626</Url>
      <Description>FHHXVRPN3UPD-1807981734-31626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106B86-60F2-4966-875B-AB78BD1E95F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051F242-9E68-4379-B591-059E8F723C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5AABA2-FFE6-4909-9C1B-62AF1621038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f7156c1-be87-4d1f-9274-ce189f982c1a"/>
  </ds:schemaRefs>
</ds:datastoreItem>
</file>

<file path=customXml/itemProps4.xml><?xml version="1.0" encoding="utf-8"?>
<ds:datastoreItem xmlns:ds="http://schemas.openxmlformats.org/officeDocument/2006/customXml" ds:itemID="{0820621A-569B-41DA-8226-32A7AAB75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II-B-8_03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9b13154b-5c92-4838-a106-3f5a6ee33edd</vt:lpwstr>
  </property>
  <property fmtid="{D5CDD505-2E9C-101B-9397-08002B2CF9AE}" pid="3" name="ContentTypeId">
    <vt:lpwstr>0x0101002027CE8EF2137B4CA3F17065297CF102</vt:lpwstr>
  </property>
</Properties>
</file>