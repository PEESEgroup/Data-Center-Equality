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19200" windowHeight="7310" activeTab="0"/>
  </bookViews>
  <sheets>
    <sheet name="Sheet1" sheetId="1" r:id="rId2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" i="1" l="1"/>
</calcChain>
</file>

<file path=xl/sharedStrings.xml><?xml version="1.0" encoding="utf-8"?>
<sst xmlns="http://schemas.openxmlformats.org/spreadsheetml/2006/main" count="231" uniqueCount="158">
  <si>
    <t>Non-Tax Related Regulatory Assets</t>
  </si>
  <si>
    <t>Unamortized Losses - Reacquired Debt</t>
  </si>
  <si>
    <t>Rocky Mound Series Compensator</t>
  </si>
  <si>
    <t>Deferred Mobile Generator Costs HB 2483 &amp; PURA § 39.918</t>
  </si>
  <si>
    <t>COVID19-Incremental Expense Dkt 50664</t>
  </si>
  <si>
    <t>Pension &amp; OPEB Reg Asset-ONCOR (GAAP)</t>
  </si>
  <si>
    <t>CWIP Tran &amp; Dist Non-Service Cost Pension/OPEBs (GAAP)</t>
  </si>
  <si>
    <t>Plant in service Tran &amp; Dist Non-Service Cost Pension/OPEBs (GAAP)</t>
  </si>
  <si>
    <t>Rate Case Expenses - Non-std Metering Tariff (Dkt 41890)</t>
  </si>
  <si>
    <t>Rate Case Expenses - Final AMS Rec Dkt 49721</t>
  </si>
  <si>
    <t>Rate Case Expenses - 2018 DCRF Dkt 48231</t>
  </si>
  <si>
    <t>Rate Case Expenses - 2019 DCRF Dkt 49427</t>
  </si>
  <si>
    <t>Rate Case Expenses - 2021 DCRF Dkt 51996</t>
  </si>
  <si>
    <t>Rate Case Expenses - 2018 TCJA Dkt 48325</t>
  </si>
  <si>
    <t>Rate Case Expenses - Test Year 2021 Base Rate Case</t>
  </si>
  <si>
    <t>Wholesale Distribution Substation Service</t>
  </si>
  <si>
    <t>Sharyland Residential Interim Rate</t>
  </si>
  <si>
    <t>Study Costs/Transition to Comp - NTU</t>
  </si>
  <si>
    <t>PowerLineSafetyAct PURA 36.066</t>
  </si>
  <si>
    <t xml:space="preserve">Reg Asset - Defaulted REPs </t>
  </si>
  <si>
    <t>Energy Efficiency Performance Bonus</t>
  </si>
  <si>
    <t xml:space="preserve">TCRF Update 16 TAC 25.193 </t>
  </si>
  <si>
    <t>Workers Compensation</t>
  </si>
  <si>
    <t>Non-Tax Related Regulatory Liabilities</t>
  </si>
  <si>
    <t>Estimated net removal costs (GAAP)</t>
  </si>
  <si>
    <t>228, 254</t>
  </si>
  <si>
    <t>Energy Efficiency incl. Unbilled Deferral</t>
  </si>
  <si>
    <t>Over-amortization of intangible investment</t>
  </si>
  <si>
    <t>TCRF Unbilled Revenue Deferral (GAAP)</t>
  </si>
  <si>
    <t>AMS Unbilled Revenue Deferral (GAAP)</t>
  </si>
  <si>
    <t>Capital structure refund Dkt 48522 (over-refund)</t>
  </si>
  <si>
    <t>FIT refund - rate Dkt 48325 (over-refund)</t>
  </si>
  <si>
    <t>Interest-rate savings Dkt 47675 &amp; 53320</t>
  </si>
  <si>
    <t>Unamortized Gains - Reacquired Debt</t>
  </si>
  <si>
    <t>Oncor Electric Delivery Company LLC</t>
  </si>
  <si>
    <t>WP II-E-4.1.1 Rocky Mound Series Comp</t>
  </si>
  <si>
    <t>WP_II-D Adjustment 42</t>
  </si>
  <si>
    <t>Self Insurance Reserve (previously reviewed and approved)</t>
  </si>
  <si>
    <t>Self Insurance Reserve (to be reviewed)</t>
  </si>
  <si>
    <t>Under-Recovered AMS (previously reviewed and approved)</t>
  </si>
  <si>
    <t>Deferred Customer Education - AMS (previously reviewed and approved)</t>
  </si>
  <si>
    <t>Deferred AMS Expense  (previously reviewed and approved)</t>
  </si>
  <si>
    <t>WP_II-D Adjustment 41</t>
  </si>
  <si>
    <t>Deferred Pension Costs (previously reviewed and approved)</t>
  </si>
  <si>
    <t>Deferred Pension Costs ( to be reviewed)</t>
  </si>
  <si>
    <t>Deferred Other Post-Employment Benefit Costs (previously reviewed and approved)</t>
  </si>
  <si>
    <t>Rate Case Expenses - AMS (previously reviewed and approved)</t>
  </si>
  <si>
    <t>Docket No. 46957 Rider RCE (over-collection)</t>
  </si>
  <si>
    <t>Deferred OPEB Cost (to be reviewed)</t>
  </si>
  <si>
    <t>Sch II-C-2.4 and II-C-2.4a</t>
  </si>
  <si>
    <t>WP_II-D Adjustment 46</t>
  </si>
  <si>
    <t>WP_II-D Adjustment 47</t>
  </si>
  <si>
    <t>WP_II-D Adjustment 48</t>
  </si>
  <si>
    <t>WP_II-D Adjustment 36</t>
  </si>
  <si>
    <t>WP_II-D Adjustment 24</t>
  </si>
  <si>
    <t>WP_II-D Adjustment 33</t>
  </si>
  <si>
    <t>WP_II-D Adjustment 50</t>
  </si>
  <si>
    <t>WP_II-D Adjustment 37</t>
  </si>
  <si>
    <t>WP_II-D Adjustment 43</t>
  </si>
  <si>
    <t>WP_II-D Adjustment 35</t>
  </si>
  <si>
    <t>WP_II-D Adjustment 34</t>
  </si>
  <si>
    <t>WP_II-D Adjustment 44</t>
  </si>
  <si>
    <t>WP_II-D Adjustment 45</t>
  </si>
  <si>
    <t>WP_II-D Adjustment 38</t>
  </si>
  <si>
    <t>WP_II-D Adjustment 39</t>
  </si>
  <si>
    <t>WP_II-D Adjustment 49</t>
  </si>
  <si>
    <t>Sch II-B-14</t>
  </si>
  <si>
    <t>Sch II-E-4.5</t>
  </si>
  <si>
    <t>WP II-E-4.1.1 SIR To Be Reviewed</t>
  </si>
  <si>
    <t>Sch II-D-2.2a</t>
  </si>
  <si>
    <t>WP II-E-4.1.1 AMS Rate Case Expenses</t>
  </si>
  <si>
    <t>WP_II-D Adjustment 40</t>
  </si>
  <si>
    <t>Reference Workpaper for reg asset amortization</t>
  </si>
  <si>
    <t>Rate Case Expenses - 2017 ED DOCKET 46957 (post-cutoff)</t>
  </si>
  <si>
    <t>WP II-E-4.1.1 PLSA Regulatory Asset</t>
  </si>
  <si>
    <t>Sch II-E-4.1 and II-E-4.1.1</t>
  </si>
  <si>
    <t>Exhibit WAL-5</t>
  </si>
  <si>
    <t>Reference Exhibit, Schedule ("Sch"), or Workpaper ("WP")</t>
  </si>
  <si>
    <t>Line No 7</t>
  </si>
  <si>
    <t>Line No 45</t>
  </si>
  <si>
    <t>Line No 46</t>
  </si>
  <si>
    <t>Line No 47</t>
  </si>
  <si>
    <t>Line No 48</t>
  </si>
  <si>
    <t>Line No 52</t>
  </si>
  <si>
    <t>Line No 53</t>
  </si>
  <si>
    <t>Line No 33</t>
  </si>
  <si>
    <t>Line No 6</t>
  </si>
  <si>
    <t>Line No 21</t>
  </si>
  <si>
    <t>Line No 19</t>
  </si>
  <si>
    <t>Line No 30</t>
  </si>
  <si>
    <t>Line No 31</t>
  </si>
  <si>
    <t>Line No 32</t>
  </si>
  <si>
    <t>Line No 34</t>
  </si>
  <si>
    <t>Line No 37</t>
  </si>
  <si>
    <t>Line No 38</t>
  </si>
  <si>
    <t>Line No 39</t>
  </si>
  <si>
    <t>Line No 40</t>
  </si>
  <si>
    <t>Line No 41</t>
  </si>
  <si>
    <t>Line No 51</t>
  </si>
  <si>
    <t>Line No 20</t>
  </si>
  <si>
    <t>Line No 43</t>
  </si>
  <si>
    <t>Line No 44</t>
  </si>
  <si>
    <t>Line No 18</t>
  </si>
  <si>
    <t>Line No 23</t>
  </si>
  <si>
    <t>Line No 22</t>
  </si>
  <si>
    <t>Line No 24</t>
  </si>
  <si>
    <t>Line No 5</t>
  </si>
  <si>
    <t>Line No 25</t>
  </si>
  <si>
    <t>Line Nos 25 &amp; 28</t>
  </si>
  <si>
    <t>Line Nos 26 &amp; 27 &amp; 29</t>
  </si>
  <si>
    <t>Line No 16</t>
  </si>
  <si>
    <t>Line No 36</t>
  </si>
  <si>
    <t>Line No 55</t>
  </si>
  <si>
    <t>Line No 26</t>
  </si>
  <si>
    <t>Line No 49</t>
  </si>
  <si>
    <t>Line No 50</t>
  </si>
  <si>
    <t>Line No 29</t>
  </si>
  <si>
    <t>Line No 28</t>
  </si>
  <si>
    <t>Line Nos 31 &amp; 34</t>
  </si>
  <si>
    <t>Line Nos 32 &amp; 33 &amp;35</t>
  </si>
  <si>
    <t>Line No 54</t>
  </si>
  <si>
    <t>Line No 8</t>
  </si>
  <si>
    <t>Line No 9</t>
  </si>
  <si>
    <t>Line No 10</t>
  </si>
  <si>
    <t>Line No 11</t>
  </si>
  <si>
    <t>Line No 12</t>
  </si>
  <si>
    <t>Line No 13</t>
  </si>
  <si>
    <t>Line No 14</t>
  </si>
  <si>
    <t>Line No 15</t>
  </si>
  <si>
    <t>Line No 17</t>
  </si>
  <si>
    <t>Line No 27</t>
  </si>
  <si>
    <t>Line No 35</t>
  </si>
  <si>
    <t>Line No 42</t>
  </si>
  <si>
    <t>Shown on Sch II-B-12</t>
  </si>
  <si>
    <t>Shown on Sch II-E-4.1</t>
  </si>
  <si>
    <t>Shown on Sch II-E-4.1.1</t>
  </si>
  <si>
    <t>Page 1 of 1</t>
  </si>
  <si>
    <t>WP II-B-12_1 Nontax reg assets and liabilities</t>
  </si>
  <si>
    <t>Line Nos 40 - 42</t>
  </si>
  <si>
    <t>Exhibits, Schedules, and Workpapers for Non-Tax Regulatory Assets/(Liabilities) and related amortizations</t>
  </si>
  <si>
    <t>Regulatory asset/(liability)</t>
  </si>
  <si>
    <t>Reg asset/(liability) amortization</t>
  </si>
  <si>
    <t>Line Nos 34-36</t>
  </si>
  <si>
    <t>2022 Rate Case</t>
  </si>
  <si>
    <t>For the Test Year Ending December 31, 2021</t>
  </si>
  <si>
    <t>Sponsor:  W. Alan Ledbetter</t>
  </si>
  <si>
    <t>WP II-E-4.1.1 HB 2483 Mobile Gen Regulatory Asset</t>
  </si>
  <si>
    <t>WP II-E-4.1.1 COVID19 Incremental Expense Reg Asset</t>
  </si>
  <si>
    <t>WP II-E-4.1.1 Wholesale Distribution Substation Service Reg asset</t>
  </si>
  <si>
    <t>WP II-E-4.1.1 Sharyland Interim Rate Reg Asset</t>
  </si>
  <si>
    <t>WP II-E-4.1.1 NTU Transition to Competition Reg Asset</t>
  </si>
  <si>
    <t>WP II-E-4.1.1 AMS Meter Reader Severances Regulatory Asset</t>
  </si>
  <si>
    <t>WP II-E-4.1.1 AMS Customer Education Reg Asset</t>
  </si>
  <si>
    <t>WP II-E-4.1.1 AMS Under-recovery reg asset</t>
  </si>
  <si>
    <t>WP II-E-4.1.1 CSR</t>
  </si>
  <si>
    <t>WP II-E-4.1.1 TRF</t>
  </si>
  <si>
    <t>WP II-E-4.1.1 Intangible Asset Over-Amortization Reg Liability</t>
  </si>
  <si>
    <t>WP II-E-4.1.1 SIR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</si>
</sst>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K54"/>
  <sheetViews>
    <sheetView tabSelected="1" workbookViewId="0" topLeftCell="C1">
      <selection pane="topLeft" activeCell="K36" sqref="K36"/>
    </sheetView>
  </sheetViews>
  <sheetFormatPr defaultRowHeight="15"/>
  <cols>
    <col min="2" max="2" width="71.8571428571429" bestFit="1" customWidth="1"/>
    <col min="3" max="3" width="23" style="2" bestFit="1" customWidth="1"/>
    <col min="4" max="4" width="2.85714285714286" style="2" customWidth="1"/>
    <col min="5" max="5" width="31.4285714285714" bestFit="1" customWidth="1"/>
    <col min="6" max="6" width="2.85714285714286" customWidth="1"/>
    <col min="7" max="7" width="30.7142857142857" style="2" bestFit="1" customWidth="1"/>
    <col min="8" max="8" width="3.57142857142857" style="11" customWidth="1"/>
    <col min="9" max="9" width="55.7142857142857" bestFit="1" customWidth="1"/>
    <col min="10" max="10" width="4" style="7" customWidth="1"/>
    <col min="11" max="11" width="52.1428571428571" bestFit="1" customWidth="1"/>
  </cols>
  <sheetData>
    <row r="1" spans="1:11" ht="14.5">
      <c r="A1" s="1" t="s">
        <v>143</v>
      </c>
      <c r="K1" s="12" t="s">
        <v>137</v>
      </c>
    </row>
    <row r="2" spans="1:11" ht="14.5">
      <c r="A2" s="1" t="s">
        <v>34</v>
      </c>
      <c r="K2" s="12" t="s">
        <v>136</v>
      </c>
    </row>
    <row r="3" spans="1:11" ht="14.5">
      <c r="A3" s="1" t="s">
        <v>139</v>
      </c>
      <c r="K3" s="12"/>
    </row>
    <row r="4" spans="1:11" ht="14.5">
      <c r="A4" s="1" t="s">
        <v>144</v>
      </c>
      <c r="K4" s="12"/>
    </row>
    <row r="5" spans="1:11" ht="14.5">
      <c r="A5" s="1" t="s">
        <v>145</v>
      </c>
      <c r="K5" s="12"/>
    </row>
    <row r="6" spans="1:11" ht="14.5">
      <c r="A6" s="14"/>
      <c r="K6" s="12"/>
    </row>
    <row r="7" spans="3:7" ht="14.5">
      <c r="C7" s="13" t="s">
        <v>140</v>
      </c>
      <c r="E7" s="13" t="s">
        <v>141</v>
      </c>
      <c r="G7" s="13"/>
    </row>
    <row r="8" spans="1:11" ht="14.5">
      <c r="A8" s="1" t="s">
        <v>0</v>
      </c>
      <c r="B8" s="1"/>
      <c r="C8" s="3" t="s">
        <v>133</v>
      </c>
      <c r="D8" s="10"/>
      <c r="E8" s="3" t="s">
        <v>134</v>
      </c>
      <c r="F8" s="10"/>
      <c r="G8" s="3" t="s">
        <v>135</v>
      </c>
      <c r="H8" s="10"/>
      <c r="I8" s="5" t="s">
        <v>77</v>
      </c>
      <c r="J8" s="8"/>
      <c r="K8" s="5" t="s">
        <v>72</v>
      </c>
    </row>
    <row r="9" spans="1:9" ht="14.5">
      <c r="A9" s="2">
        <v>189</v>
      </c>
      <c r="B9" t="s">
        <v>1</v>
      </c>
      <c r="C9" s="2" t="s">
        <v>106</v>
      </c>
      <c r="I9" t="s">
        <v>49</v>
      </c>
    </row>
    <row r="10" spans="1:11" ht="14.5">
      <c r="A10" s="2">
        <v>182</v>
      </c>
      <c r="B10" t="s">
        <v>2</v>
      </c>
      <c r="C10" s="2" t="s">
        <v>86</v>
      </c>
      <c r="E10" s="2" t="s">
        <v>86</v>
      </c>
      <c r="F10" s="2"/>
      <c r="G10" s="2" t="s">
        <v>86</v>
      </c>
      <c r="I10" t="s">
        <v>35</v>
      </c>
      <c r="K10" t="str">
        <f>I10</f>
        <v>WP II-E-4.1.1 Rocky Mound Series Comp</v>
      </c>
    </row>
    <row r="11" spans="1:11" ht="14.5">
      <c r="A11" s="2">
        <v>182</v>
      </c>
      <c r="B11" t="s">
        <v>3</v>
      </c>
      <c r="C11" s="2" t="s">
        <v>78</v>
      </c>
      <c r="E11" s="2" t="s">
        <v>130</v>
      </c>
      <c r="F11" s="2"/>
      <c r="G11" s="2" t="s">
        <v>87</v>
      </c>
      <c r="I11" t="s">
        <v>146</v>
      </c>
      <c r="K11" t="s">
        <v>71</v>
      </c>
    </row>
    <row r="12" spans="1:11" ht="14.5">
      <c r="A12" s="2">
        <v>182</v>
      </c>
      <c r="B12" t="s">
        <v>4</v>
      </c>
      <c r="C12" s="2" t="s">
        <v>121</v>
      </c>
      <c r="E12" s="2" t="s">
        <v>107</v>
      </c>
      <c r="F12" s="2"/>
      <c r="G12" s="2" t="s">
        <v>88</v>
      </c>
      <c r="I12" s="6" t="s">
        <v>147</v>
      </c>
      <c r="J12" s="9"/>
      <c r="K12" t="s">
        <v>36</v>
      </c>
    </row>
    <row r="13" spans="1:11" ht="14.5">
      <c r="A13" s="2">
        <v>182</v>
      </c>
      <c r="B13" t="s">
        <v>43</v>
      </c>
      <c r="C13" s="2" t="s">
        <v>122</v>
      </c>
      <c r="E13" s="2" t="s">
        <v>111</v>
      </c>
      <c r="F13" s="2"/>
      <c r="G13" s="2" t="s">
        <v>89</v>
      </c>
      <c r="I13" t="s">
        <v>66</v>
      </c>
      <c r="K13" t="s">
        <v>50</v>
      </c>
    </row>
    <row r="14" spans="1:11" ht="14.5">
      <c r="A14" s="2">
        <v>182</v>
      </c>
      <c r="B14" t="s">
        <v>44</v>
      </c>
      <c r="C14" s="2" t="s">
        <v>123</v>
      </c>
      <c r="E14" s="2" t="s">
        <v>93</v>
      </c>
      <c r="F14" s="2"/>
      <c r="G14" s="2" t="s">
        <v>90</v>
      </c>
      <c r="I14" t="s">
        <v>66</v>
      </c>
      <c r="K14" t="s">
        <v>51</v>
      </c>
    </row>
    <row r="15" spans="1:11" ht="14.5">
      <c r="A15" s="2">
        <v>182</v>
      </c>
      <c r="B15" t="s">
        <v>45</v>
      </c>
      <c r="C15" s="2" t="s">
        <v>124</v>
      </c>
      <c r="E15" s="2" t="s">
        <v>94</v>
      </c>
      <c r="F15" s="2"/>
      <c r="G15" s="2" t="s">
        <v>91</v>
      </c>
      <c r="I15" t="s">
        <v>66</v>
      </c>
      <c r="K15" t="s">
        <v>52</v>
      </c>
    </row>
    <row r="16" spans="1:11" ht="14.5">
      <c r="A16" s="2">
        <v>182</v>
      </c>
      <c r="B16" t="s">
        <v>5</v>
      </c>
      <c r="C16" s="2" t="s">
        <v>125</v>
      </c>
      <c r="E16" s="2"/>
      <c r="F16" s="2"/>
      <c r="I16" s="6" t="s">
        <v>76</v>
      </c>
      <c r="J16" s="9"/>
      <c r="K16" s="6"/>
    </row>
    <row r="17" spans="1:11" ht="14.5">
      <c r="A17" s="2">
        <v>182</v>
      </c>
      <c r="B17" t="s">
        <v>6</v>
      </c>
      <c r="C17" s="2" t="s">
        <v>126</v>
      </c>
      <c r="E17" s="2"/>
      <c r="F17" s="2"/>
      <c r="I17" s="6" t="s">
        <v>76</v>
      </c>
      <c r="J17" s="9"/>
      <c r="K17" s="6"/>
    </row>
    <row r="18" spans="1:11" ht="14.5">
      <c r="A18" s="2">
        <v>182</v>
      </c>
      <c r="B18" t="s">
        <v>7</v>
      </c>
      <c r="C18" s="2" t="s">
        <v>127</v>
      </c>
      <c r="E18" s="2"/>
      <c r="F18" s="2"/>
      <c r="I18" s="6" t="s">
        <v>76</v>
      </c>
      <c r="J18" s="9"/>
      <c r="K18" s="6"/>
    </row>
    <row r="19" spans="1:11" ht="14.5">
      <c r="A19" s="2">
        <v>186</v>
      </c>
      <c r="B19" t="s">
        <v>46</v>
      </c>
      <c r="C19" s="2" t="s">
        <v>128</v>
      </c>
      <c r="E19" s="2" t="s">
        <v>138</v>
      </c>
      <c r="F19" s="2"/>
      <c r="G19" s="2" t="s">
        <v>142</v>
      </c>
      <c r="I19" s="6" t="s">
        <v>70</v>
      </c>
      <c r="J19" s="9"/>
      <c r="K19" s="6" t="s">
        <v>53</v>
      </c>
    </row>
    <row r="20" spans="1:11" ht="14.5">
      <c r="A20" s="2">
        <v>186</v>
      </c>
      <c r="B20" t="s">
        <v>8</v>
      </c>
      <c r="C20" s="2" t="s">
        <v>110</v>
      </c>
      <c r="E20" s="2"/>
      <c r="F20" s="2"/>
      <c r="I20" s="6" t="s">
        <v>76</v>
      </c>
      <c r="J20" s="9"/>
      <c r="K20" s="6"/>
    </row>
    <row r="21" spans="1:11" ht="14.5">
      <c r="A21" s="2">
        <v>186</v>
      </c>
      <c r="B21" t="s">
        <v>9</v>
      </c>
      <c r="C21" s="2" t="s">
        <v>129</v>
      </c>
      <c r="E21" s="2" t="s">
        <v>100</v>
      </c>
      <c r="F21" s="2"/>
      <c r="G21" s="2" t="s">
        <v>93</v>
      </c>
      <c r="I21" t="s">
        <v>67</v>
      </c>
      <c r="K21" t="s">
        <v>54</v>
      </c>
    </row>
    <row r="22" spans="1:11" ht="14.5">
      <c r="A22" s="2">
        <v>186</v>
      </c>
      <c r="B22" t="s">
        <v>10</v>
      </c>
      <c r="C22" s="2" t="s">
        <v>102</v>
      </c>
      <c r="E22" s="2" t="s">
        <v>79</v>
      </c>
      <c r="F22" s="2"/>
      <c r="G22" s="2" t="s">
        <v>95</v>
      </c>
      <c r="I22" t="s">
        <v>67</v>
      </c>
      <c r="K22" t="s">
        <v>54</v>
      </c>
    </row>
    <row r="23" spans="1:11" ht="14.5">
      <c r="A23" s="2">
        <v>186</v>
      </c>
      <c r="B23" t="s">
        <v>11</v>
      </c>
      <c r="C23" s="2" t="s">
        <v>88</v>
      </c>
      <c r="E23" s="2" t="s">
        <v>80</v>
      </c>
      <c r="F23" s="2"/>
      <c r="G23" s="2" t="s">
        <v>96</v>
      </c>
      <c r="I23" t="s">
        <v>67</v>
      </c>
      <c r="K23" t="s">
        <v>54</v>
      </c>
    </row>
    <row r="24" spans="1:11" ht="14.5">
      <c r="A24" s="2">
        <v>186</v>
      </c>
      <c r="B24" t="s">
        <v>12</v>
      </c>
      <c r="C24" s="2" t="s">
        <v>99</v>
      </c>
      <c r="E24" s="2" t="s">
        <v>81</v>
      </c>
      <c r="F24" s="2"/>
      <c r="G24" s="2" t="s">
        <v>97</v>
      </c>
      <c r="I24" t="s">
        <v>67</v>
      </c>
      <c r="K24" t="s">
        <v>54</v>
      </c>
    </row>
    <row r="25" spans="1:11" ht="14.5">
      <c r="A25" s="2">
        <v>186</v>
      </c>
      <c r="B25" t="s">
        <v>73</v>
      </c>
      <c r="C25" s="2" t="s">
        <v>87</v>
      </c>
      <c r="E25" s="2" t="s">
        <v>84</v>
      </c>
      <c r="F25" s="2"/>
      <c r="G25" s="2" t="s">
        <v>98</v>
      </c>
      <c r="I25" t="s">
        <v>67</v>
      </c>
      <c r="K25" t="s">
        <v>54</v>
      </c>
    </row>
    <row r="26" spans="1:11" ht="14.5">
      <c r="A26" s="2">
        <v>186</v>
      </c>
      <c r="B26" t="s">
        <v>13</v>
      </c>
      <c r="C26" s="2" t="s">
        <v>104</v>
      </c>
      <c r="E26" s="2" t="s">
        <v>82</v>
      </c>
      <c r="F26" s="2"/>
      <c r="G26" s="2" t="s">
        <v>132</v>
      </c>
      <c r="I26" t="s">
        <v>67</v>
      </c>
      <c r="K26" t="s">
        <v>54</v>
      </c>
    </row>
    <row r="27" spans="1:11" ht="14.5">
      <c r="A27" s="2">
        <v>186</v>
      </c>
      <c r="B27" t="s">
        <v>14</v>
      </c>
      <c r="C27" s="2" t="s">
        <v>103</v>
      </c>
      <c r="E27" s="2" t="s">
        <v>112</v>
      </c>
      <c r="F27" s="2"/>
      <c r="G27" s="2" t="s">
        <v>84</v>
      </c>
      <c r="I27" t="s">
        <v>67</v>
      </c>
      <c r="K27" t="s">
        <v>54</v>
      </c>
    </row>
    <row r="28" spans="1:11" ht="14.5">
      <c r="A28" s="2">
        <v>182</v>
      </c>
      <c r="B28" t="s">
        <v>15</v>
      </c>
      <c r="C28" s="2" t="s">
        <v>105</v>
      </c>
      <c r="E28" s="2" t="s">
        <v>113</v>
      </c>
      <c r="F28" s="2"/>
      <c r="G28" s="2" t="s">
        <v>99</v>
      </c>
      <c r="I28" t="s">
        <v>148</v>
      </c>
      <c r="K28" t="s">
        <v>55</v>
      </c>
    </row>
    <row r="29" spans="1:11" ht="14.5">
      <c r="A29" s="2">
        <v>182</v>
      </c>
      <c r="B29" t="s">
        <v>16</v>
      </c>
      <c r="C29" s="2" t="s">
        <v>107</v>
      </c>
      <c r="E29" s="2" t="s">
        <v>114</v>
      </c>
      <c r="F29" s="2"/>
      <c r="G29" s="2" t="s">
        <v>100</v>
      </c>
      <c r="I29" t="s">
        <v>149</v>
      </c>
      <c r="K29" t="s">
        <v>56</v>
      </c>
    </row>
    <row r="30" spans="1:11" ht="14.5">
      <c r="A30" s="2">
        <v>182</v>
      </c>
      <c r="B30" t="s">
        <v>17</v>
      </c>
      <c r="C30" s="2" t="s">
        <v>113</v>
      </c>
      <c r="E30" s="2" t="s">
        <v>115</v>
      </c>
      <c r="F30" s="2"/>
      <c r="G30" s="2" t="s">
        <v>101</v>
      </c>
      <c r="I30" t="s">
        <v>150</v>
      </c>
      <c r="K30" t="s">
        <v>57</v>
      </c>
    </row>
    <row r="31" spans="1:11" ht="14.5">
      <c r="A31" s="2">
        <v>182</v>
      </c>
      <c r="B31" t="s">
        <v>18</v>
      </c>
      <c r="C31" s="2" t="s">
        <v>130</v>
      </c>
      <c r="E31" s="2" t="s">
        <v>105</v>
      </c>
      <c r="F31" s="2"/>
      <c r="G31" s="2" t="s">
        <v>102</v>
      </c>
      <c r="I31" t="s">
        <v>74</v>
      </c>
      <c r="K31" t="s">
        <v>42</v>
      </c>
    </row>
    <row r="32" spans="1:11" ht="14.5">
      <c r="A32" s="2">
        <v>182</v>
      </c>
      <c r="B32" t="s">
        <v>19</v>
      </c>
      <c r="C32" s="2" t="s">
        <v>117</v>
      </c>
      <c r="E32" s="2" t="s">
        <v>116</v>
      </c>
      <c r="F32" s="2"/>
      <c r="G32" s="2" t="s">
        <v>103</v>
      </c>
      <c r="I32" t="s">
        <v>69</v>
      </c>
      <c r="K32" t="s">
        <v>58</v>
      </c>
    </row>
    <row r="33" spans="1:11" ht="14.5">
      <c r="A33" s="2">
        <v>182</v>
      </c>
      <c r="B33" t="s">
        <v>41</v>
      </c>
      <c r="C33" s="2" t="s">
        <v>116</v>
      </c>
      <c r="E33" s="2" t="s">
        <v>117</v>
      </c>
      <c r="F33" s="2"/>
      <c r="G33" s="2" t="s">
        <v>104</v>
      </c>
      <c r="I33" t="s">
        <v>151</v>
      </c>
      <c r="K33" t="s">
        <v>59</v>
      </c>
    </row>
    <row r="34" spans="1:11" ht="14.5">
      <c r="A34" s="2">
        <v>182</v>
      </c>
      <c r="B34" t="s">
        <v>40</v>
      </c>
      <c r="C34" s="2" t="s">
        <v>89</v>
      </c>
      <c r="E34" s="2" t="s">
        <v>89</v>
      </c>
      <c r="F34" s="2"/>
      <c r="G34" s="2" t="s">
        <v>105</v>
      </c>
      <c r="I34" t="s">
        <v>152</v>
      </c>
      <c r="K34" t="s">
        <v>60</v>
      </c>
    </row>
    <row r="35" spans="1:11" ht="14.5">
      <c r="A35" s="2">
        <v>182</v>
      </c>
      <c r="B35" t="s">
        <v>39</v>
      </c>
      <c r="C35" s="2" t="s">
        <v>90</v>
      </c>
      <c r="E35" s="2" t="s">
        <v>106</v>
      </c>
      <c r="F35" s="2"/>
      <c r="G35" s="2" t="s">
        <v>106</v>
      </c>
      <c r="I35" t="s">
        <v>75</v>
      </c>
      <c r="K35" t="s">
        <v>153</v>
      </c>
    </row>
    <row r="36" spans="1:11" ht="14.5">
      <c r="A36" s="2">
        <v>182</v>
      </c>
      <c r="B36" t="s">
        <v>20</v>
      </c>
      <c r="C36" s="2" t="s">
        <v>91</v>
      </c>
      <c r="E36" s="2"/>
      <c r="F36" s="2"/>
      <c r="I36" s="6" t="s">
        <v>76</v>
      </c>
      <c r="J36" s="9"/>
      <c r="K36" s="6"/>
    </row>
    <row r="37" spans="1:11" ht="14.5">
      <c r="A37" s="2">
        <v>182</v>
      </c>
      <c r="B37" t="s">
        <v>21</v>
      </c>
      <c r="C37" s="2" t="s">
        <v>85</v>
      </c>
      <c r="E37" s="2"/>
      <c r="F37" s="2"/>
      <c r="I37" s="6" t="s">
        <v>76</v>
      </c>
      <c r="J37" s="9"/>
      <c r="K37" s="6"/>
    </row>
    <row r="38" spans="1:11" ht="14.5">
      <c r="A38" s="2">
        <v>186</v>
      </c>
      <c r="B38" t="s">
        <v>22</v>
      </c>
      <c r="C38" s="2" t="s">
        <v>92</v>
      </c>
      <c r="E38" s="2"/>
      <c r="F38" s="2"/>
      <c r="I38" s="6" t="s">
        <v>76</v>
      </c>
      <c r="J38" s="9"/>
      <c r="K38" s="6"/>
    </row>
    <row r="39" spans="1:11" ht="14.5">
      <c r="A39" s="2">
        <v>186</v>
      </c>
      <c r="B39" t="s">
        <v>37</v>
      </c>
      <c r="C39" s="2" t="s">
        <v>131</v>
      </c>
      <c r="E39" s="2" t="s">
        <v>118</v>
      </c>
      <c r="F39" s="2"/>
      <c r="G39" s="2" t="s">
        <v>108</v>
      </c>
      <c r="I39" t="s">
        <v>157</v>
      </c>
      <c r="K39" t="s">
        <v>61</v>
      </c>
    </row>
    <row r="40" spans="1:11" ht="14.5">
      <c r="A40" s="2">
        <v>186</v>
      </c>
      <c r="B40" t="s">
        <v>38</v>
      </c>
      <c r="C40" s="2" t="s">
        <v>111</v>
      </c>
      <c r="E40" s="2" t="s">
        <v>119</v>
      </c>
      <c r="F40" s="2"/>
      <c r="G40" s="2" t="s">
        <v>109</v>
      </c>
      <c r="I40" t="s">
        <v>68</v>
      </c>
      <c r="K40" t="s">
        <v>62</v>
      </c>
    </row>
    <row r="41" spans="1:6" ht="14.5">
      <c r="A41" s="2"/>
      <c r="E41" s="2"/>
      <c r="F41" s="2"/>
    </row>
    <row r="42" spans="1:6" ht="14.5">
      <c r="A42" s="2"/>
      <c r="E42" s="2"/>
      <c r="F42" s="2"/>
    </row>
    <row r="43" spans="1:11" ht="14.5">
      <c r="A43" s="4" t="s">
        <v>23</v>
      </c>
      <c r="E43" s="2"/>
      <c r="F43" s="2"/>
      <c r="I43" s="10"/>
      <c r="J43" s="10"/>
      <c r="K43" s="10"/>
    </row>
    <row r="44" spans="1:11" ht="14.5">
      <c r="A44" s="2">
        <v>254</v>
      </c>
      <c r="B44" t="s">
        <v>24</v>
      </c>
      <c r="C44" s="2" t="s">
        <v>96</v>
      </c>
      <c r="E44" s="2"/>
      <c r="F44" s="2"/>
      <c r="I44" s="6" t="s">
        <v>76</v>
      </c>
      <c r="J44" s="9"/>
      <c r="K44" s="6"/>
    </row>
    <row r="45" spans="1:11" ht="14.5">
      <c r="A45" s="2" t="s">
        <v>25</v>
      </c>
      <c r="B45" t="s">
        <v>26</v>
      </c>
      <c r="C45" s="2" t="s">
        <v>97</v>
      </c>
      <c r="E45" s="2"/>
      <c r="F45" s="2"/>
      <c r="I45" s="6" t="s">
        <v>76</v>
      </c>
      <c r="J45" s="9"/>
      <c r="K45" s="6"/>
    </row>
    <row r="46" spans="1:11" ht="14.5">
      <c r="A46" s="2">
        <v>254</v>
      </c>
      <c r="B46" t="s">
        <v>27</v>
      </c>
      <c r="C46" s="2" t="s">
        <v>132</v>
      </c>
      <c r="E46" s="2" t="s">
        <v>78</v>
      </c>
      <c r="F46" s="2"/>
      <c r="G46" s="2" t="s">
        <v>78</v>
      </c>
      <c r="I46" s="6" t="s">
        <v>156</v>
      </c>
      <c r="J46" s="9"/>
      <c r="K46" s="6" t="str">
        <f>I46</f>
        <v>WP II-E-4.1.1 Intangible Asset Over-Amortization Reg Liability</v>
      </c>
    </row>
    <row r="47" spans="1:11" ht="14.5">
      <c r="A47" s="2">
        <v>254</v>
      </c>
      <c r="B47" t="s">
        <v>28</v>
      </c>
      <c r="C47" s="2" t="s">
        <v>100</v>
      </c>
      <c r="E47" s="2"/>
      <c r="F47" s="2"/>
      <c r="I47" s="6" t="s">
        <v>76</v>
      </c>
      <c r="J47" s="9"/>
      <c r="K47" s="6"/>
    </row>
    <row r="48" spans="1:11" ht="14.5">
      <c r="A48" s="2">
        <v>254</v>
      </c>
      <c r="B48" t="s">
        <v>29</v>
      </c>
      <c r="C48" s="2" t="s">
        <v>101</v>
      </c>
      <c r="E48" s="2"/>
      <c r="F48" s="2"/>
      <c r="I48" s="6" t="s">
        <v>76</v>
      </c>
      <c r="J48" s="9"/>
      <c r="K48" s="6"/>
    </row>
    <row r="49" spans="1:11" ht="14.5">
      <c r="A49" s="2">
        <v>254</v>
      </c>
      <c r="B49" t="s">
        <v>30</v>
      </c>
      <c r="C49" s="2" t="s">
        <v>79</v>
      </c>
      <c r="E49" s="2" t="s">
        <v>98</v>
      </c>
      <c r="F49" s="2"/>
      <c r="G49" s="2" t="s">
        <v>79</v>
      </c>
      <c r="I49" t="s">
        <v>154</v>
      </c>
      <c r="K49" t="s">
        <v>63</v>
      </c>
    </row>
    <row r="50" spans="1:11" ht="14.5">
      <c r="A50" s="2">
        <v>254</v>
      </c>
      <c r="B50" t="s">
        <v>31</v>
      </c>
      <c r="C50" s="2" t="s">
        <v>80</v>
      </c>
      <c r="E50" s="2" t="s">
        <v>83</v>
      </c>
      <c r="F50" s="2"/>
      <c r="G50" s="2" t="s">
        <v>80</v>
      </c>
      <c r="I50" t="s">
        <v>155</v>
      </c>
      <c r="K50" t="s">
        <v>64</v>
      </c>
    </row>
    <row r="51" spans="1:11" ht="14.5">
      <c r="A51" s="2">
        <v>254</v>
      </c>
      <c r="B51" t="s">
        <v>32</v>
      </c>
      <c r="C51" s="2" t="s">
        <v>81</v>
      </c>
      <c r="E51" s="2"/>
      <c r="F51" s="2"/>
      <c r="I51" s="6" t="s">
        <v>76</v>
      </c>
      <c r="J51" s="9"/>
      <c r="K51" s="6"/>
    </row>
    <row r="52" spans="1:11" ht="14.5">
      <c r="A52" s="2">
        <v>254</v>
      </c>
      <c r="B52" t="s">
        <v>47</v>
      </c>
      <c r="C52" s="2" t="s">
        <v>82</v>
      </c>
      <c r="E52" s="2" t="s">
        <v>120</v>
      </c>
      <c r="F52" s="2"/>
      <c r="G52" s="2" t="s">
        <v>83</v>
      </c>
      <c r="I52" t="s">
        <v>67</v>
      </c>
      <c r="K52" t="s">
        <v>54</v>
      </c>
    </row>
    <row r="53" spans="1:11" ht="14.5">
      <c r="A53" s="2">
        <v>254</v>
      </c>
      <c r="B53" t="s">
        <v>48</v>
      </c>
      <c r="C53" s="2" t="s">
        <v>114</v>
      </c>
      <c r="E53" s="2" t="s">
        <v>95</v>
      </c>
      <c r="F53" s="2"/>
      <c r="G53" s="2" t="s">
        <v>85</v>
      </c>
      <c r="I53" t="s">
        <v>66</v>
      </c>
      <c r="K53" t="s">
        <v>65</v>
      </c>
    </row>
    <row r="54" spans="1:9" ht="14.5">
      <c r="A54" s="2">
        <v>257</v>
      </c>
      <c r="B54" t="s">
        <v>33</v>
      </c>
      <c r="C54" s="2" t="s">
        <v>115</v>
      </c>
      <c r="I54" t="s">
        <v>49</v>
      </c>
    </row>
  </sheetData>
  <pageMargins left="0.5" right="0.5" top="1.5" bottom="0.75" header="0.3" footer="0.3"/>
  <pageSetup orientation="landscape" scale="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