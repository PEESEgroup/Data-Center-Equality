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2907" yWindow="2649" windowWidth="24779" windowHeight="8069" activeTab="0"/>
  </bookViews>
  <sheets>
    <sheet name="WP II-B-1_02" sheetId="1" r:id="rId2"/>
  </sheets>
  <definedNames>
    <definedName name="_xlnm.Print_Titles" localSheetId="0">'WP II-B-1_02'!$1:$1</definedName>
  </definedNames>
  <calcPr calcId="152511" iterate="1" iterateCount="100" iterateDelta="0.001"/>
</workbook>
</file>

<file path=xl/calcChain.xml><?xml version="1.0" encoding="utf-8"?>
<calcChain xmlns="http://schemas.openxmlformats.org/spreadsheetml/2006/main">
  <c r="R215" i="1" l="1"/>
</calcChain>
</file>

<file path=xl/sharedStrings.xml><?xml version="1.0" encoding="utf-8"?>
<sst xmlns="http://schemas.openxmlformats.org/spreadsheetml/2006/main" count="1277" uniqueCount="69">
  <si>
    <t>System</t>
  </si>
  <si>
    <t>TRAN</t>
  </si>
  <si>
    <t>DIST</t>
  </si>
  <si>
    <t>MET</t>
  </si>
  <si>
    <t>TDCS</t>
  </si>
  <si>
    <t>FERC Account</t>
  </si>
  <si>
    <t>Enterprise Service Bus</t>
  </si>
  <si>
    <t>Unit</t>
  </si>
  <si>
    <t>Vintage</t>
  </si>
  <si>
    <t>Location</t>
  </si>
  <si>
    <t>Allocation Methodology</t>
  </si>
  <si>
    <t>Advance Metering Information System (AMS)</t>
  </si>
  <si>
    <t>Distribution Engineering and Design Systems</t>
  </si>
  <si>
    <t>Customer Information Systems</t>
  </si>
  <si>
    <t>Customer Experience Program</t>
  </si>
  <si>
    <t>Sharepoint and Web Applications</t>
  </si>
  <si>
    <t>Data Center Infrastructure and Management</t>
  </si>
  <si>
    <t>Financial and Accounting Systems</t>
  </si>
  <si>
    <t>Email</t>
  </si>
  <si>
    <t>Telecommunication/Core Network Systems</t>
  </si>
  <si>
    <t>Integrated Operations Center</t>
  </si>
  <si>
    <t>2012</t>
  </si>
  <si>
    <t>2013</t>
  </si>
  <si>
    <t>2014</t>
  </si>
  <si>
    <t>2016</t>
  </si>
  <si>
    <t>2015</t>
  </si>
  <si>
    <t>2009</t>
  </si>
  <si>
    <t>2010</t>
  </si>
  <si>
    <t>2007</t>
  </si>
  <si>
    <t>2011</t>
  </si>
  <si>
    <t>2008</t>
  </si>
  <si>
    <t>0005020</t>
  </si>
  <si>
    <t>0005060</t>
  </si>
  <si>
    <t>0002010</t>
  </si>
  <si>
    <t>0002000</t>
  </si>
  <si>
    <t>Direct Assigned</t>
  </si>
  <si>
    <t>Transmission SCADA and Support Systems</t>
  </si>
  <si>
    <t>Content Management</t>
  </si>
  <si>
    <t>0004932</t>
  </si>
  <si>
    <t>Intangible Plant</t>
  </si>
  <si>
    <t>Allocation to Texas</t>
  </si>
  <si>
    <t>NTU TRAN</t>
  </si>
  <si>
    <t>DC TIE</t>
  </si>
  <si>
    <t>Consol TRAN</t>
  </si>
  <si>
    <t>NTU DIST</t>
  </si>
  <si>
    <t>Consol DIST</t>
  </si>
  <si>
    <t>303</t>
  </si>
  <si>
    <t>2017</t>
  </si>
  <si>
    <t>2019</t>
  </si>
  <si>
    <t>2020</t>
  </si>
  <si>
    <t>2018</t>
  </si>
  <si>
    <t>Environmental Systems</t>
  </si>
  <si>
    <t>Mobile Applications</t>
  </si>
  <si>
    <t>0003055</t>
  </si>
  <si>
    <t>Substation Physical Security</t>
  </si>
  <si>
    <t>Transmission Operations</t>
  </si>
  <si>
    <t>2021</t>
  </si>
  <si>
    <t>Asset and Work Management Technology</t>
  </si>
  <si>
    <t>Data Center and Reporting</t>
  </si>
  <si>
    <t>Data Warehouse and Reporting</t>
  </si>
  <si>
    <t>Distribution SCADA and Support</t>
  </si>
  <si>
    <t>Technology Security Management</t>
  </si>
  <si>
    <t>Technology Tools and Support</t>
  </si>
  <si>
    <t>Transmission Engineering and Design</t>
  </si>
  <si>
    <t>0003460</t>
  </si>
  <si>
    <t>0007847</t>
  </si>
  <si>
    <t>L000777</t>
  </si>
  <si>
    <t>DISTRIBUTION - ALLO</t>
  </si>
  <si>
    <t>SPECTRUM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</si>
</sst>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0_);\(#,##0.0000\)"/>
  </numFmts>
  <fonts count="6">
    <font>
      <sz val="10"/>
      <name val="Arial"/>
      <family val="2"/>
    </font>
    <font>
      <sz val="10"/>
      <color theme="1"/>
      <name val="Arial"/>
      <family val="2"/>
    </font>
    <font>
      <sz val="10"/>
      <color indexed="6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2" fillId="0" borderId="0">
      <alignment/>
      <protection/>
    </xf>
  </cellStyleXfs>
  <cellXfs count="19">
    <xf numFmtId="0" fontId="0" fillId="0" borderId="0" xfId="0"/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9" fontId="5" fillId="0" borderId="0" xfId="0" applyNumberFormat="1" applyFont="1"/>
    <xf numFmtId="39" fontId="5" fillId="0" borderId="2" xfId="0" applyNumberFormat="1" applyFont="1" applyBorder="1"/>
    <xf numFmtId="0" fontId="5" fillId="0" borderId="0" xfId="0" applyFont="1" applyFill="1" applyAlignment="1">
      <alignment horizontal="center"/>
    </xf>
    <xf numFmtId="39" fontId="5" fillId="0" borderId="0" xfId="0" applyNumberFormat="1" applyFont="1" applyFill="1"/>
    <xf numFmtId="10" fontId="5" fillId="0" borderId="0" xfId="0" applyNumberFormat="1" applyFont="1"/>
    <xf numFmtId="39" fontId="4" fillId="0" borderId="1" xfId="18" applyNumberFormat="1" applyFont="1" applyBorder="1" applyAlignment="1">
      <alignment horizontal="center" wrapText="1"/>
    </xf>
    <xf numFmtId="39" fontId="4" fillId="0" borderId="1" xfId="0" applyNumberFormat="1" applyFont="1" applyBorder="1" applyAlignment="1">
      <alignment horizontal="center" wrapText="1"/>
    </xf>
    <xf numFmtId="39" fontId="4" fillId="0" borderId="1" xfId="0" applyNumberFormat="1" applyFont="1" applyFill="1" applyBorder="1" applyAlignment="1">
      <alignment horizontal="center" wrapText="1"/>
    </xf>
    <xf numFmtId="39" fontId="5" fillId="0" borderId="0" xfId="18" applyNumberFormat="1" applyFont="1" applyFill="1"/>
    <xf numFmtId="39" fontId="5" fillId="0" borderId="0" xfId="18" applyNumberFormat="1" applyFont="1"/>
    <xf numFmtId="39" fontId="5" fillId="0" borderId="2" xfId="18" applyNumberFormat="1" applyFont="1" applyBorder="1"/>
    <xf numFmtId="3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39" fontId="5" fillId="0" borderId="2" xfId="0" applyNumberFormat="1" applyFont="1" applyFill="1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Plosion" xf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R215"/>
  <sheetViews>
    <sheetView tabSelected="1" workbookViewId="0" topLeftCell="G1">
      <pane ySplit="1" topLeftCell="A196" activePane="bottomLeft" state="frozen"/>
      <selection pane="topLeft" activeCell="G1" sqref="G1"/>
      <selection pane="bottomLeft" activeCell="P215" sqref="P215"/>
    </sheetView>
  </sheetViews>
  <sheetFormatPr defaultColWidth="9.12428571428571" defaultRowHeight="15.75"/>
  <cols>
    <col min="1" max="1" width="9.14285714285714" style="3"/>
    <col min="2" max="2" width="49.1428571428571" style="2" customWidth="1"/>
    <col min="3" max="3" width="10.4285714285714" style="3" bestFit="1" customWidth="1"/>
    <col min="4" max="4" width="10.4285714285714" style="3" customWidth="1"/>
    <col min="5" max="5" width="11.7142857142857" style="3" customWidth="1"/>
    <col min="6" max="6" width="32.1428571428571" style="3" bestFit="1" customWidth="1"/>
    <col min="7" max="7" width="21.2857142857143" style="14" bestFit="1" customWidth="1"/>
    <col min="8" max="9" width="21.2857142857143" style="5" bestFit="1" customWidth="1"/>
    <col min="10" max="10" width="18.8571428571429" style="5" bestFit="1" customWidth="1"/>
    <col min="11" max="12" width="21.2857142857143" style="5" bestFit="1" customWidth="1"/>
    <col min="13" max="13" width="18.1428571428571" style="5" bestFit="1" customWidth="1"/>
    <col min="14" max="14" width="21.2857142857143" style="5" bestFit="1" customWidth="1"/>
    <col min="15" max="16" width="18.1428571428571" style="5" bestFit="1" customWidth="1"/>
    <col min="17" max="17" width="9.14285714285714" style="2"/>
    <col min="18" max="18" width="12.4285714285714" style="2" bestFit="1" customWidth="1"/>
    <col min="19" max="16384" width="9.14285714285714" style="2"/>
  </cols>
  <sheetData>
    <row r="1" spans="1:16" ht="31.25">
      <c r="A1" s="1" t="s">
        <v>7</v>
      </c>
      <c r="B1" s="1" t="s">
        <v>0</v>
      </c>
      <c r="C1" s="1" t="s">
        <v>5</v>
      </c>
      <c r="D1" s="1" t="s">
        <v>8</v>
      </c>
      <c r="E1" s="1" t="s">
        <v>9</v>
      </c>
      <c r="F1" s="1" t="s">
        <v>10</v>
      </c>
      <c r="G1" s="10" t="s">
        <v>40</v>
      </c>
      <c r="H1" s="11" t="s">
        <v>1</v>
      </c>
      <c r="I1" s="11" t="s">
        <v>41</v>
      </c>
      <c r="J1" s="11" t="s">
        <v>42</v>
      </c>
      <c r="K1" s="11" t="s">
        <v>43</v>
      </c>
      <c r="L1" s="11" t="s">
        <v>2</v>
      </c>
      <c r="M1" s="11" t="s">
        <v>44</v>
      </c>
      <c r="N1" s="12" t="s">
        <v>45</v>
      </c>
      <c r="O1" s="12" t="s">
        <v>3</v>
      </c>
      <c r="P1" s="11" t="s">
        <v>4</v>
      </c>
    </row>
    <row r="2" spans="1:16" ht="15.65">
      <c r="A2" s="3" t="s">
        <v>2</v>
      </c>
      <c r="B2" s="2" t="s">
        <v>11</v>
      </c>
      <c r="C2" s="3" t="s">
        <v>46</v>
      </c>
      <c r="D2" s="3" t="s">
        <v>30</v>
      </c>
      <c r="E2" s="3" t="s">
        <v>32</v>
      </c>
      <c r="F2" s="3" t="s">
        <v>35</v>
      </c>
      <c r="G2" s="13">
        <v>435958.34999999998</v>
      </c>
      <c r="H2" s="5">
        <v>0</v>
      </c>
      <c r="K2" s="8">
        <f t="shared" si="0" ref="K2:K65">SUM(H2:J2)</f>
        <v>0</v>
      </c>
      <c r="L2" s="5">
        <v>0</v>
      </c>
      <c r="N2" s="8">
        <f t="shared" si="1" ref="N2:N65">SUM(L2:M2)</f>
        <v>0</v>
      </c>
      <c r="O2" s="5">
        <v>0</v>
      </c>
      <c r="P2" s="5">
        <f>G2</f>
        <v>435958.34999999998</v>
      </c>
    </row>
    <row r="3" spans="1:16" ht="15.65">
      <c r="A3" s="3" t="s">
        <v>2</v>
      </c>
      <c r="B3" s="2" t="s">
        <v>11</v>
      </c>
      <c r="C3" s="3" t="s">
        <v>46</v>
      </c>
      <c r="D3" s="3" t="s">
        <v>26</v>
      </c>
      <c r="E3" s="3" t="s">
        <v>32</v>
      </c>
      <c r="F3" s="3" t="s">
        <v>35</v>
      </c>
      <c r="G3" s="13">
        <v>44752040.149999999</v>
      </c>
      <c r="H3" s="5">
        <v>0</v>
      </c>
      <c r="K3" s="8">
        <f t="shared" si="0"/>
        <v>0</v>
      </c>
      <c r="L3" s="5">
        <v>0</v>
      </c>
      <c r="N3" s="8">
        <f t="shared" si="1"/>
        <v>0</v>
      </c>
      <c r="O3" s="5">
        <f>G3</f>
        <v>44752040.149999999</v>
      </c>
      <c r="P3" s="5">
        <v>0</v>
      </c>
    </row>
    <row r="4" spans="1:16" ht="15.65">
      <c r="A4" s="3" t="s">
        <v>2</v>
      </c>
      <c r="B4" s="2" t="s">
        <v>11</v>
      </c>
      <c r="C4" s="3" t="s">
        <v>46</v>
      </c>
      <c r="D4" s="3" t="s">
        <v>27</v>
      </c>
      <c r="E4" s="3" t="s">
        <v>32</v>
      </c>
      <c r="F4" s="3" t="s">
        <v>35</v>
      </c>
      <c r="G4" s="13">
        <v>42337483.310000002</v>
      </c>
      <c r="H4" s="5">
        <v>0</v>
      </c>
      <c r="K4" s="8">
        <f t="shared" si="0"/>
        <v>0</v>
      </c>
      <c r="L4" s="5">
        <v>0</v>
      </c>
      <c r="N4" s="8">
        <f t="shared" si="1"/>
        <v>0</v>
      </c>
      <c r="O4" s="5">
        <f t="shared" si="2" ref="O4:O16">G4</f>
        <v>42337483.310000002</v>
      </c>
      <c r="P4" s="5">
        <v>0</v>
      </c>
    </row>
    <row r="5" spans="1:16" ht="15.65">
      <c r="A5" s="3" t="s">
        <v>2</v>
      </c>
      <c r="B5" s="2" t="s">
        <v>11</v>
      </c>
      <c r="C5" s="3" t="s">
        <v>46</v>
      </c>
      <c r="D5" s="3" t="s">
        <v>29</v>
      </c>
      <c r="E5" s="3" t="s">
        <v>32</v>
      </c>
      <c r="F5" s="3" t="s">
        <v>35</v>
      </c>
      <c r="G5" s="13">
        <v>33526670.66</v>
      </c>
      <c r="H5" s="5">
        <v>0</v>
      </c>
      <c r="K5" s="8">
        <f t="shared" si="0"/>
        <v>0</v>
      </c>
      <c r="L5" s="5">
        <v>0</v>
      </c>
      <c r="N5" s="8">
        <f t="shared" si="1"/>
        <v>0</v>
      </c>
      <c r="O5" s="5">
        <f t="shared" si="2"/>
        <v>33526670.66</v>
      </c>
      <c r="P5" s="5">
        <v>0</v>
      </c>
    </row>
    <row r="6" spans="1:16" ht="15.65">
      <c r="A6" s="3" t="s">
        <v>2</v>
      </c>
      <c r="B6" s="2" t="s">
        <v>11</v>
      </c>
      <c r="C6" s="3" t="s">
        <v>46</v>
      </c>
      <c r="D6" s="3" t="s">
        <v>21</v>
      </c>
      <c r="E6" s="3" t="s">
        <v>31</v>
      </c>
      <c r="F6" s="3" t="s">
        <v>35</v>
      </c>
      <c r="G6" s="13">
        <v>12518996.98</v>
      </c>
      <c r="H6" s="5">
        <v>0</v>
      </c>
      <c r="K6" s="8">
        <f t="shared" si="0"/>
        <v>0</v>
      </c>
      <c r="L6" s="5">
        <v>0</v>
      </c>
      <c r="N6" s="8">
        <f t="shared" si="1"/>
        <v>0</v>
      </c>
      <c r="O6" s="5">
        <f t="shared" si="2"/>
        <v>12518996.98</v>
      </c>
      <c r="P6" s="5">
        <v>0</v>
      </c>
    </row>
    <row r="7" spans="1:16" ht="15.65">
      <c r="A7" s="3" t="s">
        <v>2</v>
      </c>
      <c r="B7" s="2" t="s">
        <v>11</v>
      </c>
      <c r="C7" s="3" t="s">
        <v>46</v>
      </c>
      <c r="D7" s="3" t="s">
        <v>21</v>
      </c>
      <c r="E7" s="3" t="s">
        <v>32</v>
      </c>
      <c r="F7" s="3" t="s">
        <v>35</v>
      </c>
      <c r="G7" s="13">
        <v>5332477.8200000003</v>
      </c>
      <c r="H7" s="5">
        <v>0</v>
      </c>
      <c r="K7" s="8">
        <f t="shared" si="0"/>
        <v>0</v>
      </c>
      <c r="L7" s="5">
        <v>0</v>
      </c>
      <c r="N7" s="8">
        <f t="shared" si="1"/>
        <v>0</v>
      </c>
      <c r="O7" s="5">
        <f t="shared" si="2"/>
        <v>5332477.8200000003</v>
      </c>
      <c r="P7" s="5">
        <v>0</v>
      </c>
    </row>
    <row r="8" spans="1:16" ht="15.65">
      <c r="A8" s="3" t="s">
        <v>2</v>
      </c>
      <c r="B8" s="2" t="s">
        <v>11</v>
      </c>
      <c r="C8" s="3" t="s">
        <v>46</v>
      </c>
      <c r="D8" s="3" t="s">
        <v>22</v>
      </c>
      <c r="E8" s="3" t="s">
        <v>31</v>
      </c>
      <c r="F8" s="3" t="s">
        <v>35</v>
      </c>
      <c r="G8" s="13">
        <v>2669452.9500000002</v>
      </c>
      <c r="H8" s="5">
        <v>0</v>
      </c>
      <c r="K8" s="8">
        <f t="shared" si="0"/>
        <v>0</v>
      </c>
      <c r="L8" s="5">
        <v>0</v>
      </c>
      <c r="N8" s="8">
        <f t="shared" si="1"/>
        <v>0</v>
      </c>
      <c r="O8" s="5">
        <f t="shared" si="2"/>
        <v>2669452.9500000002</v>
      </c>
      <c r="P8" s="5">
        <v>0</v>
      </c>
    </row>
    <row r="9" spans="1:16" ht="15.65">
      <c r="A9" s="3" t="s">
        <v>2</v>
      </c>
      <c r="B9" s="2" t="s">
        <v>11</v>
      </c>
      <c r="C9" s="3" t="s">
        <v>46</v>
      </c>
      <c r="D9" s="3" t="s">
        <v>22</v>
      </c>
      <c r="E9" s="3" t="s">
        <v>32</v>
      </c>
      <c r="F9" s="3" t="s">
        <v>35</v>
      </c>
      <c r="G9" s="13">
        <v>-15813.219999999999</v>
      </c>
      <c r="H9" s="5">
        <v>0</v>
      </c>
      <c r="K9" s="8">
        <f t="shared" si="0"/>
        <v>0</v>
      </c>
      <c r="L9" s="5">
        <v>0</v>
      </c>
      <c r="N9" s="8">
        <f t="shared" si="1"/>
        <v>0</v>
      </c>
      <c r="O9" s="5">
        <f t="shared" si="2"/>
        <v>-15813.219999999999</v>
      </c>
      <c r="P9" s="5">
        <v>0</v>
      </c>
    </row>
    <row r="10" spans="1:16" ht="15.65">
      <c r="A10" s="3" t="s">
        <v>2</v>
      </c>
      <c r="B10" s="2" t="s">
        <v>11</v>
      </c>
      <c r="C10" s="3" t="s">
        <v>46</v>
      </c>
      <c r="D10" s="3" t="s">
        <v>23</v>
      </c>
      <c r="E10" s="3" t="s">
        <v>31</v>
      </c>
      <c r="F10" s="3" t="s">
        <v>35</v>
      </c>
      <c r="G10" s="13">
        <v>5205015.3300000001</v>
      </c>
      <c r="H10" s="5">
        <v>0</v>
      </c>
      <c r="K10" s="8">
        <f t="shared" si="0"/>
        <v>0</v>
      </c>
      <c r="L10" s="5">
        <v>0</v>
      </c>
      <c r="N10" s="8">
        <f t="shared" si="1"/>
        <v>0</v>
      </c>
      <c r="O10" s="5">
        <f t="shared" si="2"/>
        <v>5205015.3300000001</v>
      </c>
      <c r="P10" s="5">
        <v>0</v>
      </c>
    </row>
    <row r="11" spans="1:16" ht="15.65">
      <c r="A11" s="3" t="s">
        <v>2</v>
      </c>
      <c r="B11" s="2" t="s">
        <v>11</v>
      </c>
      <c r="C11" s="3" t="s">
        <v>46</v>
      </c>
      <c r="D11" s="3" t="s">
        <v>25</v>
      </c>
      <c r="E11" s="3" t="s">
        <v>31</v>
      </c>
      <c r="F11" s="3" t="s">
        <v>35</v>
      </c>
      <c r="G11" s="13">
        <v>3547658.3199999998</v>
      </c>
      <c r="H11" s="5">
        <v>0</v>
      </c>
      <c r="K11" s="8">
        <f t="shared" si="0"/>
        <v>0</v>
      </c>
      <c r="L11" s="5">
        <v>0</v>
      </c>
      <c r="N11" s="8">
        <f t="shared" si="1"/>
        <v>0</v>
      </c>
      <c r="O11" s="5">
        <f t="shared" si="2"/>
        <v>3547658.3199999998</v>
      </c>
      <c r="P11" s="5">
        <v>0</v>
      </c>
    </row>
    <row r="12" spans="1:16" ht="15.65">
      <c r="A12" s="3" t="s">
        <v>2</v>
      </c>
      <c r="B12" s="2" t="s">
        <v>11</v>
      </c>
      <c r="C12" s="3" t="s">
        <v>46</v>
      </c>
      <c r="D12" s="3" t="s">
        <v>24</v>
      </c>
      <c r="E12" s="3" t="s">
        <v>31</v>
      </c>
      <c r="F12" s="3" t="s">
        <v>35</v>
      </c>
      <c r="G12" s="13">
        <v>9992402.4199999981</v>
      </c>
      <c r="H12" s="5">
        <v>0</v>
      </c>
      <c r="K12" s="8">
        <f t="shared" si="0"/>
        <v>0</v>
      </c>
      <c r="L12" s="5">
        <v>0</v>
      </c>
      <c r="N12" s="8">
        <f t="shared" si="1"/>
        <v>0</v>
      </c>
      <c r="O12" s="5">
        <f t="shared" si="2"/>
        <v>9992402.4199999981</v>
      </c>
      <c r="P12" s="5">
        <v>0</v>
      </c>
    </row>
    <row r="13" spans="1:16" ht="15.65">
      <c r="A13" s="3" t="s">
        <v>2</v>
      </c>
      <c r="B13" s="2" t="s">
        <v>11</v>
      </c>
      <c r="C13" s="3" t="s">
        <v>46</v>
      </c>
      <c r="D13" s="3" t="s">
        <v>47</v>
      </c>
      <c r="E13" s="3" t="s">
        <v>31</v>
      </c>
      <c r="F13" s="3" t="s">
        <v>35</v>
      </c>
      <c r="G13" s="13">
        <v>-922044.65000000002</v>
      </c>
      <c r="H13" s="5">
        <v>0</v>
      </c>
      <c r="K13" s="8">
        <f t="shared" si="0"/>
        <v>0</v>
      </c>
      <c r="L13" s="5">
        <v>0</v>
      </c>
      <c r="N13" s="8">
        <f t="shared" si="1"/>
        <v>0</v>
      </c>
      <c r="O13" s="5">
        <f t="shared" si="2"/>
        <v>-922044.65000000002</v>
      </c>
      <c r="P13" s="5">
        <v>0</v>
      </c>
    </row>
    <row r="14" spans="1:16" ht="15.65">
      <c r="A14" s="3" t="s">
        <v>2</v>
      </c>
      <c r="B14" s="2" t="s">
        <v>11</v>
      </c>
      <c r="C14" s="3" t="s">
        <v>46</v>
      </c>
      <c r="D14" s="3" t="s">
        <v>48</v>
      </c>
      <c r="E14" s="3" t="s">
        <v>31</v>
      </c>
      <c r="F14" s="3" t="s">
        <v>35</v>
      </c>
      <c r="G14" s="13">
        <v>636849.83999999997</v>
      </c>
      <c r="H14" s="5">
        <v>0</v>
      </c>
      <c r="K14" s="8">
        <f t="shared" si="0"/>
        <v>0</v>
      </c>
      <c r="L14" s="5">
        <v>0</v>
      </c>
      <c r="N14" s="8">
        <f t="shared" si="1"/>
        <v>0</v>
      </c>
      <c r="O14" s="5">
        <f t="shared" si="2"/>
        <v>636849.83999999997</v>
      </c>
      <c r="P14" s="5">
        <v>0</v>
      </c>
    </row>
    <row r="15" spans="1:16" ht="15.65">
      <c r="A15" s="3" t="s">
        <v>2</v>
      </c>
      <c r="B15" s="2" t="s">
        <v>11</v>
      </c>
      <c r="C15" s="3" t="s">
        <v>46</v>
      </c>
      <c r="D15" s="3" t="s">
        <v>49</v>
      </c>
      <c r="E15" s="3" t="s">
        <v>31</v>
      </c>
      <c r="F15" s="3" t="s">
        <v>35</v>
      </c>
      <c r="G15" s="13">
        <v>3347224.2199999997</v>
      </c>
      <c r="H15" s="5">
        <v>0</v>
      </c>
      <c r="K15" s="8">
        <f t="shared" si="0"/>
        <v>0</v>
      </c>
      <c r="L15" s="5">
        <v>0</v>
      </c>
      <c r="N15" s="8">
        <f t="shared" si="1"/>
        <v>0</v>
      </c>
      <c r="O15" s="5">
        <f t="shared" si="2"/>
        <v>3347224.2199999997</v>
      </c>
      <c r="P15" s="5">
        <v>0</v>
      </c>
    </row>
    <row r="16" spans="1:16" ht="15.65">
      <c r="A16" s="3" t="s">
        <v>2</v>
      </c>
      <c r="B16" s="2" t="s">
        <v>11</v>
      </c>
      <c r="C16" s="3" t="s">
        <v>46</v>
      </c>
      <c r="D16" s="3" t="s">
        <v>56</v>
      </c>
      <c r="E16" s="3" t="s">
        <v>31</v>
      </c>
      <c r="F16" s="3" t="s">
        <v>35</v>
      </c>
      <c r="G16" s="13">
        <v>15961450.619999999</v>
      </c>
      <c r="H16" s="5">
        <v>0</v>
      </c>
      <c r="K16" s="8">
        <f t="shared" si="0"/>
        <v>0</v>
      </c>
      <c r="L16" s="5">
        <v>0</v>
      </c>
      <c r="N16" s="8">
        <f t="shared" si="1"/>
        <v>0</v>
      </c>
      <c r="O16" s="5">
        <f t="shared" si="2"/>
        <v>15961450.619999999</v>
      </c>
      <c r="P16" s="5">
        <v>0</v>
      </c>
    </row>
    <row r="17" spans="1:16" ht="15.65">
      <c r="A17" s="3" t="s">
        <v>2</v>
      </c>
      <c r="B17" s="2" t="s">
        <v>57</v>
      </c>
      <c r="C17" s="3" t="s">
        <v>46</v>
      </c>
      <c r="D17" s="3" t="s">
        <v>23</v>
      </c>
      <c r="E17" s="3" t="s">
        <v>31</v>
      </c>
      <c r="F17" s="3" t="s">
        <v>67</v>
      </c>
      <c r="G17" s="13">
        <v>21448985.290000003</v>
      </c>
      <c r="H17" s="5">
        <f>G17*0.47392</f>
        <v>10165103.108636802</v>
      </c>
      <c r="K17" s="8">
        <f t="shared" si="0"/>
        <v>10165103.108636802</v>
      </c>
      <c r="L17" s="5">
        <f>G17*0.5103</f>
        <v>10945417.193487002</v>
      </c>
      <c r="N17" s="8">
        <f t="shared" si="1"/>
        <v>10945417.193487002</v>
      </c>
      <c r="O17" s="5">
        <f>G17*0.01487</f>
        <v>318946.41126230004</v>
      </c>
      <c r="P17" s="5">
        <f>G17*0.00091</f>
        <v>19518.576613900004</v>
      </c>
    </row>
    <row r="18" spans="1:16" ht="15.65">
      <c r="A18" s="3" t="s">
        <v>2</v>
      </c>
      <c r="B18" s="2" t="s">
        <v>57</v>
      </c>
      <c r="C18" s="3" t="s">
        <v>46</v>
      </c>
      <c r="D18" s="3" t="s">
        <v>25</v>
      </c>
      <c r="E18" s="3" t="s">
        <v>31</v>
      </c>
      <c r="F18" s="3" t="s">
        <v>35</v>
      </c>
      <c r="G18" s="13">
        <v>1505474.5600000001</v>
      </c>
      <c r="H18" s="5">
        <v>0</v>
      </c>
      <c r="K18" s="8">
        <f t="shared" si="0"/>
        <v>0</v>
      </c>
      <c r="L18" s="5">
        <f>G18</f>
        <v>1505474.5600000001</v>
      </c>
      <c r="N18" s="8">
        <f t="shared" si="1"/>
        <v>1505474.5600000001</v>
      </c>
      <c r="O18" s="5">
        <v>0</v>
      </c>
      <c r="P18" s="5">
        <v>0</v>
      </c>
    </row>
    <row r="19" spans="1:16" ht="15.65">
      <c r="A19" s="3" t="s">
        <v>2</v>
      </c>
      <c r="B19" s="2" t="s">
        <v>57</v>
      </c>
      <c r="C19" s="3" t="s">
        <v>46</v>
      </c>
      <c r="D19" s="3" t="s">
        <v>25</v>
      </c>
      <c r="E19" s="3" t="s">
        <v>31</v>
      </c>
      <c r="F19" s="3" t="s">
        <v>67</v>
      </c>
      <c r="G19" s="13">
        <v>290708.84999999998</v>
      </c>
      <c r="H19" s="5">
        <f>G19*0.47392</f>
        <v>137772.73819199999</v>
      </c>
      <c r="K19" s="8">
        <f t="shared" si="0"/>
        <v>137772.73819199999</v>
      </c>
      <c r="L19" s="5">
        <f>G19*0.5103</f>
        <v>148348.72615499998</v>
      </c>
      <c r="N19" s="8">
        <f t="shared" si="1"/>
        <v>148348.72615499998</v>
      </c>
      <c r="O19" s="5">
        <f>G19*0.01487</f>
        <v>4322.8405994999994</v>
      </c>
      <c r="P19" s="5">
        <f>G19*0.00091</f>
        <v>264.54505349999999</v>
      </c>
    </row>
    <row r="20" spans="1:16" ht="15.65">
      <c r="A20" s="3" t="s">
        <v>2</v>
      </c>
      <c r="B20" s="2" t="s">
        <v>57</v>
      </c>
      <c r="C20" s="3" t="s">
        <v>46</v>
      </c>
      <c r="D20" s="3" t="s">
        <v>25</v>
      </c>
      <c r="E20" s="3" t="s">
        <v>31</v>
      </c>
      <c r="F20" s="3" t="s">
        <v>35</v>
      </c>
      <c r="G20" s="13">
        <v>2002715.3600000001</v>
      </c>
      <c r="H20" s="5">
        <v>0</v>
      </c>
      <c r="K20" s="8">
        <f t="shared" si="0"/>
        <v>0</v>
      </c>
      <c r="L20" s="5">
        <v>0</v>
      </c>
      <c r="N20" s="8">
        <f t="shared" si="1"/>
        <v>0</v>
      </c>
      <c r="O20" s="5">
        <v>0</v>
      </c>
      <c r="P20" s="5">
        <f>G20</f>
        <v>2002715.3600000001</v>
      </c>
    </row>
    <row r="21" spans="1:16" ht="15.65">
      <c r="A21" s="3" t="s">
        <v>2</v>
      </c>
      <c r="B21" s="2" t="s">
        <v>57</v>
      </c>
      <c r="C21" s="3" t="s">
        <v>46</v>
      </c>
      <c r="D21" s="3" t="s">
        <v>24</v>
      </c>
      <c r="E21" s="3" t="s">
        <v>31</v>
      </c>
      <c r="F21" s="3" t="s">
        <v>67</v>
      </c>
      <c r="G21" s="13">
        <v>7872.4300000000003</v>
      </c>
      <c r="H21" s="5">
        <f>G21*0.47392</f>
        <v>3730.9020256000003</v>
      </c>
      <c r="K21" s="8">
        <f t="shared" si="0"/>
        <v>3730.9020256000003</v>
      </c>
      <c r="L21" s="5">
        <f>G21*0.5103</f>
        <v>4017.3010289999997</v>
      </c>
      <c r="N21" s="8">
        <f t="shared" si="1"/>
        <v>4017.3010289999997</v>
      </c>
      <c r="O21" s="5">
        <f>G21*0.01487</f>
        <v>117.0630341</v>
      </c>
      <c r="P21" s="5">
        <f>G21*0.00091</f>
        <v>7.1639113000000005</v>
      </c>
    </row>
    <row r="22" spans="1:16" ht="15.65">
      <c r="A22" s="3" t="s">
        <v>2</v>
      </c>
      <c r="B22" s="2" t="s">
        <v>57</v>
      </c>
      <c r="C22" s="3" t="s">
        <v>46</v>
      </c>
      <c r="D22" s="3" t="s">
        <v>24</v>
      </c>
      <c r="E22" s="3" t="s">
        <v>31</v>
      </c>
      <c r="F22" s="3" t="s">
        <v>35</v>
      </c>
      <c r="G22" s="13">
        <v>-2017.55</v>
      </c>
      <c r="H22" s="5">
        <v>0</v>
      </c>
      <c r="K22" s="8">
        <f t="shared" si="0"/>
        <v>0</v>
      </c>
      <c r="L22" s="5">
        <v>0</v>
      </c>
      <c r="N22" s="8">
        <f t="shared" si="1"/>
        <v>0</v>
      </c>
      <c r="O22" s="5">
        <v>0</v>
      </c>
      <c r="P22" s="5">
        <f>G22</f>
        <v>-2017.55</v>
      </c>
    </row>
    <row r="23" spans="1:16" ht="15.65">
      <c r="A23" s="3" t="s">
        <v>2</v>
      </c>
      <c r="B23" s="2" t="s">
        <v>57</v>
      </c>
      <c r="C23" s="3" t="s">
        <v>46</v>
      </c>
      <c r="D23" s="3" t="s">
        <v>48</v>
      </c>
      <c r="E23" s="3" t="s">
        <v>31</v>
      </c>
      <c r="F23" s="3" t="s">
        <v>35</v>
      </c>
      <c r="G23" s="13">
        <v>7255355</v>
      </c>
      <c r="H23" s="5">
        <v>0</v>
      </c>
      <c r="K23" s="8">
        <f t="shared" si="0"/>
        <v>0</v>
      </c>
      <c r="L23" s="5">
        <f>G23</f>
        <v>7255355</v>
      </c>
      <c r="N23" s="8">
        <f t="shared" si="1"/>
        <v>7255355</v>
      </c>
      <c r="O23" s="5">
        <v>0</v>
      </c>
      <c r="P23" s="5">
        <v>0</v>
      </c>
    </row>
    <row r="24" spans="1:16" ht="15.65">
      <c r="A24" s="3" t="s">
        <v>2</v>
      </c>
      <c r="B24" s="2" t="s">
        <v>57</v>
      </c>
      <c r="C24" s="3" t="s">
        <v>46</v>
      </c>
      <c r="D24" s="3" t="s">
        <v>48</v>
      </c>
      <c r="E24" s="3" t="s">
        <v>31</v>
      </c>
      <c r="F24" s="3" t="s">
        <v>67</v>
      </c>
      <c r="G24" s="13">
        <v>633505.30000000005</v>
      </c>
      <c r="H24" s="5">
        <f>G24*0.47392</f>
        <v>300230.83177600004</v>
      </c>
      <c r="K24" s="8">
        <f t="shared" si="0"/>
        <v>300230.83177600004</v>
      </c>
      <c r="L24" s="5">
        <f>G24*0.5103</f>
        <v>323277.75459000003</v>
      </c>
      <c r="N24" s="8">
        <f t="shared" si="1"/>
        <v>323277.75459000003</v>
      </c>
      <c r="O24" s="5">
        <f>G24*0.01487</f>
        <v>9420.2238109999998</v>
      </c>
      <c r="P24" s="5">
        <f>G24*0.00091</f>
        <v>576.489823</v>
      </c>
    </row>
    <row r="25" spans="1:16" ht="15.65">
      <c r="A25" s="3" t="s">
        <v>2</v>
      </c>
      <c r="B25" s="2" t="s">
        <v>57</v>
      </c>
      <c r="C25" s="3" t="s">
        <v>46</v>
      </c>
      <c r="D25" s="3" t="s">
        <v>49</v>
      </c>
      <c r="E25" s="3" t="s">
        <v>31</v>
      </c>
      <c r="F25" s="3" t="s">
        <v>35</v>
      </c>
      <c r="G25" s="13">
        <v>1956680.4399999999</v>
      </c>
      <c r="H25" s="5">
        <v>0</v>
      </c>
      <c r="K25" s="8">
        <f t="shared" si="0"/>
        <v>0</v>
      </c>
      <c r="L25" s="5">
        <f>G25</f>
        <v>1956680.4399999999</v>
      </c>
      <c r="N25" s="8">
        <f t="shared" si="1"/>
        <v>1956680.4399999999</v>
      </c>
      <c r="O25" s="5">
        <v>0</v>
      </c>
      <c r="P25" s="5">
        <v>0</v>
      </c>
    </row>
    <row r="26" spans="1:16" ht="15.65">
      <c r="A26" s="3" t="s">
        <v>2</v>
      </c>
      <c r="B26" s="2" t="s">
        <v>57</v>
      </c>
      <c r="C26" s="3" t="s">
        <v>46</v>
      </c>
      <c r="D26" s="3" t="s">
        <v>49</v>
      </c>
      <c r="E26" s="3" t="s">
        <v>31</v>
      </c>
      <c r="F26" s="3" t="s">
        <v>67</v>
      </c>
      <c r="G26" s="13">
        <v>512630.47999999998</v>
      </c>
      <c r="H26" s="5">
        <f>G26*0.47392</f>
        <v>242945.83708160001</v>
      </c>
      <c r="K26" s="8">
        <f t="shared" si="0"/>
        <v>242945.83708160001</v>
      </c>
      <c r="L26" s="5">
        <f>G26*0.5103</f>
        <v>261595.33394399998</v>
      </c>
      <c r="N26" s="8">
        <f t="shared" si="1"/>
        <v>261595.33394399998</v>
      </c>
      <c r="O26" s="5">
        <f>G26*0.01487</f>
        <v>7622.8152375999998</v>
      </c>
      <c r="P26" s="5">
        <f>G26*0.00091</f>
        <v>466.49373679999997</v>
      </c>
    </row>
    <row r="27" spans="1:16" ht="15.65">
      <c r="A27" s="3" t="s">
        <v>2</v>
      </c>
      <c r="B27" s="2" t="s">
        <v>57</v>
      </c>
      <c r="C27" s="3" t="s">
        <v>46</v>
      </c>
      <c r="D27" s="3" t="s">
        <v>56</v>
      </c>
      <c r="E27" s="3" t="s">
        <v>31</v>
      </c>
      <c r="F27" s="3" t="s">
        <v>35</v>
      </c>
      <c r="G27" s="13">
        <v>3292334.0499999998</v>
      </c>
      <c r="H27" s="5">
        <v>0</v>
      </c>
      <c r="K27" s="8">
        <f t="shared" si="0"/>
        <v>0</v>
      </c>
      <c r="L27" s="5">
        <f>G27</f>
        <v>3292334.0499999998</v>
      </c>
      <c r="N27" s="8">
        <f t="shared" si="1"/>
        <v>3292334.0499999998</v>
      </c>
      <c r="O27" s="5">
        <v>0</v>
      </c>
      <c r="P27" s="5">
        <v>0</v>
      </c>
    </row>
    <row r="28" spans="1:16" ht="15.65">
      <c r="A28" s="3" t="s">
        <v>2</v>
      </c>
      <c r="B28" s="2" t="s">
        <v>57</v>
      </c>
      <c r="C28" s="3" t="s">
        <v>46</v>
      </c>
      <c r="D28" s="3" t="s">
        <v>56</v>
      </c>
      <c r="E28" s="3" t="s">
        <v>31</v>
      </c>
      <c r="F28" s="3" t="s">
        <v>67</v>
      </c>
      <c r="G28" s="13">
        <v>596321.6399999999</v>
      </c>
      <c r="H28" s="5">
        <f>G28*0.47392</f>
        <v>282608.75162879995</v>
      </c>
      <c r="K28" s="8">
        <f t="shared" si="0"/>
        <v>282608.75162879995</v>
      </c>
      <c r="L28" s="5">
        <f>G28*0.5103</f>
        <v>304302.93289199995</v>
      </c>
      <c r="N28" s="8">
        <f t="shared" si="1"/>
        <v>304302.93289199995</v>
      </c>
      <c r="O28" s="5">
        <f>G28*0.01487</f>
        <v>8867.302786799999</v>
      </c>
      <c r="P28" s="5">
        <f>G28*0.00091</f>
        <v>542.65269239999986</v>
      </c>
    </row>
    <row r="29" spans="1:16" ht="15.65">
      <c r="A29" s="3" t="s">
        <v>2</v>
      </c>
      <c r="B29" s="2" t="s">
        <v>14</v>
      </c>
      <c r="C29" s="3" t="s">
        <v>46</v>
      </c>
      <c r="D29" s="3" t="s">
        <v>21</v>
      </c>
      <c r="E29" s="3" t="s">
        <v>31</v>
      </c>
      <c r="F29" s="3" t="s">
        <v>35</v>
      </c>
      <c r="G29" s="13">
        <v>2042581.4199999999</v>
      </c>
      <c r="H29" s="5">
        <v>0</v>
      </c>
      <c r="K29" s="8">
        <f t="shared" si="0"/>
        <v>0</v>
      </c>
      <c r="L29" s="5">
        <v>0</v>
      </c>
      <c r="N29" s="8">
        <f t="shared" si="1"/>
        <v>0</v>
      </c>
      <c r="O29" s="5">
        <v>0</v>
      </c>
      <c r="P29" s="5">
        <f t="shared" si="3" ref="P29:P38">G29</f>
        <v>2042581.4199999999</v>
      </c>
    </row>
    <row r="30" spans="1:16" ht="15.65">
      <c r="A30" s="3" t="s">
        <v>2</v>
      </c>
      <c r="B30" s="2" t="s">
        <v>14</v>
      </c>
      <c r="C30" s="3" t="s">
        <v>46</v>
      </c>
      <c r="D30" s="3" t="s">
        <v>22</v>
      </c>
      <c r="E30" s="3" t="s">
        <v>31</v>
      </c>
      <c r="F30" s="3" t="s">
        <v>35</v>
      </c>
      <c r="G30" s="13">
        <v>1323395.3800000001</v>
      </c>
      <c r="H30" s="5">
        <v>0</v>
      </c>
      <c r="K30" s="8">
        <f t="shared" si="0"/>
        <v>0</v>
      </c>
      <c r="L30" s="5">
        <v>0</v>
      </c>
      <c r="N30" s="8">
        <f t="shared" si="1"/>
        <v>0</v>
      </c>
      <c r="O30" s="5">
        <v>0</v>
      </c>
      <c r="P30" s="5">
        <f t="shared" si="3"/>
        <v>1323395.3800000001</v>
      </c>
    </row>
    <row r="31" spans="1:16" ht="15.65">
      <c r="A31" s="3" t="s">
        <v>2</v>
      </c>
      <c r="B31" s="2" t="s">
        <v>14</v>
      </c>
      <c r="C31" s="3" t="s">
        <v>46</v>
      </c>
      <c r="D31" s="3" t="s">
        <v>23</v>
      </c>
      <c r="E31" s="3" t="s">
        <v>31</v>
      </c>
      <c r="F31" s="3" t="s">
        <v>35</v>
      </c>
      <c r="G31" s="13">
        <v>900462.14000000001</v>
      </c>
      <c r="H31" s="5">
        <v>0</v>
      </c>
      <c r="K31" s="8">
        <f t="shared" si="0"/>
        <v>0</v>
      </c>
      <c r="L31" s="5">
        <v>0</v>
      </c>
      <c r="N31" s="8">
        <f t="shared" si="1"/>
        <v>0</v>
      </c>
      <c r="O31" s="5">
        <v>0</v>
      </c>
      <c r="P31" s="5">
        <f t="shared" si="3"/>
        <v>900462.14000000001</v>
      </c>
    </row>
    <row r="32" spans="1:16" ht="15.65">
      <c r="A32" s="3" t="s">
        <v>2</v>
      </c>
      <c r="B32" s="2" t="s">
        <v>14</v>
      </c>
      <c r="C32" s="3" t="s">
        <v>46</v>
      </c>
      <c r="D32" s="3" t="s">
        <v>25</v>
      </c>
      <c r="E32" s="3" t="s">
        <v>31</v>
      </c>
      <c r="F32" s="3" t="s">
        <v>35</v>
      </c>
      <c r="G32" s="13">
        <v>397838.10999999999</v>
      </c>
      <c r="H32" s="5">
        <v>0</v>
      </c>
      <c r="K32" s="8">
        <f t="shared" si="0"/>
        <v>0</v>
      </c>
      <c r="L32" s="5">
        <v>0</v>
      </c>
      <c r="N32" s="8">
        <f t="shared" si="1"/>
        <v>0</v>
      </c>
      <c r="O32" s="5">
        <v>0</v>
      </c>
      <c r="P32" s="5">
        <f t="shared" si="3"/>
        <v>397838.10999999999</v>
      </c>
    </row>
    <row r="33" spans="1:16" ht="15.65">
      <c r="A33" s="3" t="s">
        <v>2</v>
      </c>
      <c r="B33" s="2" t="s">
        <v>14</v>
      </c>
      <c r="C33" s="3" t="s">
        <v>46</v>
      </c>
      <c r="D33" s="3" t="s">
        <v>24</v>
      </c>
      <c r="E33" s="3" t="s">
        <v>34</v>
      </c>
      <c r="F33" s="3" t="s">
        <v>35</v>
      </c>
      <c r="G33" s="13">
        <v>725406.26000000001</v>
      </c>
      <c r="H33" s="5">
        <v>0</v>
      </c>
      <c r="K33" s="8">
        <f t="shared" si="0"/>
        <v>0</v>
      </c>
      <c r="L33" s="5">
        <v>0</v>
      </c>
      <c r="N33" s="8">
        <f t="shared" si="1"/>
        <v>0</v>
      </c>
      <c r="O33" s="5">
        <v>0</v>
      </c>
      <c r="P33" s="5">
        <f t="shared" si="3"/>
        <v>725406.26000000001</v>
      </c>
    </row>
    <row r="34" spans="1:16" ht="15.65">
      <c r="A34" s="3" t="s">
        <v>2</v>
      </c>
      <c r="B34" s="2" t="s">
        <v>14</v>
      </c>
      <c r="C34" s="3" t="s">
        <v>46</v>
      </c>
      <c r="D34" s="3" t="s">
        <v>24</v>
      </c>
      <c r="E34" s="3" t="s">
        <v>31</v>
      </c>
      <c r="F34" s="3" t="s">
        <v>35</v>
      </c>
      <c r="G34" s="13">
        <v>1482578.5800000001</v>
      </c>
      <c r="H34" s="5">
        <v>0</v>
      </c>
      <c r="K34" s="8">
        <f t="shared" si="0"/>
        <v>0</v>
      </c>
      <c r="L34" s="5">
        <v>0</v>
      </c>
      <c r="N34" s="8">
        <f t="shared" si="1"/>
        <v>0</v>
      </c>
      <c r="O34" s="5">
        <v>0</v>
      </c>
      <c r="P34" s="5">
        <f t="shared" si="3"/>
        <v>1482578.5800000001</v>
      </c>
    </row>
    <row r="35" spans="1:16" ht="15.65">
      <c r="A35" s="3" t="s">
        <v>2</v>
      </c>
      <c r="B35" s="2" t="s">
        <v>14</v>
      </c>
      <c r="C35" s="3" t="s">
        <v>46</v>
      </c>
      <c r="D35" s="3" t="s">
        <v>47</v>
      </c>
      <c r="E35" s="3" t="s">
        <v>31</v>
      </c>
      <c r="F35" s="3" t="s">
        <v>35</v>
      </c>
      <c r="G35" s="13">
        <v>319079.09000000003</v>
      </c>
      <c r="H35" s="5">
        <v>0</v>
      </c>
      <c r="K35" s="8">
        <f t="shared" si="0"/>
        <v>0</v>
      </c>
      <c r="L35" s="5">
        <v>0</v>
      </c>
      <c r="N35" s="8">
        <f t="shared" si="1"/>
        <v>0</v>
      </c>
      <c r="O35" s="5">
        <v>0</v>
      </c>
      <c r="P35" s="5">
        <f t="shared" si="3"/>
        <v>319079.09000000003</v>
      </c>
    </row>
    <row r="36" spans="1:16" ht="15.65">
      <c r="A36" s="3" t="s">
        <v>2</v>
      </c>
      <c r="B36" s="2" t="s">
        <v>14</v>
      </c>
      <c r="C36" s="3" t="s">
        <v>46</v>
      </c>
      <c r="D36" s="3" t="s">
        <v>49</v>
      </c>
      <c r="E36" s="3" t="s">
        <v>31</v>
      </c>
      <c r="F36" s="3" t="s">
        <v>35</v>
      </c>
      <c r="G36" s="13">
        <v>1084197.71</v>
      </c>
      <c r="H36" s="5">
        <v>0</v>
      </c>
      <c r="K36" s="8">
        <f t="shared" si="0"/>
        <v>0</v>
      </c>
      <c r="L36" s="5">
        <v>0</v>
      </c>
      <c r="N36" s="8">
        <f t="shared" si="1"/>
        <v>0</v>
      </c>
      <c r="O36" s="5">
        <v>0</v>
      </c>
      <c r="P36" s="5">
        <f t="shared" si="3"/>
        <v>1084197.71</v>
      </c>
    </row>
    <row r="37" spans="1:16" ht="15.65">
      <c r="A37" s="3" t="s">
        <v>2</v>
      </c>
      <c r="B37" s="2" t="s">
        <v>14</v>
      </c>
      <c r="C37" s="3" t="s">
        <v>46</v>
      </c>
      <c r="D37" s="3" t="s">
        <v>56</v>
      </c>
      <c r="E37" s="3" t="s">
        <v>31</v>
      </c>
      <c r="F37" s="3" t="s">
        <v>35</v>
      </c>
      <c r="G37" s="13">
        <v>4619950.0700000003</v>
      </c>
      <c r="H37" s="5">
        <v>0</v>
      </c>
      <c r="K37" s="8">
        <f t="shared" si="0"/>
        <v>0</v>
      </c>
      <c r="L37" s="5">
        <v>0</v>
      </c>
      <c r="N37" s="8">
        <f t="shared" si="1"/>
        <v>0</v>
      </c>
      <c r="O37" s="5">
        <v>0</v>
      </c>
      <c r="P37" s="5">
        <f t="shared" si="3"/>
        <v>4619950.0700000003</v>
      </c>
    </row>
    <row r="38" spans="1:16" ht="15.65">
      <c r="A38" s="3" t="s">
        <v>2</v>
      </c>
      <c r="B38" s="2" t="s">
        <v>13</v>
      </c>
      <c r="C38" s="3" t="s">
        <v>46</v>
      </c>
      <c r="D38" s="3" t="s">
        <v>24</v>
      </c>
      <c r="E38" s="3" t="s">
        <v>31</v>
      </c>
      <c r="F38" s="3" t="s">
        <v>35</v>
      </c>
      <c r="G38" s="13">
        <v>3082724.52</v>
      </c>
      <c r="H38" s="5">
        <v>0</v>
      </c>
      <c r="K38" s="8">
        <f t="shared" si="0"/>
        <v>0</v>
      </c>
      <c r="L38" s="5">
        <v>0</v>
      </c>
      <c r="N38" s="8">
        <f t="shared" si="1"/>
        <v>0</v>
      </c>
      <c r="O38" s="5">
        <v>0</v>
      </c>
      <c r="P38" s="5">
        <f t="shared" si="3"/>
        <v>3082724.52</v>
      </c>
    </row>
    <row r="39" spans="1:16" ht="15.65">
      <c r="A39" s="3" t="s">
        <v>2</v>
      </c>
      <c r="B39" s="2" t="s">
        <v>13</v>
      </c>
      <c r="C39" s="3" t="s">
        <v>46</v>
      </c>
      <c r="D39" s="3" t="s">
        <v>47</v>
      </c>
      <c r="E39" s="3" t="s">
        <v>31</v>
      </c>
      <c r="F39" s="3" t="s">
        <v>35</v>
      </c>
      <c r="G39" s="13">
        <v>562553.25</v>
      </c>
      <c r="H39" s="5">
        <v>0</v>
      </c>
      <c r="K39" s="8">
        <f t="shared" si="0"/>
        <v>0</v>
      </c>
      <c r="L39" s="5">
        <f>G39</f>
        <v>562553.25</v>
      </c>
      <c r="N39" s="8">
        <f t="shared" si="1"/>
        <v>562553.25</v>
      </c>
      <c r="O39" s="5">
        <v>0</v>
      </c>
      <c r="P39" s="5">
        <v>0</v>
      </c>
    </row>
    <row r="40" spans="1:16" ht="15.65">
      <c r="A40" s="3" t="s">
        <v>2</v>
      </c>
      <c r="B40" s="2" t="s">
        <v>13</v>
      </c>
      <c r="C40" s="3" t="s">
        <v>46</v>
      </c>
      <c r="D40" s="3" t="s">
        <v>47</v>
      </c>
      <c r="E40" s="3" t="s">
        <v>31</v>
      </c>
      <c r="F40" s="3" t="s">
        <v>35</v>
      </c>
      <c r="G40" s="13">
        <v>213027187.49000001</v>
      </c>
      <c r="H40" s="5">
        <v>0</v>
      </c>
      <c r="K40" s="8">
        <f t="shared" si="0"/>
        <v>0</v>
      </c>
      <c r="L40" s="5">
        <v>0</v>
      </c>
      <c r="N40" s="8">
        <f t="shared" si="1"/>
        <v>0</v>
      </c>
      <c r="O40" s="5">
        <v>0</v>
      </c>
      <c r="P40" s="5">
        <f t="shared" si="4" ref="P40:P45">G40</f>
        <v>213027187.49000001</v>
      </c>
    </row>
    <row r="41" spans="1:16" ht="15.65">
      <c r="A41" s="3" t="s">
        <v>2</v>
      </c>
      <c r="B41" s="2" t="s">
        <v>13</v>
      </c>
      <c r="C41" s="3" t="s">
        <v>46</v>
      </c>
      <c r="D41" s="3" t="s">
        <v>50</v>
      </c>
      <c r="E41" s="3" t="s">
        <v>31</v>
      </c>
      <c r="F41" s="3" t="s">
        <v>35</v>
      </c>
      <c r="G41" s="13">
        <v>45221781.370000005</v>
      </c>
      <c r="H41" s="5">
        <v>0</v>
      </c>
      <c r="K41" s="8">
        <f t="shared" si="0"/>
        <v>0</v>
      </c>
      <c r="L41" s="5">
        <v>0</v>
      </c>
      <c r="N41" s="8">
        <f t="shared" si="1"/>
        <v>0</v>
      </c>
      <c r="O41" s="5">
        <v>0</v>
      </c>
      <c r="P41" s="5">
        <f t="shared" si="4"/>
        <v>45221781.370000005</v>
      </c>
    </row>
    <row r="42" spans="1:16" ht="15.65">
      <c r="A42" s="3" t="s">
        <v>2</v>
      </c>
      <c r="B42" s="2" t="s">
        <v>13</v>
      </c>
      <c r="C42" s="3" t="s">
        <v>46</v>
      </c>
      <c r="D42" s="3" t="s">
        <v>48</v>
      </c>
      <c r="E42" s="3" t="s">
        <v>31</v>
      </c>
      <c r="F42" s="3" t="s">
        <v>35</v>
      </c>
      <c r="G42" s="13">
        <v>2705650.71</v>
      </c>
      <c r="H42" s="5">
        <v>0</v>
      </c>
      <c r="K42" s="8">
        <f t="shared" si="0"/>
        <v>0</v>
      </c>
      <c r="L42" s="5">
        <v>0</v>
      </c>
      <c r="N42" s="8">
        <f t="shared" si="1"/>
        <v>0</v>
      </c>
      <c r="O42" s="5">
        <v>0</v>
      </c>
      <c r="P42" s="5">
        <f t="shared" si="4"/>
        <v>2705650.71</v>
      </c>
    </row>
    <row r="43" spans="1:16" ht="15.65">
      <c r="A43" s="3" t="s">
        <v>2</v>
      </c>
      <c r="B43" s="2" t="s">
        <v>13</v>
      </c>
      <c r="C43" s="3" t="s">
        <v>46</v>
      </c>
      <c r="D43" s="3" t="s">
        <v>49</v>
      </c>
      <c r="E43" s="3" t="s">
        <v>31</v>
      </c>
      <c r="F43" s="3" t="s">
        <v>35</v>
      </c>
      <c r="G43" s="13">
        <v>8891996.5899999999</v>
      </c>
      <c r="H43" s="5">
        <v>0</v>
      </c>
      <c r="K43" s="8">
        <f t="shared" si="0"/>
        <v>0</v>
      </c>
      <c r="L43" s="5">
        <v>0</v>
      </c>
      <c r="N43" s="8">
        <f t="shared" si="1"/>
        <v>0</v>
      </c>
      <c r="O43" s="5">
        <v>0</v>
      </c>
      <c r="P43" s="5">
        <f t="shared" si="4"/>
        <v>8891996.5899999999</v>
      </c>
    </row>
    <row r="44" spans="1:16" ht="15.65">
      <c r="A44" s="3" t="s">
        <v>2</v>
      </c>
      <c r="B44" s="2" t="s">
        <v>13</v>
      </c>
      <c r="C44" s="3" t="s">
        <v>46</v>
      </c>
      <c r="D44" s="3" t="s">
        <v>56</v>
      </c>
      <c r="E44" s="3" t="s">
        <v>31</v>
      </c>
      <c r="F44" s="3" t="s">
        <v>35</v>
      </c>
      <c r="G44" s="13">
        <v>1385577.6899999999</v>
      </c>
      <c r="H44" s="5">
        <v>0</v>
      </c>
      <c r="K44" s="8">
        <f t="shared" si="0"/>
        <v>0</v>
      </c>
      <c r="L44" s="5">
        <v>0</v>
      </c>
      <c r="N44" s="8">
        <f t="shared" si="1"/>
        <v>0</v>
      </c>
      <c r="O44" s="5">
        <v>0</v>
      </c>
      <c r="P44" s="5">
        <f t="shared" si="4"/>
        <v>1385577.6899999999</v>
      </c>
    </row>
    <row r="45" spans="1:16" ht="15.65">
      <c r="A45" s="3" t="s">
        <v>2</v>
      </c>
      <c r="B45" s="2" t="s">
        <v>13</v>
      </c>
      <c r="C45" s="3" t="s">
        <v>46</v>
      </c>
      <c r="D45" s="3" t="s">
        <v>56</v>
      </c>
      <c r="E45" s="3" t="s">
        <v>31</v>
      </c>
      <c r="F45" s="3" t="s">
        <v>35</v>
      </c>
      <c r="G45" s="13">
        <v>3731563.9199999999</v>
      </c>
      <c r="H45" s="5">
        <v>0</v>
      </c>
      <c r="K45" s="8">
        <f t="shared" si="0"/>
        <v>0</v>
      </c>
      <c r="L45" s="5">
        <v>0</v>
      </c>
      <c r="N45" s="8">
        <f t="shared" si="1"/>
        <v>0</v>
      </c>
      <c r="O45" s="5">
        <v>0</v>
      </c>
      <c r="P45" s="5">
        <f t="shared" si="4"/>
        <v>3731563.9199999999</v>
      </c>
    </row>
    <row r="46" spans="1:16" ht="15.65">
      <c r="A46" s="3" t="s">
        <v>2</v>
      </c>
      <c r="B46" s="2" t="s">
        <v>58</v>
      </c>
      <c r="C46" s="3" t="s">
        <v>46</v>
      </c>
      <c r="D46" s="3" t="s">
        <v>48</v>
      </c>
      <c r="E46" s="3" t="s">
        <v>31</v>
      </c>
      <c r="F46" s="3" t="s">
        <v>67</v>
      </c>
      <c r="G46" s="13">
        <v>230182.16</v>
      </c>
      <c r="H46" s="5">
        <f t="shared" si="5" ref="H46:H57">G46*0.47392</f>
        <v>109087.9292672</v>
      </c>
      <c r="K46" s="8">
        <f t="shared" si="0"/>
        <v>109087.9292672</v>
      </c>
      <c r="L46" s="5">
        <f t="shared" si="6" ref="L46:L57">G46*0.5103</f>
        <v>117461.956248</v>
      </c>
      <c r="N46" s="8">
        <f t="shared" si="1"/>
        <v>117461.956248</v>
      </c>
      <c r="O46" s="5">
        <f t="shared" si="7" ref="O46:O57">G46*0.01487</f>
        <v>3422.8087191999998</v>
      </c>
      <c r="P46" s="5">
        <f t="shared" si="8" ref="P46:P57">G46*0.00091</f>
        <v>209.4657656</v>
      </c>
    </row>
    <row r="47" spans="1:16" ht="15.65">
      <c r="A47" s="3" t="s">
        <v>2</v>
      </c>
      <c r="B47" s="2" t="s">
        <v>16</v>
      </c>
      <c r="C47" s="3" t="s">
        <v>46</v>
      </c>
      <c r="D47" s="3" t="s">
        <v>29</v>
      </c>
      <c r="E47" s="3" t="s">
        <v>32</v>
      </c>
      <c r="F47" s="3" t="s">
        <v>67</v>
      </c>
      <c r="G47" s="13">
        <v>601949.59999999998</v>
      </c>
      <c r="H47" s="5">
        <f t="shared" si="5"/>
        <v>285275.954432</v>
      </c>
      <c r="K47" s="8">
        <f t="shared" si="0"/>
        <v>285275.954432</v>
      </c>
      <c r="L47" s="5">
        <f t="shared" si="6"/>
        <v>307174.88087999995</v>
      </c>
      <c r="N47" s="8">
        <f t="shared" si="1"/>
        <v>307174.88087999995</v>
      </c>
      <c r="O47" s="5">
        <f t="shared" si="7"/>
        <v>8950.9905519999993</v>
      </c>
      <c r="P47" s="5">
        <f t="shared" si="8"/>
        <v>547.774136</v>
      </c>
    </row>
    <row r="48" spans="1:16" ht="15.65">
      <c r="A48" s="3" t="s">
        <v>2</v>
      </c>
      <c r="B48" s="2" t="s">
        <v>16</v>
      </c>
      <c r="C48" s="3" t="s">
        <v>46</v>
      </c>
      <c r="D48" s="3" t="s">
        <v>21</v>
      </c>
      <c r="E48" s="3" t="s">
        <v>31</v>
      </c>
      <c r="F48" s="3" t="s">
        <v>67</v>
      </c>
      <c r="G48" s="13">
        <v>2541841.3700000001</v>
      </c>
      <c r="H48" s="5">
        <f t="shared" si="5"/>
        <v>1204629.4620704001</v>
      </c>
      <c r="K48" s="8">
        <f t="shared" si="0"/>
        <v>1204629.4620704001</v>
      </c>
      <c r="L48" s="5">
        <f t="shared" si="6"/>
        <v>1297101.651111</v>
      </c>
      <c r="N48" s="8">
        <f t="shared" si="1"/>
        <v>1297101.651111</v>
      </c>
      <c r="O48" s="5">
        <f t="shared" si="7"/>
        <v>37797.181171900003</v>
      </c>
      <c r="P48" s="5">
        <f t="shared" si="8"/>
        <v>2313.0756467000001</v>
      </c>
    </row>
    <row r="49" spans="1:16" ht="15.65">
      <c r="A49" s="3" t="s">
        <v>2</v>
      </c>
      <c r="B49" s="2" t="s">
        <v>16</v>
      </c>
      <c r="C49" s="3" t="s">
        <v>46</v>
      </c>
      <c r="D49" s="3" t="s">
        <v>22</v>
      </c>
      <c r="E49" s="3" t="s">
        <v>31</v>
      </c>
      <c r="F49" s="3" t="s">
        <v>67</v>
      </c>
      <c r="G49" s="13">
        <v>7732423.5499999998</v>
      </c>
      <c r="H49" s="5">
        <f t="shared" si="5"/>
        <v>3664550.1688159998</v>
      </c>
      <c r="K49" s="8">
        <f t="shared" si="0"/>
        <v>3664550.1688159998</v>
      </c>
      <c r="L49" s="5">
        <f t="shared" si="6"/>
        <v>3945855.7375649996</v>
      </c>
      <c r="N49" s="8">
        <f t="shared" si="1"/>
        <v>3945855.7375649996</v>
      </c>
      <c r="O49" s="5">
        <f t="shared" si="7"/>
        <v>114981.13818849999</v>
      </c>
      <c r="P49" s="5">
        <f t="shared" si="8"/>
        <v>7036.5054304999994</v>
      </c>
    </row>
    <row r="50" spans="1:16" ht="15.65">
      <c r="A50" s="3" t="s">
        <v>2</v>
      </c>
      <c r="B50" s="2" t="s">
        <v>16</v>
      </c>
      <c r="C50" s="3" t="s">
        <v>46</v>
      </c>
      <c r="D50" s="3" t="s">
        <v>23</v>
      </c>
      <c r="E50" s="3" t="s">
        <v>31</v>
      </c>
      <c r="F50" s="3" t="s">
        <v>67</v>
      </c>
      <c r="G50" s="13">
        <v>261833.56</v>
      </c>
      <c r="H50" s="5">
        <f t="shared" si="5"/>
        <v>124088.16075520001</v>
      </c>
      <c r="K50" s="8">
        <f t="shared" si="0"/>
        <v>124088.16075520001</v>
      </c>
      <c r="L50" s="5">
        <f t="shared" si="6"/>
        <v>133613.665668</v>
      </c>
      <c r="N50" s="8">
        <f t="shared" si="1"/>
        <v>133613.665668</v>
      </c>
      <c r="O50" s="5">
        <f t="shared" si="7"/>
        <v>3893.4650371999996</v>
      </c>
      <c r="P50" s="5">
        <f t="shared" si="8"/>
        <v>238.2685396</v>
      </c>
    </row>
    <row r="51" spans="1:16" ht="15.65">
      <c r="A51" s="3" t="s">
        <v>2</v>
      </c>
      <c r="B51" s="2" t="s">
        <v>16</v>
      </c>
      <c r="C51" s="3" t="s">
        <v>46</v>
      </c>
      <c r="D51" s="3" t="s">
        <v>25</v>
      </c>
      <c r="E51" s="3" t="s">
        <v>31</v>
      </c>
      <c r="F51" s="3" t="s">
        <v>67</v>
      </c>
      <c r="G51" s="13">
        <v>502432.28999999998</v>
      </c>
      <c r="H51" s="5">
        <f t="shared" si="5"/>
        <v>238112.7108768</v>
      </c>
      <c r="K51" s="8">
        <f t="shared" si="0"/>
        <v>238112.7108768</v>
      </c>
      <c r="L51" s="5">
        <f t="shared" si="6"/>
        <v>256391.19758699997</v>
      </c>
      <c r="N51" s="8">
        <f t="shared" si="1"/>
        <v>256391.19758699997</v>
      </c>
      <c r="O51" s="5">
        <f t="shared" si="7"/>
        <v>7471.1681522999997</v>
      </c>
      <c r="P51" s="5">
        <f t="shared" si="8"/>
        <v>457.2133839</v>
      </c>
    </row>
    <row r="52" spans="1:16" ht="15.65">
      <c r="A52" s="3" t="s">
        <v>2</v>
      </c>
      <c r="B52" s="2" t="s">
        <v>16</v>
      </c>
      <c r="C52" s="3" t="s">
        <v>46</v>
      </c>
      <c r="D52" s="3" t="s">
        <v>24</v>
      </c>
      <c r="E52" s="3" t="s">
        <v>31</v>
      </c>
      <c r="F52" s="3" t="s">
        <v>67</v>
      </c>
      <c r="G52" s="13">
        <v>4209481.1999999993</v>
      </c>
      <c r="H52" s="5">
        <f t="shared" si="5"/>
        <v>1994957.3303039996</v>
      </c>
      <c r="K52" s="8">
        <f t="shared" si="0"/>
        <v>1994957.3303039996</v>
      </c>
      <c r="L52" s="5">
        <f t="shared" si="6"/>
        <v>2148098.2563599995</v>
      </c>
      <c r="N52" s="8">
        <f t="shared" si="1"/>
        <v>2148098.2563599995</v>
      </c>
      <c r="O52" s="5">
        <f t="shared" si="7"/>
        <v>62594.985443999984</v>
      </c>
      <c r="P52" s="5">
        <f t="shared" si="8"/>
        <v>3830.6278919999995</v>
      </c>
    </row>
    <row r="53" spans="1:16" ht="15.65">
      <c r="A53" s="3" t="s">
        <v>2</v>
      </c>
      <c r="B53" s="2" t="s">
        <v>16</v>
      </c>
      <c r="C53" s="3" t="s">
        <v>46</v>
      </c>
      <c r="D53" s="3" t="s">
        <v>47</v>
      </c>
      <c r="E53" s="3" t="s">
        <v>31</v>
      </c>
      <c r="F53" s="3" t="s">
        <v>67</v>
      </c>
      <c r="G53" s="13">
        <v>18826904.100000001</v>
      </c>
      <c r="H53" s="5">
        <f t="shared" si="5"/>
        <v>8922446.3910720013</v>
      </c>
      <c r="K53" s="8">
        <f t="shared" si="0"/>
        <v>8922446.3910720013</v>
      </c>
      <c r="L53" s="5">
        <f t="shared" si="6"/>
        <v>9607369.1622299999</v>
      </c>
      <c r="N53" s="8">
        <f t="shared" si="1"/>
        <v>9607369.1622299999</v>
      </c>
      <c r="O53" s="5">
        <f t="shared" si="7"/>
        <v>279956.06396699999</v>
      </c>
      <c r="P53" s="5">
        <f t="shared" si="8"/>
        <v>17132.482731</v>
      </c>
    </row>
    <row r="54" spans="1:16" ht="15.65">
      <c r="A54" s="3" t="s">
        <v>2</v>
      </c>
      <c r="B54" s="2" t="s">
        <v>16</v>
      </c>
      <c r="C54" s="3" t="s">
        <v>46</v>
      </c>
      <c r="D54" s="3" t="s">
        <v>50</v>
      </c>
      <c r="E54" s="3" t="s">
        <v>31</v>
      </c>
      <c r="F54" s="3" t="s">
        <v>67</v>
      </c>
      <c r="G54" s="13">
        <v>7342025.6900000004</v>
      </c>
      <c r="H54" s="5">
        <f t="shared" si="5"/>
        <v>3479532.8150048004</v>
      </c>
      <c r="K54" s="8">
        <f t="shared" si="0"/>
        <v>3479532.8150048004</v>
      </c>
      <c r="L54" s="5">
        <f t="shared" si="6"/>
        <v>3746635.709607</v>
      </c>
      <c r="N54" s="8">
        <f t="shared" si="1"/>
        <v>3746635.709607</v>
      </c>
      <c r="O54" s="5">
        <f t="shared" si="7"/>
        <v>109175.9220103</v>
      </c>
      <c r="P54" s="5">
        <f t="shared" si="8"/>
        <v>6681.2433779000003</v>
      </c>
    </row>
    <row r="55" spans="1:16" ht="15.65">
      <c r="A55" s="3" t="s">
        <v>2</v>
      </c>
      <c r="B55" s="2" t="s">
        <v>16</v>
      </c>
      <c r="C55" s="3" t="s">
        <v>46</v>
      </c>
      <c r="D55" s="3" t="s">
        <v>48</v>
      </c>
      <c r="E55" s="3" t="s">
        <v>31</v>
      </c>
      <c r="F55" s="3" t="s">
        <v>67</v>
      </c>
      <c r="G55" s="13">
        <v>6971445.9199999999</v>
      </c>
      <c r="H55" s="5">
        <f t="shared" si="5"/>
        <v>3303907.6504064002</v>
      </c>
      <c r="K55" s="8">
        <f t="shared" si="0"/>
        <v>3303907.6504064002</v>
      </c>
      <c r="L55" s="5">
        <f t="shared" si="6"/>
        <v>3557528.8529759999</v>
      </c>
      <c r="N55" s="8">
        <f t="shared" si="1"/>
        <v>3557528.8529759999</v>
      </c>
      <c r="O55" s="5">
        <f t="shared" si="7"/>
        <v>103665.4008304</v>
      </c>
      <c r="P55" s="5">
        <f t="shared" si="8"/>
        <v>6344.0157872</v>
      </c>
    </row>
    <row r="56" spans="1:16" ht="15.65">
      <c r="A56" s="3" t="s">
        <v>2</v>
      </c>
      <c r="B56" s="2" t="s">
        <v>16</v>
      </c>
      <c r="C56" s="3" t="s">
        <v>46</v>
      </c>
      <c r="D56" s="3" t="s">
        <v>49</v>
      </c>
      <c r="E56" s="3" t="s">
        <v>31</v>
      </c>
      <c r="F56" s="3" t="s">
        <v>67</v>
      </c>
      <c r="G56" s="13">
        <v>6904712.6799999997</v>
      </c>
      <c r="H56" s="5">
        <f t="shared" si="5"/>
        <v>3272281.4333055997</v>
      </c>
      <c r="K56" s="8">
        <f t="shared" si="0"/>
        <v>3272281.4333055997</v>
      </c>
      <c r="L56" s="5">
        <f t="shared" si="6"/>
        <v>3523474.8806039998</v>
      </c>
      <c r="N56" s="8">
        <f t="shared" si="1"/>
        <v>3523474.8806039998</v>
      </c>
      <c r="O56" s="5">
        <f t="shared" si="7"/>
        <v>102673.0775516</v>
      </c>
      <c r="P56" s="5">
        <f t="shared" si="8"/>
        <v>6283.2885387999995</v>
      </c>
    </row>
    <row r="57" spans="1:16" ht="15.65">
      <c r="A57" s="3" t="s">
        <v>2</v>
      </c>
      <c r="B57" s="2" t="s">
        <v>16</v>
      </c>
      <c r="C57" s="3" t="s">
        <v>46</v>
      </c>
      <c r="D57" s="3" t="s">
        <v>56</v>
      </c>
      <c r="E57" s="3" t="s">
        <v>31</v>
      </c>
      <c r="F57" s="3" t="s">
        <v>67</v>
      </c>
      <c r="G57" s="13">
        <v>9444350.120000001</v>
      </c>
      <c r="H57" s="5">
        <f t="shared" si="5"/>
        <v>4475866.4088704009</v>
      </c>
      <c r="K57" s="8">
        <f t="shared" si="0"/>
        <v>4475866.4088704009</v>
      </c>
      <c r="L57" s="5">
        <f t="shared" si="6"/>
        <v>4819451.8662360003</v>
      </c>
      <c r="N57" s="8">
        <f t="shared" si="1"/>
        <v>4819451.8662360003</v>
      </c>
      <c r="O57" s="5">
        <f t="shared" si="7"/>
        <v>140437.48628440002</v>
      </c>
      <c r="P57" s="5">
        <f t="shared" si="8"/>
        <v>8594.3586092000005</v>
      </c>
    </row>
    <row r="58" spans="1:16" ht="15.65">
      <c r="A58" s="3" t="s">
        <v>2</v>
      </c>
      <c r="B58" s="2" t="s">
        <v>16</v>
      </c>
      <c r="C58" s="3" t="s">
        <v>46</v>
      </c>
      <c r="D58" s="3" t="s">
        <v>56</v>
      </c>
      <c r="E58" s="3" t="s">
        <v>31</v>
      </c>
      <c r="F58" s="3" t="s">
        <v>35</v>
      </c>
      <c r="G58" s="13">
        <v>4353769.8600000003</v>
      </c>
      <c r="H58" s="5">
        <v>0</v>
      </c>
      <c r="K58" s="8">
        <f t="shared" si="0"/>
        <v>0</v>
      </c>
      <c r="L58" s="5">
        <f>G58</f>
        <v>4353769.8600000003</v>
      </c>
      <c r="N58" s="8">
        <f t="shared" si="1"/>
        <v>4353769.8600000003</v>
      </c>
      <c r="O58" s="5">
        <v>0</v>
      </c>
      <c r="P58" s="5">
        <v>0</v>
      </c>
    </row>
    <row r="59" spans="1:16" ht="15.65">
      <c r="A59" s="3" t="s">
        <v>2</v>
      </c>
      <c r="B59" s="2" t="s">
        <v>59</v>
      </c>
      <c r="C59" s="3" t="s">
        <v>46</v>
      </c>
      <c r="D59" s="3" t="s">
        <v>24</v>
      </c>
      <c r="E59" s="3" t="s">
        <v>31</v>
      </c>
      <c r="F59" s="3" t="s">
        <v>67</v>
      </c>
      <c r="G59" s="13">
        <v>470696.68000000005</v>
      </c>
      <c r="H59" s="5">
        <f t="shared" si="9" ref="H59:H60">G59*0.47392</f>
        <v>223072.57058560004</v>
      </c>
      <c r="K59" s="8">
        <f t="shared" si="0"/>
        <v>223072.57058560004</v>
      </c>
      <c r="L59" s="5">
        <f t="shared" si="10" ref="L59:L60">G59*0.5103</f>
        <v>240196.51580400002</v>
      </c>
      <c r="N59" s="8">
        <f t="shared" si="1"/>
        <v>240196.51580400002</v>
      </c>
      <c r="O59" s="5">
        <f t="shared" si="11" ref="O59:O60">G59*0.01487</f>
        <v>6999.2596316000008</v>
      </c>
      <c r="P59" s="5">
        <f t="shared" si="12" ref="P59:P60">G59*0.00091</f>
        <v>428.33397880000007</v>
      </c>
    </row>
    <row r="60" spans="1:16" ht="15.65">
      <c r="A60" s="3" t="s">
        <v>2</v>
      </c>
      <c r="B60" s="2" t="s">
        <v>59</v>
      </c>
      <c r="C60" s="3" t="s">
        <v>46</v>
      </c>
      <c r="D60" s="3" t="s">
        <v>47</v>
      </c>
      <c r="E60" s="3" t="s">
        <v>31</v>
      </c>
      <c r="F60" s="3" t="s">
        <v>67</v>
      </c>
      <c r="G60" s="13">
        <v>-190.31</v>
      </c>
      <c r="H60" s="5">
        <f t="shared" si="9"/>
        <v>-90.191715200000004</v>
      </c>
      <c r="K60" s="8">
        <f t="shared" si="0"/>
        <v>-90.191715200000004</v>
      </c>
      <c r="L60" s="5">
        <f t="shared" si="10"/>
        <v>-97.115192999999991</v>
      </c>
      <c r="N60" s="8">
        <f t="shared" si="1"/>
        <v>-97.115192999999991</v>
      </c>
      <c r="O60" s="5">
        <f t="shared" si="11"/>
        <v>-2.8299097</v>
      </c>
      <c r="P60" s="5">
        <f t="shared" si="12"/>
        <v>-0.17318210000000001</v>
      </c>
    </row>
    <row r="61" spans="1:16" ht="15.65">
      <c r="A61" s="3" t="s">
        <v>2</v>
      </c>
      <c r="B61" s="2" t="s">
        <v>59</v>
      </c>
      <c r="C61" s="3" t="s">
        <v>46</v>
      </c>
      <c r="D61" s="3" t="s">
        <v>47</v>
      </c>
      <c r="E61" s="3" t="s">
        <v>31</v>
      </c>
      <c r="F61" s="3" t="s">
        <v>35</v>
      </c>
      <c r="G61" s="13">
        <v>350130.58000000002</v>
      </c>
      <c r="H61" s="5">
        <f>G61</f>
        <v>350130.58000000002</v>
      </c>
      <c r="K61" s="8">
        <f t="shared" si="0"/>
        <v>350130.58000000002</v>
      </c>
      <c r="L61" s="5">
        <v>0</v>
      </c>
      <c r="N61" s="8">
        <f t="shared" si="1"/>
        <v>0</v>
      </c>
      <c r="O61" s="5">
        <v>0</v>
      </c>
      <c r="P61" s="5">
        <v>0</v>
      </c>
    </row>
    <row r="62" spans="1:16" ht="15.65">
      <c r="A62" s="3" t="s">
        <v>2</v>
      </c>
      <c r="B62" s="2" t="s">
        <v>59</v>
      </c>
      <c r="C62" s="3" t="s">
        <v>46</v>
      </c>
      <c r="D62" s="3" t="s">
        <v>50</v>
      </c>
      <c r="E62" s="3" t="s">
        <v>31</v>
      </c>
      <c r="F62" s="3" t="s">
        <v>67</v>
      </c>
      <c r="G62" s="13">
        <v>3664434.9199999999</v>
      </c>
      <c r="H62" s="5">
        <f t="shared" si="13" ref="H62:H65">G62*0.47392</f>
        <v>1736648.9972864001</v>
      </c>
      <c r="K62" s="8">
        <f t="shared" si="0"/>
        <v>1736648.9972864001</v>
      </c>
      <c r="L62" s="5">
        <f t="shared" si="14" ref="L62:L65">G62*0.5103</f>
        <v>1869961.1396759998</v>
      </c>
      <c r="N62" s="8">
        <f t="shared" si="1"/>
        <v>1869961.1396759998</v>
      </c>
      <c r="O62" s="5">
        <f t="shared" si="15" ref="O62:O65">G62*0.01487</f>
        <v>54490.147260399994</v>
      </c>
      <c r="P62" s="5">
        <f t="shared" si="16" ref="P62:P65">G62*0.00091</f>
        <v>3334.6357772000001</v>
      </c>
    </row>
    <row r="63" spans="1:16" ht="15.65">
      <c r="A63" s="3" t="s">
        <v>2</v>
      </c>
      <c r="B63" s="2" t="s">
        <v>59</v>
      </c>
      <c r="C63" s="3" t="s">
        <v>46</v>
      </c>
      <c r="D63" s="3" t="s">
        <v>48</v>
      </c>
      <c r="E63" s="3" t="s">
        <v>31</v>
      </c>
      <c r="F63" s="3" t="s">
        <v>67</v>
      </c>
      <c r="G63" s="13">
        <v>2223799.8100000001</v>
      </c>
      <c r="H63" s="5">
        <f t="shared" si="13"/>
        <v>1053903.2059552001</v>
      </c>
      <c r="K63" s="8">
        <f t="shared" si="0"/>
        <v>1053903.2059552001</v>
      </c>
      <c r="L63" s="5">
        <f t="shared" si="14"/>
        <v>1134805.0430429999</v>
      </c>
      <c r="N63" s="8">
        <f t="shared" si="1"/>
        <v>1134805.0430429999</v>
      </c>
      <c r="O63" s="5">
        <f t="shared" si="15"/>
        <v>33067.903174699997</v>
      </c>
      <c r="P63" s="5">
        <f t="shared" si="16"/>
        <v>2023.6578271000001</v>
      </c>
    </row>
    <row r="64" spans="1:16" ht="15.65">
      <c r="A64" s="3" t="s">
        <v>2</v>
      </c>
      <c r="B64" s="2" t="s">
        <v>59</v>
      </c>
      <c r="C64" s="3" t="s">
        <v>46</v>
      </c>
      <c r="D64" s="3" t="s">
        <v>49</v>
      </c>
      <c r="E64" s="3" t="s">
        <v>31</v>
      </c>
      <c r="F64" s="3" t="s">
        <v>67</v>
      </c>
      <c r="G64" s="13">
        <v>4309806.3300000001</v>
      </c>
      <c r="H64" s="5">
        <f t="shared" si="13"/>
        <v>2042503.4159136</v>
      </c>
      <c r="K64" s="8">
        <f t="shared" si="0"/>
        <v>2042503.4159136</v>
      </c>
      <c r="L64" s="5">
        <f t="shared" si="14"/>
        <v>2199294.1701989998</v>
      </c>
      <c r="N64" s="8">
        <f t="shared" si="1"/>
        <v>2199294.1701989998</v>
      </c>
      <c r="O64" s="5">
        <f t="shared" si="15"/>
        <v>64086.8201271</v>
      </c>
      <c r="P64" s="5">
        <f t="shared" si="16"/>
        <v>3921.9237603000001</v>
      </c>
    </row>
    <row r="65" spans="1:16" ht="15.65">
      <c r="A65" s="3" t="s">
        <v>2</v>
      </c>
      <c r="B65" s="2" t="s">
        <v>59</v>
      </c>
      <c r="C65" s="3" t="s">
        <v>46</v>
      </c>
      <c r="D65" s="3" t="s">
        <v>56</v>
      </c>
      <c r="E65" s="3" t="s">
        <v>31</v>
      </c>
      <c r="F65" s="3" t="s">
        <v>67</v>
      </c>
      <c r="G65" s="13">
        <v>4380875.4500000002</v>
      </c>
      <c r="H65" s="5">
        <f t="shared" si="13"/>
        <v>2076184.4932640002</v>
      </c>
      <c r="K65" s="8">
        <f t="shared" si="0"/>
        <v>2076184.4932640002</v>
      </c>
      <c r="L65" s="5">
        <f t="shared" si="14"/>
        <v>2235560.7421349999</v>
      </c>
      <c r="N65" s="8">
        <f t="shared" si="1"/>
        <v>2235560.7421349999</v>
      </c>
      <c r="O65" s="5">
        <f t="shared" si="15"/>
        <v>65143.617941500001</v>
      </c>
      <c r="P65" s="5">
        <f t="shared" si="16"/>
        <v>3986.5966595</v>
      </c>
    </row>
    <row r="66" spans="1:16" ht="15.65">
      <c r="A66" s="3" t="s">
        <v>2</v>
      </c>
      <c r="B66" s="2" t="s">
        <v>12</v>
      </c>
      <c r="C66" s="3" t="s">
        <v>46</v>
      </c>
      <c r="D66" s="3" t="s">
        <v>48</v>
      </c>
      <c r="E66" s="3" t="s">
        <v>31</v>
      </c>
      <c r="F66" s="3" t="s">
        <v>35</v>
      </c>
      <c r="G66" s="13">
        <v>87935469.300000012</v>
      </c>
      <c r="H66" s="5">
        <v>0</v>
      </c>
      <c r="K66" s="8">
        <f t="shared" si="17" ref="K66:K129">SUM(H66:J66)</f>
        <v>0</v>
      </c>
      <c r="L66" s="5">
        <f t="shared" si="18" ref="L66:L68">G66</f>
        <v>87935469.300000012</v>
      </c>
      <c r="N66" s="8">
        <f t="shared" si="19" ref="N66:N129">SUM(L66:M66)</f>
        <v>87935469.300000012</v>
      </c>
      <c r="O66" s="5">
        <v>0</v>
      </c>
      <c r="P66" s="5">
        <v>0</v>
      </c>
    </row>
    <row r="67" spans="1:16" ht="15.65">
      <c r="A67" s="3" t="s">
        <v>2</v>
      </c>
      <c r="B67" s="2" t="s">
        <v>12</v>
      </c>
      <c r="C67" s="3" t="s">
        <v>46</v>
      </c>
      <c r="D67" s="3" t="s">
        <v>49</v>
      </c>
      <c r="E67" s="3" t="s">
        <v>31</v>
      </c>
      <c r="F67" s="3" t="s">
        <v>35</v>
      </c>
      <c r="G67" s="13">
        <v>8119541.9600000009</v>
      </c>
      <c r="H67" s="5">
        <v>0</v>
      </c>
      <c r="K67" s="8">
        <f t="shared" si="17"/>
        <v>0</v>
      </c>
      <c r="L67" s="5">
        <f t="shared" si="18"/>
        <v>8119541.9600000009</v>
      </c>
      <c r="N67" s="8">
        <f t="shared" si="19"/>
        <v>8119541.9600000009</v>
      </c>
      <c r="O67" s="5">
        <v>0</v>
      </c>
      <c r="P67" s="5">
        <v>0</v>
      </c>
    </row>
    <row r="68" spans="1:16" ht="15.65">
      <c r="A68" s="3" t="s">
        <v>2</v>
      </c>
      <c r="B68" s="2" t="s">
        <v>12</v>
      </c>
      <c r="C68" s="3" t="s">
        <v>46</v>
      </c>
      <c r="D68" s="3" t="s">
        <v>56</v>
      </c>
      <c r="E68" s="3" t="s">
        <v>31</v>
      </c>
      <c r="F68" s="3" t="s">
        <v>35</v>
      </c>
      <c r="G68" s="13">
        <v>3980307.2799999998</v>
      </c>
      <c r="H68" s="5">
        <v>0</v>
      </c>
      <c r="K68" s="8">
        <f t="shared" si="17"/>
        <v>0</v>
      </c>
      <c r="L68" s="5">
        <f t="shared" si="18"/>
        <v>3980307.2799999998</v>
      </c>
      <c r="N68" s="8">
        <f t="shared" si="19"/>
        <v>3980307.2799999998</v>
      </c>
      <c r="O68" s="5">
        <v>0</v>
      </c>
      <c r="P68" s="5">
        <v>0</v>
      </c>
    </row>
    <row r="69" spans="1:16" ht="15.65">
      <c r="A69" s="3" t="s">
        <v>2</v>
      </c>
      <c r="B69" s="2" t="s">
        <v>12</v>
      </c>
      <c r="C69" s="3" t="s">
        <v>46</v>
      </c>
      <c r="D69" s="3" t="s">
        <v>56</v>
      </c>
      <c r="E69" s="3" t="s">
        <v>31</v>
      </c>
      <c r="F69" s="3" t="s">
        <v>67</v>
      </c>
      <c r="G69" s="13">
        <v>1253061.4299999999</v>
      </c>
      <c r="H69" s="5">
        <f>G69*0.47392</f>
        <v>593850.8729056</v>
      </c>
      <c r="K69" s="8">
        <f t="shared" si="17"/>
        <v>593850.8729056</v>
      </c>
      <c r="L69" s="5">
        <f>G69*0.5103</f>
        <v>639437.24772899994</v>
      </c>
      <c r="N69" s="8">
        <f t="shared" si="19"/>
        <v>639437.24772899994</v>
      </c>
      <c r="O69" s="5">
        <f>G69*0.01487</f>
        <v>18633.023464099999</v>
      </c>
      <c r="P69" s="5">
        <f>G69*0.00091</f>
        <v>1140.2859013</v>
      </c>
    </row>
    <row r="70" spans="1:16" ht="15.65">
      <c r="A70" s="3" t="s">
        <v>2</v>
      </c>
      <c r="B70" s="2" t="s">
        <v>60</v>
      </c>
      <c r="C70" s="3" t="s">
        <v>46</v>
      </c>
      <c r="D70" s="3" t="s">
        <v>26</v>
      </c>
      <c r="E70" s="3" t="s">
        <v>32</v>
      </c>
      <c r="F70" s="3" t="s">
        <v>35</v>
      </c>
      <c r="G70" s="13">
        <v>5177795</v>
      </c>
      <c r="H70" s="5">
        <v>0</v>
      </c>
      <c r="K70" s="8">
        <f t="shared" si="17"/>
        <v>0</v>
      </c>
      <c r="L70" s="5">
        <f t="shared" si="20" ref="L70:L82">G70</f>
        <v>5177795</v>
      </c>
      <c r="N70" s="8">
        <f t="shared" si="19"/>
        <v>5177795</v>
      </c>
      <c r="O70" s="5">
        <v>0</v>
      </c>
      <c r="P70" s="5">
        <v>0</v>
      </c>
    </row>
    <row r="71" spans="1:16" ht="15.65">
      <c r="A71" s="3" t="s">
        <v>2</v>
      </c>
      <c r="B71" s="2" t="s">
        <v>60</v>
      </c>
      <c r="C71" s="3" t="s">
        <v>46</v>
      </c>
      <c r="D71" s="3" t="s">
        <v>27</v>
      </c>
      <c r="E71" s="3" t="s">
        <v>32</v>
      </c>
      <c r="F71" s="3" t="s">
        <v>35</v>
      </c>
      <c r="G71" s="13">
        <v>36508026.509999998</v>
      </c>
      <c r="H71" s="5">
        <v>0</v>
      </c>
      <c r="K71" s="8">
        <f t="shared" si="17"/>
        <v>0</v>
      </c>
      <c r="L71" s="5">
        <f t="shared" si="20"/>
        <v>36508026.509999998</v>
      </c>
      <c r="N71" s="8">
        <f t="shared" si="19"/>
        <v>36508026.509999998</v>
      </c>
      <c r="O71" s="5">
        <v>0</v>
      </c>
      <c r="P71" s="5">
        <v>0</v>
      </c>
    </row>
    <row r="72" spans="1:16" ht="15.65">
      <c r="A72" s="3" t="s">
        <v>2</v>
      </c>
      <c r="B72" s="2" t="s">
        <v>60</v>
      </c>
      <c r="C72" s="3" t="s">
        <v>46</v>
      </c>
      <c r="D72" s="3" t="s">
        <v>29</v>
      </c>
      <c r="E72" s="3" t="s">
        <v>32</v>
      </c>
      <c r="F72" s="3" t="s">
        <v>35</v>
      </c>
      <c r="G72" s="13">
        <v>29364.900000000001</v>
      </c>
      <c r="H72" s="5">
        <v>0</v>
      </c>
      <c r="K72" s="8">
        <f t="shared" si="17"/>
        <v>0</v>
      </c>
      <c r="L72" s="5">
        <f t="shared" si="20"/>
        <v>29364.900000000001</v>
      </c>
      <c r="N72" s="8">
        <f t="shared" si="19"/>
        <v>29364.900000000001</v>
      </c>
      <c r="O72" s="5">
        <v>0</v>
      </c>
      <c r="P72" s="5">
        <v>0</v>
      </c>
    </row>
    <row r="73" spans="1:16" ht="15.65">
      <c r="A73" s="3" t="s">
        <v>2</v>
      </c>
      <c r="B73" s="2" t="s">
        <v>60</v>
      </c>
      <c r="C73" s="3" t="s">
        <v>46</v>
      </c>
      <c r="D73" s="3" t="s">
        <v>22</v>
      </c>
      <c r="E73" s="3" t="s">
        <v>32</v>
      </c>
      <c r="F73" s="3" t="s">
        <v>35</v>
      </c>
      <c r="G73" s="13">
        <v>10684939.050000001</v>
      </c>
      <c r="H73" s="5">
        <v>0</v>
      </c>
      <c r="K73" s="8">
        <f t="shared" si="17"/>
        <v>0</v>
      </c>
      <c r="L73" s="5">
        <f t="shared" si="20"/>
        <v>10684939.050000001</v>
      </c>
      <c r="N73" s="8">
        <f t="shared" si="19"/>
        <v>10684939.050000001</v>
      </c>
      <c r="O73" s="5">
        <v>0</v>
      </c>
      <c r="P73" s="5">
        <v>0</v>
      </c>
    </row>
    <row r="74" spans="1:16" ht="15.65">
      <c r="A74" s="3" t="s">
        <v>2</v>
      </c>
      <c r="B74" s="2" t="s">
        <v>60</v>
      </c>
      <c r="C74" s="3" t="s">
        <v>46</v>
      </c>
      <c r="D74" s="3" t="s">
        <v>23</v>
      </c>
      <c r="E74" s="3" t="s">
        <v>31</v>
      </c>
      <c r="F74" s="3" t="s">
        <v>35</v>
      </c>
      <c r="G74" s="13">
        <v>958522.33999999997</v>
      </c>
      <c r="H74" s="5">
        <v>0</v>
      </c>
      <c r="K74" s="8">
        <f t="shared" si="17"/>
        <v>0</v>
      </c>
      <c r="L74" s="5">
        <f t="shared" si="20"/>
        <v>958522.33999999997</v>
      </c>
      <c r="N74" s="8">
        <f t="shared" si="19"/>
        <v>958522.33999999997</v>
      </c>
      <c r="O74" s="5">
        <v>0</v>
      </c>
      <c r="P74" s="5">
        <v>0</v>
      </c>
    </row>
    <row r="75" spans="1:16" ht="15.65">
      <c r="A75" s="3" t="s">
        <v>2</v>
      </c>
      <c r="B75" s="2" t="s">
        <v>60</v>
      </c>
      <c r="C75" s="3" t="s">
        <v>46</v>
      </c>
      <c r="D75" s="3" t="s">
        <v>25</v>
      </c>
      <c r="E75" s="3" t="s">
        <v>33</v>
      </c>
      <c r="F75" s="3" t="s">
        <v>35</v>
      </c>
      <c r="G75" s="13">
        <v>994624.81999999995</v>
      </c>
      <c r="H75" s="5">
        <v>0</v>
      </c>
      <c r="K75" s="8">
        <f t="shared" si="17"/>
        <v>0</v>
      </c>
      <c r="L75" s="5">
        <f t="shared" si="20"/>
        <v>994624.81999999995</v>
      </c>
      <c r="N75" s="8">
        <f t="shared" si="19"/>
        <v>994624.81999999995</v>
      </c>
      <c r="O75" s="5">
        <v>0</v>
      </c>
      <c r="P75" s="5">
        <v>0</v>
      </c>
    </row>
    <row r="76" spans="1:16" ht="15.65">
      <c r="A76" s="3" t="s">
        <v>2</v>
      </c>
      <c r="B76" s="2" t="s">
        <v>60</v>
      </c>
      <c r="C76" s="3" t="s">
        <v>46</v>
      </c>
      <c r="D76" s="3" t="s">
        <v>24</v>
      </c>
      <c r="E76" s="3" t="s">
        <v>33</v>
      </c>
      <c r="F76" s="3" t="s">
        <v>35</v>
      </c>
      <c r="G76" s="13">
        <v>4167986.6200000001</v>
      </c>
      <c r="H76" s="5">
        <v>0</v>
      </c>
      <c r="K76" s="8">
        <f t="shared" si="17"/>
        <v>0</v>
      </c>
      <c r="L76" s="5">
        <f t="shared" si="20"/>
        <v>4167986.6200000001</v>
      </c>
      <c r="N76" s="8">
        <f t="shared" si="19"/>
        <v>4167986.6200000001</v>
      </c>
      <c r="O76" s="5">
        <v>0</v>
      </c>
      <c r="P76" s="5">
        <v>0</v>
      </c>
    </row>
    <row r="77" spans="1:16" ht="15.65">
      <c r="A77" s="3" t="s">
        <v>2</v>
      </c>
      <c r="B77" s="2" t="s">
        <v>60</v>
      </c>
      <c r="C77" s="3" t="s">
        <v>46</v>
      </c>
      <c r="D77" s="3" t="s">
        <v>47</v>
      </c>
      <c r="E77" s="3" t="s">
        <v>33</v>
      </c>
      <c r="F77" s="3" t="s">
        <v>35</v>
      </c>
      <c r="G77" s="13">
        <v>-966.37</v>
      </c>
      <c r="H77" s="5">
        <v>0</v>
      </c>
      <c r="K77" s="8">
        <f t="shared" si="17"/>
        <v>0</v>
      </c>
      <c r="L77" s="5">
        <f t="shared" si="20"/>
        <v>-966.37</v>
      </c>
      <c r="N77" s="8">
        <f t="shared" si="19"/>
        <v>-966.37</v>
      </c>
      <c r="O77" s="5">
        <v>0</v>
      </c>
      <c r="P77" s="5">
        <v>0</v>
      </c>
    </row>
    <row r="78" spans="1:16" ht="15.65">
      <c r="A78" s="3" t="s">
        <v>2</v>
      </c>
      <c r="B78" s="2" t="s">
        <v>60</v>
      </c>
      <c r="C78" s="3" t="s">
        <v>46</v>
      </c>
      <c r="D78" s="3" t="s">
        <v>47</v>
      </c>
      <c r="E78" s="3" t="s">
        <v>31</v>
      </c>
      <c r="F78" s="3" t="s">
        <v>35</v>
      </c>
      <c r="G78" s="13">
        <v>1706674.8399999999</v>
      </c>
      <c r="H78" s="5">
        <v>0</v>
      </c>
      <c r="K78" s="8">
        <f t="shared" si="17"/>
        <v>0</v>
      </c>
      <c r="L78" s="5">
        <f t="shared" si="20"/>
        <v>1706674.8399999999</v>
      </c>
      <c r="N78" s="8">
        <f t="shared" si="19"/>
        <v>1706674.8399999999</v>
      </c>
      <c r="O78" s="5">
        <v>0</v>
      </c>
      <c r="P78" s="5">
        <v>0</v>
      </c>
    </row>
    <row r="79" spans="1:16" ht="15.65">
      <c r="A79" s="3" t="s">
        <v>2</v>
      </c>
      <c r="B79" s="2" t="s">
        <v>60</v>
      </c>
      <c r="C79" s="3" t="s">
        <v>46</v>
      </c>
      <c r="D79" s="3" t="s">
        <v>50</v>
      </c>
      <c r="E79" s="3" t="s">
        <v>31</v>
      </c>
      <c r="F79" s="3" t="s">
        <v>35</v>
      </c>
      <c r="G79" s="13">
        <v>891880.26000000001</v>
      </c>
      <c r="H79" s="5">
        <v>0</v>
      </c>
      <c r="K79" s="8">
        <f t="shared" si="17"/>
        <v>0</v>
      </c>
      <c r="L79" s="5">
        <f t="shared" si="20"/>
        <v>891880.26000000001</v>
      </c>
      <c r="N79" s="8">
        <f t="shared" si="19"/>
        <v>891880.26000000001</v>
      </c>
      <c r="O79" s="5">
        <v>0</v>
      </c>
      <c r="P79" s="5">
        <v>0</v>
      </c>
    </row>
    <row r="80" spans="1:16" ht="15.65">
      <c r="A80" s="3" t="s">
        <v>2</v>
      </c>
      <c r="B80" s="2" t="s">
        <v>60</v>
      </c>
      <c r="C80" s="3" t="s">
        <v>46</v>
      </c>
      <c r="D80" s="3" t="s">
        <v>48</v>
      </c>
      <c r="E80" s="3" t="s">
        <v>31</v>
      </c>
      <c r="F80" s="3" t="s">
        <v>35</v>
      </c>
      <c r="G80" s="13">
        <v>8695423.5600000005</v>
      </c>
      <c r="H80" s="5">
        <v>0</v>
      </c>
      <c r="K80" s="8">
        <f t="shared" si="17"/>
        <v>0</v>
      </c>
      <c r="L80" s="5">
        <f t="shared" si="20"/>
        <v>8695423.5600000005</v>
      </c>
      <c r="N80" s="8">
        <f t="shared" si="19"/>
        <v>8695423.5600000005</v>
      </c>
      <c r="O80" s="5">
        <v>0</v>
      </c>
      <c r="P80" s="5">
        <v>0</v>
      </c>
    </row>
    <row r="81" spans="1:16" ht="15.65">
      <c r="A81" s="3" t="s">
        <v>2</v>
      </c>
      <c r="B81" s="2" t="s">
        <v>60</v>
      </c>
      <c r="C81" s="3" t="s">
        <v>46</v>
      </c>
      <c r="D81" s="3" t="s">
        <v>49</v>
      </c>
      <c r="E81" s="3" t="s">
        <v>31</v>
      </c>
      <c r="F81" s="3" t="s">
        <v>35</v>
      </c>
      <c r="G81" s="13">
        <v>1063167.77</v>
      </c>
      <c r="H81" s="5">
        <v>0</v>
      </c>
      <c r="K81" s="8">
        <f t="shared" si="17"/>
        <v>0</v>
      </c>
      <c r="L81" s="5">
        <f t="shared" si="20"/>
        <v>1063167.77</v>
      </c>
      <c r="N81" s="8">
        <f t="shared" si="19"/>
        <v>1063167.77</v>
      </c>
      <c r="O81" s="5">
        <v>0</v>
      </c>
      <c r="P81" s="5">
        <v>0</v>
      </c>
    </row>
    <row r="82" spans="1:16" ht="15.65">
      <c r="A82" s="3" t="s">
        <v>2</v>
      </c>
      <c r="B82" s="2" t="s">
        <v>60</v>
      </c>
      <c r="C82" s="3" t="s">
        <v>46</v>
      </c>
      <c r="D82" s="3" t="s">
        <v>56</v>
      </c>
      <c r="E82" s="3" t="s">
        <v>31</v>
      </c>
      <c r="F82" s="3" t="s">
        <v>35</v>
      </c>
      <c r="G82" s="13">
        <v>190737.67999999999</v>
      </c>
      <c r="H82" s="5">
        <v>0</v>
      </c>
      <c r="K82" s="8">
        <f t="shared" si="17"/>
        <v>0</v>
      </c>
      <c r="L82" s="5">
        <f t="shared" si="20"/>
        <v>190737.67999999999</v>
      </c>
      <c r="N82" s="8">
        <f t="shared" si="19"/>
        <v>190737.67999999999</v>
      </c>
      <c r="O82" s="5">
        <v>0</v>
      </c>
      <c r="P82" s="5">
        <v>0</v>
      </c>
    </row>
    <row r="83" spans="1:16" ht="15.65">
      <c r="A83" s="3" t="s">
        <v>2</v>
      </c>
      <c r="B83" s="2" t="s">
        <v>18</v>
      </c>
      <c r="C83" s="3" t="s">
        <v>46</v>
      </c>
      <c r="D83" s="3" t="s">
        <v>22</v>
      </c>
      <c r="E83" s="3" t="s">
        <v>31</v>
      </c>
      <c r="F83" s="3" t="s">
        <v>67</v>
      </c>
      <c r="G83" s="13">
        <v>1405236.3100000001</v>
      </c>
      <c r="H83" s="5">
        <f t="shared" si="21" ref="H83:H87">G83*0.47392</f>
        <v>665969.59203519998</v>
      </c>
      <c r="K83" s="8">
        <f t="shared" si="17"/>
        <v>665969.59203519998</v>
      </c>
      <c r="L83" s="5">
        <f t="shared" si="22" ref="L83:L87">G83*0.5103</f>
        <v>717092.08899299998</v>
      </c>
      <c r="N83" s="8">
        <f t="shared" si="19"/>
        <v>717092.08899299998</v>
      </c>
      <c r="O83" s="5">
        <f t="shared" si="23" ref="O83:O87">G83*0.01487</f>
        <v>20895.863929700001</v>
      </c>
      <c r="P83" s="5">
        <f t="shared" si="24" ref="P83:P87">G83*0.00091</f>
        <v>1278.7650421000001</v>
      </c>
    </row>
    <row r="84" spans="1:16" ht="15.65">
      <c r="A84" s="3" t="s">
        <v>2</v>
      </c>
      <c r="B84" s="2" t="s">
        <v>18</v>
      </c>
      <c r="C84" s="3" t="s">
        <v>46</v>
      </c>
      <c r="D84" s="3" t="s">
        <v>23</v>
      </c>
      <c r="E84" s="3" t="s">
        <v>31</v>
      </c>
      <c r="F84" s="3" t="s">
        <v>67</v>
      </c>
      <c r="G84" s="13">
        <v>48316.610000000001</v>
      </c>
      <c r="H84" s="5">
        <f t="shared" si="21"/>
        <v>22898.207811200002</v>
      </c>
      <c r="K84" s="8">
        <f t="shared" si="17"/>
        <v>22898.207811200002</v>
      </c>
      <c r="L84" s="5">
        <f t="shared" si="22"/>
        <v>24655.966082999999</v>
      </c>
      <c r="N84" s="8">
        <f t="shared" si="19"/>
        <v>24655.966082999999</v>
      </c>
      <c r="O84" s="5">
        <f t="shared" si="23"/>
        <v>718.46799069999997</v>
      </c>
      <c r="P84" s="5">
        <f t="shared" si="24"/>
        <v>43.968115099999999</v>
      </c>
    </row>
    <row r="85" spans="1:16" ht="15.65">
      <c r="A85" s="3" t="s">
        <v>2</v>
      </c>
      <c r="B85" s="2" t="s">
        <v>18</v>
      </c>
      <c r="C85" s="3" t="s">
        <v>46</v>
      </c>
      <c r="D85" s="3" t="s">
        <v>25</v>
      </c>
      <c r="E85" s="3" t="s">
        <v>31</v>
      </c>
      <c r="F85" s="3" t="s">
        <v>67</v>
      </c>
      <c r="G85" s="13">
        <v>-2912.9200000000001</v>
      </c>
      <c r="H85" s="5">
        <f t="shared" si="21"/>
        <v>-1380.4910464</v>
      </c>
      <c r="K85" s="8">
        <f t="shared" si="17"/>
        <v>-1380.4910464</v>
      </c>
      <c r="L85" s="5">
        <f t="shared" si="22"/>
        <v>-1486.463076</v>
      </c>
      <c r="N85" s="8">
        <f t="shared" si="19"/>
        <v>-1486.463076</v>
      </c>
      <c r="O85" s="5">
        <f t="shared" si="23"/>
        <v>-43.315120399999998</v>
      </c>
      <c r="P85" s="5">
        <f t="shared" si="24"/>
        <v>-2.6507572000000001</v>
      </c>
    </row>
    <row r="86" spans="1:16" ht="15.65">
      <c r="A86" s="3" t="s">
        <v>2</v>
      </c>
      <c r="B86" s="2" t="s">
        <v>18</v>
      </c>
      <c r="C86" s="3" t="s">
        <v>46</v>
      </c>
      <c r="D86" s="3" t="s">
        <v>50</v>
      </c>
      <c r="E86" s="3" t="s">
        <v>31</v>
      </c>
      <c r="F86" s="3" t="s">
        <v>67</v>
      </c>
      <c r="G86" s="13">
        <v>528328.92000000004</v>
      </c>
      <c r="H86" s="5">
        <f t="shared" si="21"/>
        <v>250385.64176640002</v>
      </c>
      <c r="K86" s="8">
        <f t="shared" si="17"/>
        <v>250385.64176640002</v>
      </c>
      <c r="L86" s="5">
        <f t="shared" si="22"/>
        <v>269606.24787600001</v>
      </c>
      <c r="N86" s="8">
        <f t="shared" si="19"/>
        <v>269606.24787600001</v>
      </c>
      <c r="O86" s="5">
        <f t="shared" si="23"/>
        <v>7856.2510404000004</v>
      </c>
      <c r="P86" s="5">
        <f t="shared" si="24"/>
        <v>480.77931720000004</v>
      </c>
    </row>
    <row r="87" spans="1:16" ht="15.65">
      <c r="A87" s="3" t="s">
        <v>2</v>
      </c>
      <c r="B87" s="2" t="s">
        <v>18</v>
      </c>
      <c r="C87" s="3" t="s">
        <v>46</v>
      </c>
      <c r="D87" s="3" t="s">
        <v>49</v>
      </c>
      <c r="E87" s="3" t="s">
        <v>31</v>
      </c>
      <c r="F87" s="3" t="s">
        <v>67</v>
      </c>
      <c r="G87" s="13">
        <v>896884.06999999995</v>
      </c>
      <c r="H87" s="5">
        <f t="shared" si="21"/>
        <v>425051.29845439998</v>
      </c>
      <c r="K87" s="8">
        <f t="shared" si="17"/>
        <v>425051.29845439998</v>
      </c>
      <c r="L87" s="5">
        <f t="shared" si="22"/>
        <v>457679.94092099997</v>
      </c>
      <c r="N87" s="8">
        <f t="shared" si="19"/>
        <v>457679.94092099997</v>
      </c>
      <c r="O87" s="5">
        <f t="shared" si="23"/>
        <v>13336.666120899999</v>
      </c>
      <c r="P87" s="5">
        <f t="shared" si="24"/>
        <v>816.16450369999995</v>
      </c>
    </row>
    <row r="88" spans="1:16" ht="15.65">
      <c r="A88" s="3" t="s">
        <v>2</v>
      </c>
      <c r="B88" s="2" t="s">
        <v>6</v>
      </c>
      <c r="C88" s="3" t="s">
        <v>46</v>
      </c>
      <c r="D88" s="3" t="s">
        <v>29</v>
      </c>
      <c r="E88" s="3" t="s">
        <v>31</v>
      </c>
      <c r="F88" s="3" t="s">
        <v>35</v>
      </c>
      <c r="G88" s="13">
        <v>1704177.46</v>
      </c>
      <c r="H88" s="5">
        <v>0</v>
      </c>
      <c r="K88" s="8">
        <f t="shared" si="17"/>
        <v>0</v>
      </c>
      <c r="L88" s="5">
        <v>0</v>
      </c>
      <c r="N88" s="8">
        <f t="shared" si="19"/>
        <v>0</v>
      </c>
      <c r="O88" s="5">
        <v>0</v>
      </c>
      <c r="P88" s="5">
        <f t="shared" si="25" ref="P88:P89">G88</f>
        <v>1704177.46</v>
      </c>
    </row>
    <row r="89" spans="1:16" ht="15.65">
      <c r="A89" s="3" t="s">
        <v>2</v>
      </c>
      <c r="B89" s="2" t="s">
        <v>6</v>
      </c>
      <c r="C89" s="3" t="s">
        <v>46</v>
      </c>
      <c r="D89" s="3" t="s">
        <v>23</v>
      </c>
      <c r="E89" s="3" t="s">
        <v>31</v>
      </c>
      <c r="F89" s="3" t="s">
        <v>35</v>
      </c>
      <c r="G89" s="13">
        <v>7604930.6699999999</v>
      </c>
      <c r="H89" s="5">
        <v>0</v>
      </c>
      <c r="K89" s="8">
        <f t="shared" si="17"/>
        <v>0</v>
      </c>
      <c r="L89" s="5">
        <v>0</v>
      </c>
      <c r="N89" s="8">
        <f t="shared" si="19"/>
        <v>0</v>
      </c>
      <c r="O89" s="5">
        <v>0</v>
      </c>
      <c r="P89" s="5">
        <f t="shared" si="25"/>
        <v>7604930.6699999999</v>
      </c>
    </row>
    <row r="90" spans="1:16" ht="15.65">
      <c r="A90" s="3" t="s">
        <v>2</v>
      </c>
      <c r="B90" s="2" t="s">
        <v>6</v>
      </c>
      <c r="C90" s="3" t="s">
        <v>46</v>
      </c>
      <c r="D90" s="3" t="s">
        <v>24</v>
      </c>
      <c r="E90" s="3" t="s">
        <v>31</v>
      </c>
      <c r="F90" s="3" t="s">
        <v>35</v>
      </c>
      <c r="G90" s="13">
        <v>410138.38</v>
      </c>
      <c r="H90" s="5">
        <v>0</v>
      </c>
      <c r="K90" s="8">
        <f t="shared" si="17"/>
        <v>0</v>
      </c>
      <c r="L90" s="5">
        <v>0</v>
      </c>
      <c r="N90" s="8">
        <f t="shared" si="19"/>
        <v>0</v>
      </c>
      <c r="O90" s="5">
        <f>G90</f>
        <v>410138.38</v>
      </c>
      <c r="P90" s="5">
        <v>0</v>
      </c>
    </row>
    <row r="91" spans="1:16" ht="15.65">
      <c r="A91" s="3" t="s">
        <v>2</v>
      </c>
      <c r="B91" s="2" t="s">
        <v>6</v>
      </c>
      <c r="C91" s="3" t="s">
        <v>46</v>
      </c>
      <c r="D91" s="3" t="s">
        <v>24</v>
      </c>
      <c r="E91" s="3" t="s">
        <v>31</v>
      </c>
      <c r="F91" s="3" t="s">
        <v>67</v>
      </c>
      <c r="G91" s="13">
        <v>2041030.9299999999</v>
      </c>
      <c r="H91" s="5">
        <f>G91*0.47392</f>
        <v>967285.37834559998</v>
      </c>
      <c r="K91" s="8">
        <f t="shared" si="17"/>
        <v>967285.37834559998</v>
      </c>
      <c r="L91" s="5">
        <f>G91*0.5103</f>
        <v>1041538.083579</v>
      </c>
      <c r="N91" s="8">
        <f t="shared" si="19"/>
        <v>1041538.083579</v>
      </c>
      <c r="O91" s="5">
        <f>G91*0.01487</f>
        <v>30350.1299291</v>
      </c>
      <c r="P91" s="5">
        <f>G91*0.00091</f>
        <v>1857.3381462999998</v>
      </c>
    </row>
    <row r="92" spans="1:16" ht="15.65">
      <c r="A92" s="3" t="s">
        <v>2</v>
      </c>
      <c r="B92" s="2" t="s">
        <v>6</v>
      </c>
      <c r="C92" s="3" t="s">
        <v>46</v>
      </c>
      <c r="D92" s="3" t="s">
        <v>24</v>
      </c>
      <c r="E92" s="3" t="s">
        <v>31</v>
      </c>
      <c r="F92" s="3" t="s">
        <v>35</v>
      </c>
      <c r="G92" s="13">
        <v>918991.59999999998</v>
      </c>
      <c r="H92" s="5">
        <v>0</v>
      </c>
      <c r="K92" s="8">
        <f t="shared" si="17"/>
        <v>0</v>
      </c>
      <c r="L92" s="5">
        <v>0</v>
      </c>
      <c r="N92" s="8">
        <f t="shared" si="19"/>
        <v>0</v>
      </c>
      <c r="O92" s="5">
        <v>0</v>
      </c>
      <c r="P92" s="5">
        <f>G92</f>
        <v>918991.59999999998</v>
      </c>
    </row>
    <row r="93" spans="1:16" ht="15.65">
      <c r="A93" s="3" t="s">
        <v>2</v>
      </c>
      <c r="B93" s="2" t="s">
        <v>6</v>
      </c>
      <c r="C93" s="3" t="s">
        <v>46</v>
      </c>
      <c r="D93" s="3" t="s">
        <v>47</v>
      </c>
      <c r="E93" s="3" t="s">
        <v>31</v>
      </c>
      <c r="F93" s="3" t="s">
        <v>35</v>
      </c>
      <c r="G93" s="13">
        <v>-247.24000000000001</v>
      </c>
      <c r="H93" s="5">
        <v>0</v>
      </c>
      <c r="K93" s="8">
        <f t="shared" si="17"/>
        <v>0</v>
      </c>
      <c r="L93" s="5">
        <v>0</v>
      </c>
      <c r="N93" s="8">
        <f t="shared" si="19"/>
        <v>0</v>
      </c>
      <c r="O93" s="5">
        <f>G93</f>
        <v>-247.24000000000001</v>
      </c>
      <c r="P93" s="5">
        <v>0</v>
      </c>
    </row>
    <row r="94" spans="1:16" ht="15.65">
      <c r="A94" s="3" t="s">
        <v>2</v>
      </c>
      <c r="B94" s="2" t="s">
        <v>6</v>
      </c>
      <c r="C94" s="3" t="s">
        <v>46</v>
      </c>
      <c r="D94" s="3" t="s">
        <v>47</v>
      </c>
      <c r="E94" s="3" t="s">
        <v>31</v>
      </c>
      <c r="F94" s="3" t="s">
        <v>67</v>
      </c>
      <c r="G94" s="13">
        <v>-3909.77</v>
      </c>
      <c r="H94" s="5">
        <f t="shared" si="26" ref="H94:H95">G94*0.47392</f>
        <v>-1852.9181983999999</v>
      </c>
      <c r="K94" s="8">
        <f t="shared" si="17"/>
        <v>-1852.9181983999999</v>
      </c>
      <c r="L94" s="5">
        <f t="shared" si="27" ref="L94:L95">G94*0.5103</f>
        <v>-1995.1556309999999</v>
      </c>
      <c r="N94" s="8">
        <f t="shared" si="19"/>
        <v>-1995.1556309999999</v>
      </c>
      <c r="O94" s="5">
        <f t="shared" si="28" ref="O94:O95">G94*0.01487</f>
        <v>-58.138279900000001</v>
      </c>
      <c r="P94" s="5">
        <f t="shared" si="29" ref="P94:P95">G94*0.00091</f>
        <v>-3.5578907000000002</v>
      </c>
    </row>
    <row r="95" spans="1:16" ht="15.65">
      <c r="A95" s="3" t="s">
        <v>2</v>
      </c>
      <c r="B95" s="2" t="s">
        <v>6</v>
      </c>
      <c r="C95" s="3" t="s">
        <v>46</v>
      </c>
      <c r="D95" s="3" t="s">
        <v>49</v>
      </c>
      <c r="E95" s="3" t="s">
        <v>31</v>
      </c>
      <c r="F95" s="3" t="s">
        <v>67</v>
      </c>
      <c r="G95" s="13">
        <v>881968.03000000003</v>
      </c>
      <c r="H95" s="5">
        <f t="shared" si="26"/>
        <v>417982.28877760004</v>
      </c>
      <c r="K95" s="8">
        <f t="shared" si="17"/>
        <v>417982.28877760004</v>
      </c>
      <c r="L95" s="5">
        <f t="shared" si="27"/>
        <v>450068.28570900002</v>
      </c>
      <c r="N95" s="8">
        <f t="shared" si="19"/>
        <v>450068.28570900002</v>
      </c>
      <c r="O95" s="5">
        <f t="shared" si="28"/>
        <v>13114.8646061</v>
      </c>
      <c r="P95" s="5">
        <f t="shared" si="29"/>
        <v>802.59090730000003</v>
      </c>
    </row>
    <row r="96" spans="1:16" ht="15.65">
      <c r="A96" s="3" t="s">
        <v>2</v>
      </c>
      <c r="B96" s="2" t="s">
        <v>51</v>
      </c>
      <c r="C96" s="3" t="s">
        <v>46</v>
      </c>
      <c r="D96" s="3" t="s">
        <v>28</v>
      </c>
      <c r="E96" s="3" t="s">
        <v>32</v>
      </c>
      <c r="F96" s="3" t="s">
        <v>35</v>
      </c>
      <c r="G96" s="13">
        <v>792593.03000000003</v>
      </c>
      <c r="H96" s="5">
        <v>0</v>
      </c>
      <c r="K96" s="8">
        <f t="shared" si="17"/>
        <v>0</v>
      </c>
      <c r="L96" s="5">
        <f t="shared" si="30" ref="L96:L97">G96</f>
        <v>792593.03000000003</v>
      </c>
      <c r="N96" s="8">
        <f t="shared" si="19"/>
        <v>792593.03000000003</v>
      </c>
      <c r="O96" s="5">
        <v>0</v>
      </c>
      <c r="P96" s="5">
        <v>0</v>
      </c>
    </row>
    <row r="97" spans="1:16" ht="15.65">
      <c r="A97" s="3" t="s">
        <v>2</v>
      </c>
      <c r="B97" s="2" t="s">
        <v>51</v>
      </c>
      <c r="C97" s="3" t="s">
        <v>46</v>
      </c>
      <c r="D97" s="3" t="s">
        <v>29</v>
      </c>
      <c r="E97" s="3" t="s">
        <v>33</v>
      </c>
      <c r="F97" s="3" t="s">
        <v>35</v>
      </c>
      <c r="G97" s="13">
        <v>66646.330000000002</v>
      </c>
      <c r="H97" s="5">
        <v>0</v>
      </c>
      <c r="K97" s="8">
        <f t="shared" si="17"/>
        <v>0</v>
      </c>
      <c r="L97" s="5">
        <f t="shared" si="30"/>
        <v>66646.330000000002</v>
      </c>
      <c r="N97" s="8">
        <f t="shared" si="19"/>
        <v>66646.330000000002</v>
      </c>
      <c r="O97" s="5">
        <v>0</v>
      </c>
      <c r="P97" s="5">
        <v>0</v>
      </c>
    </row>
    <row r="98" spans="1:16" ht="15.65">
      <c r="A98" s="3" t="s">
        <v>2</v>
      </c>
      <c r="B98" s="2" t="s">
        <v>17</v>
      </c>
      <c r="C98" s="3" t="s">
        <v>46</v>
      </c>
      <c r="D98" s="3" t="s">
        <v>22</v>
      </c>
      <c r="E98" s="3" t="s">
        <v>31</v>
      </c>
      <c r="F98" s="3" t="s">
        <v>67</v>
      </c>
      <c r="G98" s="13">
        <v>421321.23999999999</v>
      </c>
      <c r="H98" s="5">
        <f t="shared" si="31" ref="H98:H105">G98*0.47392</f>
        <v>199672.5620608</v>
      </c>
      <c r="K98" s="8">
        <f t="shared" si="17"/>
        <v>199672.5620608</v>
      </c>
      <c r="L98" s="5">
        <f t="shared" si="32" ref="L98:L105">G98*0.5103</f>
        <v>215000.22877199997</v>
      </c>
      <c r="N98" s="8">
        <f t="shared" si="19"/>
        <v>215000.22877199997</v>
      </c>
      <c r="O98" s="5">
        <f t="shared" si="33" ref="O98:O105">G98*0.01487</f>
        <v>6265.0468387999999</v>
      </c>
      <c r="P98" s="5">
        <f t="shared" si="34" ref="P98:P105">G98*0.00091</f>
        <v>383.40232839999999</v>
      </c>
    </row>
    <row r="99" spans="1:16" ht="15.65">
      <c r="A99" s="3" t="s">
        <v>2</v>
      </c>
      <c r="B99" s="2" t="s">
        <v>17</v>
      </c>
      <c r="C99" s="3" t="s">
        <v>46</v>
      </c>
      <c r="D99" s="3" t="s">
        <v>23</v>
      </c>
      <c r="E99" s="3" t="s">
        <v>31</v>
      </c>
      <c r="F99" s="3" t="s">
        <v>67</v>
      </c>
      <c r="G99" s="13">
        <v>9319367.7599999998</v>
      </c>
      <c r="H99" s="5">
        <f t="shared" si="31"/>
        <v>4416634.7688191999</v>
      </c>
      <c r="K99" s="8">
        <f t="shared" si="17"/>
        <v>4416634.7688191999</v>
      </c>
      <c r="L99" s="5">
        <f t="shared" si="32"/>
        <v>4755673.3679279992</v>
      </c>
      <c r="N99" s="8">
        <f t="shared" si="19"/>
        <v>4755673.3679279992</v>
      </c>
      <c r="O99" s="5">
        <f t="shared" si="33"/>
        <v>138578.99859119998</v>
      </c>
      <c r="P99" s="5">
        <f t="shared" si="34"/>
        <v>8480.6246615999989</v>
      </c>
    </row>
    <row r="100" spans="1:16" ht="15.65">
      <c r="A100" s="3" t="s">
        <v>2</v>
      </c>
      <c r="B100" s="2" t="s">
        <v>17</v>
      </c>
      <c r="C100" s="3" t="s">
        <v>46</v>
      </c>
      <c r="D100" s="3" t="s">
        <v>25</v>
      </c>
      <c r="E100" s="3" t="s">
        <v>31</v>
      </c>
      <c r="F100" s="3" t="s">
        <v>67</v>
      </c>
      <c r="G100" s="13">
        <v>337294.96999999997</v>
      </c>
      <c r="H100" s="5">
        <f t="shared" si="31"/>
        <v>159850.83218239999</v>
      </c>
      <c r="K100" s="8">
        <f t="shared" si="17"/>
        <v>159850.83218239999</v>
      </c>
      <c r="L100" s="5">
        <f t="shared" si="32"/>
        <v>172121.62319099999</v>
      </c>
      <c r="N100" s="8">
        <f t="shared" si="19"/>
        <v>172121.62319099999</v>
      </c>
      <c r="O100" s="5">
        <f t="shared" si="33"/>
        <v>5015.5762038999992</v>
      </c>
      <c r="P100" s="5">
        <f t="shared" si="34"/>
        <v>306.93842269999999</v>
      </c>
    </row>
    <row r="101" spans="1:16" ht="15.65">
      <c r="A101" s="3" t="s">
        <v>2</v>
      </c>
      <c r="B101" s="2" t="s">
        <v>17</v>
      </c>
      <c r="C101" s="3" t="s">
        <v>46</v>
      </c>
      <c r="D101" s="3" t="s">
        <v>24</v>
      </c>
      <c r="E101" s="3" t="s">
        <v>31</v>
      </c>
      <c r="F101" s="3" t="s">
        <v>67</v>
      </c>
      <c r="G101" s="13">
        <v>94283.949999999997</v>
      </c>
      <c r="H101" s="5">
        <f t="shared" si="31"/>
        <v>44683.049584</v>
      </c>
      <c r="K101" s="8">
        <f t="shared" si="17"/>
        <v>44683.049584</v>
      </c>
      <c r="L101" s="5">
        <f t="shared" si="32"/>
        <v>48113.099684999994</v>
      </c>
      <c r="N101" s="8">
        <f t="shared" si="19"/>
        <v>48113.099684999994</v>
      </c>
      <c r="O101" s="5">
        <f t="shared" si="33"/>
        <v>1402.0023365</v>
      </c>
      <c r="P101" s="5">
        <f t="shared" si="34"/>
        <v>85.798394500000001</v>
      </c>
    </row>
    <row r="102" spans="1:16" ht="15.65">
      <c r="A102" s="3" t="s">
        <v>2</v>
      </c>
      <c r="B102" s="2" t="s">
        <v>17</v>
      </c>
      <c r="C102" s="3" t="s">
        <v>46</v>
      </c>
      <c r="D102" s="3" t="s">
        <v>56</v>
      </c>
      <c r="E102" s="3" t="s">
        <v>31</v>
      </c>
      <c r="F102" s="3" t="s">
        <v>67</v>
      </c>
      <c r="G102" s="13">
        <v>9072388.8399999999</v>
      </c>
      <c r="H102" s="5">
        <f t="shared" si="31"/>
        <v>4299586.5190527998</v>
      </c>
      <c r="K102" s="8">
        <f t="shared" si="17"/>
        <v>4299586.5190527998</v>
      </c>
      <c r="L102" s="5">
        <f t="shared" si="32"/>
        <v>4629640.0250519998</v>
      </c>
      <c r="N102" s="8">
        <f t="shared" si="19"/>
        <v>4629640.0250519998</v>
      </c>
      <c r="O102" s="5">
        <f t="shared" si="33"/>
        <v>134906.4220508</v>
      </c>
      <c r="P102" s="5">
        <f t="shared" si="34"/>
        <v>8255.8738443999991</v>
      </c>
    </row>
    <row r="103" spans="1:16" ht="15.65">
      <c r="A103" s="3" t="s">
        <v>2</v>
      </c>
      <c r="B103" s="2" t="s">
        <v>20</v>
      </c>
      <c r="C103" s="3" t="s">
        <v>46</v>
      </c>
      <c r="D103" s="3" t="s">
        <v>22</v>
      </c>
      <c r="E103" s="3" t="s">
        <v>31</v>
      </c>
      <c r="F103" s="3" t="s">
        <v>67</v>
      </c>
      <c r="G103" s="13">
        <v>462452.76000000001</v>
      </c>
      <c r="H103" s="5">
        <f t="shared" si="31"/>
        <v>219165.61201919999</v>
      </c>
      <c r="K103" s="8">
        <f t="shared" si="17"/>
        <v>219165.61201919999</v>
      </c>
      <c r="L103" s="5">
        <f t="shared" si="32"/>
        <v>235989.64342799998</v>
      </c>
      <c r="N103" s="8">
        <f t="shared" si="19"/>
        <v>235989.64342799998</v>
      </c>
      <c r="O103" s="5">
        <f t="shared" si="33"/>
        <v>6876.6725411999996</v>
      </c>
      <c r="P103" s="5">
        <f t="shared" si="34"/>
        <v>420.83201159999999</v>
      </c>
    </row>
    <row r="104" spans="1:16" ht="15.65">
      <c r="A104" s="3" t="s">
        <v>2</v>
      </c>
      <c r="B104" s="2" t="s">
        <v>20</v>
      </c>
      <c r="C104" s="3" t="s">
        <v>46</v>
      </c>
      <c r="D104" s="3" t="s">
        <v>23</v>
      </c>
      <c r="E104" s="3" t="s">
        <v>31</v>
      </c>
      <c r="F104" s="3" t="s">
        <v>67</v>
      </c>
      <c r="G104" s="13">
        <v>244303.29999999999</v>
      </c>
      <c r="H104" s="5">
        <f t="shared" si="31"/>
        <v>115780.21993599999</v>
      </c>
      <c r="K104" s="8">
        <f t="shared" si="17"/>
        <v>115780.21993599999</v>
      </c>
      <c r="L104" s="5">
        <f t="shared" si="32"/>
        <v>124667.97398999998</v>
      </c>
      <c r="N104" s="8">
        <f t="shared" si="19"/>
        <v>124667.97398999998</v>
      </c>
      <c r="O104" s="5">
        <f t="shared" si="33"/>
        <v>3632.7900709999999</v>
      </c>
      <c r="P104" s="5">
        <f t="shared" si="34"/>
        <v>222.316003</v>
      </c>
    </row>
    <row r="105" spans="1:16" ht="15.65">
      <c r="A105" s="3" t="s">
        <v>2</v>
      </c>
      <c r="B105" s="2" t="s">
        <v>20</v>
      </c>
      <c r="C105" s="3" t="s">
        <v>46</v>
      </c>
      <c r="D105" s="3" t="s">
        <v>25</v>
      </c>
      <c r="E105" s="3" t="s">
        <v>31</v>
      </c>
      <c r="F105" s="3" t="s">
        <v>67</v>
      </c>
      <c r="G105" s="13">
        <v>-206.13</v>
      </c>
      <c r="H105" s="5">
        <f t="shared" si="31"/>
        <v>-97.689129600000001</v>
      </c>
      <c r="K105" s="8">
        <f t="shared" si="17"/>
        <v>-97.689129600000001</v>
      </c>
      <c r="L105" s="5">
        <f t="shared" si="32"/>
        <v>-105.18813899999999</v>
      </c>
      <c r="N105" s="8">
        <f t="shared" si="19"/>
        <v>-105.18813899999999</v>
      </c>
      <c r="O105" s="5">
        <f t="shared" si="33"/>
        <v>-3.0651530999999999</v>
      </c>
      <c r="P105" s="5">
        <f t="shared" si="34"/>
        <v>-0.1875783</v>
      </c>
    </row>
    <row r="106" spans="1:16" ht="15.65">
      <c r="A106" s="3" t="s">
        <v>2</v>
      </c>
      <c r="B106" s="2" t="s">
        <v>20</v>
      </c>
      <c r="C106" s="3" t="s">
        <v>46</v>
      </c>
      <c r="D106" s="3" t="s">
        <v>47</v>
      </c>
      <c r="E106" s="3" t="s">
        <v>31</v>
      </c>
      <c r="F106" s="3" t="s">
        <v>35</v>
      </c>
      <c r="G106" s="13">
        <v>665091.83999999997</v>
      </c>
      <c r="H106" s="5">
        <f>G106</f>
        <v>665091.83999999997</v>
      </c>
      <c r="K106" s="8">
        <f t="shared" si="17"/>
        <v>665091.83999999997</v>
      </c>
      <c r="L106" s="5">
        <v>0</v>
      </c>
      <c r="N106" s="8">
        <f t="shared" si="19"/>
        <v>0</v>
      </c>
      <c r="O106" s="5">
        <v>0</v>
      </c>
      <c r="P106" s="5">
        <v>0</v>
      </c>
    </row>
    <row r="107" spans="1:16" ht="15.65">
      <c r="A107" s="3" t="s">
        <v>2</v>
      </c>
      <c r="B107" s="2" t="s">
        <v>52</v>
      </c>
      <c r="C107" s="3" t="s">
        <v>46</v>
      </c>
      <c r="D107" s="3" t="s">
        <v>24</v>
      </c>
      <c r="E107" s="3" t="s">
        <v>31</v>
      </c>
      <c r="F107" s="3" t="s">
        <v>67</v>
      </c>
      <c r="G107" s="13">
        <v>656452.14000000001</v>
      </c>
      <c r="H107" s="5">
        <f>G107*0.47392</f>
        <v>311105.79818879999</v>
      </c>
      <c r="K107" s="8">
        <f t="shared" si="17"/>
        <v>311105.79818879999</v>
      </c>
      <c r="L107" s="5">
        <f>G107*0.5103</f>
        <v>334987.52704199997</v>
      </c>
      <c r="N107" s="8">
        <f t="shared" si="19"/>
        <v>334987.52704199997</v>
      </c>
      <c r="O107" s="5">
        <f>G107*0.01487</f>
        <v>9761.4433217999995</v>
      </c>
      <c r="P107" s="5">
        <f>G107*0.00091</f>
        <v>597.37144739999997</v>
      </c>
    </row>
    <row r="108" spans="1:16" ht="15.65">
      <c r="A108" s="3" t="s">
        <v>2</v>
      </c>
      <c r="B108" s="2" t="s">
        <v>52</v>
      </c>
      <c r="C108" s="3" t="s">
        <v>46</v>
      </c>
      <c r="D108" s="3" t="s">
        <v>47</v>
      </c>
      <c r="E108" s="3" t="s">
        <v>31</v>
      </c>
      <c r="F108" s="3" t="s">
        <v>35</v>
      </c>
      <c r="G108" s="13">
        <v>1466848.97</v>
      </c>
      <c r="H108" s="5">
        <v>0</v>
      </c>
      <c r="K108" s="8">
        <f t="shared" si="17"/>
        <v>0</v>
      </c>
      <c r="L108" s="5">
        <f>G108</f>
        <v>1466848.97</v>
      </c>
      <c r="N108" s="8">
        <f t="shared" si="19"/>
        <v>1466848.97</v>
      </c>
      <c r="O108" s="5">
        <v>0</v>
      </c>
      <c r="P108" s="5">
        <v>0</v>
      </c>
    </row>
    <row r="109" spans="1:16" ht="15.65">
      <c r="A109" s="3" t="s">
        <v>2</v>
      </c>
      <c r="B109" s="2" t="s">
        <v>52</v>
      </c>
      <c r="C109" s="3" t="s">
        <v>46</v>
      </c>
      <c r="D109" s="3" t="s">
        <v>47</v>
      </c>
      <c r="E109" s="3" t="s">
        <v>31</v>
      </c>
      <c r="F109" s="3" t="s">
        <v>67</v>
      </c>
      <c r="G109" s="13">
        <v>1360937.98</v>
      </c>
      <c r="H109" s="5">
        <f>G109*0.47392</f>
        <v>644975.72748160001</v>
      </c>
      <c r="K109" s="8">
        <f t="shared" si="17"/>
        <v>644975.72748160001</v>
      </c>
      <c r="L109" s="5">
        <f>G109*0.5103</f>
        <v>694486.65119399992</v>
      </c>
      <c r="N109" s="8">
        <f t="shared" si="19"/>
        <v>694486.65119399992</v>
      </c>
      <c r="O109" s="5">
        <f>G109*0.01487</f>
        <v>20237.147762599998</v>
      </c>
      <c r="P109" s="5">
        <f>G109*0.00091</f>
        <v>1238.4535618</v>
      </c>
    </row>
    <row r="110" spans="1:16" ht="15.65">
      <c r="A110" s="3" t="s">
        <v>2</v>
      </c>
      <c r="B110" s="2" t="s">
        <v>52</v>
      </c>
      <c r="C110" s="3" t="s">
        <v>46</v>
      </c>
      <c r="D110" s="3" t="s">
        <v>50</v>
      </c>
      <c r="E110" s="3" t="s">
        <v>31</v>
      </c>
      <c r="F110" s="3" t="s">
        <v>35</v>
      </c>
      <c r="G110" s="13">
        <v>728696.60999999999</v>
      </c>
      <c r="H110" s="5">
        <v>0</v>
      </c>
      <c r="K110" s="8">
        <f t="shared" si="17"/>
        <v>0</v>
      </c>
      <c r="L110" s="5">
        <f t="shared" si="35" ref="L110:L111">G110</f>
        <v>728696.60999999999</v>
      </c>
      <c r="N110" s="8">
        <f t="shared" si="19"/>
        <v>728696.60999999999</v>
      </c>
      <c r="O110" s="5">
        <v>0</v>
      </c>
      <c r="P110" s="5">
        <v>0</v>
      </c>
    </row>
    <row r="111" spans="1:16" ht="15.65">
      <c r="A111" s="3" t="s">
        <v>2</v>
      </c>
      <c r="B111" s="2" t="s">
        <v>52</v>
      </c>
      <c r="C111" s="3" t="s">
        <v>46</v>
      </c>
      <c r="D111" s="3" t="s">
        <v>48</v>
      </c>
      <c r="E111" s="3" t="s">
        <v>31</v>
      </c>
      <c r="F111" s="3" t="s">
        <v>35</v>
      </c>
      <c r="G111" s="13">
        <v>175943.58000000002</v>
      </c>
      <c r="H111" s="5">
        <v>0</v>
      </c>
      <c r="K111" s="8">
        <f t="shared" si="17"/>
        <v>0</v>
      </c>
      <c r="L111" s="5">
        <f t="shared" si="35"/>
        <v>175943.58000000002</v>
      </c>
      <c r="N111" s="8">
        <f t="shared" si="19"/>
        <v>175943.58000000002</v>
      </c>
      <c r="O111" s="5">
        <v>0</v>
      </c>
      <c r="P111" s="5">
        <v>0</v>
      </c>
    </row>
    <row r="112" spans="1:16" ht="15.65">
      <c r="A112" s="3" t="s">
        <v>2</v>
      </c>
      <c r="B112" s="2" t="s">
        <v>52</v>
      </c>
      <c r="C112" s="3" t="s">
        <v>46</v>
      </c>
      <c r="D112" s="3" t="s">
        <v>48</v>
      </c>
      <c r="E112" s="3" t="s">
        <v>31</v>
      </c>
      <c r="F112" s="3" t="s">
        <v>67</v>
      </c>
      <c r="G112" s="13">
        <v>2803939.0600000001</v>
      </c>
      <c r="H112" s="5">
        <f>G112*0.47392</f>
        <v>1328842.7993152</v>
      </c>
      <c r="K112" s="8">
        <f t="shared" si="17"/>
        <v>1328842.7993152</v>
      </c>
      <c r="L112" s="5">
        <f>G112*0.5103</f>
        <v>1430850.1023180001</v>
      </c>
      <c r="N112" s="8">
        <f t="shared" si="19"/>
        <v>1430850.1023180001</v>
      </c>
      <c r="O112" s="5">
        <f>G112*0.01487</f>
        <v>41694.5738222</v>
      </c>
      <c r="P112" s="5">
        <f>G112*0.00091</f>
        <v>2551.5845445999998</v>
      </c>
    </row>
    <row r="113" spans="1:16" ht="15.65">
      <c r="A113" s="3" t="s">
        <v>2</v>
      </c>
      <c r="B113" s="2" t="s">
        <v>52</v>
      </c>
      <c r="C113" s="3" t="s">
        <v>46</v>
      </c>
      <c r="D113" s="3" t="s">
        <v>48</v>
      </c>
      <c r="E113" s="3" t="s">
        <v>31</v>
      </c>
      <c r="F113" s="3" t="s">
        <v>35</v>
      </c>
      <c r="G113" s="13">
        <v>3029503.0099999998</v>
      </c>
      <c r="H113" s="5">
        <v>0</v>
      </c>
      <c r="K113" s="8">
        <f t="shared" si="17"/>
        <v>0</v>
      </c>
      <c r="L113" s="5">
        <v>0</v>
      </c>
      <c r="N113" s="8">
        <f t="shared" si="19"/>
        <v>0</v>
      </c>
      <c r="O113" s="5">
        <v>0</v>
      </c>
      <c r="P113" s="5">
        <f>G113</f>
        <v>3029503.0099999998</v>
      </c>
    </row>
    <row r="114" spans="1:16" ht="15.65">
      <c r="A114" s="3" t="s">
        <v>2</v>
      </c>
      <c r="B114" s="2" t="s">
        <v>52</v>
      </c>
      <c r="C114" s="3" t="s">
        <v>46</v>
      </c>
      <c r="D114" s="3" t="s">
        <v>48</v>
      </c>
      <c r="E114" s="3" t="s">
        <v>31</v>
      </c>
      <c r="F114" s="3" t="s">
        <v>35</v>
      </c>
      <c r="G114" s="13">
        <v>295155.42999999999</v>
      </c>
      <c r="H114" s="5">
        <f>G114</f>
        <v>295155.42999999999</v>
      </c>
      <c r="K114" s="8">
        <f t="shared" si="17"/>
        <v>295155.42999999999</v>
      </c>
      <c r="L114" s="5">
        <v>0</v>
      </c>
      <c r="N114" s="8">
        <f t="shared" si="19"/>
        <v>0</v>
      </c>
      <c r="O114" s="5">
        <v>0</v>
      </c>
      <c r="P114" s="5">
        <v>0</v>
      </c>
    </row>
    <row r="115" spans="1:16" ht="15.65">
      <c r="A115" s="3" t="s">
        <v>2</v>
      </c>
      <c r="B115" s="2" t="s">
        <v>52</v>
      </c>
      <c r="C115" s="3" t="s">
        <v>46</v>
      </c>
      <c r="D115" s="3" t="s">
        <v>49</v>
      </c>
      <c r="E115" s="3" t="s">
        <v>31</v>
      </c>
      <c r="F115" s="3" t="s">
        <v>67</v>
      </c>
      <c r="G115" s="13">
        <v>4309188.71</v>
      </c>
      <c r="H115" s="5">
        <f>G115*0.47392</f>
        <v>2042210.7134432001</v>
      </c>
      <c r="K115" s="8">
        <f t="shared" si="17"/>
        <v>2042210.7134432001</v>
      </c>
      <c r="L115" s="5">
        <f>G115*0.5103</f>
        <v>2198978.9987129997</v>
      </c>
      <c r="N115" s="8">
        <f t="shared" si="19"/>
        <v>2198978.9987129997</v>
      </c>
      <c r="O115" s="5">
        <f>G115*0.01487</f>
        <v>64077.6361177</v>
      </c>
      <c r="P115" s="5">
        <f>G115*0.00091</f>
        <v>3921.3617260999999</v>
      </c>
    </row>
    <row r="116" spans="1:16" ht="15.65">
      <c r="A116" s="3" t="s">
        <v>2</v>
      </c>
      <c r="B116" s="2" t="s">
        <v>52</v>
      </c>
      <c r="C116" s="3" t="s">
        <v>46</v>
      </c>
      <c r="D116" s="3" t="s">
        <v>49</v>
      </c>
      <c r="E116" s="3" t="s">
        <v>31</v>
      </c>
      <c r="F116" s="3" t="s">
        <v>35</v>
      </c>
      <c r="G116" s="13">
        <v>1573942.7999999998</v>
      </c>
      <c r="H116" s="5">
        <v>0</v>
      </c>
      <c r="K116" s="8">
        <f t="shared" si="17"/>
        <v>0</v>
      </c>
      <c r="L116" s="5">
        <v>0</v>
      </c>
      <c r="N116" s="8">
        <f t="shared" si="19"/>
        <v>0</v>
      </c>
      <c r="O116" s="5">
        <v>0</v>
      </c>
      <c r="P116" s="5">
        <f>G116</f>
        <v>1573942.7999999998</v>
      </c>
    </row>
    <row r="117" spans="1:16" ht="15.65">
      <c r="A117" s="3" t="s">
        <v>2</v>
      </c>
      <c r="B117" s="2" t="s">
        <v>52</v>
      </c>
      <c r="C117" s="3" t="s">
        <v>46</v>
      </c>
      <c r="D117" s="3" t="s">
        <v>56</v>
      </c>
      <c r="E117" s="3" t="s">
        <v>31</v>
      </c>
      <c r="F117" s="3" t="s">
        <v>67</v>
      </c>
      <c r="G117" s="13">
        <v>8282826.6799999997</v>
      </c>
      <c r="H117" s="5">
        <f>G117*0.47392</f>
        <v>3925397.2201855998</v>
      </c>
      <c r="K117" s="8">
        <f t="shared" si="17"/>
        <v>3925397.2201855998</v>
      </c>
      <c r="L117" s="5">
        <f>G117*0.5103</f>
        <v>4226726.4548039995</v>
      </c>
      <c r="N117" s="8">
        <f t="shared" si="19"/>
        <v>4226726.4548039995</v>
      </c>
      <c r="O117" s="5">
        <f>G117*0.01487</f>
        <v>123165.6327316</v>
      </c>
      <c r="P117" s="5">
        <f>G117*0.00091</f>
        <v>7537.3722787999995</v>
      </c>
    </row>
    <row r="118" spans="1:16" ht="15.65">
      <c r="A118" s="3" t="s">
        <v>2</v>
      </c>
      <c r="B118" s="2" t="s">
        <v>52</v>
      </c>
      <c r="C118" s="3" t="s">
        <v>46</v>
      </c>
      <c r="D118" s="3" t="s">
        <v>56</v>
      </c>
      <c r="E118" s="3" t="s">
        <v>31</v>
      </c>
      <c r="F118" s="3" t="s">
        <v>35</v>
      </c>
      <c r="G118" s="13">
        <v>7412.6000000000004</v>
      </c>
      <c r="H118" s="5">
        <v>0</v>
      </c>
      <c r="K118" s="8">
        <f t="shared" si="17"/>
        <v>0</v>
      </c>
      <c r="L118" s="5">
        <v>0</v>
      </c>
      <c r="N118" s="8">
        <f t="shared" si="19"/>
        <v>0</v>
      </c>
      <c r="O118" s="5">
        <v>0</v>
      </c>
      <c r="P118" s="5">
        <f>G118</f>
        <v>7412.6000000000004</v>
      </c>
    </row>
    <row r="119" spans="1:16" ht="15.65">
      <c r="A119" s="3" t="s">
        <v>2</v>
      </c>
      <c r="B119" s="2" t="s">
        <v>15</v>
      </c>
      <c r="C119" s="3" t="s">
        <v>46</v>
      </c>
      <c r="D119" s="3" t="s">
        <v>22</v>
      </c>
      <c r="E119" s="3" t="s">
        <v>31</v>
      </c>
      <c r="F119" s="3" t="s">
        <v>67</v>
      </c>
      <c r="G119" s="13">
        <v>858037.93000000005</v>
      </c>
      <c r="H119" s="5">
        <f t="shared" si="36" ref="H119:H120">G119*0.47392</f>
        <v>406641.33578560001</v>
      </c>
      <c r="K119" s="8">
        <f t="shared" si="17"/>
        <v>406641.33578560001</v>
      </c>
      <c r="L119" s="5">
        <f t="shared" si="37" ref="L119:L120">G119*0.5103</f>
        <v>437856.75567899999</v>
      </c>
      <c r="N119" s="8">
        <f t="shared" si="19"/>
        <v>437856.75567899999</v>
      </c>
      <c r="O119" s="5">
        <f t="shared" si="38" ref="O119:O120">G119*0.01487</f>
        <v>12759.024019100001</v>
      </c>
      <c r="P119" s="5">
        <f t="shared" si="39" ref="P119:P120">G119*0.00091</f>
        <v>780.81451630000004</v>
      </c>
    </row>
    <row r="120" spans="1:16" ht="15.65">
      <c r="A120" s="3" t="s">
        <v>2</v>
      </c>
      <c r="B120" s="2" t="s">
        <v>15</v>
      </c>
      <c r="C120" s="3" t="s">
        <v>46</v>
      </c>
      <c r="D120" s="3" t="s">
        <v>23</v>
      </c>
      <c r="E120" s="3" t="s">
        <v>31</v>
      </c>
      <c r="F120" s="3" t="s">
        <v>67</v>
      </c>
      <c r="G120" s="13">
        <v>-1564.4500000000001</v>
      </c>
      <c r="H120" s="5">
        <f t="shared" si="36"/>
        <v>-741.42414400000007</v>
      </c>
      <c r="K120" s="8">
        <f t="shared" si="17"/>
        <v>-741.42414400000007</v>
      </c>
      <c r="L120" s="5">
        <f t="shared" si="37"/>
        <v>-798.33883500000002</v>
      </c>
      <c r="N120" s="8">
        <f t="shared" si="19"/>
        <v>-798.33883500000002</v>
      </c>
      <c r="O120" s="5">
        <f t="shared" si="38"/>
        <v>-23.263371500000002</v>
      </c>
      <c r="P120" s="5">
        <f t="shared" si="39"/>
        <v>-1.4236495</v>
      </c>
    </row>
    <row r="121" spans="1:16" ht="15.65">
      <c r="A121" s="3" t="s">
        <v>2</v>
      </c>
      <c r="B121" s="2" t="s">
        <v>15</v>
      </c>
      <c r="C121" s="3" t="s">
        <v>46</v>
      </c>
      <c r="D121" s="3" t="s">
        <v>25</v>
      </c>
      <c r="E121" s="3" t="s">
        <v>31</v>
      </c>
      <c r="F121" s="3" t="s">
        <v>35</v>
      </c>
      <c r="G121" s="13">
        <v>73364.210000000006</v>
      </c>
      <c r="H121" s="5">
        <v>0</v>
      </c>
      <c r="K121" s="8">
        <f t="shared" si="17"/>
        <v>0</v>
      </c>
      <c r="L121" s="5">
        <v>0</v>
      </c>
      <c r="N121" s="8">
        <f t="shared" si="19"/>
        <v>0</v>
      </c>
      <c r="O121" s="5">
        <v>0</v>
      </c>
      <c r="P121" s="5">
        <f>G121</f>
        <v>73364.210000000006</v>
      </c>
    </row>
    <row r="122" spans="1:16" ht="15.65">
      <c r="A122" s="3" t="s">
        <v>2</v>
      </c>
      <c r="B122" s="2" t="s">
        <v>15</v>
      </c>
      <c r="C122" s="3" t="s">
        <v>46</v>
      </c>
      <c r="D122" s="3" t="s">
        <v>50</v>
      </c>
      <c r="E122" s="3" t="s">
        <v>31</v>
      </c>
      <c r="F122" s="3" t="s">
        <v>67</v>
      </c>
      <c r="G122" s="13">
        <v>950482.76000000001</v>
      </c>
      <c r="H122" s="5">
        <f>G122*0.47392</f>
        <v>450452.78961919999</v>
      </c>
      <c r="K122" s="8">
        <f t="shared" si="17"/>
        <v>450452.78961919999</v>
      </c>
      <c r="L122" s="5">
        <f>G122*0.5103</f>
        <v>485031.35242799995</v>
      </c>
      <c r="N122" s="8">
        <f t="shared" si="19"/>
        <v>485031.35242799995</v>
      </c>
      <c r="O122" s="5">
        <f>G122*0.01487</f>
        <v>14133.6786412</v>
      </c>
      <c r="P122" s="5">
        <f>G122*0.00091</f>
        <v>864.9393116</v>
      </c>
    </row>
    <row r="123" spans="1:16" ht="15.65">
      <c r="A123" s="3" t="s">
        <v>2</v>
      </c>
      <c r="B123" s="2" t="s">
        <v>15</v>
      </c>
      <c r="C123" s="3" t="s">
        <v>46</v>
      </c>
      <c r="D123" s="3" t="s">
        <v>48</v>
      </c>
      <c r="E123" s="3" t="s">
        <v>31</v>
      </c>
      <c r="F123" s="3" t="s">
        <v>35</v>
      </c>
      <c r="G123" s="13">
        <v>1735583.3599999999</v>
      </c>
      <c r="H123" s="5">
        <v>0</v>
      </c>
      <c r="K123" s="8">
        <f t="shared" si="17"/>
        <v>0</v>
      </c>
      <c r="L123" s="5">
        <v>0</v>
      </c>
      <c r="N123" s="8">
        <f t="shared" si="19"/>
        <v>0</v>
      </c>
      <c r="O123" s="5">
        <v>0</v>
      </c>
      <c r="P123" s="5">
        <f t="shared" si="40" ref="P123:P125">G123</f>
        <v>1735583.3599999999</v>
      </c>
    </row>
    <row r="124" spans="1:16" ht="15.65">
      <c r="A124" s="3" t="s">
        <v>2</v>
      </c>
      <c r="B124" s="2" t="s">
        <v>15</v>
      </c>
      <c r="C124" s="3" t="s">
        <v>46</v>
      </c>
      <c r="D124" s="3" t="s">
        <v>49</v>
      </c>
      <c r="E124" s="3" t="s">
        <v>31</v>
      </c>
      <c r="F124" s="3" t="s">
        <v>35</v>
      </c>
      <c r="G124" s="13">
        <v>1621.2000000000001</v>
      </c>
      <c r="H124" s="5">
        <v>0</v>
      </c>
      <c r="K124" s="8">
        <f t="shared" si="17"/>
        <v>0</v>
      </c>
      <c r="L124" s="5">
        <v>0</v>
      </c>
      <c r="N124" s="8">
        <f t="shared" si="19"/>
        <v>0</v>
      </c>
      <c r="O124" s="5">
        <v>0</v>
      </c>
      <c r="P124" s="5">
        <f t="shared" si="40"/>
        <v>1621.2000000000001</v>
      </c>
    </row>
    <row r="125" spans="1:16" ht="15.65">
      <c r="A125" s="3" t="s">
        <v>2</v>
      </c>
      <c r="B125" s="2" t="s">
        <v>15</v>
      </c>
      <c r="C125" s="3" t="s">
        <v>46</v>
      </c>
      <c r="D125" s="3" t="s">
        <v>56</v>
      </c>
      <c r="E125" s="3" t="s">
        <v>31</v>
      </c>
      <c r="F125" s="3" t="s">
        <v>35</v>
      </c>
      <c r="G125" s="13">
        <v>169028.95000000001</v>
      </c>
      <c r="H125" s="5">
        <v>0</v>
      </c>
      <c r="K125" s="8">
        <f t="shared" si="17"/>
        <v>0</v>
      </c>
      <c r="L125" s="5">
        <v>0</v>
      </c>
      <c r="N125" s="8">
        <f t="shared" si="19"/>
        <v>0</v>
      </c>
      <c r="O125" s="5">
        <v>0</v>
      </c>
      <c r="P125" s="5">
        <f t="shared" si="40"/>
        <v>169028.95000000001</v>
      </c>
    </row>
    <row r="126" spans="1:16" ht="15.65">
      <c r="A126" s="3" t="s">
        <v>2</v>
      </c>
      <c r="B126" s="2" t="s">
        <v>61</v>
      </c>
      <c r="C126" s="3" t="s">
        <v>46</v>
      </c>
      <c r="D126" s="3" t="s">
        <v>29</v>
      </c>
      <c r="E126" s="3" t="s">
        <v>31</v>
      </c>
      <c r="F126" s="3" t="s">
        <v>67</v>
      </c>
      <c r="G126" s="13">
        <v>899417.85999999999</v>
      </c>
      <c r="H126" s="5">
        <f>G126*0.47392</f>
        <v>426252.1122112</v>
      </c>
      <c r="K126" s="8">
        <f t="shared" si="17"/>
        <v>426252.1122112</v>
      </c>
      <c r="L126" s="5">
        <f>G126*0.5103</f>
        <v>458972.93395799998</v>
      </c>
      <c r="N126" s="8">
        <f t="shared" si="19"/>
        <v>458972.93395799998</v>
      </c>
      <c r="O126" s="5">
        <f>G126*0.01487</f>
        <v>13374.3435782</v>
      </c>
      <c r="P126" s="5">
        <f>G126*0.00091</f>
        <v>818.47025259999998</v>
      </c>
    </row>
    <row r="127" spans="1:16" ht="15.65">
      <c r="A127" s="3" t="s">
        <v>2</v>
      </c>
      <c r="B127" s="2" t="s">
        <v>61</v>
      </c>
      <c r="C127" s="3" t="s">
        <v>46</v>
      </c>
      <c r="D127" s="3" t="s">
        <v>22</v>
      </c>
      <c r="E127" s="3" t="s">
        <v>31</v>
      </c>
      <c r="F127" s="3" t="s">
        <v>35</v>
      </c>
      <c r="G127" s="13">
        <v>1015859.12</v>
      </c>
      <c r="H127" s="5">
        <v>0</v>
      </c>
      <c r="K127" s="8">
        <f t="shared" si="17"/>
        <v>0</v>
      </c>
      <c r="L127" s="5">
        <v>0</v>
      </c>
      <c r="N127" s="8">
        <f t="shared" si="19"/>
        <v>0</v>
      </c>
      <c r="O127" s="5">
        <f>G127</f>
        <v>1015859.12</v>
      </c>
      <c r="P127" s="5">
        <v>0</v>
      </c>
    </row>
    <row r="128" spans="1:16" ht="15.65">
      <c r="A128" s="3" t="s">
        <v>2</v>
      </c>
      <c r="B128" s="2" t="s">
        <v>61</v>
      </c>
      <c r="C128" s="3" t="s">
        <v>46</v>
      </c>
      <c r="D128" s="3" t="s">
        <v>22</v>
      </c>
      <c r="E128" s="3" t="s">
        <v>31</v>
      </c>
      <c r="F128" s="3" t="s">
        <v>67</v>
      </c>
      <c r="G128" s="13">
        <v>5694194.4100000001</v>
      </c>
      <c r="H128" s="5">
        <f>G128*0.47392</f>
        <v>2698592.6147872</v>
      </c>
      <c r="K128" s="8">
        <f t="shared" si="17"/>
        <v>2698592.6147872</v>
      </c>
      <c r="L128" s="5">
        <f>G128*0.5103</f>
        <v>2905747.4074229999</v>
      </c>
      <c r="N128" s="8">
        <f t="shared" si="19"/>
        <v>2905747.4074229999</v>
      </c>
      <c r="O128" s="5">
        <f>G128*0.01487</f>
        <v>84672.670876699995</v>
      </c>
      <c r="P128" s="5">
        <f>G128*0.00091</f>
        <v>5181.7169131000001</v>
      </c>
    </row>
    <row r="129" spans="1:16" ht="15.65">
      <c r="A129" s="3" t="s">
        <v>2</v>
      </c>
      <c r="B129" s="2" t="s">
        <v>61</v>
      </c>
      <c r="C129" s="3" t="s">
        <v>46</v>
      </c>
      <c r="D129" s="3" t="s">
        <v>23</v>
      </c>
      <c r="E129" s="3" t="s">
        <v>31</v>
      </c>
      <c r="F129" s="3" t="s">
        <v>35</v>
      </c>
      <c r="G129" s="13">
        <v>-92964.75</v>
      </c>
      <c r="H129" s="5">
        <v>0</v>
      </c>
      <c r="K129" s="8">
        <f t="shared" si="17"/>
        <v>0</v>
      </c>
      <c r="L129" s="5">
        <v>0</v>
      </c>
      <c r="N129" s="8">
        <f t="shared" si="19"/>
        <v>0</v>
      </c>
      <c r="O129" s="5">
        <f>G129</f>
        <v>-92964.75</v>
      </c>
      <c r="P129" s="5">
        <v>0</v>
      </c>
    </row>
    <row r="130" spans="1:16" ht="15.65">
      <c r="A130" s="3" t="s">
        <v>2</v>
      </c>
      <c r="B130" s="2" t="s">
        <v>61</v>
      </c>
      <c r="C130" s="3" t="s">
        <v>46</v>
      </c>
      <c r="D130" s="3" t="s">
        <v>23</v>
      </c>
      <c r="E130" s="3" t="s">
        <v>31</v>
      </c>
      <c r="F130" s="3" t="s">
        <v>67</v>
      </c>
      <c r="G130" s="13">
        <v>745979.03000000003</v>
      </c>
      <c r="H130" s="5">
        <f>G130*0.47392</f>
        <v>353534.38189760002</v>
      </c>
      <c r="K130" s="8">
        <f t="shared" si="41" ref="K130:K193">SUM(H130:J130)</f>
        <v>353534.38189760002</v>
      </c>
      <c r="L130" s="5">
        <f>G130*0.5103</f>
        <v>380673.099009</v>
      </c>
      <c r="N130" s="8">
        <f t="shared" si="42" ref="N130:N193">SUM(L130:M130)</f>
        <v>380673.099009</v>
      </c>
      <c r="O130" s="5">
        <f>G130*0.01487</f>
        <v>11092.708176100001</v>
      </c>
      <c r="P130" s="5">
        <f>G130*0.00091</f>
        <v>678.8409173</v>
      </c>
    </row>
    <row r="131" spans="1:16" ht="15.65">
      <c r="A131" s="3" t="s">
        <v>2</v>
      </c>
      <c r="B131" s="2" t="s">
        <v>61</v>
      </c>
      <c r="C131" s="3" t="s">
        <v>46</v>
      </c>
      <c r="D131" s="3" t="s">
        <v>25</v>
      </c>
      <c r="E131" s="3" t="s">
        <v>31</v>
      </c>
      <c r="F131" s="3" t="s">
        <v>35</v>
      </c>
      <c r="G131" s="13">
        <v>-1339.8199999999999</v>
      </c>
      <c r="H131" s="5">
        <v>0</v>
      </c>
      <c r="K131" s="8">
        <f t="shared" si="41"/>
        <v>0</v>
      </c>
      <c r="L131" s="5">
        <v>0</v>
      </c>
      <c r="N131" s="8">
        <f t="shared" si="42"/>
        <v>0</v>
      </c>
      <c r="O131" s="5">
        <f>G131</f>
        <v>-1339.8199999999999</v>
      </c>
      <c r="P131" s="5">
        <v>0</v>
      </c>
    </row>
    <row r="132" spans="1:16" ht="15.65">
      <c r="A132" s="3" t="s">
        <v>2</v>
      </c>
      <c r="B132" s="2" t="s">
        <v>61</v>
      </c>
      <c r="C132" s="3" t="s">
        <v>46</v>
      </c>
      <c r="D132" s="3" t="s">
        <v>25</v>
      </c>
      <c r="E132" s="3" t="s">
        <v>31</v>
      </c>
      <c r="F132" s="3" t="s">
        <v>67</v>
      </c>
      <c r="G132" s="13">
        <v>5636104.6699999999</v>
      </c>
      <c r="H132" s="5">
        <f>G132*0.47392</f>
        <v>2671062.7252063998</v>
      </c>
      <c r="K132" s="8">
        <f t="shared" si="41"/>
        <v>2671062.7252063998</v>
      </c>
      <c r="L132" s="5">
        <f>G132*0.5103</f>
        <v>2876104.2131009996</v>
      </c>
      <c r="N132" s="8">
        <f t="shared" si="42"/>
        <v>2876104.2131009996</v>
      </c>
      <c r="O132" s="5">
        <f>G132*0.01487</f>
        <v>83808.8764429</v>
      </c>
      <c r="P132" s="5">
        <f>G132*0.00091</f>
        <v>5128.8552497000001</v>
      </c>
    </row>
    <row r="133" spans="1:16" ht="15.65">
      <c r="A133" s="3" t="s">
        <v>2</v>
      </c>
      <c r="B133" s="2" t="s">
        <v>61</v>
      </c>
      <c r="C133" s="3" t="s">
        <v>46</v>
      </c>
      <c r="D133" s="3" t="s">
        <v>25</v>
      </c>
      <c r="E133" s="3" t="s">
        <v>31</v>
      </c>
      <c r="F133" s="3" t="s">
        <v>35</v>
      </c>
      <c r="G133" s="13">
        <v>44035.040000000001</v>
      </c>
      <c r="H133" s="5">
        <f>G133</f>
        <v>44035.040000000001</v>
      </c>
      <c r="K133" s="8">
        <f t="shared" si="41"/>
        <v>44035.040000000001</v>
      </c>
      <c r="L133" s="5">
        <v>0</v>
      </c>
      <c r="N133" s="8">
        <f t="shared" si="42"/>
        <v>0</v>
      </c>
      <c r="O133" s="5">
        <v>0</v>
      </c>
      <c r="P133" s="5">
        <v>0</v>
      </c>
    </row>
    <row r="134" spans="1:16" ht="15.65">
      <c r="A134" s="3" t="s">
        <v>2</v>
      </c>
      <c r="B134" s="2" t="s">
        <v>61</v>
      </c>
      <c r="C134" s="3" t="s">
        <v>46</v>
      </c>
      <c r="D134" s="3" t="s">
        <v>24</v>
      </c>
      <c r="E134" s="3" t="s">
        <v>31</v>
      </c>
      <c r="F134" s="3" t="s">
        <v>67</v>
      </c>
      <c r="G134" s="13">
        <v>6104226.7300000004</v>
      </c>
      <c r="H134" s="5">
        <f t="shared" si="43" ref="H134:H143">G134*0.47392</f>
        <v>2892915.1318816002</v>
      </c>
      <c r="K134" s="8">
        <f t="shared" si="41"/>
        <v>2892915.1318816002</v>
      </c>
      <c r="L134" s="5">
        <f t="shared" si="44" ref="L134:L143">G134*0.5103</f>
        <v>3114986.9003190002</v>
      </c>
      <c r="N134" s="8">
        <f t="shared" si="42"/>
        <v>3114986.9003190002</v>
      </c>
      <c r="O134" s="5">
        <f t="shared" si="45" ref="O134:O143">G134*0.01487</f>
        <v>90769.851475100004</v>
      </c>
      <c r="P134" s="5">
        <f t="shared" si="46" ref="P134:P143">G134*0.00091</f>
        <v>5554.8463243000006</v>
      </c>
    </row>
    <row r="135" spans="1:16" ht="15.65">
      <c r="A135" s="3" t="s">
        <v>2</v>
      </c>
      <c r="B135" s="2" t="s">
        <v>61</v>
      </c>
      <c r="C135" s="3" t="s">
        <v>46</v>
      </c>
      <c r="D135" s="3" t="s">
        <v>47</v>
      </c>
      <c r="E135" s="3" t="s">
        <v>31</v>
      </c>
      <c r="F135" s="3" t="s">
        <v>67</v>
      </c>
      <c r="G135" s="13">
        <v>1849898.3499999999</v>
      </c>
      <c r="H135" s="5">
        <f t="shared" si="43"/>
        <v>876703.8260319999</v>
      </c>
      <c r="K135" s="8">
        <f t="shared" si="41"/>
        <v>876703.8260319999</v>
      </c>
      <c r="L135" s="5">
        <f t="shared" si="44"/>
        <v>944003.12800499983</v>
      </c>
      <c r="N135" s="8">
        <f t="shared" si="42"/>
        <v>944003.12800499983</v>
      </c>
      <c r="O135" s="5">
        <f t="shared" si="45"/>
        <v>27507.988464499998</v>
      </c>
      <c r="P135" s="5">
        <f t="shared" si="46"/>
        <v>1683.4074985</v>
      </c>
    </row>
    <row r="136" spans="1:17" ht="15.65">
      <c r="A136" s="3" t="s">
        <v>2</v>
      </c>
      <c r="B136" s="2" t="s">
        <v>61</v>
      </c>
      <c r="C136" s="3" t="s">
        <v>46</v>
      </c>
      <c r="D136" s="3" t="s">
        <v>50</v>
      </c>
      <c r="E136" s="3" t="s">
        <v>31</v>
      </c>
      <c r="F136" s="7" t="s">
        <v>67</v>
      </c>
      <c r="G136" s="13">
        <v>2444387.9000000004</v>
      </c>
      <c r="H136" s="5">
        <f t="shared" si="43"/>
        <v>1158444.3135680002</v>
      </c>
      <c r="K136" s="8">
        <f t="shared" si="41"/>
        <v>1158444.3135680002</v>
      </c>
      <c r="L136" s="5">
        <f t="shared" si="44"/>
        <v>1247371.14537</v>
      </c>
      <c r="N136" s="8">
        <f t="shared" si="42"/>
        <v>1247371.14537</v>
      </c>
      <c r="O136" s="5">
        <f t="shared" si="45"/>
        <v>36348.048073000005</v>
      </c>
      <c r="P136" s="5">
        <f t="shared" si="46"/>
        <v>2224.3929890000004</v>
      </c>
      <c r="Q136" s="5"/>
    </row>
    <row r="137" spans="1:17" ht="15.65">
      <c r="A137" s="3" t="s">
        <v>2</v>
      </c>
      <c r="B137" s="2" t="s">
        <v>61</v>
      </c>
      <c r="C137" s="3" t="s">
        <v>46</v>
      </c>
      <c r="D137" s="3" t="s">
        <v>48</v>
      </c>
      <c r="E137" s="3" t="s">
        <v>31</v>
      </c>
      <c r="F137" s="3" t="s">
        <v>67</v>
      </c>
      <c r="G137" s="13">
        <v>4773619.6699999999</v>
      </c>
      <c r="H137" s="5">
        <f t="shared" si="43"/>
        <v>2262313.8340063998</v>
      </c>
      <c r="K137" s="8">
        <f t="shared" si="41"/>
        <v>2262313.8340063998</v>
      </c>
      <c r="L137" s="5">
        <f t="shared" si="44"/>
        <v>2435978.1176009998</v>
      </c>
      <c r="N137" s="8">
        <f t="shared" si="42"/>
        <v>2435978.1176009998</v>
      </c>
      <c r="O137" s="5">
        <f t="shared" si="45"/>
        <v>70983.724492900001</v>
      </c>
      <c r="P137" s="5">
        <f t="shared" si="46"/>
        <v>4343.9938996999999</v>
      </c>
      <c r="Q137" s="5"/>
    </row>
    <row r="138" spans="1:17" ht="15.65">
      <c r="A138" s="3" t="s">
        <v>2</v>
      </c>
      <c r="B138" s="2" t="s">
        <v>61</v>
      </c>
      <c r="C138" s="3" t="s">
        <v>46</v>
      </c>
      <c r="D138" s="3" t="s">
        <v>49</v>
      </c>
      <c r="E138" s="3" t="s">
        <v>31</v>
      </c>
      <c r="F138" s="7" t="s">
        <v>67</v>
      </c>
      <c r="G138" s="13">
        <v>2343670.6100000003</v>
      </c>
      <c r="H138" s="5">
        <f t="shared" si="43"/>
        <v>1110712.3754912003</v>
      </c>
      <c r="K138" s="8">
        <f t="shared" si="41"/>
        <v>1110712.3754912003</v>
      </c>
      <c r="L138" s="5">
        <f t="shared" si="44"/>
        <v>1195975.112283</v>
      </c>
      <c r="N138" s="8">
        <f t="shared" si="42"/>
        <v>1195975.112283</v>
      </c>
      <c r="O138" s="5">
        <f t="shared" si="45"/>
        <v>34850.381970700008</v>
      </c>
      <c r="P138" s="5">
        <f t="shared" si="46"/>
        <v>2132.7402551000005</v>
      </c>
      <c r="Q138" s="5"/>
    </row>
    <row r="139" spans="1:17" ht="15.65">
      <c r="A139" s="3" t="s">
        <v>2</v>
      </c>
      <c r="B139" s="2" t="s">
        <v>61</v>
      </c>
      <c r="C139" s="3" t="s">
        <v>46</v>
      </c>
      <c r="D139" s="3" t="s">
        <v>56</v>
      </c>
      <c r="E139" s="3" t="s">
        <v>31</v>
      </c>
      <c r="F139" s="3" t="s">
        <v>67</v>
      </c>
      <c r="G139" s="13">
        <v>5890710.3100000005</v>
      </c>
      <c r="H139" s="5">
        <f t="shared" si="43"/>
        <v>2791725.4301152001</v>
      </c>
      <c r="K139" s="8">
        <f t="shared" si="41"/>
        <v>2791725.4301152001</v>
      </c>
      <c r="L139" s="5">
        <f t="shared" si="44"/>
        <v>3006029.4711930002</v>
      </c>
      <c r="N139" s="8">
        <f t="shared" si="42"/>
        <v>3006029.4711930002</v>
      </c>
      <c r="O139" s="5">
        <f t="shared" si="45"/>
        <v>87594.862309700009</v>
      </c>
      <c r="P139" s="5">
        <f t="shared" si="46"/>
        <v>5360.5463821000003</v>
      </c>
      <c r="Q139" s="5"/>
    </row>
    <row r="140" spans="1:17" ht="15.65">
      <c r="A140" s="3" t="s">
        <v>2</v>
      </c>
      <c r="B140" s="2" t="s">
        <v>62</v>
      </c>
      <c r="C140" s="3" t="s">
        <v>46</v>
      </c>
      <c r="D140" s="3" t="s">
        <v>25</v>
      </c>
      <c r="E140" s="3" t="s">
        <v>31</v>
      </c>
      <c r="F140" s="3" t="s">
        <v>67</v>
      </c>
      <c r="G140" s="13">
        <v>589357.78000000003</v>
      </c>
      <c r="H140" s="5">
        <f t="shared" si="43"/>
        <v>279308.4390976</v>
      </c>
      <c r="K140" s="8">
        <f t="shared" si="41"/>
        <v>279308.4390976</v>
      </c>
      <c r="L140" s="5">
        <f t="shared" si="44"/>
        <v>300749.275134</v>
      </c>
      <c r="N140" s="8">
        <f t="shared" si="42"/>
        <v>300749.275134</v>
      </c>
      <c r="O140" s="5">
        <f t="shared" si="45"/>
        <v>8763.7501886000009</v>
      </c>
      <c r="P140" s="5">
        <f t="shared" si="46"/>
        <v>536.31557980000002</v>
      </c>
      <c r="Q140" s="5"/>
    </row>
    <row r="141" spans="1:17" ht="15.65">
      <c r="A141" s="3" t="s">
        <v>2</v>
      </c>
      <c r="B141" s="2" t="s">
        <v>62</v>
      </c>
      <c r="C141" s="3" t="s">
        <v>46</v>
      </c>
      <c r="D141" s="3" t="s">
        <v>24</v>
      </c>
      <c r="E141" s="3" t="s">
        <v>31</v>
      </c>
      <c r="F141" s="3" t="s">
        <v>67</v>
      </c>
      <c r="G141" s="13">
        <v>1706195.77</v>
      </c>
      <c r="H141" s="5">
        <f t="shared" si="43"/>
        <v>808600.29931839998</v>
      </c>
      <c r="K141" s="8">
        <f t="shared" si="41"/>
        <v>808600.29931839998</v>
      </c>
      <c r="L141" s="5">
        <f t="shared" si="44"/>
        <v>870671.70143100002</v>
      </c>
      <c r="N141" s="8">
        <f t="shared" si="42"/>
        <v>870671.70143100002</v>
      </c>
      <c r="O141" s="5">
        <f t="shared" si="45"/>
        <v>25371.131099899998</v>
      </c>
      <c r="P141" s="5">
        <f t="shared" si="46"/>
        <v>1552.6381507000001</v>
      </c>
      <c r="Q141" s="5"/>
    </row>
    <row r="142" spans="1:17" ht="15.65">
      <c r="A142" s="3" t="s">
        <v>2</v>
      </c>
      <c r="B142" s="2" t="s">
        <v>62</v>
      </c>
      <c r="C142" s="3" t="s">
        <v>46</v>
      </c>
      <c r="D142" s="3" t="s">
        <v>47</v>
      </c>
      <c r="E142" s="3" t="s">
        <v>31</v>
      </c>
      <c r="F142" s="7" t="s">
        <v>67</v>
      </c>
      <c r="G142" s="13">
        <v>483308.79999999999</v>
      </c>
      <c r="H142" s="5">
        <f t="shared" si="43"/>
        <v>229049.706496</v>
      </c>
      <c r="K142" s="8">
        <f t="shared" si="41"/>
        <v>229049.706496</v>
      </c>
      <c r="L142" s="5">
        <f t="shared" si="44"/>
        <v>246632.48063999999</v>
      </c>
      <c r="N142" s="8">
        <f t="shared" si="42"/>
        <v>246632.48063999999</v>
      </c>
      <c r="O142" s="5">
        <f t="shared" si="45"/>
        <v>7186.801856</v>
      </c>
      <c r="P142" s="5">
        <f t="shared" si="46"/>
        <v>439.81100800000002</v>
      </c>
      <c r="Q142" s="5"/>
    </row>
    <row r="143" spans="1:17" ht="15.65">
      <c r="A143" s="3" t="s">
        <v>2</v>
      </c>
      <c r="B143" s="2" t="s">
        <v>62</v>
      </c>
      <c r="C143" s="3" t="s">
        <v>46</v>
      </c>
      <c r="D143" s="3" t="s">
        <v>50</v>
      </c>
      <c r="E143" s="3" t="s">
        <v>31</v>
      </c>
      <c r="F143" s="3" t="s">
        <v>67</v>
      </c>
      <c r="G143" s="13">
        <v>780035.21999999997</v>
      </c>
      <c r="H143" s="5">
        <f t="shared" si="43"/>
        <v>369674.2914624</v>
      </c>
      <c r="K143" s="8">
        <f t="shared" si="41"/>
        <v>369674.2914624</v>
      </c>
      <c r="L143" s="5">
        <f t="shared" si="44"/>
        <v>398051.97276599996</v>
      </c>
      <c r="N143" s="8">
        <f t="shared" si="42"/>
        <v>398051.97276599996</v>
      </c>
      <c r="O143" s="5">
        <f t="shared" si="45"/>
        <v>11599.123721399999</v>
      </c>
      <c r="P143" s="5">
        <f t="shared" si="46"/>
        <v>709.83205020000003</v>
      </c>
      <c r="Q143" s="5"/>
    </row>
    <row r="144" spans="1:17" ht="15.65">
      <c r="A144" s="3" t="s">
        <v>2</v>
      </c>
      <c r="B144" s="2" t="s">
        <v>62</v>
      </c>
      <c r="C144" s="3" t="s">
        <v>46</v>
      </c>
      <c r="D144" s="3" t="s">
        <v>48</v>
      </c>
      <c r="E144" s="3" t="s">
        <v>31</v>
      </c>
      <c r="F144" s="3" t="s">
        <v>35</v>
      </c>
      <c r="G144" s="13">
        <v>1231074.3300000001</v>
      </c>
      <c r="H144" s="5">
        <v>0</v>
      </c>
      <c r="K144" s="8">
        <f t="shared" si="41"/>
        <v>0</v>
      </c>
      <c r="L144" s="5">
        <f>G144</f>
        <v>1231074.3300000001</v>
      </c>
      <c r="N144" s="8">
        <f t="shared" si="42"/>
        <v>1231074.3300000001</v>
      </c>
      <c r="O144" s="5">
        <v>0</v>
      </c>
      <c r="P144" s="5">
        <v>0</v>
      </c>
      <c r="Q144" s="5"/>
    </row>
    <row r="145" spans="1:17" ht="15.65">
      <c r="A145" s="3" t="s">
        <v>2</v>
      </c>
      <c r="B145" s="2" t="s">
        <v>62</v>
      </c>
      <c r="C145" s="3" t="s">
        <v>46</v>
      </c>
      <c r="D145" s="3" t="s">
        <v>48</v>
      </c>
      <c r="E145" s="3" t="s">
        <v>31</v>
      </c>
      <c r="F145" s="3" t="s">
        <v>67</v>
      </c>
      <c r="G145" s="13">
        <v>1649043.1599999999</v>
      </c>
      <c r="H145" s="5">
        <f>G145*0.47392</f>
        <v>781514.53438720002</v>
      </c>
      <c r="K145" s="8">
        <f t="shared" si="41"/>
        <v>781514.53438720002</v>
      </c>
      <c r="L145" s="5">
        <f>G145*0.5103</f>
        <v>841506.72454799991</v>
      </c>
      <c r="N145" s="8">
        <f t="shared" si="42"/>
        <v>841506.72454799991</v>
      </c>
      <c r="O145" s="5">
        <f>G145*0.01487</f>
        <v>24521.271789199996</v>
      </c>
      <c r="P145" s="5">
        <f>G145*0.00091</f>
        <v>1500.6292756</v>
      </c>
      <c r="Q145" s="5"/>
    </row>
    <row r="146" spans="1:17" ht="15.65">
      <c r="A146" s="3" t="s">
        <v>2</v>
      </c>
      <c r="B146" s="2" t="s">
        <v>62</v>
      </c>
      <c r="C146" s="3" t="s">
        <v>46</v>
      </c>
      <c r="D146" s="3" t="s">
        <v>49</v>
      </c>
      <c r="E146" s="3" t="s">
        <v>31</v>
      </c>
      <c r="F146" s="3" t="s">
        <v>35</v>
      </c>
      <c r="G146" s="13">
        <v>236100.23000000001</v>
      </c>
      <c r="H146" s="5">
        <v>0</v>
      </c>
      <c r="K146" s="8">
        <f t="shared" si="41"/>
        <v>0</v>
      </c>
      <c r="L146" s="5">
        <f>G146</f>
        <v>236100.23000000001</v>
      </c>
      <c r="N146" s="8">
        <f t="shared" si="42"/>
        <v>236100.23000000001</v>
      </c>
      <c r="O146" s="5">
        <v>0</v>
      </c>
      <c r="P146" s="5">
        <v>0</v>
      </c>
      <c r="Q146" s="5"/>
    </row>
    <row r="147" spans="1:17" ht="15.65">
      <c r="A147" s="3" t="s">
        <v>2</v>
      </c>
      <c r="B147" s="2" t="s">
        <v>62</v>
      </c>
      <c r="C147" s="3" t="s">
        <v>46</v>
      </c>
      <c r="D147" s="3" t="s">
        <v>49</v>
      </c>
      <c r="E147" s="3" t="s">
        <v>31</v>
      </c>
      <c r="F147" s="3" t="s">
        <v>67</v>
      </c>
      <c r="G147" s="13">
        <v>12908181.719999999</v>
      </c>
      <c r="H147" s="5">
        <f>G147*0.47392</f>
        <v>6117445.4807423996</v>
      </c>
      <c r="K147" s="8">
        <f t="shared" si="41"/>
        <v>6117445.4807423996</v>
      </c>
      <c r="L147" s="5">
        <f>G147*0.5103</f>
        <v>6587045.131715999</v>
      </c>
      <c r="N147" s="8">
        <f t="shared" si="42"/>
        <v>6587045.131715999</v>
      </c>
      <c r="O147" s="5">
        <f>G147*0.01487</f>
        <v>191944.66217639999</v>
      </c>
      <c r="P147" s="5">
        <f>G147*0.00091</f>
        <v>11746.445365199999</v>
      </c>
      <c r="Q147" s="5"/>
    </row>
    <row r="148" spans="1:17" ht="15.65">
      <c r="A148" s="3" t="s">
        <v>2</v>
      </c>
      <c r="B148" s="2" t="s">
        <v>62</v>
      </c>
      <c r="C148" s="3" t="s">
        <v>46</v>
      </c>
      <c r="D148" s="3" t="s">
        <v>56</v>
      </c>
      <c r="E148" s="3" t="s">
        <v>31</v>
      </c>
      <c r="F148" s="3" t="s">
        <v>35</v>
      </c>
      <c r="G148" s="13">
        <v>598324.76000000001</v>
      </c>
      <c r="H148" s="5">
        <v>0</v>
      </c>
      <c r="K148" s="8">
        <f t="shared" si="41"/>
        <v>0</v>
      </c>
      <c r="L148" s="5">
        <f>G148</f>
        <v>598324.76000000001</v>
      </c>
      <c r="N148" s="8">
        <f t="shared" si="42"/>
        <v>598324.76000000001</v>
      </c>
      <c r="O148" s="5">
        <v>0</v>
      </c>
      <c r="P148" s="5">
        <v>0</v>
      </c>
      <c r="Q148" s="5"/>
    </row>
    <row r="149" spans="1:17" ht="15.65">
      <c r="A149" s="3" t="s">
        <v>2</v>
      </c>
      <c r="B149" s="2" t="s">
        <v>62</v>
      </c>
      <c r="C149" s="3" t="s">
        <v>46</v>
      </c>
      <c r="D149" s="3" t="s">
        <v>56</v>
      </c>
      <c r="E149" s="3" t="s">
        <v>31</v>
      </c>
      <c r="F149" s="3" t="s">
        <v>67</v>
      </c>
      <c r="G149" s="13">
        <v>18565295.590000004</v>
      </c>
      <c r="H149" s="5">
        <f>G149*0.47392</f>
        <v>8798464.8860128019</v>
      </c>
      <c r="K149" s="8">
        <f t="shared" si="41"/>
        <v>8798464.8860128019</v>
      </c>
      <c r="L149" s="5">
        <f>G149*0.5103</f>
        <v>9473870.3395770006</v>
      </c>
      <c r="N149" s="8">
        <f t="shared" si="42"/>
        <v>9473870.3395770006</v>
      </c>
      <c r="O149" s="5">
        <f>G149*0.01487</f>
        <v>276065.94542330003</v>
      </c>
      <c r="P149" s="5">
        <f>G149*0.00091</f>
        <v>16894.418986900004</v>
      </c>
      <c r="Q149" s="5"/>
    </row>
    <row r="150" spans="1:17" ht="15.65">
      <c r="A150" s="3" t="s">
        <v>2</v>
      </c>
      <c r="B150" s="2" t="s">
        <v>62</v>
      </c>
      <c r="C150" s="3" t="s">
        <v>46</v>
      </c>
      <c r="D150" s="3" t="s">
        <v>56</v>
      </c>
      <c r="E150" s="3" t="s">
        <v>31</v>
      </c>
      <c r="F150" s="3" t="s">
        <v>35</v>
      </c>
      <c r="G150" s="13">
        <v>287950.60999999999</v>
      </c>
      <c r="H150" s="5">
        <v>0</v>
      </c>
      <c r="K150" s="8">
        <f t="shared" si="41"/>
        <v>0</v>
      </c>
      <c r="L150" s="5">
        <f>G150</f>
        <v>287950.60999999999</v>
      </c>
      <c r="N150" s="8">
        <f t="shared" si="42"/>
        <v>287950.60999999999</v>
      </c>
      <c r="O150" s="5">
        <v>0</v>
      </c>
      <c r="P150" s="5">
        <v>0</v>
      </c>
      <c r="Q150" s="5"/>
    </row>
    <row r="151" spans="1:17" ht="15.65">
      <c r="A151" s="3" t="s">
        <v>2</v>
      </c>
      <c r="B151" s="2" t="s">
        <v>19</v>
      </c>
      <c r="C151" s="3" t="s">
        <v>46</v>
      </c>
      <c r="D151" s="3" t="s">
        <v>30</v>
      </c>
      <c r="E151" s="3" t="s">
        <v>32</v>
      </c>
      <c r="F151" s="7" t="s">
        <v>67</v>
      </c>
      <c r="G151" s="13">
        <v>1314674.5500000001</v>
      </c>
      <c r="H151" s="5">
        <f t="shared" si="47" ref="H151:H152">G151*0.47392</f>
        <v>623050.56273600005</v>
      </c>
      <c r="K151" s="8">
        <f t="shared" si="41"/>
        <v>623050.56273600005</v>
      </c>
      <c r="L151" s="5">
        <f t="shared" si="48" ref="L151:L152">G151*0.5103</f>
        <v>670878.42286499997</v>
      </c>
      <c r="N151" s="8">
        <f t="shared" si="42"/>
        <v>670878.42286499997</v>
      </c>
      <c r="O151" s="5">
        <f t="shared" si="49" ref="O151:O152">G151*0.01487</f>
        <v>19549.210558499999</v>
      </c>
      <c r="P151" s="5">
        <f t="shared" si="50" ref="P151:P152">G151*0.00091</f>
        <v>1196.3538404999999</v>
      </c>
      <c r="Q151" s="5"/>
    </row>
    <row r="152" spans="1:17" ht="15.65">
      <c r="A152" s="3" t="s">
        <v>2</v>
      </c>
      <c r="B152" s="2" t="s">
        <v>19</v>
      </c>
      <c r="C152" s="3" t="s">
        <v>46</v>
      </c>
      <c r="D152" s="3" t="s">
        <v>26</v>
      </c>
      <c r="E152" s="3" t="s">
        <v>32</v>
      </c>
      <c r="F152" s="7" t="s">
        <v>67</v>
      </c>
      <c r="G152" s="13">
        <v>4326936.6600000001</v>
      </c>
      <c r="H152" s="5">
        <f t="shared" si="47"/>
        <v>2050621.8219072002</v>
      </c>
      <c r="K152" s="8">
        <f t="shared" si="41"/>
        <v>2050621.8219072002</v>
      </c>
      <c r="L152" s="5">
        <f t="shared" si="48"/>
        <v>2208035.7775980001</v>
      </c>
      <c r="N152" s="8">
        <f t="shared" si="42"/>
        <v>2208035.7775980001</v>
      </c>
      <c r="O152" s="5">
        <f t="shared" si="49"/>
        <v>64341.548134199998</v>
      </c>
      <c r="P152" s="5">
        <f t="shared" si="50"/>
        <v>3937.5123606000002</v>
      </c>
      <c r="Q152" s="5"/>
    </row>
    <row r="153" spans="1:17" ht="15.65">
      <c r="A153" s="3" t="s">
        <v>2</v>
      </c>
      <c r="B153" s="2" t="s">
        <v>19</v>
      </c>
      <c r="C153" s="3" t="s">
        <v>46</v>
      </c>
      <c r="D153" s="3" t="s">
        <v>24</v>
      </c>
      <c r="E153" s="3" t="s">
        <v>53</v>
      </c>
      <c r="F153" s="3" t="s">
        <v>35</v>
      </c>
      <c r="G153" s="13">
        <v>4818.1000000000004</v>
      </c>
      <c r="H153" s="5">
        <v>0</v>
      </c>
      <c r="K153" s="8">
        <f t="shared" si="41"/>
        <v>0</v>
      </c>
      <c r="L153" s="5">
        <f>G153</f>
        <v>4818.1000000000004</v>
      </c>
      <c r="N153" s="8">
        <f t="shared" si="42"/>
        <v>4818.1000000000004</v>
      </c>
      <c r="O153" s="5">
        <v>0</v>
      </c>
      <c r="P153" s="5">
        <v>0</v>
      </c>
      <c r="Q153" s="5"/>
    </row>
    <row r="154" spans="1:17" ht="15.65">
      <c r="A154" s="3" t="s">
        <v>2</v>
      </c>
      <c r="B154" s="2" t="s">
        <v>19</v>
      </c>
      <c r="C154" s="3" t="s">
        <v>46</v>
      </c>
      <c r="D154" s="3" t="s">
        <v>47</v>
      </c>
      <c r="E154" s="3" t="s">
        <v>31</v>
      </c>
      <c r="F154" s="7" t="s">
        <v>68</v>
      </c>
      <c r="G154" s="13">
        <v>15900000</v>
      </c>
      <c r="H154" s="5">
        <f>G154*0.42711</f>
        <v>6791049</v>
      </c>
      <c r="K154" s="8">
        <f t="shared" si="41"/>
        <v>6791049</v>
      </c>
      <c r="L154" s="5">
        <f>G154*0.55177</f>
        <v>8773143</v>
      </c>
      <c r="N154" s="8">
        <f t="shared" si="42"/>
        <v>8773143</v>
      </c>
      <c r="O154" s="5">
        <f>G154*0.02112</f>
        <v>335808</v>
      </c>
      <c r="P154" s="5">
        <v>0</v>
      </c>
      <c r="Q154" s="5"/>
    </row>
    <row r="155" spans="1:17" ht="15.65">
      <c r="A155" s="3" t="s">
        <v>2</v>
      </c>
      <c r="B155" s="2" t="s">
        <v>19</v>
      </c>
      <c r="C155" s="3" t="s">
        <v>46</v>
      </c>
      <c r="D155" s="3" t="s">
        <v>49</v>
      </c>
      <c r="E155" s="3" t="s">
        <v>31</v>
      </c>
      <c r="F155" s="7" t="s">
        <v>67</v>
      </c>
      <c r="G155" s="13">
        <v>480879.40000000002</v>
      </c>
      <c r="H155" s="5">
        <f>G155*0.47392</f>
        <v>227898.36524800002</v>
      </c>
      <c r="K155" s="8">
        <f t="shared" si="41"/>
        <v>227898.36524800002</v>
      </c>
      <c r="L155" s="5">
        <f>G155*0.5103</f>
        <v>245392.75782</v>
      </c>
      <c r="N155" s="8">
        <f t="shared" si="42"/>
        <v>245392.75782</v>
      </c>
      <c r="O155" s="5">
        <f>G155*0.01487</f>
        <v>7150.6766779999998</v>
      </c>
      <c r="P155" s="5">
        <f>G155*0.00091</f>
        <v>437.60025400000001</v>
      </c>
      <c r="Q155" s="5"/>
    </row>
    <row r="156" spans="1:17" ht="15.65">
      <c r="A156" s="3" t="s">
        <v>2</v>
      </c>
      <c r="B156" s="2" t="s">
        <v>63</v>
      </c>
      <c r="C156" s="3" t="s">
        <v>46</v>
      </c>
      <c r="D156" s="3" t="s">
        <v>49</v>
      </c>
      <c r="E156" s="3" t="s">
        <v>31</v>
      </c>
      <c r="F156" s="3" t="s">
        <v>35</v>
      </c>
      <c r="G156" s="13">
        <v>1568452.0500000001</v>
      </c>
      <c r="H156" s="5">
        <f t="shared" si="51" ref="H156:H158">G156</f>
        <v>1568452.0500000001</v>
      </c>
      <c r="K156" s="8">
        <f t="shared" si="41"/>
        <v>1568452.0500000001</v>
      </c>
      <c r="L156" s="5">
        <v>0</v>
      </c>
      <c r="N156" s="8">
        <f t="shared" si="42"/>
        <v>0</v>
      </c>
      <c r="O156" s="5">
        <v>0</v>
      </c>
      <c r="P156" s="5">
        <v>0</v>
      </c>
      <c r="Q156" s="5"/>
    </row>
    <row r="157" spans="1:17" ht="15.65">
      <c r="A157" s="3" t="s">
        <v>2</v>
      </c>
      <c r="B157" s="2" t="s">
        <v>63</v>
      </c>
      <c r="C157" s="3" t="s">
        <v>46</v>
      </c>
      <c r="D157" s="3" t="s">
        <v>56</v>
      </c>
      <c r="E157" s="3" t="s">
        <v>31</v>
      </c>
      <c r="F157" s="3" t="s">
        <v>35</v>
      </c>
      <c r="G157" s="13">
        <v>484026.48999999999</v>
      </c>
      <c r="H157" s="5">
        <f t="shared" si="51"/>
        <v>484026.48999999999</v>
      </c>
      <c r="K157" s="8">
        <f t="shared" si="41"/>
        <v>484026.48999999999</v>
      </c>
      <c r="L157" s="5">
        <v>0</v>
      </c>
      <c r="N157" s="8">
        <f t="shared" si="42"/>
        <v>0</v>
      </c>
      <c r="O157" s="5">
        <v>0</v>
      </c>
      <c r="P157" s="5">
        <v>0</v>
      </c>
      <c r="Q157" s="5"/>
    </row>
    <row r="158" spans="1:17" ht="15.65">
      <c r="A158" s="3" t="s">
        <v>2</v>
      </c>
      <c r="B158" s="2" t="s">
        <v>36</v>
      </c>
      <c r="C158" s="3" t="s">
        <v>46</v>
      </c>
      <c r="D158" s="3" t="s">
        <v>48</v>
      </c>
      <c r="E158" s="3" t="s">
        <v>31</v>
      </c>
      <c r="F158" s="3" t="s">
        <v>35</v>
      </c>
      <c r="G158" s="13">
        <v>1304040.53</v>
      </c>
      <c r="H158" s="5">
        <f t="shared" si="51"/>
        <v>1304040.53</v>
      </c>
      <c r="K158" s="8">
        <f t="shared" si="41"/>
        <v>1304040.53</v>
      </c>
      <c r="L158" s="5">
        <v>0</v>
      </c>
      <c r="N158" s="8">
        <f t="shared" si="42"/>
        <v>0</v>
      </c>
      <c r="O158" s="5">
        <v>0</v>
      </c>
      <c r="P158" s="5">
        <v>0</v>
      </c>
      <c r="Q158" s="5"/>
    </row>
    <row r="159" spans="1:17" ht="15.65">
      <c r="A159" s="3" t="s">
        <v>1</v>
      </c>
      <c r="B159" s="2" t="s">
        <v>57</v>
      </c>
      <c r="C159" s="3" t="s">
        <v>46</v>
      </c>
      <c r="D159" s="3" t="s">
        <v>29</v>
      </c>
      <c r="E159" s="3" t="s">
        <v>34</v>
      </c>
      <c r="F159" s="3" t="s">
        <v>35</v>
      </c>
      <c r="G159" s="13">
        <v>1280510.6899999999</v>
      </c>
      <c r="H159" s="5">
        <v>0</v>
      </c>
      <c r="K159" s="8">
        <f t="shared" si="41"/>
        <v>0</v>
      </c>
      <c r="L159" s="5">
        <v>0</v>
      </c>
      <c r="N159" s="8">
        <f t="shared" si="42"/>
        <v>0</v>
      </c>
      <c r="O159" s="5">
        <f>G159</f>
        <v>1280510.6899999999</v>
      </c>
      <c r="P159" s="5">
        <v>0</v>
      </c>
      <c r="Q159" s="5"/>
    </row>
    <row r="160" spans="1:17" ht="15.65">
      <c r="A160" s="3" t="s">
        <v>1</v>
      </c>
      <c r="B160" s="2" t="s">
        <v>57</v>
      </c>
      <c r="C160" s="3" t="s">
        <v>46</v>
      </c>
      <c r="D160" s="3" t="s">
        <v>21</v>
      </c>
      <c r="E160" s="3" t="s">
        <v>34</v>
      </c>
      <c r="F160" s="3" t="s">
        <v>35</v>
      </c>
      <c r="G160" s="13">
        <v>3872109.0299999998</v>
      </c>
      <c r="H160" s="5">
        <f t="shared" si="52" ref="H160:H162">G160</f>
        <v>3872109.0299999998</v>
      </c>
      <c r="K160" s="8">
        <f t="shared" si="41"/>
        <v>3872109.0299999998</v>
      </c>
      <c r="L160" s="5">
        <v>0</v>
      </c>
      <c r="N160" s="8">
        <f t="shared" si="42"/>
        <v>0</v>
      </c>
      <c r="O160" s="5">
        <v>0</v>
      </c>
      <c r="P160" s="5">
        <v>0</v>
      </c>
      <c r="Q160" s="5"/>
    </row>
    <row r="161" spans="1:17" ht="15.65">
      <c r="A161" s="3" t="s">
        <v>1</v>
      </c>
      <c r="B161" s="2" t="s">
        <v>57</v>
      </c>
      <c r="C161" s="3" t="s">
        <v>46</v>
      </c>
      <c r="D161" s="3" t="s">
        <v>22</v>
      </c>
      <c r="E161" s="3" t="s">
        <v>31</v>
      </c>
      <c r="F161" s="3" t="s">
        <v>35</v>
      </c>
      <c r="G161" s="13">
        <v>8050822.8799999999</v>
      </c>
      <c r="H161" s="5">
        <f t="shared" si="52"/>
        <v>8050822.8799999999</v>
      </c>
      <c r="K161" s="8">
        <f t="shared" si="41"/>
        <v>8050822.8799999999</v>
      </c>
      <c r="L161" s="5">
        <v>0</v>
      </c>
      <c r="N161" s="8">
        <f t="shared" si="42"/>
        <v>0</v>
      </c>
      <c r="O161" s="5">
        <v>0</v>
      </c>
      <c r="P161" s="5">
        <v>0</v>
      </c>
      <c r="Q161" s="5"/>
    </row>
    <row r="162" spans="1:17" ht="15.65">
      <c r="A162" s="3" t="s">
        <v>1</v>
      </c>
      <c r="B162" s="2" t="s">
        <v>57</v>
      </c>
      <c r="C162" s="3" t="s">
        <v>46</v>
      </c>
      <c r="D162" s="3" t="s">
        <v>23</v>
      </c>
      <c r="E162" s="3" t="s">
        <v>31</v>
      </c>
      <c r="F162" s="3" t="s">
        <v>35</v>
      </c>
      <c r="G162" s="13">
        <v>32537.209999999999</v>
      </c>
      <c r="H162" s="5">
        <f t="shared" si="52"/>
        <v>32537.209999999999</v>
      </c>
      <c r="K162" s="8">
        <f t="shared" si="41"/>
        <v>32537.209999999999</v>
      </c>
      <c r="L162" s="5">
        <v>0</v>
      </c>
      <c r="N162" s="8">
        <f t="shared" si="42"/>
        <v>0</v>
      </c>
      <c r="O162" s="5">
        <v>0</v>
      </c>
      <c r="P162" s="5">
        <v>0</v>
      </c>
      <c r="Q162" s="5"/>
    </row>
    <row r="163" spans="1:17" ht="15.65">
      <c r="A163" s="3" t="s">
        <v>1</v>
      </c>
      <c r="B163" s="2" t="s">
        <v>57</v>
      </c>
      <c r="C163" s="3" t="s">
        <v>46</v>
      </c>
      <c r="D163" s="3" t="s">
        <v>24</v>
      </c>
      <c r="E163" s="3" t="s">
        <v>31</v>
      </c>
      <c r="F163" s="7" t="s">
        <v>67</v>
      </c>
      <c r="G163" s="13">
        <v>2968032.3900000001</v>
      </c>
      <c r="H163" s="5">
        <f t="shared" si="53" ref="H163:H164">G163*0.47392</f>
        <v>1406609.9102688001</v>
      </c>
      <c r="K163" s="8">
        <f t="shared" si="41"/>
        <v>1406609.9102688001</v>
      </c>
      <c r="L163" s="5">
        <f t="shared" si="54" ref="L163:L164">G163*0.5103</f>
        <v>1514586.9286169999</v>
      </c>
      <c r="N163" s="8">
        <f t="shared" si="42"/>
        <v>1514586.9286169999</v>
      </c>
      <c r="O163" s="5">
        <f t="shared" si="55" ref="O163:O164">G163*0.01487</f>
        <v>44134.641639300004</v>
      </c>
      <c r="P163" s="5">
        <f t="shared" si="56" ref="P163:P164">G163*0.00091</f>
        <v>2700.9094749000001</v>
      </c>
      <c r="Q163" s="5"/>
    </row>
    <row r="164" spans="1:17" ht="15.65">
      <c r="A164" s="3" t="s">
        <v>1</v>
      </c>
      <c r="B164" s="2" t="s">
        <v>57</v>
      </c>
      <c r="C164" s="3" t="s">
        <v>46</v>
      </c>
      <c r="D164" s="3" t="s">
        <v>47</v>
      </c>
      <c r="E164" s="3" t="s">
        <v>31</v>
      </c>
      <c r="F164" s="3" t="s">
        <v>67</v>
      </c>
      <c r="G164" s="13">
        <v>4637</v>
      </c>
      <c r="H164" s="5">
        <f t="shared" si="53"/>
        <v>2197.5670399999999</v>
      </c>
      <c r="K164" s="8">
        <f t="shared" si="41"/>
        <v>2197.5670399999999</v>
      </c>
      <c r="L164" s="5">
        <f t="shared" si="54"/>
        <v>2366.2610999999997</v>
      </c>
      <c r="N164" s="8">
        <f t="shared" si="42"/>
        <v>2366.2610999999997</v>
      </c>
      <c r="O164" s="5">
        <f t="shared" si="55"/>
        <v>68.952190000000002</v>
      </c>
      <c r="P164" s="5">
        <f t="shared" si="56"/>
        <v>4.2196699999999998</v>
      </c>
      <c r="Q164" s="5"/>
    </row>
    <row r="165" spans="1:17" ht="15.65">
      <c r="A165" s="3" t="s">
        <v>1</v>
      </c>
      <c r="B165" s="2" t="s">
        <v>57</v>
      </c>
      <c r="C165" s="3" t="s">
        <v>46</v>
      </c>
      <c r="D165" s="3" t="s">
        <v>50</v>
      </c>
      <c r="E165" s="3" t="s">
        <v>34</v>
      </c>
      <c r="F165" s="3" t="s">
        <v>35</v>
      </c>
      <c r="G165" s="13">
        <v>4666081.7300000004</v>
      </c>
      <c r="H165" s="5">
        <f t="shared" si="57" ref="H165:H175">G165</f>
        <v>4666081.7300000004</v>
      </c>
      <c r="K165" s="8">
        <f t="shared" si="41"/>
        <v>4666081.7300000004</v>
      </c>
      <c r="L165" s="5">
        <v>0</v>
      </c>
      <c r="N165" s="8">
        <f t="shared" si="42"/>
        <v>0</v>
      </c>
      <c r="O165" s="5">
        <v>0</v>
      </c>
      <c r="P165" s="5">
        <v>0</v>
      </c>
      <c r="Q165" s="5"/>
    </row>
    <row r="166" spans="1:17" ht="15.65">
      <c r="A166" s="3" t="s">
        <v>1</v>
      </c>
      <c r="B166" s="2" t="s">
        <v>57</v>
      </c>
      <c r="C166" s="3" t="s">
        <v>46</v>
      </c>
      <c r="D166" s="3" t="s">
        <v>48</v>
      </c>
      <c r="E166" s="3" t="s">
        <v>34</v>
      </c>
      <c r="F166" s="3" t="s">
        <v>35</v>
      </c>
      <c r="G166" s="13">
        <v>25717.849999999999</v>
      </c>
      <c r="H166" s="5">
        <f t="shared" si="57"/>
        <v>25717.849999999999</v>
      </c>
      <c r="K166" s="8">
        <f t="shared" si="41"/>
        <v>25717.849999999999</v>
      </c>
      <c r="L166" s="5">
        <v>0</v>
      </c>
      <c r="N166" s="8">
        <f t="shared" si="42"/>
        <v>0</v>
      </c>
      <c r="O166" s="5">
        <v>0</v>
      </c>
      <c r="P166" s="5">
        <v>0</v>
      </c>
      <c r="Q166" s="5"/>
    </row>
    <row r="167" spans="1:17" ht="15.65">
      <c r="A167" s="3" t="s">
        <v>1</v>
      </c>
      <c r="B167" s="2" t="s">
        <v>57</v>
      </c>
      <c r="C167" s="3" t="s">
        <v>46</v>
      </c>
      <c r="D167" s="3" t="s">
        <v>56</v>
      </c>
      <c r="E167" s="3" t="s">
        <v>31</v>
      </c>
      <c r="F167" s="3" t="s">
        <v>35</v>
      </c>
      <c r="G167" s="13">
        <v>312784.97999999998</v>
      </c>
      <c r="H167" s="5">
        <f t="shared" si="57"/>
        <v>312784.97999999998</v>
      </c>
      <c r="K167" s="8">
        <f t="shared" si="41"/>
        <v>312784.97999999998</v>
      </c>
      <c r="L167" s="5">
        <v>0</v>
      </c>
      <c r="N167" s="8">
        <f t="shared" si="42"/>
        <v>0</v>
      </c>
      <c r="O167" s="5">
        <v>0</v>
      </c>
      <c r="P167" s="5">
        <v>0</v>
      </c>
      <c r="Q167" s="5"/>
    </row>
    <row r="168" spans="1:17" ht="15.65">
      <c r="A168" s="3" t="s">
        <v>1</v>
      </c>
      <c r="B168" s="2" t="s">
        <v>37</v>
      </c>
      <c r="C168" s="3" t="s">
        <v>46</v>
      </c>
      <c r="D168" s="3" t="s">
        <v>28</v>
      </c>
      <c r="E168" s="3" t="s">
        <v>34</v>
      </c>
      <c r="F168" s="3" t="s">
        <v>35</v>
      </c>
      <c r="G168" s="13">
        <v>360424.87</v>
      </c>
      <c r="H168" s="5">
        <f t="shared" si="57"/>
        <v>360424.87</v>
      </c>
      <c r="K168" s="8">
        <f t="shared" si="41"/>
        <v>360424.87</v>
      </c>
      <c r="L168" s="5">
        <v>0</v>
      </c>
      <c r="N168" s="8">
        <f t="shared" si="42"/>
        <v>0</v>
      </c>
      <c r="O168" s="5">
        <v>0</v>
      </c>
      <c r="P168" s="5">
        <v>0</v>
      </c>
      <c r="Q168" s="5"/>
    </row>
    <row r="169" spans="1:17" ht="15.65">
      <c r="A169" s="3" t="s">
        <v>1</v>
      </c>
      <c r="B169" s="2" t="s">
        <v>37</v>
      </c>
      <c r="C169" s="3" t="s">
        <v>46</v>
      </c>
      <c r="D169" s="3" t="s">
        <v>30</v>
      </c>
      <c r="E169" s="3" t="s">
        <v>34</v>
      </c>
      <c r="F169" s="3" t="s">
        <v>35</v>
      </c>
      <c r="G169" s="13">
        <v>117463.53</v>
      </c>
      <c r="H169" s="5">
        <f t="shared" si="57"/>
        <v>117463.53</v>
      </c>
      <c r="K169" s="8">
        <f t="shared" si="41"/>
        <v>117463.53</v>
      </c>
      <c r="L169" s="5">
        <v>0</v>
      </c>
      <c r="N169" s="8">
        <f t="shared" si="42"/>
        <v>0</v>
      </c>
      <c r="O169" s="5">
        <v>0</v>
      </c>
      <c r="P169" s="5">
        <v>0</v>
      </c>
      <c r="Q169" s="5"/>
    </row>
    <row r="170" spans="1:17" ht="15.65">
      <c r="A170" s="3" t="s">
        <v>1</v>
      </c>
      <c r="B170" s="2" t="s">
        <v>37</v>
      </c>
      <c r="C170" s="3" t="s">
        <v>46</v>
      </c>
      <c r="D170" s="3" t="s">
        <v>26</v>
      </c>
      <c r="E170" s="3" t="s">
        <v>34</v>
      </c>
      <c r="F170" s="3" t="s">
        <v>35</v>
      </c>
      <c r="G170" s="13">
        <v>23572.5</v>
      </c>
      <c r="H170" s="5">
        <f t="shared" si="57"/>
        <v>23572.5</v>
      </c>
      <c r="K170" s="8">
        <f t="shared" si="41"/>
        <v>23572.5</v>
      </c>
      <c r="L170" s="5">
        <v>0</v>
      </c>
      <c r="N170" s="8">
        <f t="shared" si="42"/>
        <v>0</v>
      </c>
      <c r="O170" s="5">
        <v>0</v>
      </c>
      <c r="P170" s="5">
        <v>0</v>
      </c>
      <c r="Q170" s="5"/>
    </row>
    <row r="171" spans="1:17" ht="15.65">
      <c r="A171" s="3" t="s">
        <v>1</v>
      </c>
      <c r="B171" s="2" t="s">
        <v>37</v>
      </c>
      <c r="C171" s="3" t="s">
        <v>46</v>
      </c>
      <c r="D171" s="3" t="s">
        <v>27</v>
      </c>
      <c r="E171" s="3" t="s">
        <v>34</v>
      </c>
      <c r="F171" s="3" t="s">
        <v>35</v>
      </c>
      <c r="G171" s="13">
        <v>408674.69</v>
      </c>
      <c r="H171" s="5">
        <f t="shared" si="57"/>
        <v>408674.69</v>
      </c>
      <c r="K171" s="8">
        <f t="shared" si="41"/>
        <v>408674.69</v>
      </c>
      <c r="L171" s="5">
        <v>0</v>
      </c>
      <c r="N171" s="8">
        <f t="shared" si="42"/>
        <v>0</v>
      </c>
      <c r="O171" s="5">
        <v>0</v>
      </c>
      <c r="P171" s="5">
        <v>0</v>
      </c>
      <c r="Q171" s="5"/>
    </row>
    <row r="172" spans="1:17" ht="15.65">
      <c r="A172" s="3" t="s">
        <v>1</v>
      </c>
      <c r="B172" s="2" t="s">
        <v>58</v>
      </c>
      <c r="C172" s="3" t="s">
        <v>46</v>
      </c>
      <c r="D172" s="3" t="s">
        <v>47</v>
      </c>
      <c r="E172" s="3" t="s">
        <v>34</v>
      </c>
      <c r="F172" s="3" t="s">
        <v>35</v>
      </c>
      <c r="G172" s="13">
        <v>758018.09999999998</v>
      </c>
      <c r="H172" s="5">
        <f t="shared" si="57"/>
        <v>758018.09999999998</v>
      </c>
      <c r="K172" s="8">
        <f t="shared" si="41"/>
        <v>758018.09999999998</v>
      </c>
      <c r="L172" s="5">
        <v>0</v>
      </c>
      <c r="N172" s="8">
        <f t="shared" si="42"/>
        <v>0</v>
      </c>
      <c r="O172" s="5">
        <v>0</v>
      </c>
      <c r="P172" s="5">
        <v>0</v>
      </c>
      <c r="Q172" s="5"/>
    </row>
    <row r="173" spans="1:17" ht="15.65">
      <c r="A173" s="3" t="s">
        <v>1</v>
      </c>
      <c r="B173" s="2" t="s">
        <v>58</v>
      </c>
      <c r="C173" s="3" t="s">
        <v>46</v>
      </c>
      <c r="D173" s="3" t="s">
        <v>50</v>
      </c>
      <c r="E173" s="3" t="s">
        <v>34</v>
      </c>
      <c r="F173" s="3" t="s">
        <v>35</v>
      </c>
      <c r="G173" s="13">
        <v>19835.68</v>
      </c>
      <c r="H173" s="5">
        <f t="shared" si="57"/>
        <v>19835.68</v>
      </c>
      <c r="K173" s="8">
        <f t="shared" si="41"/>
        <v>19835.68</v>
      </c>
      <c r="L173" s="5">
        <v>0</v>
      </c>
      <c r="N173" s="8">
        <f t="shared" si="42"/>
        <v>0</v>
      </c>
      <c r="O173" s="5">
        <v>0</v>
      </c>
      <c r="P173" s="5">
        <v>0</v>
      </c>
      <c r="Q173" s="5"/>
    </row>
    <row r="174" spans="1:17" ht="15.65">
      <c r="A174" s="3" t="s">
        <v>1</v>
      </c>
      <c r="B174" s="2" t="s">
        <v>59</v>
      </c>
      <c r="C174" s="3" t="s">
        <v>46</v>
      </c>
      <c r="D174" s="3" t="s">
        <v>22</v>
      </c>
      <c r="E174" s="3" t="s">
        <v>38</v>
      </c>
      <c r="F174" s="3" t="s">
        <v>35</v>
      </c>
      <c r="G174" s="13">
        <v>3125456.5299999998</v>
      </c>
      <c r="H174" s="5">
        <f t="shared" si="57"/>
        <v>3125456.5299999998</v>
      </c>
      <c r="K174" s="8">
        <f t="shared" si="41"/>
        <v>3125456.5299999998</v>
      </c>
      <c r="L174" s="5">
        <v>0</v>
      </c>
      <c r="N174" s="8">
        <f t="shared" si="42"/>
        <v>0</v>
      </c>
      <c r="O174" s="5">
        <v>0</v>
      </c>
      <c r="P174" s="5">
        <v>0</v>
      </c>
      <c r="Q174" s="5"/>
    </row>
    <row r="175" spans="1:17" ht="15.65">
      <c r="A175" s="3" t="s">
        <v>1</v>
      </c>
      <c r="B175" s="2" t="s">
        <v>59</v>
      </c>
      <c r="C175" s="3" t="s">
        <v>46</v>
      </c>
      <c r="D175" s="3" t="s">
        <v>23</v>
      </c>
      <c r="E175" s="3" t="s">
        <v>38</v>
      </c>
      <c r="F175" s="3" t="s">
        <v>35</v>
      </c>
      <c r="G175" s="13">
        <v>7.4800000000000004</v>
      </c>
      <c r="H175" s="5">
        <f t="shared" si="57"/>
        <v>7.4800000000000004</v>
      </c>
      <c r="K175" s="8">
        <f t="shared" si="41"/>
        <v>7.4800000000000004</v>
      </c>
      <c r="L175" s="5">
        <v>0</v>
      </c>
      <c r="N175" s="8">
        <f t="shared" si="42"/>
        <v>0</v>
      </c>
      <c r="O175" s="5">
        <v>0</v>
      </c>
      <c r="P175" s="5">
        <v>0</v>
      </c>
      <c r="Q175" s="5"/>
    </row>
    <row r="176" spans="1:17" ht="15.65">
      <c r="A176" s="3" t="s">
        <v>1</v>
      </c>
      <c r="B176" s="2" t="s">
        <v>60</v>
      </c>
      <c r="C176" s="3" t="s">
        <v>46</v>
      </c>
      <c r="D176" s="3" t="s">
        <v>47</v>
      </c>
      <c r="E176" s="3" t="s">
        <v>31</v>
      </c>
      <c r="F176" s="3" t="s">
        <v>35</v>
      </c>
      <c r="G176" s="13">
        <v>63159.279999999999</v>
      </c>
      <c r="H176" s="5">
        <v>0</v>
      </c>
      <c r="K176" s="8">
        <f t="shared" si="41"/>
        <v>0</v>
      </c>
      <c r="L176" s="5">
        <f>G176</f>
        <v>63159.279999999999</v>
      </c>
      <c r="N176" s="8">
        <f t="shared" si="42"/>
        <v>63159.279999999999</v>
      </c>
      <c r="O176" s="5">
        <v>0</v>
      </c>
      <c r="P176" s="5">
        <v>0</v>
      </c>
      <c r="Q176" s="5"/>
    </row>
    <row r="177" spans="1:17" ht="15.65">
      <c r="A177" s="3" t="s">
        <v>1</v>
      </c>
      <c r="B177" s="2" t="s">
        <v>52</v>
      </c>
      <c r="C177" s="3" t="s">
        <v>46</v>
      </c>
      <c r="D177" s="3" t="s">
        <v>48</v>
      </c>
      <c r="E177" s="3" t="s">
        <v>34</v>
      </c>
      <c r="F177" s="3" t="s">
        <v>35</v>
      </c>
      <c r="G177" s="13">
        <v>567391.83999999997</v>
      </c>
      <c r="H177" s="5">
        <f t="shared" si="58" ref="H177:H181">G177</f>
        <v>567391.83999999997</v>
      </c>
      <c r="K177" s="8">
        <f t="shared" si="41"/>
        <v>567391.83999999997</v>
      </c>
      <c r="L177" s="5">
        <v>0</v>
      </c>
      <c r="N177" s="8">
        <f t="shared" si="42"/>
        <v>0</v>
      </c>
      <c r="O177" s="5">
        <v>0</v>
      </c>
      <c r="P177" s="5">
        <v>0</v>
      </c>
      <c r="Q177" s="5"/>
    </row>
    <row r="178" spans="1:17" ht="15.65">
      <c r="A178" s="3" t="s">
        <v>1</v>
      </c>
      <c r="B178" s="2" t="s">
        <v>52</v>
      </c>
      <c r="C178" s="3" t="s">
        <v>46</v>
      </c>
      <c r="D178" s="3" t="s">
        <v>49</v>
      </c>
      <c r="E178" s="3" t="s">
        <v>34</v>
      </c>
      <c r="F178" s="3" t="s">
        <v>35</v>
      </c>
      <c r="G178" s="13">
        <v>248.00999999999999</v>
      </c>
      <c r="H178" s="5">
        <f t="shared" si="58"/>
        <v>248.00999999999999</v>
      </c>
      <c r="K178" s="8">
        <f t="shared" si="41"/>
        <v>248.00999999999999</v>
      </c>
      <c r="L178" s="5">
        <v>0</v>
      </c>
      <c r="N178" s="8">
        <f t="shared" si="42"/>
        <v>0</v>
      </c>
      <c r="O178" s="5">
        <v>0</v>
      </c>
      <c r="P178" s="5">
        <v>0</v>
      </c>
      <c r="Q178" s="5"/>
    </row>
    <row r="179" spans="1:17" ht="15.65">
      <c r="A179" s="3" t="s">
        <v>1</v>
      </c>
      <c r="B179" s="2" t="s">
        <v>54</v>
      </c>
      <c r="C179" s="3" t="s">
        <v>46</v>
      </c>
      <c r="D179" s="3" t="s">
        <v>21</v>
      </c>
      <c r="E179" s="3" t="s">
        <v>34</v>
      </c>
      <c r="F179" s="3" t="s">
        <v>35</v>
      </c>
      <c r="G179" s="13">
        <v>572889.93999999994</v>
      </c>
      <c r="H179" s="5">
        <f t="shared" si="58"/>
        <v>572889.93999999994</v>
      </c>
      <c r="K179" s="8">
        <f t="shared" si="41"/>
        <v>572889.93999999994</v>
      </c>
      <c r="L179" s="5">
        <v>0</v>
      </c>
      <c r="N179" s="8">
        <f t="shared" si="42"/>
        <v>0</v>
      </c>
      <c r="O179" s="5">
        <v>0</v>
      </c>
      <c r="P179" s="5">
        <v>0</v>
      </c>
      <c r="Q179" s="5"/>
    </row>
    <row r="180" spans="1:17" ht="15.65">
      <c r="A180" s="3" t="s">
        <v>1</v>
      </c>
      <c r="B180" s="2" t="s">
        <v>54</v>
      </c>
      <c r="C180" s="3" t="s">
        <v>46</v>
      </c>
      <c r="D180" s="3" t="s">
        <v>22</v>
      </c>
      <c r="E180" s="3" t="s">
        <v>34</v>
      </c>
      <c r="F180" s="3" t="s">
        <v>35</v>
      </c>
      <c r="G180" s="13">
        <v>121873.81999999999</v>
      </c>
      <c r="H180" s="5">
        <f t="shared" si="58"/>
        <v>121873.81999999999</v>
      </c>
      <c r="K180" s="8">
        <f t="shared" si="41"/>
        <v>121873.81999999999</v>
      </c>
      <c r="L180" s="5">
        <v>0</v>
      </c>
      <c r="N180" s="8">
        <f t="shared" si="42"/>
        <v>0</v>
      </c>
      <c r="O180" s="5">
        <v>0</v>
      </c>
      <c r="P180" s="5">
        <v>0</v>
      </c>
      <c r="Q180" s="5"/>
    </row>
    <row r="181" spans="1:17" ht="15.65">
      <c r="A181" s="3" t="s">
        <v>1</v>
      </c>
      <c r="B181" s="2" t="s">
        <v>61</v>
      </c>
      <c r="C181" s="3" t="s">
        <v>46</v>
      </c>
      <c r="D181" s="3" t="s">
        <v>25</v>
      </c>
      <c r="E181" s="3" t="s">
        <v>31</v>
      </c>
      <c r="F181" s="3" t="s">
        <v>35</v>
      </c>
      <c r="G181" s="13">
        <v>263762.13</v>
      </c>
      <c r="H181" s="5">
        <f t="shared" si="58"/>
        <v>263762.13</v>
      </c>
      <c r="K181" s="8">
        <f t="shared" si="41"/>
        <v>263762.13</v>
      </c>
      <c r="L181" s="5">
        <v>0</v>
      </c>
      <c r="N181" s="8">
        <f t="shared" si="42"/>
        <v>0</v>
      </c>
      <c r="O181" s="5">
        <v>0</v>
      </c>
      <c r="P181" s="5">
        <v>0</v>
      </c>
      <c r="Q181" s="5"/>
    </row>
    <row r="182" spans="1:17" ht="15.65">
      <c r="A182" s="3" t="s">
        <v>1</v>
      </c>
      <c r="B182" s="2" t="s">
        <v>61</v>
      </c>
      <c r="C182" s="3" t="s">
        <v>46</v>
      </c>
      <c r="D182" s="3" t="s">
        <v>24</v>
      </c>
      <c r="E182" s="3" t="s">
        <v>38</v>
      </c>
      <c r="F182" s="3" t="s">
        <v>67</v>
      </c>
      <c r="G182" s="13">
        <v>345911.78000000003</v>
      </c>
      <c r="H182" s="5">
        <f t="shared" si="59" ref="H182:H183">G182*0.47392</f>
        <v>163934.51077760002</v>
      </c>
      <c r="K182" s="8">
        <f t="shared" si="41"/>
        <v>163934.51077760002</v>
      </c>
      <c r="L182" s="5">
        <f t="shared" si="60" ref="L182:L183">G182*0.5103</f>
        <v>176518.781334</v>
      </c>
      <c r="N182" s="8">
        <f t="shared" si="42"/>
        <v>176518.781334</v>
      </c>
      <c r="O182" s="5">
        <f t="shared" si="61" ref="O182:O183">G182*0.01487</f>
        <v>5143.7081686000001</v>
      </c>
      <c r="P182" s="5">
        <f t="shared" si="62" ref="P182:P183">G182*0.00091</f>
        <v>314.77971980000001</v>
      </c>
      <c r="Q182" s="5"/>
    </row>
    <row r="183" spans="1:17" ht="15.65">
      <c r="A183" s="3" t="s">
        <v>1</v>
      </c>
      <c r="B183" s="2" t="s">
        <v>61</v>
      </c>
      <c r="C183" s="3" t="s">
        <v>46</v>
      </c>
      <c r="D183" s="3" t="s">
        <v>24</v>
      </c>
      <c r="E183" s="3" t="s">
        <v>31</v>
      </c>
      <c r="F183" s="7" t="s">
        <v>67</v>
      </c>
      <c r="G183" s="13">
        <v>124650.5</v>
      </c>
      <c r="H183" s="5">
        <f t="shared" si="59"/>
        <v>59074.364959999999</v>
      </c>
      <c r="K183" s="8">
        <f t="shared" si="41"/>
        <v>59074.364959999999</v>
      </c>
      <c r="L183" s="5">
        <f t="shared" si="60"/>
        <v>63609.150149999994</v>
      </c>
      <c r="N183" s="8">
        <f t="shared" si="42"/>
        <v>63609.150149999994</v>
      </c>
      <c r="O183" s="5">
        <f t="shared" si="61"/>
        <v>1853.5529349999999</v>
      </c>
      <c r="P183" s="5">
        <f t="shared" si="62"/>
        <v>113.431955</v>
      </c>
      <c r="Q183" s="5"/>
    </row>
    <row r="184" spans="1:17" ht="15.65">
      <c r="A184" s="3" t="s">
        <v>1</v>
      </c>
      <c r="B184" s="2" t="s">
        <v>61</v>
      </c>
      <c r="C184" s="3" t="s">
        <v>46</v>
      </c>
      <c r="D184" s="3" t="s">
        <v>24</v>
      </c>
      <c r="E184" s="3" t="s">
        <v>31</v>
      </c>
      <c r="F184" s="3" t="s">
        <v>35</v>
      </c>
      <c r="G184" s="13">
        <v>1437561.3400000001</v>
      </c>
      <c r="H184" s="5">
        <f t="shared" si="63" ref="H184:H211">G184</f>
        <v>1437561.3400000001</v>
      </c>
      <c r="K184" s="8">
        <f t="shared" si="41"/>
        <v>1437561.3400000001</v>
      </c>
      <c r="L184" s="5">
        <v>0</v>
      </c>
      <c r="N184" s="8">
        <f t="shared" si="42"/>
        <v>0</v>
      </c>
      <c r="O184" s="5">
        <v>0</v>
      </c>
      <c r="P184" s="5">
        <v>0</v>
      </c>
      <c r="Q184" s="5"/>
    </row>
    <row r="185" spans="1:17" ht="15.65">
      <c r="A185" s="3" t="s">
        <v>1</v>
      </c>
      <c r="B185" s="2" t="s">
        <v>61</v>
      </c>
      <c r="C185" s="3" t="s">
        <v>46</v>
      </c>
      <c r="D185" s="3" t="s">
        <v>47</v>
      </c>
      <c r="E185" s="3" t="s">
        <v>31</v>
      </c>
      <c r="F185" s="3" t="s">
        <v>35</v>
      </c>
      <c r="G185" s="13">
        <v>44615.919999999998</v>
      </c>
      <c r="H185" s="5">
        <f t="shared" si="63"/>
        <v>44615.919999999998</v>
      </c>
      <c r="K185" s="8">
        <f t="shared" si="41"/>
        <v>44615.919999999998</v>
      </c>
      <c r="L185" s="5">
        <v>0</v>
      </c>
      <c r="N185" s="8">
        <f t="shared" si="42"/>
        <v>0</v>
      </c>
      <c r="O185" s="5">
        <v>0</v>
      </c>
      <c r="P185" s="5">
        <v>0</v>
      </c>
      <c r="Q185" s="5"/>
    </row>
    <row r="186" spans="1:17" ht="15.65">
      <c r="A186" s="3" t="s">
        <v>1</v>
      </c>
      <c r="B186" s="2" t="s">
        <v>61</v>
      </c>
      <c r="C186" s="3" t="s">
        <v>46</v>
      </c>
      <c r="D186" s="3" t="s">
        <v>50</v>
      </c>
      <c r="E186" s="3" t="s">
        <v>31</v>
      </c>
      <c r="F186" s="3" t="s">
        <v>35</v>
      </c>
      <c r="G186" s="13">
        <v>1655561.98</v>
      </c>
      <c r="H186" s="5">
        <f t="shared" si="63"/>
        <v>1655561.98</v>
      </c>
      <c r="K186" s="8">
        <f t="shared" si="41"/>
        <v>1655561.98</v>
      </c>
      <c r="L186" s="5">
        <v>0</v>
      </c>
      <c r="N186" s="8">
        <f t="shared" si="42"/>
        <v>0</v>
      </c>
      <c r="O186" s="5">
        <v>0</v>
      </c>
      <c r="P186" s="5">
        <v>0</v>
      </c>
      <c r="Q186" s="5"/>
    </row>
    <row r="187" spans="1:17" ht="15.65">
      <c r="A187" s="3" t="s">
        <v>1</v>
      </c>
      <c r="B187" s="2" t="s">
        <v>63</v>
      </c>
      <c r="C187" s="3" t="s">
        <v>46</v>
      </c>
      <c r="D187" s="3" t="s">
        <v>22</v>
      </c>
      <c r="E187" s="3" t="s">
        <v>34</v>
      </c>
      <c r="F187" s="3" t="s">
        <v>35</v>
      </c>
      <c r="G187" s="13">
        <v>100591.03</v>
      </c>
      <c r="H187" s="5">
        <f t="shared" si="63"/>
        <v>100591.03</v>
      </c>
      <c r="K187" s="8">
        <f t="shared" si="41"/>
        <v>100591.03</v>
      </c>
      <c r="L187" s="5">
        <v>0</v>
      </c>
      <c r="N187" s="8">
        <f t="shared" si="42"/>
        <v>0</v>
      </c>
      <c r="O187" s="5">
        <v>0</v>
      </c>
      <c r="P187" s="5">
        <v>0</v>
      </c>
      <c r="Q187" s="5"/>
    </row>
    <row r="188" spans="1:17" ht="15.65">
      <c r="A188" s="3" t="s">
        <v>1</v>
      </c>
      <c r="B188" s="2" t="s">
        <v>63</v>
      </c>
      <c r="C188" s="3" t="s">
        <v>46</v>
      </c>
      <c r="D188" s="3" t="s">
        <v>23</v>
      </c>
      <c r="E188" s="3" t="s">
        <v>38</v>
      </c>
      <c r="F188" s="3" t="s">
        <v>35</v>
      </c>
      <c r="G188" s="13">
        <v>840275.57999999996</v>
      </c>
      <c r="H188" s="5">
        <f t="shared" si="63"/>
        <v>840275.57999999996</v>
      </c>
      <c r="K188" s="8">
        <f t="shared" si="41"/>
        <v>840275.57999999996</v>
      </c>
      <c r="L188" s="5">
        <v>0</v>
      </c>
      <c r="N188" s="8">
        <f t="shared" si="42"/>
        <v>0</v>
      </c>
      <c r="O188" s="5">
        <v>0</v>
      </c>
      <c r="P188" s="5">
        <v>0</v>
      </c>
      <c r="Q188" s="5"/>
    </row>
    <row r="189" spans="1:17" ht="15.65">
      <c r="A189" s="3" t="s">
        <v>1</v>
      </c>
      <c r="B189" s="2" t="s">
        <v>63</v>
      </c>
      <c r="C189" s="3" t="s">
        <v>46</v>
      </c>
      <c r="D189" s="3" t="s">
        <v>25</v>
      </c>
      <c r="E189" s="3" t="s">
        <v>34</v>
      </c>
      <c r="F189" s="3" t="s">
        <v>35</v>
      </c>
      <c r="G189" s="13">
        <v>8436980.6799999997</v>
      </c>
      <c r="H189" s="5">
        <f t="shared" si="63"/>
        <v>8436980.6799999997</v>
      </c>
      <c r="K189" s="8">
        <f t="shared" si="41"/>
        <v>8436980.6799999997</v>
      </c>
      <c r="L189" s="5">
        <v>0</v>
      </c>
      <c r="N189" s="8">
        <f t="shared" si="42"/>
        <v>0</v>
      </c>
      <c r="O189" s="5">
        <v>0</v>
      </c>
      <c r="P189" s="5">
        <v>0</v>
      </c>
      <c r="Q189" s="5"/>
    </row>
    <row r="190" spans="1:17" ht="15.65">
      <c r="A190" s="3" t="s">
        <v>1</v>
      </c>
      <c r="B190" s="2" t="s">
        <v>63</v>
      </c>
      <c r="C190" s="3" t="s">
        <v>46</v>
      </c>
      <c r="D190" s="3" t="s">
        <v>25</v>
      </c>
      <c r="E190" s="3" t="s">
        <v>38</v>
      </c>
      <c r="F190" s="3" t="s">
        <v>35</v>
      </c>
      <c r="G190" s="13">
        <v>-30542.43</v>
      </c>
      <c r="H190" s="5">
        <f t="shared" si="63"/>
        <v>-30542.43</v>
      </c>
      <c r="K190" s="8">
        <f t="shared" si="41"/>
        <v>-30542.43</v>
      </c>
      <c r="L190" s="5">
        <v>0</v>
      </c>
      <c r="N190" s="8">
        <f t="shared" si="42"/>
        <v>0</v>
      </c>
      <c r="O190" s="5">
        <v>0</v>
      </c>
      <c r="P190" s="5">
        <v>0</v>
      </c>
      <c r="Q190" s="5"/>
    </row>
    <row r="191" spans="1:17" ht="15.65">
      <c r="A191" s="3" t="s">
        <v>1</v>
      </c>
      <c r="B191" s="2" t="s">
        <v>63</v>
      </c>
      <c r="C191" s="3" t="s">
        <v>46</v>
      </c>
      <c r="D191" s="3" t="s">
        <v>24</v>
      </c>
      <c r="E191" s="3" t="s">
        <v>34</v>
      </c>
      <c r="F191" s="3" t="s">
        <v>35</v>
      </c>
      <c r="G191" s="13">
        <v>-12538.429999999997</v>
      </c>
      <c r="H191" s="5">
        <f t="shared" si="63"/>
        <v>-12538.429999999997</v>
      </c>
      <c r="K191" s="8">
        <f t="shared" si="41"/>
        <v>-12538.429999999997</v>
      </c>
      <c r="L191" s="5">
        <v>0</v>
      </c>
      <c r="N191" s="8">
        <f t="shared" si="42"/>
        <v>0</v>
      </c>
      <c r="O191" s="5">
        <v>0</v>
      </c>
      <c r="P191" s="5">
        <v>0</v>
      </c>
      <c r="Q191" s="5"/>
    </row>
    <row r="192" spans="1:17" ht="15.65">
      <c r="A192" s="3" t="s">
        <v>1</v>
      </c>
      <c r="B192" s="2" t="s">
        <v>63</v>
      </c>
      <c r="C192" s="3" t="s">
        <v>46</v>
      </c>
      <c r="D192" s="3" t="s">
        <v>24</v>
      </c>
      <c r="E192" s="3" t="s">
        <v>31</v>
      </c>
      <c r="F192" s="3" t="s">
        <v>35</v>
      </c>
      <c r="G192" s="13">
        <v>135589.25</v>
      </c>
      <c r="H192" s="5">
        <f t="shared" si="63"/>
        <v>135589.25</v>
      </c>
      <c r="K192" s="8">
        <f t="shared" si="41"/>
        <v>135589.25</v>
      </c>
      <c r="L192" s="5">
        <v>0</v>
      </c>
      <c r="N192" s="8">
        <f t="shared" si="42"/>
        <v>0</v>
      </c>
      <c r="O192" s="5">
        <v>0</v>
      </c>
      <c r="P192" s="5">
        <v>0</v>
      </c>
      <c r="Q192" s="5"/>
    </row>
    <row r="193" spans="1:17" ht="15.65">
      <c r="A193" s="3" t="s">
        <v>1</v>
      </c>
      <c r="B193" s="2" t="s">
        <v>63</v>
      </c>
      <c r="C193" s="3" t="s">
        <v>46</v>
      </c>
      <c r="D193" s="3" t="s">
        <v>47</v>
      </c>
      <c r="E193" s="3" t="s">
        <v>34</v>
      </c>
      <c r="F193" s="3" t="s">
        <v>35</v>
      </c>
      <c r="G193" s="13">
        <v>840801.41999999993</v>
      </c>
      <c r="H193" s="5">
        <f t="shared" si="63"/>
        <v>840801.41999999993</v>
      </c>
      <c r="K193" s="8">
        <f t="shared" si="41"/>
        <v>840801.41999999993</v>
      </c>
      <c r="L193" s="5">
        <v>0</v>
      </c>
      <c r="N193" s="8">
        <f t="shared" si="42"/>
        <v>0</v>
      </c>
      <c r="O193" s="5">
        <v>0</v>
      </c>
      <c r="P193" s="5">
        <v>0</v>
      </c>
      <c r="Q193" s="5"/>
    </row>
    <row r="194" spans="1:17" ht="15.65">
      <c r="A194" s="3" t="s">
        <v>1</v>
      </c>
      <c r="B194" s="2" t="s">
        <v>63</v>
      </c>
      <c r="C194" s="3" t="s">
        <v>46</v>
      </c>
      <c r="D194" s="3" t="s">
        <v>47</v>
      </c>
      <c r="E194" s="3" t="s">
        <v>31</v>
      </c>
      <c r="F194" s="3" t="s">
        <v>35</v>
      </c>
      <c r="G194" s="13">
        <v>524218.41999999998</v>
      </c>
      <c r="H194" s="5">
        <f t="shared" si="63"/>
        <v>524218.41999999998</v>
      </c>
      <c r="K194" s="8">
        <f t="shared" si="64" ref="K194:K211">SUM(H194:J194)</f>
        <v>524218.41999999998</v>
      </c>
      <c r="L194" s="5">
        <v>0</v>
      </c>
      <c r="N194" s="8">
        <f t="shared" si="65" ref="N194:N211">SUM(L194:M194)</f>
        <v>0</v>
      </c>
      <c r="O194" s="5">
        <v>0</v>
      </c>
      <c r="P194" s="5">
        <v>0</v>
      </c>
      <c r="Q194" s="5"/>
    </row>
    <row r="195" spans="1:17" ht="15.65">
      <c r="A195" s="3" t="s">
        <v>1</v>
      </c>
      <c r="B195" s="2" t="s">
        <v>63</v>
      </c>
      <c r="C195" s="3" t="s">
        <v>46</v>
      </c>
      <c r="D195" s="3" t="s">
        <v>50</v>
      </c>
      <c r="E195" s="3" t="s">
        <v>34</v>
      </c>
      <c r="F195" s="3" t="s">
        <v>35</v>
      </c>
      <c r="G195" s="13">
        <v>19210832.560000002</v>
      </c>
      <c r="H195" s="5">
        <f t="shared" si="63"/>
        <v>19210832.560000002</v>
      </c>
      <c r="K195" s="8">
        <f t="shared" si="64"/>
        <v>19210832.560000002</v>
      </c>
      <c r="L195" s="5">
        <v>0</v>
      </c>
      <c r="N195" s="8">
        <f t="shared" si="65"/>
        <v>0</v>
      </c>
      <c r="O195" s="5">
        <v>0</v>
      </c>
      <c r="P195" s="5">
        <v>0</v>
      </c>
      <c r="Q195" s="5"/>
    </row>
    <row r="196" spans="1:17" ht="15.65">
      <c r="A196" s="3" t="s">
        <v>1</v>
      </c>
      <c r="B196" s="2" t="s">
        <v>63</v>
      </c>
      <c r="C196" s="3" t="s">
        <v>46</v>
      </c>
      <c r="D196" s="3" t="s">
        <v>48</v>
      </c>
      <c r="E196" s="3" t="s">
        <v>34</v>
      </c>
      <c r="F196" s="3" t="s">
        <v>35</v>
      </c>
      <c r="G196" s="13">
        <v>10589168.399999999</v>
      </c>
      <c r="H196" s="5">
        <f t="shared" si="63"/>
        <v>10589168.399999999</v>
      </c>
      <c r="K196" s="8">
        <f t="shared" si="64"/>
        <v>10589168.399999999</v>
      </c>
      <c r="L196" s="5">
        <v>0</v>
      </c>
      <c r="N196" s="8">
        <f t="shared" si="65"/>
        <v>0</v>
      </c>
      <c r="O196" s="5">
        <v>0</v>
      </c>
      <c r="P196" s="5">
        <v>0</v>
      </c>
      <c r="Q196" s="5"/>
    </row>
    <row r="197" spans="1:17" ht="15.65">
      <c r="A197" s="3" t="s">
        <v>1</v>
      </c>
      <c r="B197" s="2" t="s">
        <v>63</v>
      </c>
      <c r="C197" s="3" t="s">
        <v>46</v>
      </c>
      <c r="D197" s="3" t="s">
        <v>48</v>
      </c>
      <c r="E197" s="3" t="s">
        <v>31</v>
      </c>
      <c r="F197" s="3" t="s">
        <v>35</v>
      </c>
      <c r="G197" s="13">
        <v>146770.10000000001</v>
      </c>
      <c r="H197" s="5">
        <f t="shared" si="63"/>
        <v>146770.10000000001</v>
      </c>
      <c r="K197" s="8">
        <f t="shared" si="64"/>
        <v>146770.10000000001</v>
      </c>
      <c r="L197" s="5">
        <v>0</v>
      </c>
      <c r="N197" s="8">
        <f t="shared" si="65"/>
        <v>0</v>
      </c>
      <c r="O197" s="5">
        <v>0</v>
      </c>
      <c r="P197" s="5">
        <v>0</v>
      </c>
      <c r="Q197" s="5"/>
    </row>
    <row r="198" spans="1:17" ht="15.65">
      <c r="A198" s="3" t="s">
        <v>1</v>
      </c>
      <c r="B198" s="2" t="s">
        <v>63</v>
      </c>
      <c r="C198" s="3" t="s">
        <v>46</v>
      </c>
      <c r="D198" s="3" t="s">
        <v>49</v>
      </c>
      <c r="E198" s="3" t="s">
        <v>34</v>
      </c>
      <c r="F198" s="3" t="s">
        <v>35</v>
      </c>
      <c r="G198" s="13">
        <v>-6765.0000000000018</v>
      </c>
      <c r="H198" s="5">
        <f t="shared" si="63"/>
        <v>-6765.0000000000018</v>
      </c>
      <c r="K198" s="8">
        <f t="shared" si="64"/>
        <v>-6765.0000000000018</v>
      </c>
      <c r="L198" s="5">
        <v>0</v>
      </c>
      <c r="N198" s="8">
        <f t="shared" si="65"/>
        <v>0</v>
      </c>
      <c r="O198" s="5">
        <v>0</v>
      </c>
      <c r="P198" s="5">
        <v>0</v>
      </c>
      <c r="Q198" s="5"/>
    </row>
    <row r="199" spans="1:17" ht="15.65">
      <c r="A199" s="3" t="s">
        <v>1</v>
      </c>
      <c r="B199" s="2" t="s">
        <v>63</v>
      </c>
      <c r="C199" s="3" t="s">
        <v>46</v>
      </c>
      <c r="D199" s="3" t="s">
        <v>49</v>
      </c>
      <c r="E199" s="3" t="s">
        <v>38</v>
      </c>
      <c r="F199" s="3" t="s">
        <v>35</v>
      </c>
      <c r="G199" s="13">
        <v>28423981.82</v>
      </c>
      <c r="H199" s="5">
        <f t="shared" si="63"/>
        <v>28423981.82</v>
      </c>
      <c r="K199" s="8">
        <f t="shared" si="64"/>
        <v>28423981.82</v>
      </c>
      <c r="L199" s="5">
        <v>0</v>
      </c>
      <c r="N199" s="8">
        <f t="shared" si="65"/>
        <v>0</v>
      </c>
      <c r="O199" s="5">
        <v>0</v>
      </c>
      <c r="P199" s="5">
        <v>0</v>
      </c>
      <c r="Q199" s="5"/>
    </row>
    <row r="200" spans="1:17" ht="15.65">
      <c r="A200" s="3" t="s">
        <v>1</v>
      </c>
      <c r="B200" s="2" t="s">
        <v>63</v>
      </c>
      <c r="C200" s="3" t="s">
        <v>46</v>
      </c>
      <c r="D200" s="3" t="s">
        <v>49</v>
      </c>
      <c r="E200" s="3" t="s">
        <v>31</v>
      </c>
      <c r="F200" s="3" t="s">
        <v>35</v>
      </c>
      <c r="G200" s="13">
        <v>7189094.7200000007</v>
      </c>
      <c r="H200" s="5">
        <f t="shared" si="63"/>
        <v>7189094.7200000007</v>
      </c>
      <c r="K200" s="8">
        <f t="shared" si="64"/>
        <v>7189094.7200000007</v>
      </c>
      <c r="L200" s="5">
        <v>0</v>
      </c>
      <c r="N200" s="8">
        <f t="shared" si="65"/>
        <v>0</v>
      </c>
      <c r="O200" s="5">
        <v>0</v>
      </c>
      <c r="P200" s="5">
        <v>0</v>
      </c>
      <c r="Q200" s="5"/>
    </row>
    <row r="201" spans="1:17" ht="15.65">
      <c r="A201" s="3" t="s">
        <v>1</v>
      </c>
      <c r="B201" s="2" t="s">
        <v>63</v>
      </c>
      <c r="C201" s="3" t="s">
        <v>46</v>
      </c>
      <c r="D201" s="3" t="s">
        <v>56</v>
      </c>
      <c r="E201" s="3" t="s">
        <v>38</v>
      </c>
      <c r="F201" s="3" t="s">
        <v>35</v>
      </c>
      <c r="G201" s="13">
        <v>-341360.63</v>
      </c>
      <c r="H201" s="5">
        <f t="shared" si="63"/>
        <v>-341360.63</v>
      </c>
      <c r="K201" s="8">
        <f t="shared" si="64"/>
        <v>-341360.63</v>
      </c>
      <c r="L201" s="5">
        <v>0</v>
      </c>
      <c r="N201" s="8">
        <f t="shared" si="65"/>
        <v>0</v>
      </c>
      <c r="O201" s="5">
        <v>0</v>
      </c>
      <c r="P201" s="5">
        <v>0</v>
      </c>
      <c r="Q201" s="5"/>
    </row>
    <row r="202" spans="1:17" ht="15.65">
      <c r="A202" s="3" t="s">
        <v>1</v>
      </c>
      <c r="B202" s="2" t="s">
        <v>63</v>
      </c>
      <c r="C202" s="3" t="s">
        <v>46</v>
      </c>
      <c r="D202" s="3" t="s">
        <v>56</v>
      </c>
      <c r="E202" s="3" t="s">
        <v>31</v>
      </c>
      <c r="F202" s="3" t="s">
        <v>35</v>
      </c>
      <c r="G202" s="13">
        <v>11477483.779999999</v>
      </c>
      <c r="H202" s="5">
        <f t="shared" si="63"/>
        <v>11477483.779999999</v>
      </c>
      <c r="K202" s="8">
        <f t="shared" si="64"/>
        <v>11477483.779999999</v>
      </c>
      <c r="L202" s="5">
        <v>0</v>
      </c>
      <c r="N202" s="8">
        <f t="shared" si="65"/>
        <v>0</v>
      </c>
      <c r="O202" s="5">
        <v>0</v>
      </c>
      <c r="P202" s="5">
        <v>0</v>
      </c>
      <c r="Q202" s="5"/>
    </row>
    <row r="203" spans="1:17" ht="15.65">
      <c r="A203" s="3" t="s">
        <v>1</v>
      </c>
      <c r="B203" s="2" t="s">
        <v>63</v>
      </c>
      <c r="C203" s="3" t="s">
        <v>46</v>
      </c>
      <c r="D203" s="3" t="s">
        <v>56</v>
      </c>
      <c r="E203" s="3" t="s">
        <v>31</v>
      </c>
      <c r="F203" s="3" t="s">
        <v>35</v>
      </c>
      <c r="G203" s="13">
        <v>6134992.7000000002</v>
      </c>
      <c r="H203" s="5">
        <f t="shared" si="63"/>
        <v>6134992.7000000002</v>
      </c>
      <c r="K203" s="8">
        <f t="shared" si="64"/>
        <v>6134992.7000000002</v>
      </c>
      <c r="L203" s="5">
        <v>0</v>
      </c>
      <c r="N203" s="8">
        <f t="shared" si="65"/>
        <v>0</v>
      </c>
      <c r="O203" s="5">
        <v>0</v>
      </c>
      <c r="P203" s="5">
        <v>0</v>
      </c>
      <c r="Q203" s="5"/>
    </row>
    <row r="204" spans="1:17" ht="15.65">
      <c r="A204" s="3" t="s">
        <v>1</v>
      </c>
      <c r="B204" s="2" t="s">
        <v>55</v>
      </c>
      <c r="C204" s="3" t="s">
        <v>46</v>
      </c>
      <c r="D204" s="3" t="s">
        <v>23</v>
      </c>
      <c r="E204" s="3" t="s">
        <v>34</v>
      </c>
      <c r="F204" s="3" t="s">
        <v>35</v>
      </c>
      <c r="G204" s="13">
        <v>1175558.9299999999</v>
      </c>
      <c r="H204" s="5">
        <f t="shared" si="63"/>
        <v>1175558.9299999999</v>
      </c>
      <c r="K204" s="8">
        <f t="shared" si="64"/>
        <v>1175558.9299999999</v>
      </c>
      <c r="L204" s="5">
        <v>0</v>
      </c>
      <c r="N204" s="8">
        <f t="shared" si="65"/>
        <v>0</v>
      </c>
      <c r="O204" s="5">
        <v>0</v>
      </c>
      <c r="P204" s="5">
        <v>0</v>
      </c>
      <c r="Q204" s="5"/>
    </row>
    <row r="205" spans="1:17" ht="15.65">
      <c r="A205" s="3" t="s">
        <v>1</v>
      </c>
      <c r="B205" s="2" t="s">
        <v>55</v>
      </c>
      <c r="C205" s="3" t="s">
        <v>46</v>
      </c>
      <c r="D205" s="3" t="s">
        <v>25</v>
      </c>
      <c r="E205" s="3" t="s">
        <v>31</v>
      </c>
      <c r="F205" s="3" t="s">
        <v>35</v>
      </c>
      <c r="G205" s="13">
        <v>1384107.4299999999</v>
      </c>
      <c r="H205" s="5">
        <f t="shared" si="63"/>
        <v>1384107.4299999999</v>
      </c>
      <c r="K205" s="8">
        <f t="shared" si="64"/>
        <v>1384107.4299999999</v>
      </c>
      <c r="L205" s="5">
        <v>0</v>
      </c>
      <c r="N205" s="8">
        <f t="shared" si="65"/>
        <v>0</v>
      </c>
      <c r="O205" s="5">
        <v>0</v>
      </c>
      <c r="P205" s="5">
        <v>0</v>
      </c>
      <c r="Q205" s="5"/>
    </row>
    <row r="206" spans="1:17" ht="15.65">
      <c r="A206" s="3" t="s">
        <v>1</v>
      </c>
      <c r="B206" s="2" t="s">
        <v>36</v>
      </c>
      <c r="C206" s="3" t="s">
        <v>46</v>
      </c>
      <c r="D206" s="3" t="s">
        <v>24</v>
      </c>
      <c r="E206" s="3" t="s">
        <v>38</v>
      </c>
      <c r="F206" s="3" t="s">
        <v>35</v>
      </c>
      <c r="G206" s="13">
        <v>107818.06</v>
      </c>
      <c r="H206" s="5">
        <f t="shared" si="63"/>
        <v>107818.06</v>
      </c>
      <c r="K206" s="8">
        <f t="shared" si="64"/>
        <v>107818.06</v>
      </c>
      <c r="L206" s="5">
        <v>0</v>
      </c>
      <c r="N206" s="8">
        <f t="shared" si="65"/>
        <v>0</v>
      </c>
      <c r="O206" s="5">
        <v>0</v>
      </c>
      <c r="P206" s="5">
        <v>0</v>
      </c>
      <c r="Q206" s="5"/>
    </row>
    <row r="207" spans="1:17" ht="15.65">
      <c r="A207" s="3" t="s">
        <v>1</v>
      </c>
      <c r="B207" s="2" t="s">
        <v>36</v>
      </c>
      <c r="C207" s="3" t="s">
        <v>46</v>
      </c>
      <c r="D207" s="3" t="s">
        <v>56</v>
      </c>
      <c r="E207" s="3" t="s">
        <v>33</v>
      </c>
      <c r="F207" s="3" t="s">
        <v>35</v>
      </c>
      <c r="G207" s="13">
        <v>263616.57999999996</v>
      </c>
      <c r="H207" s="5">
        <f t="shared" si="63"/>
        <v>263616.57999999996</v>
      </c>
      <c r="K207" s="8">
        <f t="shared" si="64"/>
        <v>263616.57999999996</v>
      </c>
      <c r="L207" s="5">
        <v>0</v>
      </c>
      <c r="N207" s="8">
        <f t="shared" si="65"/>
        <v>0</v>
      </c>
      <c r="O207" s="5">
        <v>0</v>
      </c>
      <c r="P207" s="5">
        <v>0</v>
      </c>
      <c r="Q207" s="5"/>
    </row>
    <row r="208" spans="1:17" ht="15.65">
      <c r="A208" s="3" t="s">
        <v>1</v>
      </c>
      <c r="B208" s="2" t="s">
        <v>36</v>
      </c>
      <c r="C208" s="3" t="s">
        <v>46</v>
      </c>
      <c r="D208" s="3" t="s">
        <v>56</v>
      </c>
      <c r="E208" s="3" t="s">
        <v>64</v>
      </c>
      <c r="F208" s="3" t="s">
        <v>35</v>
      </c>
      <c r="G208" s="13">
        <v>263616.57999999996</v>
      </c>
      <c r="H208" s="5">
        <f t="shared" si="63"/>
        <v>263616.57999999996</v>
      </c>
      <c r="K208" s="8">
        <f t="shared" si="64"/>
        <v>263616.57999999996</v>
      </c>
      <c r="L208" s="5">
        <v>0</v>
      </c>
      <c r="N208" s="8">
        <f t="shared" si="65"/>
        <v>0</v>
      </c>
      <c r="O208" s="5">
        <v>0</v>
      </c>
      <c r="P208" s="5">
        <v>0</v>
      </c>
      <c r="Q208" s="5"/>
    </row>
    <row r="209" spans="1:17" ht="15.65">
      <c r="A209" s="3" t="s">
        <v>1</v>
      </c>
      <c r="B209" s="2" t="s">
        <v>36</v>
      </c>
      <c r="C209" s="3" t="s">
        <v>46</v>
      </c>
      <c r="D209" s="3" t="s">
        <v>56</v>
      </c>
      <c r="E209" s="3" t="s">
        <v>38</v>
      </c>
      <c r="F209" s="3" t="s">
        <v>35</v>
      </c>
      <c r="G209" s="13">
        <v>922658.09999999998</v>
      </c>
      <c r="H209" s="5">
        <f t="shared" si="63"/>
        <v>922658.09999999998</v>
      </c>
      <c r="K209" s="8">
        <f t="shared" si="64"/>
        <v>922658.09999999998</v>
      </c>
      <c r="L209" s="5">
        <v>0</v>
      </c>
      <c r="N209" s="8">
        <f t="shared" si="65"/>
        <v>0</v>
      </c>
      <c r="O209" s="5">
        <v>0</v>
      </c>
      <c r="P209" s="5">
        <v>0</v>
      </c>
      <c r="Q209" s="5"/>
    </row>
    <row r="210" spans="1:17" ht="15.65">
      <c r="A210" s="3" t="s">
        <v>1</v>
      </c>
      <c r="B210" s="2" t="s">
        <v>36</v>
      </c>
      <c r="C210" s="3" t="s">
        <v>46</v>
      </c>
      <c r="D210" s="3" t="s">
        <v>56</v>
      </c>
      <c r="E210" s="3" t="s">
        <v>65</v>
      </c>
      <c r="F210" s="3" t="s">
        <v>35</v>
      </c>
      <c r="G210" s="13">
        <v>263616.57999999996</v>
      </c>
      <c r="H210" s="5">
        <f t="shared" si="63"/>
        <v>263616.57999999996</v>
      </c>
      <c r="K210" s="8">
        <f t="shared" si="64"/>
        <v>263616.57999999996</v>
      </c>
      <c r="L210" s="5">
        <v>0</v>
      </c>
      <c r="N210" s="8">
        <f t="shared" si="65"/>
        <v>0</v>
      </c>
      <c r="O210" s="5">
        <v>0</v>
      </c>
      <c r="P210" s="5">
        <v>0</v>
      </c>
      <c r="Q210" s="5"/>
    </row>
    <row r="211" spans="1:17" ht="15.65">
      <c r="A211" s="3" t="s">
        <v>1</v>
      </c>
      <c r="B211" s="2" t="s">
        <v>36</v>
      </c>
      <c r="C211" s="3" t="s">
        <v>46</v>
      </c>
      <c r="D211" s="3" t="s">
        <v>56</v>
      </c>
      <c r="E211" s="3" t="s">
        <v>66</v>
      </c>
      <c r="F211" s="3" t="s">
        <v>35</v>
      </c>
      <c r="G211" s="13">
        <v>922658.04999999993</v>
      </c>
      <c r="H211" s="5">
        <f t="shared" si="63"/>
        <v>922658.04999999993</v>
      </c>
      <c r="K211" s="8">
        <f t="shared" si="64"/>
        <v>922658.04999999993</v>
      </c>
      <c r="L211" s="5">
        <v>0</v>
      </c>
      <c r="N211" s="8">
        <f t="shared" si="65"/>
        <v>0</v>
      </c>
      <c r="O211" s="5">
        <v>0</v>
      </c>
      <c r="P211" s="5">
        <v>0</v>
      </c>
      <c r="Q211" s="5"/>
    </row>
    <row r="212" spans="6:6" ht="15.65">
      <c r="F212" s="7"/>
    </row>
    <row r="213" spans="6:16" ht="16.3" thickBot="1">
      <c r="F213" s="7"/>
      <c r="G213" s="15">
        <f t="shared" si="66" ref="G213:O213">SUM(G2:G212)</f>
        <v>1066350281.0699999</v>
      </c>
      <c r="H213" s="18">
        <f>SUM(H2:H212)</f>
        <v>247306020.54671356</v>
      </c>
      <c r="I213" s="6">
        <f t="shared" si="66"/>
        <v>0</v>
      </c>
      <c r="J213" s="6">
        <f t="shared" si="66"/>
        <v>0</v>
      </c>
      <c r="K213" s="6">
        <f>SUM(K2:K212)</f>
        <v>247306020.54671356</v>
      </c>
      <c r="L213" s="6">
        <f t="shared" si="66"/>
        <v>323333372.81782413</v>
      </c>
      <c r="M213" s="6">
        <f t="shared" si="66"/>
        <v>0</v>
      </c>
      <c r="N213" s="6">
        <f t="shared" si="66"/>
        <v>323333372.81782413</v>
      </c>
      <c r="O213" s="6">
        <f t="shared" si="66"/>
        <v>185301712.95548961</v>
      </c>
      <c r="P213" s="6">
        <f>SUM(P2:P212)-0.01</f>
        <v>310409174.73997271</v>
      </c>
    </row>
    <row r="214" ht="16.3" thickTop="1"/>
    <row r="215" spans="6:18" ht="15.65">
      <c r="F215" s="4" t="s">
        <v>39</v>
      </c>
      <c r="H215" s="16"/>
      <c r="I215" s="16"/>
      <c r="J215" s="16"/>
      <c r="K215" s="17">
        <f t="shared" si="67" ref="K215:P215">K213/$G$213</f>
        <v>0.23191818386221189</v>
      </c>
      <c r="L215" s="17"/>
      <c r="M215" s="17"/>
      <c r="N215" s="17">
        <f t="shared" si="67"/>
        <v>0.30321497406404219</v>
      </c>
      <c r="O215" s="17">
        <f t="shared" si="67"/>
        <v>0.17377189863874157</v>
      </c>
      <c r="P215" s="17">
        <f t="shared" si="67"/>
        <v>0.29109494342562664</v>
      </c>
      <c r="R215" s="9">
        <f>SUM(K215:P215)</f>
        <v>0.99999999999062217</v>
      </c>
    </row>
  </sheetData>
  <sortState ref="A2:P207">
    <sortCondition sortBy="value" ref="F2:F207"/>
  </sortState>
  <pageMargins left="0.7" right="0.7" top="2.5" bottom="0.75" header="1.5" footer="0.3"/>
  <pageSetup fitToHeight="0" orientation="landscape" scale="36" r:id="rId1"/>
  <headerFooter alignWithMargins="0">
    <oddHeader>&amp;C&amp;"Arial,Bold"&amp;12
2022 RATE CASE
ONCOR ELECTRIC DELIVERY COMPANY LLC
INVESTMENT IN ACCOUNT 303-INTANGIBLE PLANT BY BUSINESS SYSTEM
FOR THE TEST YEAR ENDING DECEMBER 31, 2021
SPONSOR: W. A.  LEDBETTER
&amp;R&amp;"Arial,Bold"&amp;12WP/II-B-1/02
Page &amp;P of &amp;N</oddHeader>
  </headerFooter>
  <rowBreaks count="1" manualBreakCount="1">
    <brk id="215" max="16383" man="1"/>
  </rowBreak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FHHXVRPN3UPD-1807981734-31501</_dlc_DocId>
    <_dlc_DocIdUrl xmlns="4f7156c1-be87-4d1f-9274-ce189f982c1a">
      <Url>http://intranet.corp.oncor.com/sites/Finance/_layouts/15/DocIdRedir.aspx?ID=FHHXVRPN3UPD-1807981734-31501</Url>
      <Description>FHHXVRPN3UPD-1807981734-31501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29398-656E-4546-9778-3872F0159D68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4f7156c1-be87-4d1f-9274-ce189f982c1a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90E873-5418-484D-89AC-492A252F8F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A08C34-55BA-414F-AC67-75C51E22F41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23309C0-0C0D-47C7-BCD0-4A59927E7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ae955c52-474b-4664-97e6-f82c5c8c2963</vt:lpwstr>
  </property>
</Properties>
</file>