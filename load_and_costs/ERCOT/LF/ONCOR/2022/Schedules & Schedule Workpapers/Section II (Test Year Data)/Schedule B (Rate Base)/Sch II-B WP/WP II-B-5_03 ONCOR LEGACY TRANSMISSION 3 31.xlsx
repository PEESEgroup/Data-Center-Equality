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6083" windowHeight="11072" activeTab="0"/>
  </bookViews>
  <sheets>
    <sheet name="WP II-B-5_03" sheetId="1" r:id="rId2"/>
  </sheets>
  <definedNames>
    <definedName name="_xlnm.Print_Area" localSheetId="0">'WP II-B-5_03'!$A$3:$R$708</definedName>
    <definedName name="_xlnm.Print_Titles" localSheetId="0">'WP II-B-5_03'!$A:$B,'WP II-B-5_03'!$1:$2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08" i="1" l="1"/>
</calcChain>
</file>

<file path=xl/sharedStrings.xml><?xml version="1.0" encoding="utf-8"?>
<sst xmlns="http://schemas.openxmlformats.org/spreadsheetml/2006/main" count="1330" uniqueCount="151">
  <si>
    <t>DC Tie</t>
  </si>
  <si>
    <t>DIST</t>
  </si>
  <si>
    <t>TRAN</t>
  </si>
  <si>
    <t>Grand Total</t>
  </si>
  <si>
    <t>350</t>
  </si>
  <si>
    <t>1912</t>
  </si>
  <si>
    <t>1913</t>
  </si>
  <si>
    <t>1914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</si>
  <si>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</si>
  <si>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</si>
  <si>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</si>
  <si>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</si>
  <si>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</si>
  <si>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</si>
  <si>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</si>
  <si>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</si>
  <si>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</si>
  <si>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</si>
  <si>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</si>
  <si>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</si>
  <si>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</si>
  <si>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</si>
  <si>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</si>
  <si>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</si>
  <si>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</si>
  <si>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</si>
  <si>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</si>
  <si>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</si>
  <si>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</si>
  <si>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</si>
  <si>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</si>
  <si>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</si>
  <si>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</si>
  <si>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</si>
  <si>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</si>
  <si>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</si>
  <si>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</si>
  <si>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</si>
  <si>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</si>
  <si>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</si>
  <si>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</si>
  <si>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</si>
  <si>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</si>
  <si>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</si>
  <si>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</si>
  <si>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</si>
  <si>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</si>
  <si>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</si>
  <si>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</si>
  <si>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</si>
  <si>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</si>
  <si>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</si>
  <si>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</si>
  <si>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</si>
  <si>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</si>
  <si>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</si>
  <si>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</si>
  <si>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</si>
  <si>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</si>
  <si>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</si>
  <si>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</si>
  <si>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</si>
  <si>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</si>
  <si>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</si>
  <si>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</si>
  <si>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</si>
  <si>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</si>
  <si>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</si>
  <si>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</si>
  <si>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</si>
  <si>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</si>
  <si>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</si>
  <si>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</si>
  <si>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</si>
  <si>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</si>
  <si>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</si>
  <si>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</si>
  <si>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</si>
  <si>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</si>
  <si>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</si>
  <si>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</si>
  <si>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</si>
  <si>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</si>
  <si>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</si>
  <si>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</si>
  <si>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</si>
  <si>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</si>
  <si>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</si>
  <si>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</si>
  <si>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</si>
  <si>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</si>
  <si>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</si>
  <si>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</si>
  <si>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</si>
  <si>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</si>
  <si>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</si>
  <si>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</si>
  <si>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</si>
  <si>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</si>
  <si>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</si>
  <si>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</si>
  <si>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</si>
  <si>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</si>
  <si>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</si>
  <si>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</si>
  <si>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</si>
  <si>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</si>
  <si>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</si>
  <si>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</si>
  <si>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</si>
  <si>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</si>
  <si>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</si>
  <si>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352</t>
  </si>
  <si>
    <t>352 SVC</t>
  </si>
  <si>
    <t>353</t>
  </si>
  <si>
    <t>1900</t>
  </si>
  <si>
    <t>1915</t>
  </si>
  <si>
    <t>1936</t>
  </si>
  <si>
    <t>353 SVC</t>
  </si>
  <si>
    <t>354</t>
  </si>
  <si>
    <t>355</t>
  </si>
  <si>
    <t>356</t>
  </si>
  <si>
    <t>357</t>
  </si>
  <si>
    <t>358</t>
  </si>
  <si>
    <t>Acct</t>
  </si>
  <si>
    <t>Vintage Year</t>
  </si>
  <si>
    <t>ASL</t>
  </si>
  <si>
    <t>RL</t>
  </si>
  <si>
    <t>Net Salvage %</t>
  </si>
  <si>
    <t>Theo Res</t>
  </si>
  <si>
    <t>Alloc Reserve</t>
  </si>
  <si>
    <t>350 Total</t>
  </si>
  <si>
    <t>352 Total</t>
  </si>
  <si>
    <t>352 SVC Total</t>
  </si>
  <si>
    <t>353 Total</t>
  </si>
  <si>
    <t>353 SVC Total</t>
  </si>
  <si>
    <t>354 Total</t>
  </si>
  <si>
    <t>355 Total</t>
  </si>
  <si>
    <t>356 Total</t>
  </si>
  <si>
    <t>357 Total</t>
  </si>
  <si>
    <t>358 Total</t>
  </si>
  <si>
    <t>352 DC Tie</t>
  </si>
  <si>
    <t>353 DC Tie</t>
  </si>
  <si>
    <t>352 DC Tie Total</t>
  </si>
  <si>
    <t>353 DC Tie Total</t>
  </si>
  <si>
    <t xml:space="preserve"> </t>
  </si>
  <si>
    <t>PLANT ALLOCATION</t>
  </si>
  <si>
    <t>ACCUMLATED DEPRECIATION ALLOCATION</t>
  </si>
  <si>
    <t>Proration</t>
  </si>
  <si>
    <t>Book Reserve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</si>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</sst>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/>
    <xf numFmtId="43" fontId="2" fillId="0" borderId="0" xfId="18" applyFont="1"/>
    <xf numFmtId="10" fontId="2" fillId="0" borderId="0" xfId="0" applyNumberFormat="1" applyFont="1"/>
    <xf numFmtId="43" fontId="2" fillId="0" borderId="0" xfId="18" applyFont="1" applyFill="1"/>
    <xf numFmtId="43" fontId="0" fillId="0" borderId="0" xfId="0" applyNumberFormat="1"/>
    <xf numFmtId="43" fontId="2" fillId="0" borderId="0" xfId="18" applyFont="1" applyBorder="1"/>
    <xf numFmtId="10" fontId="2" fillId="0" borderId="0" xfId="0" applyNumberFormat="1" applyFont="1" applyFill="1"/>
    <xf numFmtId="43" fontId="0" fillId="0" borderId="0" xfId="0" applyNumberFormat="1" applyFill="1"/>
    <xf numFmtId="0" fontId="0" fillId="0" borderId="0" xfId="0" applyFill="1"/>
    <xf numFmtId="0" fontId="3" fillId="0" borderId="0" xfId="0" applyFont="1" applyFill="1" applyBorder="1" applyAlignment="1">
      <alignment horizontal="left"/>
    </xf>
    <xf numFmtId="43" fontId="2" fillId="0" borderId="0" xfId="18" applyFont="1" applyFill="1" applyBorder="1"/>
    <xf numFmtId="0" fontId="2" fillId="0" borderId="0" xfId="0" applyFont="1" applyFill="1" applyBorder="1" applyAlignment="1">
      <alignment horizontal="left" indent="1"/>
    </xf>
    <xf numFmtId="0" fontId="2" fillId="0" borderId="0" xfId="0" applyFont="1" applyFill="1" applyBorder="1"/>
    <xf numFmtId="0" fontId="3" fillId="0" borderId="1" xfId="0" applyFont="1" applyFill="1" applyBorder="1"/>
    <xf numFmtId="43" fontId="3" fillId="0" borderId="1" xfId="18" applyFont="1" applyFill="1" applyBorder="1"/>
    <xf numFmtId="10" fontId="3" fillId="0" borderId="1" xfId="16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indent="1"/>
    </xf>
    <xf numFmtId="43" fontId="5" fillId="0" borderId="0" xfId="18" applyFont="1" applyFill="1" applyBorder="1"/>
    <xf numFmtId="43" fontId="5" fillId="0" borderId="0" xfId="18" applyFont="1" applyFill="1"/>
    <xf numFmtId="10" fontId="5" fillId="0" borderId="0" xfId="0" applyNumberFormat="1" applyFont="1" applyFill="1"/>
    <xf numFmtId="43" fontId="5" fillId="0" borderId="0" xfId="18" applyFont="1"/>
    <xf numFmtId="0" fontId="5" fillId="0" borderId="0" xfId="0" applyFont="1" applyFill="1" applyBorder="1" applyAlignment="1">
      <alignment horizontal="left"/>
    </xf>
    <xf numFmtId="43" fontId="3" fillId="0" borderId="2" xfId="18" applyFont="1" applyBorder="1" applyAlignment="1">
      <alignment horizontal="center"/>
    </xf>
    <xf numFmtId="43" fontId="3" fillId="0" borderId="3" xfId="18" applyFont="1" applyBorder="1" applyAlignment="1">
      <alignment horizontal="center"/>
    </xf>
    <xf numFmtId="43" fontId="3" fillId="0" borderId="4" xfId="18" applyFont="1" applyBorder="1" applyAlignment="1">
      <alignment horizontal="center"/>
    </xf>
    <xf numFmtId="43" fontId="2" fillId="0" borderId="0" xfId="18" applyFont="1" applyFill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B708"/>
  <sheetViews>
    <sheetView tabSelected="1" workbookViewId="0" topLeftCell="A1">
      <selection pane="topLeft" activeCell="R710" sqref="R710"/>
    </sheetView>
  </sheetViews>
  <sheetFormatPr defaultRowHeight="15.75" outlineLevelRow="2"/>
  <cols>
    <col min="1" max="1" width="25.5714285714286" style="16" customWidth="1"/>
    <col min="2" max="2" width="15.4285714285714" style="12" bestFit="1" customWidth="1"/>
    <col min="3" max="3" width="21.4285714285714" style="10" customWidth="1"/>
    <col min="4" max="4" width="21.1428571428571" style="10" hidden="1" customWidth="1"/>
    <col min="5" max="5" width="18.2857142857143" style="10" hidden="1" customWidth="1"/>
    <col min="6" max="6" width="21.4285714285714" style="10" hidden="1" customWidth="1"/>
    <col min="7" max="7" width="9.57142857142857" style="1" hidden="1" customWidth="1"/>
    <col min="8" max="8" width="19.2857142857143" style="3" hidden="1" customWidth="1"/>
    <col min="9" max="9" width="9.28571428571429" style="3" hidden="1" customWidth="1"/>
    <col min="10" max="10" width="21.1428571428571" style="2" hidden="1" customWidth="1"/>
    <col min="11" max="11" width="20.1428571428571" style="1" hidden="1" customWidth="1"/>
    <col min="12" max="12" width="15.2857142857143" style="1" customWidth="1"/>
    <col min="13" max="15" width="21.1428571428571" style="1" customWidth="1"/>
    <col min="16" max="16" width="22.8571428571429" style="1" customWidth="1"/>
    <col min="17" max="17" width="22.5714285714286" style="1" customWidth="1"/>
    <col min="18" max="18" width="20.1428571428571" style="1" bestFit="1" customWidth="1"/>
    <col min="19" max="19" width="14.5714285714286" bestFit="1" customWidth="1"/>
  </cols>
  <sheetData>
    <row r="1" spans="4:18" ht="15.65">
      <c r="D1" s="28" t="s">
        <v>146</v>
      </c>
      <c r="E1" s="28"/>
      <c r="F1" s="28"/>
      <c r="P1" s="25" t="s">
        <v>147</v>
      </c>
      <c r="Q1" s="26"/>
      <c r="R1" s="27"/>
    </row>
    <row r="2" spans="1:18" ht="15.65">
      <c r="A2" s="17" t="s">
        <v>124</v>
      </c>
      <c r="B2" s="13" t="s">
        <v>125</v>
      </c>
      <c r="C2" s="14" t="s">
        <v>3</v>
      </c>
      <c r="D2" s="14" t="s">
        <v>0</v>
      </c>
      <c r="E2" s="14" t="s">
        <v>1</v>
      </c>
      <c r="F2" s="14" t="s">
        <v>2</v>
      </c>
      <c r="G2" s="14"/>
      <c r="H2" s="14" t="s">
        <v>126</v>
      </c>
      <c r="I2" s="14" t="s">
        <v>127</v>
      </c>
      <c r="J2" s="15" t="s">
        <v>128</v>
      </c>
      <c r="K2" s="14" t="s">
        <v>129</v>
      </c>
      <c r="L2" s="14" t="s">
        <v>148</v>
      </c>
      <c r="M2" s="14" t="s">
        <v>130</v>
      </c>
      <c r="N2" s="14" t="s">
        <v>149</v>
      </c>
      <c r="O2" s="14" t="s">
        <v>150</v>
      </c>
      <c r="P2" s="14" t="s">
        <v>0</v>
      </c>
      <c r="Q2" s="14" t="s">
        <v>1</v>
      </c>
      <c r="R2" s="14" t="s">
        <v>2</v>
      </c>
    </row>
    <row r="3" spans="1:18" ht="15.65" outlineLevel="2">
      <c r="A3" s="9" t="s">
        <v>4</v>
      </c>
      <c r="B3" s="11" t="s">
        <v>111</v>
      </c>
      <c r="C3" s="10">
        <f>14726683.48+658973.65</f>
        <v>15385657.130000001</v>
      </c>
      <c r="F3" s="10">
        <v>15385657.130000001</v>
      </c>
      <c r="H3" s="3">
        <v>100</v>
      </c>
      <c r="I3" s="3">
        <v>99.500412999999995</v>
      </c>
      <c r="J3" s="2">
        <v>0</v>
      </c>
      <c r="K3" s="1">
        <f t="shared" si="0" ref="K3:K34">+C3*(1-I3/H3)*(1-J3)</f>
        <v>76864.742886053311</v>
      </c>
      <c r="L3" s="1">
        <f t="shared" si="1" ref="L3:L33">$L$110</f>
        <v>1.1256383603774596</v>
      </c>
      <c r="M3" s="1">
        <f t="shared" si="2" ref="M3:M34">IF((C3*(1-J3)-K3*L3)&lt;0,C3*(1-J3),K3*L3)</f>
        <v>86521.903153092047</v>
      </c>
      <c r="P3" s="1">
        <f t="shared" si="3" ref="P3:P34">+D3/$C3*$M3</f>
        <v>0</v>
      </c>
      <c r="Q3" s="1">
        <f t="shared" si="4" ref="Q3:Q34">+E3/$C3*$M3</f>
        <v>0</v>
      </c>
      <c r="R3" s="1">
        <f t="shared" si="5" ref="R3:R34">+F3/$C3*$M3</f>
        <v>86521.903153092047</v>
      </c>
    </row>
    <row r="4" spans="1:18" ht="15.65" outlineLevel="2">
      <c r="A4" s="9" t="s">
        <v>4</v>
      </c>
      <c r="B4" s="11" t="s">
        <v>110</v>
      </c>
      <c r="C4" s="10">
        <v>47317830.870000005</v>
      </c>
      <c r="F4" s="10">
        <v>47317830.870000005</v>
      </c>
      <c r="H4" s="3">
        <v>100</v>
      </c>
      <c r="I4" s="3">
        <v>98.501299000000003</v>
      </c>
      <c r="J4" s="2">
        <v>0</v>
      </c>
      <c r="K4" s="1">
        <f t="shared" si="0"/>
        <v>709152.80442699988</v>
      </c>
      <c r="L4" s="1">
        <f t="shared" si="1"/>
        <v>1.1256383603774596</v>
      </c>
      <c r="M4" s="1">
        <f t="shared" si="2"/>
        <v>798249.60003228544</v>
      </c>
      <c r="P4" s="1">
        <f t="shared" si="3"/>
        <v>0</v>
      </c>
      <c r="Q4" s="1">
        <f t="shared" si="4"/>
        <v>0</v>
      </c>
      <c r="R4" s="1">
        <f t="shared" si="5"/>
        <v>798249.60003228544</v>
      </c>
    </row>
    <row r="5" spans="1:18" ht="15.65" outlineLevel="2">
      <c r="A5" s="9" t="s">
        <v>4</v>
      </c>
      <c r="B5" s="11" t="s">
        <v>109</v>
      </c>
      <c r="C5" s="10">
        <v>16202920.18</v>
      </c>
      <c r="F5" s="10">
        <v>16202920.18</v>
      </c>
      <c r="H5" s="3">
        <v>100</v>
      </c>
      <c r="I5" s="3">
        <v>97.502313999999998</v>
      </c>
      <c r="J5" s="2">
        <v>0</v>
      </c>
      <c r="K5" s="1">
        <f t="shared" si="0"/>
        <v>404698.06892703462</v>
      </c>
      <c r="L5" s="1">
        <f t="shared" si="1"/>
        <v>1.1256383603774596</v>
      </c>
      <c r="M5" s="1">
        <f t="shared" si="2"/>
        <v>455543.67075495137</v>
      </c>
      <c r="P5" s="1">
        <f t="shared" si="3"/>
        <v>0</v>
      </c>
      <c r="Q5" s="1">
        <f t="shared" si="4"/>
        <v>0</v>
      </c>
      <c r="R5" s="1">
        <f t="shared" si="5"/>
        <v>455543.67075495137</v>
      </c>
    </row>
    <row r="6" spans="1:18" ht="15.65" outlineLevel="2">
      <c r="A6" s="9" t="s">
        <v>4</v>
      </c>
      <c r="B6" s="11" t="s">
        <v>108</v>
      </c>
      <c r="C6" s="10">
        <v>11562241.859999999</v>
      </c>
      <c r="F6" s="10">
        <v>11562241.859999999</v>
      </c>
      <c r="H6" s="3">
        <v>100</v>
      </c>
      <c r="I6" s="3">
        <v>96.503478000000001</v>
      </c>
      <c r="J6" s="2">
        <v>0</v>
      </c>
      <c r="K6" s="1">
        <f t="shared" si="0"/>
        <v>404276.33032810938</v>
      </c>
      <c r="L6" s="1">
        <f t="shared" si="1"/>
        <v>1.1256383603774596</v>
      </c>
      <c r="M6" s="1">
        <f t="shared" si="2"/>
        <v>455068.9456099493</v>
      </c>
      <c r="P6" s="1">
        <f t="shared" si="3"/>
        <v>0</v>
      </c>
      <c r="Q6" s="1">
        <f t="shared" si="4"/>
        <v>0</v>
      </c>
      <c r="R6" s="1">
        <f t="shared" si="5"/>
        <v>455068.9456099493</v>
      </c>
    </row>
    <row r="7" spans="1:18" ht="15.65" outlineLevel="2">
      <c r="A7" s="9" t="s">
        <v>4</v>
      </c>
      <c r="B7" s="11" t="s">
        <v>107</v>
      </c>
      <c r="C7" s="10">
        <v>11164807.68</v>
      </c>
      <c r="F7" s="10">
        <v>11164807.68</v>
      </c>
      <c r="H7" s="3">
        <v>100</v>
      </c>
      <c r="I7" s="3">
        <v>95.504812000000001</v>
      </c>
      <c r="J7" s="2">
        <v>0</v>
      </c>
      <c r="K7" s="1">
        <f t="shared" si="0"/>
        <v>501879.09505443776</v>
      </c>
      <c r="L7" s="1">
        <f t="shared" si="1"/>
        <v>1.1256383603774596</v>
      </c>
      <c r="M7" s="1">
        <f t="shared" si="2"/>
        <v>564934.36166480044</v>
      </c>
      <c r="P7" s="1">
        <f t="shared" si="3"/>
        <v>0</v>
      </c>
      <c r="Q7" s="1">
        <f t="shared" si="4"/>
        <v>0</v>
      </c>
      <c r="R7" s="1">
        <f t="shared" si="5"/>
        <v>564934.36166480044</v>
      </c>
    </row>
    <row r="8" spans="1:18" ht="15.65" outlineLevel="2">
      <c r="A8" s="9" t="s">
        <v>4</v>
      </c>
      <c r="B8" s="11" t="s">
        <v>106</v>
      </c>
      <c r="C8" s="10">
        <v>22528324.09</v>
      </c>
      <c r="F8" s="10">
        <v>22528324.09</v>
      </c>
      <c r="H8" s="3">
        <v>100</v>
      </c>
      <c r="I8" s="3">
        <v>94.506332999999998</v>
      </c>
      <c r="J8" s="2">
        <v>0</v>
      </c>
      <c r="K8" s="1">
        <f t="shared" si="0"/>
        <v>1237631.1061853808</v>
      </c>
      <c r="L8" s="1">
        <f t="shared" si="1"/>
        <v>1.1256383603774596</v>
      </c>
      <c r="M8" s="1">
        <f t="shared" si="2"/>
        <v>1393125.0491186536</v>
      </c>
      <c r="P8" s="1">
        <f t="shared" si="3"/>
        <v>0</v>
      </c>
      <c r="Q8" s="1">
        <f t="shared" si="4"/>
        <v>0</v>
      </c>
      <c r="R8" s="1">
        <f t="shared" si="5"/>
        <v>1393125.0491186536</v>
      </c>
    </row>
    <row r="9" spans="1:18" ht="15.65" outlineLevel="2">
      <c r="A9" s="9" t="s">
        <v>4</v>
      </c>
      <c r="B9" s="11" t="s">
        <v>105</v>
      </c>
      <c r="C9" s="10">
        <v>1778696.76</v>
      </c>
      <c r="F9" s="10">
        <v>1778696.76</v>
      </c>
      <c r="H9" s="3">
        <v>100</v>
      </c>
      <c r="I9" s="3">
        <v>93.508061999999995</v>
      </c>
      <c r="J9" s="2">
        <v>0</v>
      </c>
      <c r="K9" s="1">
        <f t="shared" si="0"/>
        <v>115471.89086720895</v>
      </c>
      <c r="L9" s="1">
        <f t="shared" si="1"/>
        <v>1.1256383603774596</v>
      </c>
      <c r="M9" s="1">
        <f t="shared" si="2"/>
        <v>129979.58990545002</v>
      </c>
      <c r="P9" s="1">
        <f t="shared" si="3"/>
        <v>0</v>
      </c>
      <c r="Q9" s="1">
        <f t="shared" si="4"/>
        <v>0</v>
      </c>
      <c r="R9" s="1">
        <f t="shared" si="5"/>
        <v>129979.58990545002</v>
      </c>
    </row>
    <row r="10" spans="1:18" ht="15.65" outlineLevel="2">
      <c r="A10" s="9" t="s">
        <v>4</v>
      </c>
      <c r="B10" s="11" t="s">
        <v>104</v>
      </c>
      <c r="C10" s="10">
        <v>20630084.219999999</v>
      </c>
      <c r="F10" s="10">
        <v>20630084.219999999</v>
      </c>
      <c r="H10" s="3">
        <v>100</v>
      </c>
      <c r="I10" s="3">
        <v>92.510024999999999</v>
      </c>
      <c r="J10" s="2">
        <v>0</v>
      </c>
      <c r="K10" s="1">
        <f t="shared" si="0"/>
        <v>1545188.1505569457</v>
      </c>
      <c r="L10" s="1">
        <f t="shared" si="1"/>
        <v>1.1256383603774596</v>
      </c>
      <c r="M10" s="1">
        <f t="shared" si="2"/>
        <v>1739323.0562675996</v>
      </c>
      <c r="P10" s="1">
        <f t="shared" si="3"/>
        <v>0</v>
      </c>
      <c r="Q10" s="1">
        <f t="shared" si="4"/>
        <v>0</v>
      </c>
      <c r="R10" s="1">
        <f t="shared" si="5"/>
        <v>1739323.0562675996</v>
      </c>
    </row>
    <row r="11" spans="1:18" ht="15.65" outlineLevel="2">
      <c r="A11" s="9" t="s">
        <v>4</v>
      </c>
      <c r="B11" s="11" t="s">
        <v>103</v>
      </c>
      <c r="C11" s="10">
        <v>131630396.91</v>
      </c>
      <c r="F11" s="10">
        <v>131630396.91</v>
      </c>
      <c r="H11" s="3">
        <v>100</v>
      </c>
      <c r="I11" s="3">
        <v>91.512247000000002</v>
      </c>
      <c r="J11" s="2">
        <v>0</v>
      </c>
      <c r="K11" s="1">
        <f t="shared" si="0"/>
        <v>11172462.962640429</v>
      </c>
      <c r="L11" s="1">
        <f t="shared" si="1"/>
        <v>1.1256383603774596</v>
      </c>
      <c r="M11" s="1">
        <f t="shared" si="2"/>
        <v>12576152.890644467</v>
      </c>
      <c r="P11" s="1">
        <f t="shared" si="3"/>
        <v>0</v>
      </c>
      <c r="Q11" s="1">
        <f t="shared" si="4"/>
        <v>0</v>
      </c>
      <c r="R11" s="1">
        <f t="shared" si="5"/>
        <v>12576152.890644467</v>
      </c>
    </row>
    <row r="12" spans="1:18" ht="15.65" outlineLevel="2">
      <c r="A12" s="9" t="s">
        <v>4</v>
      </c>
      <c r="B12" s="11" t="s">
        <v>102</v>
      </c>
      <c r="C12" s="10">
        <v>14144808.26</v>
      </c>
      <c r="F12" s="10">
        <v>14144808.26</v>
      </c>
      <c r="H12" s="3">
        <v>100</v>
      </c>
      <c r="I12" s="3">
        <v>90.514759999999995</v>
      </c>
      <c r="J12" s="2">
        <v>0</v>
      </c>
      <c r="K12" s="1">
        <f t="shared" si="0"/>
        <v>1341669.0110008249</v>
      </c>
      <c r="L12" s="1">
        <f t="shared" si="1"/>
        <v>1.1256383603774596</v>
      </c>
      <c r="M12" s="1">
        <f t="shared" si="2"/>
        <v>1510234.1057122164</v>
      </c>
      <c r="P12" s="1">
        <f t="shared" si="3"/>
        <v>0</v>
      </c>
      <c r="Q12" s="1">
        <f t="shared" si="4"/>
        <v>0</v>
      </c>
      <c r="R12" s="1">
        <f t="shared" si="5"/>
        <v>1510234.1057122164</v>
      </c>
    </row>
    <row r="13" spans="1:18" ht="15.65" outlineLevel="2">
      <c r="A13" s="9" t="s">
        <v>4</v>
      </c>
      <c r="B13" s="11" t="s">
        <v>101</v>
      </c>
      <c r="C13" s="10">
        <v>21823184.84</v>
      </c>
      <c r="F13" s="10">
        <v>21823184.84</v>
      </c>
      <c r="H13" s="3">
        <v>100</v>
      </c>
      <c r="I13" s="3">
        <v>89.517590999999996</v>
      </c>
      <c r="J13" s="2">
        <v>0</v>
      </c>
      <c r="K13" s="1">
        <f t="shared" si="0"/>
        <v>2287595.4917547964</v>
      </c>
      <c r="L13" s="1">
        <f t="shared" si="1"/>
        <v>1.1256383603774596</v>
      </c>
      <c r="M13" s="1">
        <f t="shared" si="2"/>
        <v>2575005.2385457372</v>
      </c>
      <c r="P13" s="1">
        <f t="shared" si="3"/>
        <v>0</v>
      </c>
      <c r="Q13" s="1">
        <f t="shared" si="4"/>
        <v>0</v>
      </c>
      <c r="R13" s="1">
        <f t="shared" si="5"/>
        <v>2575005.2385457372</v>
      </c>
    </row>
    <row r="14" spans="1:18" ht="15.65" outlineLevel="2">
      <c r="A14" s="9" t="s">
        <v>4</v>
      </c>
      <c r="B14" s="11" t="s">
        <v>100</v>
      </c>
      <c r="C14" s="10">
        <v>16656461.810000001</v>
      </c>
      <c r="F14" s="10">
        <v>16656461.810000001</v>
      </c>
      <c r="H14" s="3">
        <v>100</v>
      </c>
      <c r="I14" s="3">
        <v>88.520782999999994</v>
      </c>
      <c r="J14" s="2">
        <v>0</v>
      </c>
      <c r="K14" s="1">
        <f t="shared" si="0"/>
        <v>1912031.395692029</v>
      </c>
      <c r="L14" s="1">
        <f t="shared" si="1"/>
        <v>1.1256383603774596</v>
      </c>
      <c r="M14" s="1">
        <f t="shared" si="2"/>
        <v>2152255.8852370013</v>
      </c>
      <c r="P14" s="1">
        <f t="shared" si="3"/>
        <v>0</v>
      </c>
      <c r="Q14" s="1">
        <f t="shared" si="4"/>
        <v>0</v>
      </c>
      <c r="R14" s="1">
        <f t="shared" si="5"/>
        <v>2152255.8852370013</v>
      </c>
    </row>
    <row r="15" spans="1:18" ht="15.65" outlineLevel="2">
      <c r="A15" s="9" t="s">
        <v>4</v>
      </c>
      <c r="B15" s="11" t="s">
        <v>99</v>
      </c>
      <c r="C15" s="10">
        <v>1750118.51</v>
      </c>
      <c r="F15" s="10">
        <v>1750118.51</v>
      </c>
      <c r="H15" s="3">
        <v>100</v>
      </c>
      <c r="I15" s="3">
        <v>87.524371000000002</v>
      </c>
      <c r="J15" s="2">
        <v>0</v>
      </c>
      <c r="K15" s="1">
        <f t="shared" si="0"/>
        <v>218338.29236792788</v>
      </c>
      <c r="L15" s="1">
        <f t="shared" si="1"/>
        <v>1.1256383603774596</v>
      </c>
      <c r="M15" s="1">
        <f t="shared" si="2"/>
        <v>245769.95742864872</v>
      </c>
      <c r="P15" s="1">
        <f t="shared" si="3"/>
        <v>0</v>
      </c>
      <c r="Q15" s="1">
        <f t="shared" si="4"/>
        <v>0</v>
      </c>
      <c r="R15" s="1">
        <f t="shared" si="5"/>
        <v>245769.95742864872</v>
      </c>
    </row>
    <row r="16" spans="1:18" ht="15.65" outlineLevel="2">
      <c r="A16" s="9" t="s">
        <v>4</v>
      </c>
      <c r="B16" s="11" t="s">
        <v>98</v>
      </c>
      <c r="C16" s="10">
        <v>4294120.9200000009</v>
      </c>
      <c r="F16" s="10">
        <v>4294120.9200000009</v>
      </c>
      <c r="H16" s="3">
        <v>100</v>
      </c>
      <c r="I16" s="3">
        <v>86.528392999999994</v>
      </c>
      <c r="J16" s="2">
        <v>0</v>
      </c>
      <c r="K16" s="1">
        <f t="shared" si="0"/>
        <v>578487.09444718482</v>
      </c>
      <c r="L16" s="1">
        <f t="shared" si="1"/>
        <v>1.1256383603774596</v>
      </c>
      <c r="M16" s="1">
        <f t="shared" si="2"/>
        <v>651167.2644930497</v>
      </c>
      <c r="P16" s="1">
        <f t="shared" si="3"/>
        <v>0</v>
      </c>
      <c r="Q16" s="1">
        <f t="shared" si="4"/>
        <v>0</v>
      </c>
      <c r="R16" s="1">
        <f t="shared" si="5"/>
        <v>651167.2644930497</v>
      </c>
    </row>
    <row r="17" spans="1:18" ht="15.65" outlineLevel="2">
      <c r="A17" s="9" t="s">
        <v>4</v>
      </c>
      <c r="B17" s="11" t="s">
        <v>97</v>
      </c>
      <c r="C17" s="10">
        <v>8483991.5999999996</v>
      </c>
      <c r="F17" s="10">
        <v>8483991.5999999996</v>
      </c>
      <c r="H17" s="3">
        <v>100</v>
      </c>
      <c r="I17" s="3">
        <v>85.532898000000003</v>
      </c>
      <c r="J17" s="2">
        <v>0</v>
      </c>
      <c r="K17" s="1">
        <f t="shared" si="0"/>
        <v>1227387.7184434319</v>
      </c>
      <c r="L17" s="1">
        <f t="shared" si="1"/>
        <v>1.1256383603774596</v>
      </c>
      <c r="M17" s="1">
        <f t="shared" si="2"/>
        <v>1381594.6989360957</v>
      </c>
      <c r="P17" s="1">
        <f t="shared" si="3"/>
        <v>0</v>
      </c>
      <c r="Q17" s="1">
        <f t="shared" si="4"/>
        <v>0</v>
      </c>
      <c r="R17" s="1">
        <f t="shared" si="5"/>
        <v>1381594.6989360957</v>
      </c>
    </row>
    <row r="18" spans="1:18" ht="15.65" outlineLevel="2">
      <c r="A18" s="9" t="s">
        <v>4</v>
      </c>
      <c r="B18" s="11" t="s">
        <v>96</v>
      </c>
      <c r="C18" s="10">
        <v>15377143.59</v>
      </c>
      <c r="F18" s="10">
        <v>15377143.59</v>
      </c>
      <c r="H18" s="3">
        <v>100</v>
      </c>
      <c r="I18" s="3">
        <v>84.537930000000003</v>
      </c>
      <c r="J18" s="2">
        <v>0</v>
      </c>
      <c r="K18" s="1">
        <f t="shared" si="0"/>
        <v>2377624.7058863123</v>
      </c>
      <c r="L18" s="1">
        <f t="shared" si="1"/>
        <v>1.1256383603774596</v>
      </c>
      <c r="M18" s="1">
        <f t="shared" si="2"/>
        <v>2676345.5755268079</v>
      </c>
      <c r="P18" s="1">
        <f t="shared" si="3"/>
        <v>0</v>
      </c>
      <c r="Q18" s="1">
        <f t="shared" si="4"/>
        <v>0</v>
      </c>
      <c r="R18" s="1">
        <f t="shared" si="5"/>
        <v>2676345.5755268079</v>
      </c>
    </row>
    <row r="19" spans="1:18" ht="15.65" outlineLevel="2">
      <c r="A19" s="9" t="s">
        <v>4</v>
      </c>
      <c r="B19" s="11" t="s">
        <v>95</v>
      </c>
      <c r="C19" s="10">
        <v>3971893.8599999999</v>
      </c>
      <c r="F19" s="10">
        <v>3971893.8599999999</v>
      </c>
      <c r="H19" s="3">
        <v>100</v>
      </c>
      <c r="I19" s="3">
        <v>83.543542000000002</v>
      </c>
      <c r="J19" s="2">
        <v>0</v>
      </c>
      <c r="K19" s="1">
        <f t="shared" si="0"/>
        <v>653633.0448754786</v>
      </c>
      <c r="L19" s="1">
        <f t="shared" si="1"/>
        <v>1.1256383603774596</v>
      </c>
      <c r="M19" s="1">
        <f t="shared" si="2"/>
        <v>735754.42892216018</v>
      </c>
      <c r="P19" s="1">
        <f t="shared" si="3"/>
        <v>0</v>
      </c>
      <c r="Q19" s="1">
        <f t="shared" si="4"/>
        <v>0</v>
      </c>
      <c r="R19" s="1">
        <f t="shared" si="5"/>
        <v>735754.42892216018</v>
      </c>
    </row>
    <row r="20" spans="1:18" ht="15.65" outlineLevel="2">
      <c r="A20" s="9" t="s">
        <v>4</v>
      </c>
      <c r="B20" s="11" t="s">
        <v>94</v>
      </c>
      <c r="C20" s="10">
        <v>3791318.52</v>
      </c>
      <c r="F20" s="10">
        <v>3791318.52</v>
      </c>
      <c r="H20" s="3">
        <v>100</v>
      </c>
      <c r="I20" s="3">
        <v>82.549790999999999</v>
      </c>
      <c r="J20" s="2">
        <v>0</v>
      </c>
      <c r="K20" s="1">
        <f t="shared" si="0"/>
        <v>661593.00559570699</v>
      </c>
      <c r="L20" s="1">
        <f t="shared" si="1"/>
        <v>1.1256383603774596</v>
      </c>
      <c r="M20" s="1">
        <f t="shared" si="2"/>
        <v>744714.46605594701</v>
      </c>
      <c r="P20" s="1">
        <f t="shared" si="3"/>
        <v>0</v>
      </c>
      <c r="Q20" s="1">
        <f t="shared" si="4"/>
        <v>0</v>
      </c>
      <c r="R20" s="1">
        <f t="shared" si="5"/>
        <v>744714.46605594701</v>
      </c>
    </row>
    <row r="21" spans="1:18" ht="15.65" outlineLevel="2">
      <c r="A21" s="9" t="s">
        <v>4</v>
      </c>
      <c r="B21" s="11" t="s">
        <v>93</v>
      </c>
      <c r="C21" s="10">
        <v>460052.81</v>
      </c>
      <c r="F21" s="10">
        <v>460052.81</v>
      </c>
      <c r="H21" s="3">
        <v>100</v>
      </c>
      <c r="I21" s="3">
        <v>81.556731999999997</v>
      </c>
      <c r="J21" s="2">
        <v>0</v>
      </c>
      <c r="K21" s="1">
        <f t="shared" si="0"/>
        <v>84848.772689830803</v>
      </c>
      <c r="L21" s="1">
        <f t="shared" si="1"/>
        <v>1.1256383603774596</v>
      </c>
      <c r="M21" s="1">
        <f t="shared" si="2"/>
        <v>95509.03337062092</v>
      </c>
      <c r="P21" s="1">
        <f t="shared" si="3"/>
        <v>0</v>
      </c>
      <c r="Q21" s="1">
        <f t="shared" si="4"/>
        <v>0</v>
      </c>
      <c r="R21" s="1">
        <f t="shared" si="5"/>
        <v>95509.03337062092</v>
      </c>
    </row>
    <row r="22" spans="1:18" ht="15.65" outlineLevel="2">
      <c r="A22" s="9" t="s">
        <v>4</v>
      </c>
      <c r="B22" s="11" t="s">
        <v>92</v>
      </c>
      <c r="C22" s="10">
        <v>6615324.6899999995</v>
      </c>
      <c r="F22" s="10">
        <v>6615324.6899999995</v>
      </c>
      <c r="H22" s="3">
        <v>100</v>
      </c>
      <c r="I22" s="3">
        <v>80.564430000000002</v>
      </c>
      <c r="J22" s="2">
        <v>0</v>
      </c>
      <c r="K22" s="1">
        <f t="shared" si="0"/>
        <v>1285726.0608522331</v>
      </c>
      <c r="L22" s="1">
        <f t="shared" si="1"/>
        <v>1.1256383603774596</v>
      </c>
      <c r="M22" s="1">
        <f t="shared" si="2"/>
        <v>1447262.5750322775</v>
      </c>
      <c r="P22" s="1">
        <f t="shared" si="3"/>
        <v>0</v>
      </c>
      <c r="Q22" s="1">
        <f t="shared" si="4"/>
        <v>0</v>
      </c>
      <c r="R22" s="1">
        <f t="shared" si="5"/>
        <v>1447262.5750322775</v>
      </c>
    </row>
    <row r="23" spans="1:18" ht="15.65" outlineLevel="2">
      <c r="A23" s="9" t="s">
        <v>4</v>
      </c>
      <c r="B23" s="11" t="s">
        <v>91</v>
      </c>
      <c r="C23" s="10">
        <v>16468175.92</v>
      </c>
      <c r="F23" s="10">
        <v>16468175.92</v>
      </c>
      <c r="H23" s="3">
        <v>100</v>
      </c>
      <c r="I23" s="3">
        <v>79.572957000000002</v>
      </c>
      <c r="J23" s="2">
        <v>0</v>
      </c>
      <c r="K23" s="1">
        <f t="shared" si="0"/>
        <v>3363961.3764940458</v>
      </c>
      <c r="L23" s="1">
        <f t="shared" si="1"/>
        <v>1.1256383603774596</v>
      </c>
      <c r="M23" s="1">
        <f t="shared" si="2"/>
        <v>3786603.9682098599</v>
      </c>
      <c r="P23" s="1">
        <f t="shared" si="3"/>
        <v>0</v>
      </c>
      <c r="Q23" s="1">
        <f t="shared" si="4"/>
        <v>0</v>
      </c>
      <c r="R23" s="1">
        <f t="shared" si="5"/>
        <v>3786603.9682098599</v>
      </c>
    </row>
    <row r="24" spans="1:18" ht="15.65" outlineLevel="2">
      <c r="A24" s="9" t="s">
        <v>4</v>
      </c>
      <c r="B24" s="11" t="s">
        <v>90</v>
      </c>
      <c r="C24" s="10">
        <v>200401.48999999999</v>
      </c>
      <c r="F24" s="10">
        <v>200401.48999999999</v>
      </c>
      <c r="H24" s="3">
        <v>100</v>
      </c>
      <c r="I24" s="3">
        <v>78.582382999999993</v>
      </c>
      <c r="J24" s="2">
        <v>0</v>
      </c>
      <c r="K24" s="1">
        <f t="shared" si="0"/>
        <v>42921.223590493319</v>
      </c>
      <c r="L24" s="1">
        <f t="shared" si="1"/>
        <v>1.1256383603774596</v>
      </c>
      <c r="M24" s="1">
        <f t="shared" si="2"/>
        <v>48313.775747797241</v>
      </c>
      <c r="P24" s="1">
        <f t="shared" si="3"/>
        <v>0</v>
      </c>
      <c r="Q24" s="1">
        <f t="shared" si="4"/>
        <v>0</v>
      </c>
      <c r="R24" s="1">
        <f t="shared" si="5"/>
        <v>48313.775747797241</v>
      </c>
    </row>
    <row r="25" spans="1:18" ht="15.65" outlineLevel="2">
      <c r="A25" s="9" t="s">
        <v>4</v>
      </c>
      <c r="B25" s="11" t="s">
        <v>89</v>
      </c>
      <c r="C25" s="10">
        <v>510266.76000000001</v>
      </c>
      <c r="F25" s="10">
        <v>510266.76000000001</v>
      </c>
      <c r="H25" s="3">
        <v>100</v>
      </c>
      <c r="I25" s="3">
        <v>77.592783999999995</v>
      </c>
      <c r="J25" s="2">
        <v>0</v>
      </c>
      <c r="K25" s="1">
        <f t="shared" si="0"/>
        <v>114336.57508940164</v>
      </c>
      <c r="L25" s="1">
        <f t="shared" si="1"/>
        <v>1.1256383603774596</v>
      </c>
      <c r="M25" s="1">
        <f t="shared" si="2"/>
        <v>128701.63491480835</v>
      </c>
      <c r="P25" s="1">
        <f t="shared" si="3"/>
        <v>0</v>
      </c>
      <c r="Q25" s="1">
        <f t="shared" si="4"/>
        <v>0</v>
      </c>
      <c r="R25" s="1">
        <f t="shared" si="5"/>
        <v>128701.63491480835</v>
      </c>
    </row>
    <row r="26" spans="1:18" ht="15.65" outlineLevel="2">
      <c r="A26" s="9" t="s">
        <v>4</v>
      </c>
      <c r="B26" s="11" t="s">
        <v>88</v>
      </c>
      <c r="C26" s="10">
        <v>7681727.4199999999</v>
      </c>
      <c r="F26" s="10">
        <v>7681727.4199999999</v>
      </c>
      <c r="H26" s="3">
        <v>100</v>
      </c>
      <c r="I26" s="3">
        <v>76.604241999999999</v>
      </c>
      <c r="J26" s="2">
        <v>0</v>
      </c>
      <c r="K26" s="1">
        <f t="shared" si="0"/>
        <v>1797198.3574028437</v>
      </c>
      <c r="L26" s="1">
        <f t="shared" si="1"/>
        <v>1.1256383603774596</v>
      </c>
      <c r="M26" s="1">
        <f t="shared" si="2"/>
        <v>2022995.4123000004</v>
      </c>
      <c r="P26" s="1">
        <f t="shared" si="3"/>
        <v>0</v>
      </c>
      <c r="Q26" s="1">
        <f t="shared" si="4"/>
        <v>0</v>
      </c>
      <c r="R26" s="1">
        <f t="shared" si="5"/>
        <v>2022995.4123000004</v>
      </c>
    </row>
    <row r="27" spans="1:18" ht="15.65" outlineLevel="2">
      <c r="A27" s="9" t="s">
        <v>4</v>
      </c>
      <c r="B27" s="11" t="s">
        <v>87</v>
      </c>
      <c r="C27" s="10">
        <v>3438350.8399999999</v>
      </c>
      <c r="F27" s="10">
        <v>3438350.8399999999</v>
      </c>
      <c r="H27" s="3">
        <v>100</v>
      </c>
      <c r="I27" s="3">
        <v>75.616844</v>
      </c>
      <c r="J27" s="2">
        <v>0</v>
      </c>
      <c r="K27" s="1">
        <f t="shared" si="0"/>
        <v>838378.4491445102</v>
      </c>
      <c r="L27" s="1">
        <f t="shared" si="1"/>
        <v>1.1256383603774596</v>
      </c>
      <c r="M27" s="1">
        <f t="shared" si="2"/>
        <v>943710.94287082378</v>
      </c>
      <c r="P27" s="1">
        <f t="shared" si="3"/>
        <v>0</v>
      </c>
      <c r="Q27" s="1">
        <f t="shared" si="4"/>
        <v>0</v>
      </c>
      <c r="R27" s="1">
        <f t="shared" si="5"/>
        <v>943710.94287082378</v>
      </c>
    </row>
    <row r="28" spans="1:18" ht="15.65" outlineLevel="2">
      <c r="A28" s="9" t="s">
        <v>4</v>
      </c>
      <c r="B28" s="11" t="s">
        <v>86</v>
      </c>
      <c r="C28" s="10">
        <v>17782.330000000002</v>
      </c>
      <c r="F28" s="10">
        <v>17782.330000000002</v>
      </c>
      <c r="H28" s="3">
        <v>100</v>
      </c>
      <c r="I28" s="3">
        <v>74.630679999999998</v>
      </c>
      <c r="J28" s="2">
        <v>0</v>
      </c>
      <c r="K28" s="1">
        <f t="shared" si="0"/>
        <v>4511.2562011560012</v>
      </c>
      <c r="L28" s="1">
        <f t="shared" si="1"/>
        <v>1.1256383603774596</v>
      </c>
      <c r="M28" s="1">
        <f t="shared" si="2"/>
        <v>5078.0430335118881</v>
      </c>
      <c r="P28" s="1">
        <f t="shared" si="3"/>
        <v>0</v>
      </c>
      <c r="Q28" s="1">
        <f t="shared" si="4"/>
        <v>0</v>
      </c>
      <c r="R28" s="1">
        <f t="shared" si="5"/>
        <v>5078.0430335118881</v>
      </c>
    </row>
    <row r="29" spans="1:18" ht="15.65" outlineLevel="2">
      <c r="A29" s="9" t="s">
        <v>4</v>
      </c>
      <c r="B29" s="11" t="s">
        <v>85</v>
      </c>
      <c r="C29" s="10">
        <v>67590.279999999999</v>
      </c>
      <c r="F29" s="10">
        <v>67590.279999999999</v>
      </c>
      <c r="H29" s="3">
        <v>100</v>
      </c>
      <c r="I29" s="3">
        <v>73.645848999999998</v>
      </c>
      <c r="J29" s="2">
        <v>0</v>
      </c>
      <c r="K29" s="1">
        <f t="shared" si="0"/>
        <v>17812.844452522801</v>
      </c>
      <c r="L29" s="1">
        <f t="shared" si="1"/>
        <v>1.1256383603774596</v>
      </c>
      <c r="M29" s="1">
        <f t="shared" si="2"/>
        <v>20050.821023196491</v>
      </c>
      <c r="P29" s="1">
        <f t="shared" si="3"/>
        <v>0</v>
      </c>
      <c r="Q29" s="1">
        <f t="shared" si="4"/>
        <v>0</v>
      </c>
      <c r="R29" s="1">
        <f t="shared" si="5"/>
        <v>20050.821023196491</v>
      </c>
    </row>
    <row r="30" spans="1:18" ht="15.65" outlineLevel="2">
      <c r="A30" s="9" t="s">
        <v>4</v>
      </c>
      <c r="B30" s="11" t="s">
        <v>84</v>
      </c>
      <c r="C30" s="10">
        <v>885323.78000000003</v>
      </c>
      <c r="F30" s="10">
        <v>885323.78000000003</v>
      </c>
      <c r="H30" s="3">
        <v>100</v>
      </c>
      <c r="I30" s="3">
        <v>72.662453999999997</v>
      </c>
      <c r="J30" s="2">
        <v>0</v>
      </c>
      <c r="K30" s="1">
        <f t="shared" si="0"/>
        <v>242025.79560643883</v>
      </c>
      <c r="L30" s="1">
        <f t="shared" si="1"/>
        <v>1.1256383603774596</v>
      </c>
      <c r="M30" s="1">
        <f t="shared" si="2"/>
        <v>272433.51973548194</v>
      </c>
      <c r="P30" s="1">
        <f t="shared" si="3"/>
        <v>0</v>
      </c>
      <c r="Q30" s="1">
        <f t="shared" si="4"/>
        <v>0</v>
      </c>
      <c r="R30" s="1">
        <f t="shared" si="5"/>
        <v>272433.51973548194</v>
      </c>
    </row>
    <row r="31" spans="1:18" ht="15.65" outlineLevel="2">
      <c r="A31" s="9" t="s">
        <v>4</v>
      </c>
      <c r="B31" s="11" t="s">
        <v>83</v>
      </c>
      <c r="C31" s="10">
        <v>1096408.49</v>
      </c>
      <c r="F31" s="10">
        <v>1096408.49</v>
      </c>
      <c r="H31" s="3">
        <v>100</v>
      </c>
      <c r="I31" s="3">
        <v>71.680600999999996</v>
      </c>
      <c r="J31" s="2">
        <v>0</v>
      </c>
      <c r="K31" s="1">
        <f t="shared" si="0"/>
        <v>310496.29495297512</v>
      </c>
      <c r="L31" s="1">
        <f t="shared" si="1"/>
        <v>1.1256383603774596</v>
      </c>
      <c r="M31" s="1">
        <f t="shared" si="2"/>
        <v>349506.54035414301</v>
      </c>
      <c r="P31" s="1">
        <f t="shared" si="3"/>
        <v>0</v>
      </c>
      <c r="Q31" s="1">
        <f t="shared" si="4"/>
        <v>0</v>
      </c>
      <c r="R31" s="1">
        <f t="shared" si="5"/>
        <v>349506.54035414301</v>
      </c>
    </row>
    <row r="32" spans="1:18" ht="15.65" outlineLevel="2">
      <c r="A32" s="9" t="s">
        <v>4</v>
      </c>
      <c r="B32" s="11" t="s">
        <v>82</v>
      </c>
      <c r="C32" s="10">
        <v>480533.01000000001</v>
      </c>
      <c r="F32" s="10">
        <v>480533.01000000001</v>
      </c>
      <c r="H32" s="3">
        <v>100</v>
      </c>
      <c r="I32" s="3">
        <v>70.700396999999995</v>
      </c>
      <c r="J32" s="2">
        <v>0</v>
      </c>
      <c r="K32" s="1">
        <f t="shared" si="0"/>
        <v>140794.26421395034</v>
      </c>
      <c r="L32" s="1">
        <f t="shared" si="1"/>
        <v>1.1256383603774596</v>
      </c>
      <c r="M32" s="1">
        <f t="shared" si="2"/>
        <v>158483.42472034189</v>
      </c>
      <c r="P32" s="1">
        <f t="shared" si="3"/>
        <v>0</v>
      </c>
      <c r="Q32" s="1">
        <f t="shared" si="4"/>
        <v>0</v>
      </c>
      <c r="R32" s="1">
        <f t="shared" si="5"/>
        <v>158483.42472034189</v>
      </c>
    </row>
    <row r="33" spans="1:18" ht="15.65" outlineLevel="2">
      <c r="A33" s="9" t="s">
        <v>4</v>
      </c>
      <c r="B33" s="11" t="s">
        <v>81</v>
      </c>
      <c r="C33" s="10">
        <v>387453.32999999996</v>
      </c>
      <c r="F33" s="10">
        <v>387453.32999999996</v>
      </c>
      <c r="H33" s="3">
        <v>100</v>
      </c>
      <c r="I33" s="3">
        <v>69.721964999999997</v>
      </c>
      <c r="J33" s="2">
        <v>0</v>
      </c>
      <c r="K33" s="1">
        <f t="shared" si="0"/>
        <v>117313.2548660655</v>
      </c>
      <c r="L33" s="1">
        <f t="shared" si="1"/>
        <v>1.1256383603774596</v>
      </c>
      <c r="M33" s="1">
        <f t="shared" si="2"/>
        <v>132052.29985798101</v>
      </c>
      <c r="P33" s="1">
        <f t="shared" si="3"/>
        <v>0</v>
      </c>
      <c r="Q33" s="1">
        <f t="shared" si="4"/>
        <v>0</v>
      </c>
      <c r="R33" s="1">
        <f t="shared" si="5"/>
        <v>132052.29985798101</v>
      </c>
    </row>
    <row r="34" spans="1:18" ht="15.65" outlineLevel="2">
      <c r="A34" s="9" t="s">
        <v>4</v>
      </c>
      <c r="B34" s="11" t="s">
        <v>80</v>
      </c>
      <c r="C34" s="10">
        <v>4485991.9800000004</v>
      </c>
      <c r="F34" s="10">
        <v>4485991.9800000004</v>
      </c>
      <c r="H34" s="3">
        <v>100</v>
      </c>
      <c r="I34" s="3">
        <v>68.745427000000006</v>
      </c>
      <c r="J34" s="2">
        <v>0</v>
      </c>
      <c r="K34" s="1">
        <f t="shared" si="0"/>
        <v>1402077.6381632453</v>
      </c>
      <c r="L34" s="1">
        <f t="shared" si="6" ref="L34:L65">$L$110</f>
        <v>1.1256383603774596</v>
      </c>
      <c r="M34" s="1">
        <f t="shared" si="2"/>
        <v>1578232.3737439765</v>
      </c>
      <c r="P34" s="1">
        <f t="shared" si="3"/>
        <v>0</v>
      </c>
      <c r="Q34" s="1">
        <f t="shared" si="4"/>
        <v>0</v>
      </c>
      <c r="R34" s="1">
        <f t="shared" si="5"/>
        <v>1578232.3737439765</v>
      </c>
    </row>
    <row r="35" spans="1:18" ht="15.65" outlineLevel="2">
      <c r="A35" s="9" t="s">
        <v>4</v>
      </c>
      <c r="B35" s="11" t="s">
        <v>79</v>
      </c>
      <c r="C35" s="10">
        <v>2503138.3799999999</v>
      </c>
      <c r="F35" s="10">
        <v>2503138.3799999999</v>
      </c>
      <c r="H35" s="3">
        <v>100</v>
      </c>
      <c r="I35" s="3">
        <v>67.770904999999999</v>
      </c>
      <c r="J35" s="2">
        <v>0</v>
      </c>
      <c r="K35" s="1">
        <f t="shared" si="7" ref="K35:K66">+C35*(1-I35/H35)*(1-J35)</f>
        <v>806738.84647166089</v>
      </c>
      <c r="L35" s="1">
        <f t="shared" si="6"/>
        <v>1.1256383603774596</v>
      </c>
      <c r="M35" s="1">
        <f t="shared" si="8" ref="M35:M66">IF((C35*(1-J35)-K35*L35)&lt;0,C35*(1-J35),K35*L35)</f>
        <v>908096.19239516347</v>
      </c>
      <c r="P35" s="1">
        <f t="shared" si="9" ref="P35:P66">+D35/$C35*$M35</f>
        <v>0</v>
      </c>
      <c r="Q35" s="1">
        <f t="shared" si="10" ref="Q35:Q66">+E35/$C35*$M35</f>
        <v>0</v>
      </c>
      <c r="R35" s="1">
        <f t="shared" si="11" ref="R35:R66">+F35/$C35*$M35</f>
        <v>908096.19239516347</v>
      </c>
    </row>
    <row r="36" spans="1:18" ht="15.65" outlineLevel="2">
      <c r="A36" s="9" t="s">
        <v>4</v>
      </c>
      <c r="B36" s="11" t="s">
        <v>78</v>
      </c>
      <c r="C36" s="10">
        <v>11982681.359999999</v>
      </c>
      <c r="F36" s="10">
        <v>11982681.359999999</v>
      </c>
      <c r="H36" s="3">
        <v>100</v>
      </c>
      <c r="I36" s="3">
        <v>66.798539000000005</v>
      </c>
      <c r="J36" s="2">
        <v>0</v>
      </c>
      <c r="K36" s="1">
        <f t="shared" si="7"/>
        <v>3978425.2784946691</v>
      </c>
      <c r="L36" s="1">
        <f t="shared" si="6"/>
        <v>1.1256383603774596</v>
      </c>
      <c r="M36" s="1">
        <f t="shared" si="8"/>
        <v>4478268.1073689777</v>
      </c>
      <c r="P36" s="1">
        <f t="shared" si="9"/>
        <v>0</v>
      </c>
      <c r="Q36" s="1">
        <f t="shared" si="10"/>
        <v>0</v>
      </c>
      <c r="R36" s="1">
        <f t="shared" si="11"/>
        <v>4478268.1073689777</v>
      </c>
    </row>
    <row r="37" spans="1:18" ht="15.65" outlineLevel="2">
      <c r="A37" s="9" t="s">
        <v>4</v>
      </c>
      <c r="B37" s="11" t="s">
        <v>77</v>
      </c>
      <c r="C37" s="10">
        <v>4093505.8500000001</v>
      </c>
      <c r="F37" s="10">
        <v>4093505.8500000001</v>
      </c>
      <c r="H37" s="3">
        <v>100</v>
      </c>
      <c r="I37" s="3">
        <v>65.828462999999999</v>
      </c>
      <c r="J37" s="2">
        <v>0</v>
      </c>
      <c r="K37" s="1">
        <f t="shared" si="7"/>
        <v>1398813.8661299143</v>
      </c>
      <c r="L37" s="1">
        <f t="shared" si="6"/>
        <v>1.1256383603774596</v>
      </c>
      <c r="M37" s="1">
        <f t="shared" si="8"/>
        <v>1574558.546743732</v>
      </c>
      <c r="P37" s="1">
        <f t="shared" si="9"/>
        <v>0</v>
      </c>
      <c r="Q37" s="1">
        <f t="shared" si="10"/>
        <v>0</v>
      </c>
      <c r="R37" s="1">
        <f t="shared" si="11"/>
        <v>1574558.546743732</v>
      </c>
    </row>
    <row r="38" spans="1:18" ht="15.65" outlineLevel="2">
      <c r="A38" s="9" t="s">
        <v>4</v>
      </c>
      <c r="B38" s="11" t="s">
        <v>76</v>
      </c>
      <c r="C38" s="10">
        <v>2250923.21</v>
      </c>
      <c r="F38" s="10">
        <v>2250923.21</v>
      </c>
      <c r="H38" s="3">
        <v>100</v>
      </c>
      <c r="I38" s="3">
        <v>64.860816</v>
      </c>
      <c r="J38" s="2">
        <v>0</v>
      </c>
      <c r="K38" s="1">
        <f t="shared" si="7"/>
        <v>790956.04846060637</v>
      </c>
      <c r="L38" s="1">
        <f t="shared" si="6"/>
        <v>1.1256383603774596</v>
      </c>
      <c r="M38" s="1">
        <f t="shared" si="8"/>
        <v>890330.46951983136</v>
      </c>
      <c r="P38" s="1">
        <f t="shared" si="9"/>
        <v>0</v>
      </c>
      <c r="Q38" s="1">
        <f t="shared" si="10"/>
        <v>0</v>
      </c>
      <c r="R38" s="1">
        <f t="shared" si="11"/>
        <v>890330.46951983136</v>
      </c>
    </row>
    <row r="39" spans="1:18" ht="15.65" outlineLevel="2">
      <c r="A39" s="9" t="s">
        <v>4</v>
      </c>
      <c r="B39" s="11" t="s">
        <v>75</v>
      </c>
      <c r="C39" s="10">
        <v>4917895.9899999993</v>
      </c>
      <c r="F39" s="10">
        <v>4917895.9899999993</v>
      </c>
      <c r="H39" s="3">
        <v>100</v>
      </c>
      <c r="I39" s="3">
        <v>63.895752999999999</v>
      </c>
      <c r="J39" s="2">
        <v>0</v>
      </c>
      <c r="K39" s="1">
        <f t="shared" si="7"/>
        <v>1775569.315432695</v>
      </c>
      <c r="L39" s="1">
        <f t="shared" si="6"/>
        <v>1.1256383603774596</v>
      </c>
      <c r="M39" s="1">
        <f t="shared" si="8"/>
        <v>1998648.9329601871</v>
      </c>
      <c r="P39" s="1">
        <f t="shared" si="9"/>
        <v>0</v>
      </c>
      <c r="Q39" s="1">
        <f t="shared" si="10"/>
        <v>0</v>
      </c>
      <c r="R39" s="1">
        <f t="shared" si="11"/>
        <v>1998648.9329601871</v>
      </c>
    </row>
    <row r="40" spans="1:18" ht="15.65" outlineLevel="2">
      <c r="A40" s="9" t="s">
        <v>4</v>
      </c>
      <c r="B40" s="11" t="s">
        <v>74</v>
      </c>
      <c r="C40" s="10">
        <v>3320431.4399999999</v>
      </c>
      <c r="F40" s="10">
        <v>3320431.4399999999</v>
      </c>
      <c r="H40" s="3">
        <v>100</v>
      </c>
      <c r="I40" s="3">
        <v>62.933422</v>
      </c>
      <c r="J40" s="2">
        <v>0</v>
      </c>
      <c r="K40" s="1">
        <f t="shared" si="7"/>
        <v>1230770.3096441231</v>
      </c>
      <c r="L40" s="1">
        <f t="shared" si="6"/>
        <v>1.1256383603774596</v>
      </c>
      <c r="M40" s="1">
        <f t="shared" si="8"/>
        <v>1385402.2733490688</v>
      </c>
      <c r="P40" s="1">
        <f t="shared" si="9"/>
        <v>0</v>
      </c>
      <c r="Q40" s="1">
        <f t="shared" si="10"/>
        <v>0</v>
      </c>
      <c r="R40" s="1">
        <f t="shared" si="11"/>
        <v>1385402.2733490688</v>
      </c>
    </row>
    <row r="41" spans="1:18" ht="15.65" outlineLevel="2">
      <c r="A41" s="9" t="s">
        <v>4</v>
      </c>
      <c r="B41" s="11" t="s">
        <v>73</v>
      </c>
      <c r="C41" s="10">
        <v>7194850.3399999999</v>
      </c>
      <c r="F41" s="10">
        <v>7194850.3399999999</v>
      </c>
      <c r="H41" s="3">
        <v>100</v>
      </c>
      <c r="I41" s="3">
        <v>61.973976</v>
      </c>
      <c r="J41" s="2">
        <v>0</v>
      </c>
      <c r="K41" s="1">
        <f t="shared" si="7"/>
        <v>2735915.5170524819</v>
      </c>
      <c r="L41" s="1">
        <f t="shared" si="6"/>
        <v>1.1256383603774596</v>
      </c>
      <c r="M41" s="1">
        <f t="shared" si="8"/>
        <v>3079651.4567462052</v>
      </c>
      <c r="P41" s="1">
        <f t="shared" si="9"/>
        <v>0</v>
      </c>
      <c r="Q41" s="1">
        <f t="shared" si="10"/>
        <v>0</v>
      </c>
      <c r="R41" s="1">
        <f t="shared" si="11"/>
        <v>3079651.4567462052</v>
      </c>
    </row>
    <row r="42" spans="1:18" ht="15.65" outlineLevel="2">
      <c r="A42" s="9" t="s">
        <v>4</v>
      </c>
      <c r="B42" s="11" t="s">
        <v>72</v>
      </c>
      <c r="C42" s="10">
        <v>5130966.4100000001</v>
      </c>
      <c r="F42" s="10">
        <v>5130966.4100000001</v>
      </c>
      <c r="H42" s="3">
        <v>100</v>
      </c>
      <c r="I42" s="3">
        <v>61.017580000000002</v>
      </c>
      <c r="J42" s="2">
        <v>0</v>
      </c>
      <c r="K42" s="1">
        <f t="shared" si="7"/>
        <v>2000174.8760051217</v>
      </c>
      <c r="L42" s="1">
        <f t="shared" si="6"/>
        <v>1.1256383603774596</v>
      </c>
      <c r="M42" s="1">
        <f t="shared" si="8"/>
        <v>2251473.5678945938</v>
      </c>
      <c r="P42" s="1">
        <f t="shared" si="9"/>
        <v>0</v>
      </c>
      <c r="Q42" s="1">
        <f t="shared" si="10"/>
        <v>0</v>
      </c>
      <c r="R42" s="1">
        <f t="shared" si="11"/>
        <v>2251473.5678945938</v>
      </c>
    </row>
    <row r="43" spans="1:18" ht="15.65" outlineLevel="2">
      <c r="A43" s="9" t="s">
        <v>4</v>
      </c>
      <c r="B43" s="11" t="s">
        <v>71</v>
      </c>
      <c r="C43" s="10">
        <v>3321123.6299999999</v>
      </c>
      <c r="F43" s="10">
        <v>3321123.6299999999</v>
      </c>
      <c r="H43" s="3">
        <v>100</v>
      </c>
      <c r="I43" s="3">
        <v>60.064397999999997</v>
      </c>
      <c r="J43" s="2">
        <v>0</v>
      </c>
      <c r="K43" s="1">
        <f t="shared" si="7"/>
        <v>1326310.7148047527</v>
      </c>
      <c r="L43" s="1">
        <f t="shared" si="6"/>
        <v>1.1256383603774596</v>
      </c>
      <c r="M43" s="1">
        <f t="shared" si="8"/>
        <v>1492946.2183638783</v>
      </c>
      <c r="P43" s="1">
        <f t="shared" si="9"/>
        <v>0</v>
      </c>
      <c r="Q43" s="1">
        <f t="shared" si="10"/>
        <v>0</v>
      </c>
      <c r="R43" s="1">
        <f t="shared" si="11"/>
        <v>1492946.2183638783</v>
      </c>
    </row>
    <row r="44" spans="1:18" ht="15.65" outlineLevel="2">
      <c r="A44" s="9" t="s">
        <v>4</v>
      </c>
      <c r="B44" s="11" t="s">
        <v>70</v>
      </c>
      <c r="C44" s="10">
        <v>4121650.9199999999</v>
      </c>
      <c r="F44" s="10">
        <v>4121650.9199999999</v>
      </c>
      <c r="H44" s="3">
        <v>100</v>
      </c>
      <c r="I44" s="3">
        <v>59.114595999999999</v>
      </c>
      <c r="J44" s="2">
        <v>0</v>
      </c>
      <c r="K44" s="1">
        <f t="shared" si="7"/>
        <v>1685153.6301117169</v>
      </c>
      <c r="L44" s="1">
        <f t="shared" si="6"/>
        <v>1.1256383603774596</v>
      </c>
      <c r="M44" s="1">
        <f t="shared" si="8"/>
        <v>1896873.569183077</v>
      </c>
      <c r="P44" s="1">
        <f t="shared" si="9"/>
        <v>0</v>
      </c>
      <c r="Q44" s="1">
        <f t="shared" si="10"/>
        <v>0</v>
      </c>
      <c r="R44" s="1">
        <f t="shared" si="11"/>
        <v>1896873.569183077</v>
      </c>
    </row>
    <row r="45" spans="1:18" ht="15.65" outlineLevel="2">
      <c r="A45" s="9" t="s">
        <v>4</v>
      </c>
      <c r="B45" s="11" t="s">
        <v>69</v>
      </c>
      <c r="C45" s="10">
        <v>7192983.25</v>
      </c>
      <c r="F45" s="10">
        <v>7192983.25</v>
      </c>
      <c r="H45" s="3">
        <v>100</v>
      </c>
      <c r="I45" s="3">
        <v>58.168345000000002</v>
      </c>
      <c r="J45" s="2">
        <v>0</v>
      </c>
      <c r="K45" s="1">
        <f t="shared" si="7"/>
        <v>3008943.9373477874</v>
      </c>
      <c r="L45" s="1">
        <f t="shared" si="6"/>
        <v>1.1256383603774596</v>
      </c>
      <c r="M45" s="1">
        <f t="shared" si="8"/>
        <v>3386982.7201038608</v>
      </c>
      <c r="P45" s="1">
        <f t="shared" si="9"/>
        <v>0</v>
      </c>
      <c r="Q45" s="1">
        <f t="shared" si="10"/>
        <v>0</v>
      </c>
      <c r="R45" s="1">
        <f t="shared" si="11"/>
        <v>3386982.7201038608</v>
      </c>
    </row>
    <row r="46" spans="1:18" ht="15.65" outlineLevel="2">
      <c r="A46" s="9" t="s">
        <v>4</v>
      </c>
      <c r="B46" s="11" t="s">
        <v>68</v>
      </c>
      <c r="C46" s="10">
        <v>1476360.1799999999</v>
      </c>
      <c r="F46" s="10">
        <v>1476360.1799999999</v>
      </c>
      <c r="H46" s="3">
        <v>100</v>
      </c>
      <c r="I46" s="3">
        <v>57.225816000000002</v>
      </c>
      <c r="J46" s="2">
        <v>0</v>
      </c>
      <c r="K46" s="1">
        <f t="shared" si="7"/>
        <v>631501.01989593112</v>
      </c>
      <c r="L46" s="1">
        <f t="shared" si="6"/>
        <v>1.1256383603774596</v>
      </c>
      <c r="M46" s="1">
        <f t="shared" si="8"/>
        <v>710841.77261234936</v>
      </c>
      <c r="P46" s="1">
        <f t="shared" si="9"/>
        <v>0</v>
      </c>
      <c r="Q46" s="1">
        <f t="shared" si="10"/>
        <v>0</v>
      </c>
      <c r="R46" s="1">
        <f t="shared" si="11"/>
        <v>710841.77261234936</v>
      </c>
    </row>
    <row r="47" spans="1:18" ht="15.65" outlineLevel="2">
      <c r="A47" s="9" t="s">
        <v>4</v>
      </c>
      <c r="B47" s="11" t="s">
        <v>67</v>
      </c>
      <c r="C47" s="10">
        <v>4309711.8300000001</v>
      </c>
      <c r="F47" s="10">
        <v>4309711.8300000001</v>
      </c>
      <c r="H47" s="3">
        <v>100</v>
      </c>
      <c r="I47" s="3">
        <v>56.287188</v>
      </c>
      <c r="J47" s="2">
        <v>0</v>
      </c>
      <c r="K47" s="1">
        <f t="shared" si="7"/>
        <v>1883896.2299896597</v>
      </c>
      <c r="L47" s="1">
        <f t="shared" si="6"/>
        <v>1.1256383603774596</v>
      </c>
      <c r="M47" s="1">
        <f t="shared" si="8"/>
        <v>2120585.8634468382</v>
      </c>
      <c r="P47" s="1">
        <f t="shared" si="9"/>
        <v>0</v>
      </c>
      <c r="Q47" s="1">
        <f t="shared" si="10"/>
        <v>0</v>
      </c>
      <c r="R47" s="1">
        <f t="shared" si="11"/>
        <v>2120585.8634468382</v>
      </c>
    </row>
    <row r="48" spans="1:18" ht="15.65" outlineLevel="2">
      <c r="A48" s="9" t="s">
        <v>4</v>
      </c>
      <c r="B48" s="11" t="s">
        <v>66</v>
      </c>
      <c r="C48" s="10">
        <v>5411473.6100000003</v>
      </c>
      <c r="F48" s="10">
        <v>5411473.6100000003</v>
      </c>
      <c r="H48" s="3">
        <v>100</v>
      </c>
      <c r="I48" s="3">
        <v>55.352640000000001</v>
      </c>
      <c r="J48" s="2">
        <v>0</v>
      </c>
      <c r="K48" s="1">
        <f t="shared" si="7"/>
        <v>2416080.1039616964</v>
      </c>
      <c r="L48" s="1">
        <f t="shared" si="6"/>
        <v>1.1256383603774596</v>
      </c>
      <c r="M48" s="1">
        <f t="shared" si="8"/>
        <v>2719632.4467640459</v>
      </c>
      <c r="P48" s="1">
        <f t="shared" si="9"/>
        <v>0</v>
      </c>
      <c r="Q48" s="1">
        <f t="shared" si="10"/>
        <v>0</v>
      </c>
      <c r="R48" s="1">
        <f t="shared" si="11"/>
        <v>2719632.4467640459</v>
      </c>
    </row>
    <row r="49" spans="1:18" ht="15.65" outlineLevel="2">
      <c r="A49" s="9" t="s">
        <v>4</v>
      </c>
      <c r="B49" s="11" t="s">
        <v>65</v>
      </c>
      <c r="C49" s="10">
        <v>1904824.72</v>
      </c>
      <c r="F49" s="10">
        <v>1904824.72</v>
      </c>
      <c r="H49" s="3">
        <v>100</v>
      </c>
      <c r="I49" s="3">
        <v>54.422351999999997</v>
      </c>
      <c r="J49" s="2">
        <v>0</v>
      </c>
      <c r="K49" s="1">
        <f t="shared" si="7"/>
        <v>868174.30589858571</v>
      </c>
      <c r="L49" s="1">
        <f t="shared" si="6"/>
        <v>1.1256383603774596</v>
      </c>
      <c r="M49" s="1">
        <f t="shared" si="8"/>
        <v>977250.30221352307</v>
      </c>
      <c r="P49" s="1">
        <f t="shared" si="9"/>
        <v>0</v>
      </c>
      <c r="Q49" s="1">
        <f t="shared" si="10"/>
        <v>0</v>
      </c>
      <c r="R49" s="1">
        <f t="shared" si="11"/>
        <v>977250.30221352307</v>
      </c>
    </row>
    <row r="50" spans="1:18" ht="15.65" outlineLevel="2">
      <c r="A50" s="9" t="s">
        <v>4</v>
      </c>
      <c r="B50" s="11" t="s">
        <v>64</v>
      </c>
      <c r="C50" s="10">
        <v>3709619.3599999999</v>
      </c>
      <c r="F50" s="10">
        <v>3709619.3599999999</v>
      </c>
      <c r="H50" s="3">
        <v>100</v>
      </c>
      <c r="I50" s="3">
        <v>53.496502999999997</v>
      </c>
      <c r="J50" s="2">
        <v>0</v>
      </c>
      <c r="K50" s="1">
        <f t="shared" si="7"/>
        <v>1725102.7277890192</v>
      </c>
      <c r="L50" s="1">
        <f t="shared" si="6"/>
        <v>1.1256383603774596</v>
      </c>
      <c r="M50" s="1">
        <f t="shared" si="8"/>
        <v>1941841.8059911146</v>
      </c>
      <c r="P50" s="1">
        <f t="shared" si="9"/>
        <v>0</v>
      </c>
      <c r="Q50" s="1">
        <f t="shared" si="10"/>
        <v>0</v>
      </c>
      <c r="R50" s="1">
        <f t="shared" si="11"/>
        <v>1941841.8059911146</v>
      </c>
    </row>
    <row r="51" spans="1:18" ht="15.65" outlineLevel="2">
      <c r="A51" s="9" t="s">
        <v>4</v>
      </c>
      <c r="B51" s="11" t="s">
        <v>63</v>
      </c>
      <c r="C51" s="10">
        <v>2464871.7200000002</v>
      </c>
      <c r="F51" s="10">
        <v>2464871.7200000002</v>
      </c>
      <c r="H51" s="3">
        <v>100</v>
      </c>
      <c r="I51" s="3">
        <v>52.575274999999998</v>
      </c>
      <c r="J51" s="2">
        <v>0</v>
      </c>
      <c r="K51" s="1">
        <f t="shared" si="7"/>
        <v>1168958.6348127702</v>
      </c>
      <c r="L51" s="1">
        <f t="shared" si="6"/>
        <v>1.1256383603774596</v>
      </c>
      <c r="M51" s="1">
        <f t="shared" si="8"/>
        <v>1315824.6810397201</v>
      </c>
      <c r="P51" s="1">
        <f t="shared" si="9"/>
        <v>0</v>
      </c>
      <c r="Q51" s="1">
        <f t="shared" si="10"/>
        <v>0</v>
      </c>
      <c r="R51" s="1">
        <f t="shared" si="11"/>
        <v>1315824.6810397201</v>
      </c>
    </row>
    <row r="52" spans="1:18" ht="15.65" outlineLevel="2">
      <c r="A52" s="9" t="s">
        <v>4</v>
      </c>
      <c r="B52" s="11" t="s">
        <v>62</v>
      </c>
      <c r="C52" s="10">
        <v>1806944.1699999999</v>
      </c>
      <c r="F52" s="10">
        <v>1806944.1699999999</v>
      </c>
      <c r="H52" s="3">
        <v>100</v>
      </c>
      <c r="I52" s="3">
        <v>51.658850000000001</v>
      </c>
      <c r="J52" s="2">
        <v>0</v>
      </c>
      <c r="K52" s="1">
        <f t="shared" si="7"/>
        <v>873497.59163595492</v>
      </c>
      <c r="L52" s="1">
        <f t="shared" si="6"/>
        <v>1.1256383603774596</v>
      </c>
      <c r="M52" s="1">
        <f t="shared" si="8"/>
        <v>983242.39684275608</v>
      </c>
      <c r="P52" s="1">
        <f t="shared" si="9"/>
        <v>0</v>
      </c>
      <c r="Q52" s="1">
        <f t="shared" si="10"/>
        <v>0</v>
      </c>
      <c r="R52" s="1">
        <f t="shared" si="11"/>
        <v>983242.39684275608</v>
      </c>
    </row>
    <row r="53" spans="1:18" ht="15.65" outlineLevel="2">
      <c r="A53" s="9" t="s">
        <v>4</v>
      </c>
      <c r="B53" s="11" t="s">
        <v>61</v>
      </c>
      <c r="C53" s="10">
        <v>914144.76000000001</v>
      </c>
      <c r="F53" s="10">
        <v>914144.76000000001</v>
      </c>
      <c r="H53" s="3">
        <v>100</v>
      </c>
      <c r="I53" s="3">
        <v>50.747407000000003</v>
      </c>
      <c r="J53" s="2">
        <v>0</v>
      </c>
      <c r="K53" s="1">
        <f t="shared" si="7"/>
        <v>450239.99807362683</v>
      </c>
      <c r="L53" s="1">
        <f t="shared" si="6"/>
        <v>1.1256383603774596</v>
      </c>
      <c r="M53" s="1">
        <f t="shared" si="8"/>
        <v>506807.41320794786</v>
      </c>
      <c r="P53" s="1">
        <f t="shared" si="9"/>
        <v>0</v>
      </c>
      <c r="Q53" s="1">
        <f t="shared" si="10"/>
        <v>0</v>
      </c>
      <c r="R53" s="1">
        <f t="shared" si="11"/>
        <v>506807.41320794786</v>
      </c>
    </row>
    <row r="54" spans="1:18" ht="15.65" outlineLevel="2">
      <c r="A54" s="9" t="s">
        <v>4</v>
      </c>
      <c r="B54" s="11" t="s">
        <v>60</v>
      </c>
      <c r="C54" s="10">
        <v>3009194.04</v>
      </c>
      <c r="F54" s="10">
        <v>3009194.04</v>
      </c>
      <c r="H54" s="3">
        <v>100</v>
      </c>
      <c r="I54" s="3">
        <v>49.841130999999997</v>
      </c>
      <c r="J54" s="2">
        <v>0</v>
      </c>
      <c r="K54" s="1">
        <f t="shared" si="7"/>
        <v>1509377.6964794074</v>
      </c>
      <c r="L54" s="1">
        <f t="shared" si="6"/>
        <v>1.1256383603774596</v>
      </c>
      <c r="M54" s="1">
        <f t="shared" si="8"/>
        <v>1699013.435455387</v>
      </c>
      <c r="P54" s="1">
        <f t="shared" si="9"/>
        <v>0</v>
      </c>
      <c r="Q54" s="1">
        <f t="shared" si="10"/>
        <v>0</v>
      </c>
      <c r="R54" s="1">
        <f t="shared" si="11"/>
        <v>1699013.435455387</v>
      </c>
    </row>
    <row r="55" spans="1:18" ht="15.65" outlineLevel="2">
      <c r="A55" s="9" t="s">
        <v>4</v>
      </c>
      <c r="B55" s="11" t="s">
        <v>59</v>
      </c>
      <c r="C55" s="10">
        <v>1104228.25</v>
      </c>
      <c r="F55" s="10">
        <v>1104228.25</v>
      </c>
      <c r="H55" s="3">
        <v>100</v>
      </c>
      <c r="I55" s="3">
        <v>48.940198000000002</v>
      </c>
      <c r="J55" s="2">
        <v>0</v>
      </c>
      <c r="K55" s="1">
        <f t="shared" si="7"/>
        <v>563816.758078065</v>
      </c>
      <c r="L55" s="1">
        <f t="shared" si="6"/>
        <v>1.1256383603774596</v>
      </c>
      <c r="M55" s="1">
        <f t="shared" si="8"/>
        <v>634653.77111632784</v>
      </c>
      <c r="P55" s="1">
        <f t="shared" si="9"/>
        <v>0</v>
      </c>
      <c r="Q55" s="1">
        <f t="shared" si="10"/>
        <v>0</v>
      </c>
      <c r="R55" s="1">
        <f t="shared" si="11"/>
        <v>634653.77111632784</v>
      </c>
    </row>
    <row r="56" spans="1:18" ht="15.65" outlineLevel="2">
      <c r="A56" s="9" t="s">
        <v>4</v>
      </c>
      <c r="B56" s="11" t="s">
        <v>58</v>
      </c>
      <c r="C56" s="10">
        <v>2330013.04</v>
      </c>
      <c r="F56" s="10">
        <v>2330013.04</v>
      </c>
      <c r="H56" s="3">
        <v>100</v>
      </c>
      <c r="I56" s="3">
        <v>48.044783000000002</v>
      </c>
      <c r="J56" s="2">
        <v>0</v>
      </c>
      <c r="K56" s="1">
        <f t="shared" si="7"/>
        <v>1210563.3310602969</v>
      </c>
      <c r="L56" s="1">
        <f t="shared" si="6"/>
        <v>1.1256383603774596</v>
      </c>
      <c r="M56" s="1">
        <f t="shared" si="8"/>
        <v>1362656.5231077883</v>
      </c>
      <c r="P56" s="1">
        <f t="shared" si="9"/>
        <v>0</v>
      </c>
      <c r="Q56" s="1">
        <f t="shared" si="10"/>
        <v>0</v>
      </c>
      <c r="R56" s="1">
        <f t="shared" si="11"/>
        <v>1362656.5231077883</v>
      </c>
    </row>
    <row r="57" spans="1:18" ht="15.65" outlineLevel="2">
      <c r="A57" s="9" t="s">
        <v>4</v>
      </c>
      <c r="B57" s="11" t="s">
        <v>57</v>
      </c>
      <c r="C57" s="10">
        <v>982376.88</v>
      </c>
      <c r="F57" s="10">
        <v>982376.88</v>
      </c>
      <c r="H57" s="3">
        <v>100</v>
      </c>
      <c r="I57" s="3">
        <v>47.155057999999997</v>
      </c>
      <c r="J57" s="2">
        <v>0</v>
      </c>
      <c r="K57" s="1">
        <f t="shared" si="7"/>
        <v>519136.49245740968</v>
      </c>
      <c r="L57" s="1">
        <f t="shared" si="6"/>
        <v>1.1256383603774596</v>
      </c>
      <c r="M57" s="1">
        <f t="shared" si="8"/>
        <v>584359.95018186409</v>
      </c>
      <c r="P57" s="1">
        <f t="shared" si="9"/>
        <v>0</v>
      </c>
      <c r="Q57" s="1">
        <f t="shared" si="10"/>
        <v>0</v>
      </c>
      <c r="R57" s="1">
        <f t="shared" si="11"/>
        <v>584359.95018186409</v>
      </c>
    </row>
    <row r="58" spans="1:18" ht="15.65" outlineLevel="2">
      <c r="A58" s="9" t="s">
        <v>4</v>
      </c>
      <c r="B58" s="11" t="s">
        <v>56</v>
      </c>
      <c r="C58" s="10">
        <v>1115488.8999999999</v>
      </c>
      <c r="F58" s="10">
        <v>1115488.8999999999</v>
      </c>
      <c r="H58" s="3">
        <v>100</v>
      </c>
      <c r="I58" s="3">
        <v>46.271196000000003</v>
      </c>
      <c r="J58" s="2">
        <v>0</v>
      </c>
      <c r="K58" s="1">
        <f t="shared" si="7"/>
        <v>599338.84472275595</v>
      </c>
      <c r="L58" s="1">
        <f t="shared" si="6"/>
        <v>1.1256383603774596</v>
      </c>
      <c r="M58" s="1">
        <f t="shared" si="8"/>
        <v>674638.79448424384</v>
      </c>
      <c r="P58" s="1">
        <f t="shared" si="9"/>
        <v>0</v>
      </c>
      <c r="Q58" s="1">
        <f t="shared" si="10"/>
        <v>0</v>
      </c>
      <c r="R58" s="1">
        <f t="shared" si="11"/>
        <v>674638.79448424384</v>
      </c>
    </row>
    <row r="59" spans="1:18" ht="15.65" outlineLevel="2">
      <c r="A59" s="9" t="s">
        <v>4</v>
      </c>
      <c r="B59" s="11" t="s">
        <v>55</v>
      </c>
      <c r="C59" s="10">
        <v>3708407.0099999998</v>
      </c>
      <c r="F59" s="10">
        <v>3708407.0099999998</v>
      </c>
      <c r="H59" s="3">
        <v>100</v>
      </c>
      <c r="I59" s="3">
        <v>45.393360999999999</v>
      </c>
      <c r="J59" s="2">
        <v>0</v>
      </c>
      <c r="K59" s="1">
        <f t="shared" si="7"/>
        <v>2025036.4286013937</v>
      </c>
      <c r="L59" s="1">
        <f t="shared" si="6"/>
        <v>1.1256383603774596</v>
      </c>
      <c r="M59" s="1">
        <f t="shared" si="8"/>
        <v>2279458.6851954991</v>
      </c>
      <c r="P59" s="1">
        <f t="shared" si="9"/>
        <v>0</v>
      </c>
      <c r="Q59" s="1">
        <f t="shared" si="10"/>
        <v>0</v>
      </c>
      <c r="R59" s="1">
        <f t="shared" si="11"/>
        <v>2279458.6851954991</v>
      </c>
    </row>
    <row r="60" spans="1:18" ht="15.65" outlineLevel="2">
      <c r="A60" s="9" t="s">
        <v>4</v>
      </c>
      <c r="B60" s="11" t="s">
        <v>54</v>
      </c>
      <c r="C60" s="10">
        <v>1843126.6500000001</v>
      </c>
      <c r="F60" s="10">
        <v>1843126.6500000001</v>
      </c>
      <c r="H60" s="3">
        <v>100</v>
      </c>
      <c r="I60" s="3">
        <v>44.521715</v>
      </c>
      <c r="J60" s="2">
        <v>0</v>
      </c>
      <c r="K60" s="1">
        <f t="shared" si="7"/>
        <v>1022535.0557979527</v>
      </c>
      <c r="L60" s="1">
        <f t="shared" si="6"/>
        <v>1.1256383603774596</v>
      </c>
      <c r="M60" s="1">
        <f t="shared" si="8"/>
        <v>1151004.6836368816</v>
      </c>
      <c r="P60" s="1">
        <f t="shared" si="9"/>
        <v>0</v>
      </c>
      <c r="Q60" s="1">
        <f t="shared" si="10"/>
        <v>0</v>
      </c>
      <c r="R60" s="1">
        <f t="shared" si="11"/>
        <v>1151004.6836368816</v>
      </c>
    </row>
    <row r="61" spans="1:18" ht="15.65" outlineLevel="2">
      <c r="A61" s="9" t="s">
        <v>4</v>
      </c>
      <c r="B61" s="11" t="s">
        <v>53</v>
      </c>
      <c r="C61" s="10">
        <v>1047785.7</v>
      </c>
      <c r="F61" s="10">
        <v>1047785.7</v>
      </c>
      <c r="H61" s="3">
        <v>100</v>
      </c>
      <c r="I61" s="3">
        <v>43.656415000000003</v>
      </c>
      <c r="J61" s="2">
        <v>0</v>
      </c>
      <c r="K61" s="1">
        <f t="shared" si="7"/>
        <v>590360.02649734495</v>
      </c>
      <c r="L61" s="1">
        <f t="shared" si="6"/>
        <v>1.1256383603774596</v>
      </c>
      <c r="M61" s="1">
        <f t="shared" si="8"/>
        <v>664531.89225886494</v>
      </c>
      <c r="P61" s="1">
        <f t="shared" si="9"/>
        <v>0</v>
      </c>
      <c r="Q61" s="1">
        <f t="shared" si="10"/>
        <v>0</v>
      </c>
      <c r="R61" s="1">
        <f t="shared" si="11"/>
        <v>664531.89225886494</v>
      </c>
    </row>
    <row r="62" spans="1:18" ht="15.65" outlineLevel="2">
      <c r="A62" s="9" t="s">
        <v>4</v>
      </c>
      <c r="B62" s="11" t="s">
        <v>52</v>
      </c>
      <c r="C62" s="10">
        <v>932160.71999999997</v>
      </c>
      <c r="F62" s="10">
        <v>932160.71999999997</v>
      </c>
      <c r="H62" s="3">
        <v>100</v>
      </c>
      <c r="I62" s="3">
        <v>42.797607999999997</v>
      </c>
      <c r="J62" s="2">
        <v>0</v>
      </c>
      <c r="K62" s="1">
        <f t="shared" si="7"/>
        <v>533218.22912442242</v>
      </c>
      <c r="L62" s="1">
        <f t="shared" si="6"/>
        <v>1.1256383603774596</v>
      </c>
      <c r="M62" s="1">
        <f t="shared" si="8"/>
        <v>600210.89315498737</v>
      </c>
      <c r="P62" s="1">
        <f t="shared" si="9"/>
        <v>0</v>
      </c>
      <c r="Q62" s="1">
        <f t="shared" si="10"/>
        <v>0</v>
      </c>
      <c r="R62" s="1">
        <f t="shared" si="11"/>
        <v>600210.89315498737</v>
      </c>
    </row>
    <row r="63" spans="1:18" ht="15.65" outlineLevel="2">
      <c r="A63" s="9" t="s">
        <v>4</v>
      </c>
      <c r="B63" s="11" t="s">
        <v>51</v>
      </c>
      <c r="C63" s="10">
        <v>888467.17000000004</v>
      </c>
      <c r="F63" s="10">
        <v>888467.17000000004</v>
      </c>
      <c r="H63" s="3">
        <v>100</v>
      </c>
      <c r="I63" s="3">
        <v>41.945438000000003</v>
      </c>
      <c r="J63" s="2">
        <v>0</v>
      </c>
      <c r="K63" s="1">
        <f t="shared" si="7"/>
        <v>515795.72405729542</v>
      </c>
      <c r="L63" s="1">
        <f t="shared" si="6"/>
        <v>1.1256383603774596</v>
      </c>
      <c r="M63" s="1">
        <f t="shared" si="8"/>
        <v>580599.45311755862</v>
      </c>
      <c r="P63" s="1">
        <f t="shared" si="9"/>
        <v>0</v>
      </c>
      <c r="Q63" s="1">
        <f t="shared" si="10"/>
        <v>0</v>
      </c>
      <c r="R63" s="1">
        <f t="shared" si="11"/>
        <v>580599.45311755862</v>
      </c>
    </row>
    <row r="64" spans="1:18" ht="15.65" outlineLevel="2">
      <c r="A64" s="9" t="s">
        <v>4</v>
      </c>
      <c r="B64" s="11" t="s">
        <v>50</v>
      </c>
      <c r="C64" s="10">
        <v>180243.25</v>
      </c>
      <c r="F64" s="10">
        <v>180243.25</v>
      </c>
      <c r="H64" s="3">
        <v>100</v>
      </c>
      <c r="I64" s="3">
        <v>41.10004</v>
      </c>
      <c r="J64" s="2">
        <v>0</v>
      </c>
      <c r="K64" s="1">
        <f t="shared" si="7"/>
        <v>106163.20215269999</v>
      </c>
      <c r="L64" s="1">
        <f t="shared" si="6"/>
        <v>1.1256383603774596</v>
      </c>
      <c r="M64" s="1">
        <f t="shared" si="8"/>
        <v>119501.372803586</v>
      </c>
      <c r="P64" s="1">
        <f t="shared" si="9"/>
        <v>0</v>
      </c>
      <c r="Q64" s="1">
        <f t="shared" si="10"/>
        <v>0</v>
      </c>
      <c r="R64" s="1">
        <f t="shared" si="11"/>
        <v>119501.372803586</v>
      </c>
    </row>
    <row r="65" spans="1:18" ht="15.65" outlineLevel="2">
      <c r="A65" s="9" t="s">
        <v>4</v>
      </c>
      <c r="B65" s="11" t="s">
        <v>49</v>
      </c>
      <c r="C65" s="10">
        <v>1019938.07</v>
      </c>
      <c r="F65" s="10">
        <v>1019938.07</v>
      </c>
      <c r="H65" s="3">
        <v>100</v>
      </c>
      <c r="I65" s="3">
        <v>40.261541999999999</v>
      </c>
      <c r="J65" s="2">
        <v>0</v>
      </c>
      <c r="K65" s="1">
        <f t="shared" si="7"/>
        <v>609295.2755729605</v>
      </c>
      <c r="L65" s="1">
        <f t="shared" si="6"/>
        <v>1.1256383603774596</v>
      </c>
      <c r="M65" s="1">
        <f t="shared" si="8"/>
        <v>685846.13498167961</v>
      </c>
      <c r="P65" s="1">
        <f t="shared" si="9"/>
        <v>0</v>
      </c>
      <c r="Q65" s="1">
        <f t="shared" si="10"/>
        <v>0</v>
      </c>
      <c r="R65" s="1">
        <f t="shared" si="11"/>
        <v>685846.13498167961</v>
      </c>
    </row>
    <row r="66" spans="1:18" ht="15.65" outlineLevel="2">
      <c r="A66" s="9" t="s">
        <v>4</v>
      </c>
      <c r="B66" s="11" t="s">
        <v>48</v>
      </c>
      <c r="C66" s="10">
        <v>738747.84999999998</v>
      </c>
      <c r="F66" s="10">
        <v>738747.84999999998</v>
      </c>
      <c r="H66" s="3">
        <v>100</v>
      </c>
      <c r="I66" s="3">
        <v>39.430065999999997</v>
      </c>
      <c r="J66" s="2">
        <v>0</v>
      </c>
      <c r="K66" s="1">
        <f t="shared" si="7"/>
        <v>447459.08517141902</v>
      </c>
      <c r="L66" s="1">
        <f t="shared" si="12" ref="L66:L97">$L$110</f>
        <v>1.1256383603774596</v>
      </c>
      <c r="M66" s="1">
        <f t="shared" si="8"/>
        <v>503677.11096835416</v>
      </c>
      <c r="P66" s="1">
        <f t="shared" si="9"/>
        <v>0</v>
      </c>
      <c r="Q66" s="1">
        <f t="shared" si="10"/>
        <v>0</v>
      </c>
      <c r="R66" s="1">
        <f t="shared" si="11"/>
        <v>503677.11096835416</v>
      </c>
    </row>
    <row r="67" spans="1:18" ht="15.65" outlineLevel="2">
      <c r="A67" s="9" t="s">
        <v>4</v>
      </c>
      <c r="B67" s="11" t="s">
        <v>47</v>
      </c>
      <c r="C67" s="10">
        <v>592852.67000000004</v>
      </c>
      <c r="F67" s="10">
        <v>592852.67000000004</v>
      </c>
      <c r="H67" s="3">
        <v>100</v>
      </c>
      <c r="I67" s="3">
        <v>38.605716999999999</v>
      </c>
      <c r="J67" s="2">
        <v>0</v>
      </c>
      <c r="K67" s="1">
        <f t="shared" si="13" ref="K67:K98">+C67*(1-I67/H67)*(1-J67)</f>
        <v>363977.64599285618</v>
      </c>
      <c r="L67" s="1">
        <f t="shared" si="12"/>
        <v>1.1256383603774596</v>
      </c>
      <c r="M67" s="1">
        <f t="shared" si="14" ref="M67:M98">IF((C67*(1-J67)-K67*L67)&lt;0,C67*(1-J67),K67*L67)</f>
        <v>409707.20064944605</v>
      </c>
      <c r="P67" s="1">
        <f t="shared" si="15" ref="P67:P98">+D67/$C67*$M67</f>
        <v>0</v>
      </c>
      <c r="Q67" s="1">
        <f t="shared" si="16" ref="Q67:Q98">+E67/$C67*$M67</f>
        <v>0</v>
      </c>
      <c r="R67" s="1">
        <f t="shared" si="17" ref="R67:R98">+F67/$C67*$M67</f>
        <v>409707.20064944605</v>
      </c>
    </row>
    <row r="68" spans="1:18" ht="15.65" outlineLevel="2">
      <c r="A68" s="9" t="s">
        <v>4</v>
      </c>
      <c r="B68" s="11" t="s">
        <v>46</v>
      </c>
      <c r="C68" s="10">
        <v>1060311.4199999999</v>
      </c>
      <c r="F68" s="10">
        <v>1060311.4199999999</v>
      </c>
      <c r="H68" s="3">
        <v>100</v>
      </c>
      <c r="I68" s="3">
        <v>37.788595000000001</v>
      </c>
      <c r="J68" s="2">
        <v>0</v>
      </c>
      <c r="K68" s="1">
        <f t="shared" si="13"/>
        <v>659634.63175745087</v>
      </c>
      <c r="L68" s="1">
        <f t="shared" si="12"/>
        <v>1.1256383603774596</v>
      </c>
      <c r="M68" s="1">
        <f t="shared" si="14"/>
        <v>742510.04533964628</v>
      </c>
      <c r="P68" s="1">
        <f t="shared" si="15"/>
        <v>0</v>
      </c>
      <c r="Q68" s="1">
        <f t="shared" si="16"/>
        <v>0</v>
      </c>
      <c r="R68" s="1">
        <f t="shared" si="17"/>
        <v>742510.04533964628</v>
      </c>
    </row>
    <row r="69" spans="1:18" ht="15.65" outlineLevel="2">
      <c r="A69" s="9" t="s">
        <v>4</v>
      </c>
      <c r="B69" s="11" t="s">
        <v>45</v>
      </c>
      <c r="C69" s="10">
        <v>6367817.46</v>
      </c>
      <c r="F69" s="10">
        <v>6367817.46</v>
      </c>
      <c r="H69" s="3">
        <v>100</v>
      </c>
      <c r="I69" s="3">
        <v>36.978788000000002</v>
      </c>
      <c r="J69" s="2">
        <v>0</v>
      </c>
      <c r="K69" s="1">
        <f t="shared" si="13"/>
        <v>4013075.7412396148</v>
      </c>
      <c r="L69" s="1">
        <f t="shared" si="12"/>
        <v>1.1256383603774596</v>
      </c>
      <c r="M69" s="1">
        <f t="shared" si="14"/>
        <v>4517271.9974395186</v>
      </c>
      <c r="P69" s="1">
        <f t="shared" si="15"/>
        <v>0</v>
      </c>
      <c r="Q69" s="1">
        <f t="shared" si="16"/>
        <v>0</v>
      </c>
      <c r="R69" s="1">
        <f t="shared" si="17"/>
        <v>4517271.9974395186</v>
      </c>
    </row>
    <row r="70" spans="1:18" ht="15.65" outlineLevel="2">
      <c r="A70" s="9" t="s">
        <v>4</v>
      </c>
      <c r="B70" s="11" t="s">
        <v>44</v>
      </c>
      <c r="C70" s="10">
        <v>214226.82000000001</v>
      </c>
      <c r="F70" s="10">
        <v>214226.82000000001</v>
      </c>
      <c r="H70" s="3">
        <v>100</v>
      </c>
      <c r="I70" s="3">
        <v>36.176377000000002</v>
      </c>
      <c r="J70" s="2">
        <v>0</v>
      </c>
      <c r="K70" s="1">
        <f t="shared" si="13"/>
        <v>136727.31796168859</v>
      </c>
      <c r="L70" s="1">
        <f t="shared" si="12"/>
        <v>1.1256383603774596</v>
      </c>
      <c r="M70" s="1">
        <f t="shared" si="14"/>
        <v>153905.51400920271</v>
      </c>
      <c r="P70" s="1">
        <f t="shared" si="15"/>
        <v>0</v>
      </c>
      <c r="Q70" s="1">
        <f t="shared" si="16"/>
        <v>0</v>
      </c>
      <c r="R70" s="1">
        <f t="shared" si="17"/>
        <v>153905.51400920271</v>
      </c>
    </row>
    <row r="71" spans="1:18" ht="15.65" outlineLevel="2">
      <c r="A71" s="9" t="s">
        <v>4</v>
      </c>
      <c r="B71" s="11" t="s">
        <v>43</v>
      </c>
      <c r="C71" s="10">
        <v>629005.25</v>
      </c>
      <c r="F71" s="10">
        <v>629005.25</v>
      </c>
      <c r="H71" s="3">
        <v>100</v>
      </c>
      <c r="I71" s="3">
        <v>35.381422999999998</v>
      </c>
      <c r="J71" s="2">
        <v>0</v>
      </c>
      <c r="K71" s="1">
        <f t="shared" si="13"/>
        <v>406454.24180529249</v>
      </c>
      <c r="L71" s="1">
        <f t="shared" si="12"/>
        <v>1.1256383603774596</v>
      </c>
      <c r="M71" s="1">
        <f t="shared" si="14"/>
        <v>457520.48631417291</v>
      </c>
      <c r="P71" s="1">
        <f t="shared" si="15"/>
        <v>0</v>
      </c>
      <c r="Q71" s="1">
        <f t="shared" si="16"/>
        <v>0</v>
      </c>
      <c r="R71" s="1">
        <f t="shared" si="17"/>
        <v>457520.48631417291</v>
      </c>
    </row>
    <row r="72" spans="1:18" ht="15.65" outlineLevel="2">
      <c r="A72" s="9" t="s">
        <v>4</v>
      </c>
      <c r="B72" s="11" t="s">
        <v>42</v>
      </c>
      <c r="C72" s="10">
        <v>338568.02000000002</v>
      </c>
      <c r="F72" s="10">
        <v>338568.02000000002</v>
      </c>
      <c r="H72" s="3">
        <v>100</v>
      </c>
      <c r="I72" s="3">
        <v>34.593980000000002</v>
      </c>
      <c r="J72" s="2">
        <v>0</v>
      </c>
      <c r="K72" s="1">
        <f t="shared" si="13"/>
        <v>221443.86687480399</v>
      </c>
      <c r="L72" s="1">
        <f t="shared" si="12"/>
        <v>1.1256383603774596</v>
      </c>
      <c r="M72" s="1">
        <f t="shared" si="14"/>
        <v>249265.71122459881</v>
      </c>
      <c r="P72" s="1">
        <f t="shared" si="15"/>
        <v>0</v>
      </c>
      <c r="Q72" s="1">
        <f t="shared" si="16"/>
        <v>0</v>
      </c>
      <c r="R72" s="1">
        <f t="shared" si="17"/>
        <v>249265.71122459881</v>
      </c>
    </row>
    <row r="73" spans="1:18" ht="15.65" outlineLevel="2">
      <c r="A73" s="9" t="s">
        <v>4</v>
      </c>
      <c r="B73" s="11" t="s">
        <v>41</v>
      </c>
      <c r="C73" s="10">
        <v>184489.03</v>
      </c>
      <c r="F73" s="10">
        <v>184489.03</v>
      </c>
      <c r="H73" s="3">
        <v>100</v>
      </c>
      <c r="I73" s="3">
        <v>33.814089000000003</v>
      </c>
      <c r="J73" s="2">
        <v>0</v>
      </c>
      <c r="K73" s="1">
        <f t="shared" si="13"/>
        <v>122105.7452005633</v>
      </c>
      <c r="L73" s="1">
        <f t="shared" si="12"/>
        <v>1.1256383603774596</v>
      </c>
      <c r="M73" s="1">
        <f t="shared" si="14"/>
        <v>137446.91082022991</v>
      </c>
      <c r="P73" s="1">
        <f t="shared" si="15"/>
        <v>0</v>
      </c>
      <c r="Q73" s="1">
        <f t="shared" si="16"/>
        <v>0</v>
      </c>
      <c r="R73" s="1">
        <f t="shared" si="17"/>
        <v>137446.91082022991</v>
      </c>
    </row>
    <row r="74" spans="1:18" ht="15.65" outlineLevel="2">
      <c r="A74" s="9" t="s">
        <v>4</v>
      </c>
      <c r="B74" s="11" t="s">
        <v>40</v>
      </c>
      <c r="C74" s="10">
        <v>143601.28</v>
      </c>
      <c r="F74" s="10">
        <v>143601.28</v>
      </c>
      <c r="H74" s="3">
        <v>100</v>
      </c>
      <c r="I74" s="3">
        <v>33.041770999999997</v>
      </c>
      <c r="J74" s="2">
        <v>0</v>
      </c>
      <c r="K74" s="1">
        <f t="shared" si="13"/>
        <v>96152.873909331203</v>
      </c>
      <c r="L74" s="1">
        <f t="shared" si="12"/>
        <v>1.1256383603774596</v>
      </c>
      <c r="M74" s="1">
        <f t="shared" si="14"/>
        <v>108233.36333288018</v>
      </c>
      <c r="P74" s="1">
        <f t="shared" si="15"/>
        <v>0</v>
      </c>
      <c r="Q74" s="1">
        <f t="shared" si="16"/>
        <v>0</v>
      </c>
      <c r="R74" s="1">
        <f t="shared" si="17"/>
        <v>108233.36333288018</v>
      </c>
    </row>
    <row r="75" spans="1:18" ht="15.65" outlineLevel="2">
      <c r="A75" s="9" t="s">
        <v>4</v>
      </c>
      <c r="B75" s="11" t="s">
        <v>39</v>
      </c>
      <c r="C75" s="10">
        <v>29518.150000000001</v>
      </c>
      <c r="F75" s="10">
        <v>29518.150000000001</v>
      </c>
      <c r="H75" s="3">
        <v>100</v>
      </c>
      <c r="I75" s="3">
        <v>32.277040999999997</v>
      </c>
      <c r="J75" s="2">
        <v>0</v>
      </c>
      <c r="K75" s="1">
        <f t="shared" si="13"/>
        <v>19990.564622058504</v>
      </c>
      <c r="L75" s="1">
        <f t="shared" si="12"/>
        <v>1.1256383603774596</v>
      </c>
      <c r="M75" s="1">
        <f t="shared" si="14"/>
        <v>22502.146384193584</v>
      </c>
      <c r="P75" s="1">
        <f t="shared" si="15"/>
        <v>0</v>
      </c>
      <c r="Q75" s="1">
        <f t="shared" si="16"/>
        <v>0</v>
      </c>
      <c r="R75" s="1">
        <f t="shared" si="17"/>
        <v>22502.146384193584</v>
      </c>
    </row>
    <row r="76" spans="1:18" ht="15.65" outlineLevel="2">
      <c r="A76" s="9" t="s">
        <v>4</v>
      </c>
      <c r="B76" s="11" t="s">
        <v>38</v>
      </c>
      <c r="C76" s="10">
        <v>124481.46000000001</v>
      </c>
      <c r="F76" s="10">
        <v>124481.46000000001</v>
      </c>
      <c r="H76" s="3">
        <v>100</v>
      </c>
      <c r="I76" s="3">
        <v>31.519891000000001</v>
      </c>
      <c r="J76" s="2">
        <v>0</v>
      </c>
      <c r="K76" s="1">
        <f t="shared" si="13"/>
        <v>85245.039492791402</v>
      </c>
      <c r="L76" s="1">
        <f t="shared" si="12"/>
        <v>1.1256383603774596</v>
      </c>
      <c r="M76" s="1">
        <f t="shared" si="14"/>
        <v>95955.086484977495</v>
      </c>
      <c r="P76" s="1">
        <f t="shared" si="15"/>
        <v>0</v>
      </c>
      <c r="Q76" s="1">
        <f t="shared" si="16"/>
        <v>0</v>
      </c>
      <c r="R76" s="1">
        <f t="shared" si="17"/>
        <v>95955.086484977495</v>
      </c>
    </row>
    <row r="77" spans="1:18" ht="15.65" outlineLevel="2">
      <c r="A77" s="9" t="s">
        <v>4</v>
      </c>
      <c r="B77" s="11" t="s">
        <v>37</v>
      </c>
      <c r="C77" s="10">
        <v>3691.2600000000002</v>
      </c>
      <c r="F77" s="10">
        <v>3691.2600000000002</v>
      </c>
      <c r="H77" s="3">
        <v>100</v>
      </c>
      <c r="I77" s="3">
        <v>30.770301</v>
      </c>
      <c r="J77" s="2">
        <v>0</v>
      </c>
      <c r="K77" s="1">
        <f t="shared" si="13"/>
        <v>2555.4481873074001</v>
      </c>
      <c r="L77" s="1">
        <f t="shared" si="12"/>
        <v>1.1256383603774596</v>
      </c>
      <c r="M77" s="1">
        <f t="shared" si="14"/>
        <v>2876.5105075902529</v>
      </c>
      <c r="P77" s="1">
        <f t="shared" si="15"/>
        <v>0</v>
      </c>
      <c r="Q77" s="1">
        <f t="shared" si="16"/>
        <v>0</v>
      </c>
      <c r="R77" s="1">
        <f t="shared" si="17"/>
        <v>2876.5105075902529</v>
      </c>
    </row>
    <row r="78" spans="1:18" ht="15.65" outlineLevel="2">
      <c r="A78" s="9" t="s">
        <v>4</v>
      </c>
      <c r="B78" s="11" t="s">
        <v>36</v>
      </c>
      <c r="C78" s="10">
        <v>94150.919999999998</v>
      </c>
      <c r="F78" s="10">
        <v>94150.919999999998</v>
      </c>
      <c r="H78" s="3">
        <v>100</v>
      </c>
      <c r="I78" s="3">
        <v>30.028231000000002</v>
      </c>
      <c r="J78" s="2">
        <v>0</v>
      </c>
      <c r="K78" s="1">
        <f t="shared" si="13"/>
        <v>65879.064253774792</v>
      </c>
      <c r="L78" s="1">
        <f t="shared" si="12"/>
        <v>1.1256383603774596</v>
      </c>
      <c r="M78" s="1">
        <f t="shared" si="14"/>
        <v>74156.001869820364</v>
      </c>
      <c r="P78" s="1">
        <f t="shared" si="15"/>
        <v>0</v>
      </c>
      <c r="Q78" s="1">
        <f t="shared" si="16"/>
        <v>0</v>
      </c>
      <c r="R78" s="1">
        <f t="shared" si="17"/>
        <v>74156.001869820364</v>
      </c>
    </row>
    <row r="79" spans="1:18" ht="15.65" outlineLevel="2">
      <c r="A79" s="9" t="s">
        <v>4</v>
      </c>
      <c r="B79" s="11" t="s">
        <v>35</v>
      </c>
      <c r="C79" s="10">
        <v>9081.3299999999999</v>
      </c>
      <c r="F79" s="10">
        <v>9081.3299999999999</v>
      </c>
      <c r="H79" s="3">
        <v>100</v>
      </c>
      <c r="I79" s="3">
        <v>29.293628000000002</v>
      </c>
      <c r="J79" s="2">
        <v>0</v>
      </c>
      <c r="K79" s="1">
        <f t="shared" si="13"/>
        <v>6421.0789723476009</v>
      </c>
      <c r="L79" s="1">
        <f t="shared" si="12"/>
        <v>1.1256383603774596</v>
      </c>
      <c r="M79" s="1">
        <f t="shared" si="14"/>
        <v>7227.8128062875367</v>
      </c>
      <c r="P79" s="1">
        <f t="shared" si="15"/>
        <v>0</v>
      </c>
      <c r="Q79" s="1">
        <f t="shared" si="16"/>
        <v>0</v>
      </c>
      <c r="R79" s="1">
        <f t="shared" si="17"/>
        <v>7227.8128062875367</v>
      </c>
    </row>
    <row r="80" spans="1:18" ht="15.65" outlineLevel="2">
      <c r="A80" s="9" t="s">
        <v>4</v>
      </c>
      <c r="B80" s="11" t="s">
        <v>34</v>
      </c>
      <c r="C80" s="10">
        <v>9738.1299999999992</v>
      </c>
      <c r="F80" s="10">
        <v>9738.1299999999992</v>
      </c>
      <c r="H80" s="3">
        <v>100</v>
      </c>
      <c r="I80" s="3">
        <v>28.566417999999999</v>
      </c>
      <c r="J80" s="2">
        <v>0</v>
      </c>
      <c r="K80" s="1">
        <f t="shared" si="13"/>
        <v>6956.2950788165999</v>
      </c>
      <c r="L80" s="1">
        <f t="shared" si="12"/>
        <v>1.1256383603774596</v>
      </c>
      <c r="M80" s="1">
        <f t="shared" si="14"/>
        <v>7830.2725868209081</v>
      </c>
      <c r="P80" s="1">
        <f t="shared" si="15"/>
        <v>0</v>
      </c>
      <c r="Q80" s="1">
        <f t="shared" si="16"/>
        <v>0</v>
      </c>
      <c r="R80" s="1">
        <f t="shared" si="17"/>
        <v>7830.2725868209081</v>
      </c>
    </row>
    <row r="81" spans="1:18" ht="15.65" outlineLevel="2">
      <c r="A81" s="9" t="s">
        <v>4</v>
      </c>
      <c r="B81" s="11" t="s">
        <v>33</v>
      </c>
      <c r="C81" s="10">
        <v>26130.029999999999</v>
      </c>
      <c r="F81" s="10">
        <v>26130.029999999999</v>
      </c>
      <c r="H81" s="3">
        <v>100</v>
      </c>
      <c r="I81" s="3">
        <v>27.846505000000001</v>
      </c>
      <c r="J81" s="2">
        <v>0</v>
      </c>
      <c r="K81" s="1">
        <f t="shared" si="13"/>
        <v>18853.7298895485</v>
      </c>
      <c r="L81" s="1">
        <f t="shared" si="12"/>
        <v>1.1256383603774596</v>
      </c>
      <c r="M81" s="1">
        <f t="shared" si="14"/>
        <v>21222.481599870876</v>
      </c>
      <c r="P81" s="1">
        <f t="shared" si="15"/>
        <v>0</v>
      </c>
      <c r="Q81" s="1">
        <f t="shared" si="16"/>
        <v>0</v>
      </c>
      <c r="R81" s="1">
        <f t="shared" si="17"/>
        <v>21222.481599870876</v>
      </c>
    </row>
    <row r="82" spans="1:18" ht="15.65" outlineLevel="2">
      <c r="A82" s="9" t="s">
        <v>4</v>
      </c>
      <c r="B82" s="11" t="s">
        <v>32</v>
      </c>
      <c r="C82" s="10">
        <v>69025.910000000003</v>
      </c>
      <c r="F82" s="10">
        <v>69025.910000000003</v>
      </c>
      <c r="H82" s="3">
        <v>100</v>
      </c>
      <c r="I82" s="3">
        <v>27.133778</v>
      </c>
      <c r="J82" s="2">
        <v>0</v>
      </c>
      <c r="K82" s="1">
        <f t="shared" si="13"/>
        <v>50296.572818120207</v>
      </c>
      <c r="L82" s="1">
        <f t="shared" si="12"/>
        <v>1.1256383603774596</v>
      </c>
      <c r="M82" s="1">
        <f t="shared" si="14"/>
        <v>56615.751759594328</v>
      </c>
      <c r="P82" s="1">
        <f t="shared" si="15"/>
        <v>0</v>
      </c>
      <c r="Q82" s="1">
        <f t="shared" si="16"/>
        <v>0</v>
      </c>
      <c r="R82" s="1">
        <f t="shared" si="17"/>
        <v>56615.751759594328</v>
      </c>
    </row>
    <row r="83" spans="1:18" ht="15.65" outlineLevel="2">
      <c r="A83" s="9" t="s">
        <v>4</v>
      </c>
      <c r="B83" s="11" t="s">
        <v>31</v>
      </c>
      <c r="C83" s="10">
        <v>57521.730000000003</v>
      </c>
      <c r="F83" s="10">
        <v>57521.730000000003</v>
      </c>
      <c r="H83" s="3">
        <v>100</v>
      </c>
      <c r="I83" s="3">
        <v>26.428100000000001</v>
      </c>
      <c r="J83" s="2">
        <v>0</v>
      </c>
      <c r="K83" s="1">
        <f t="shared" si="13"/>
        <v>42319.829673870001</v>
      </c>
      <c r="L83" s="1">
        <f t="shared" si="12"/>
        <v>1.1256383603774596</v>
      </c>
      <c r="M83" s="1">
        <f t="shared" si="14"/>
        <v>47636.823685548385</v>
      </c>
      <c r="P83" s="1">
        <f t="shared" si="15"/>
        <v>0</v>
      </c>
      <c r="Q83" s="1">
        <f t="shared" si="16"/>
        <v>0</v>
      </c>
      <c r="R83" s="1">
        <f t="shared" si="17"/>
        <v>47636.823685548385</v>
      </c>
    </row>
    <row r="84" spans="1:18" ht="15.65" outlineLevel="2">
      <c r="A84" s="9" t="s">
        <v>4</v>
      </c>
      <c r="B84" s="11" t="s">
        <v>30</v>
      </c>
      <c r="C84" s="10">
        <v>1772.56</v>
      </c>
      <c r="F84" s="10">
        <v>1772.56</v>
      </c>
      <c r="H84" s="3">
        <v>100</v>
      </c>
      <c r="I84" s="3">
        <v>25.729316000000001</v>
      </c>
      <c r="J84" s="2">
        <v>0</v>
      </c>
      <c r="K84" s="1">
        <f t="shared" si="13"/>
        <v>1316.4924363103999</v>
      </c>
      <c r="L84" s="1">
        <f t="shared" si="12"/>
        <v>1.1256383603774596</v>
      </c>
      <c r="M84" s="1">
        <f t="shared" si="14"/>
        <v>1481.8943874577656</v>
      </c>
      <c r="P84" s="1">
        <f t="shared" si="15"/>
        <v>0</v>
      </c>
      <c r="Q84" s="1">
        <f t="shared" si="16"/>
        <v>0</v>
      </c>
      <c r="R84" s="1">
        <f t="shared" si="17"/>
        <v>1481.8943874577656</v>
      </c>
    </row>
    <row r="85" spans="1:18" ht="15.65" outlineLevel="2">
      <c r="A85" s="9" t="s">
        <v>4</v>
      </c>
      <c r="B85" s="11" t="s">
        <v>29</v>
      </c>
      <c r="C85" s="10">
        <v>57502.860000000001</v>
      </c>
      <c r="F85" s="10">
        <v>57502.860000000001</v>
      </c>
      <c r="H85" s="3">
        <v>100</v>
      </c>
      <c r="I85" s="3">
        <v>25.037261999999998</v>
      </c>
      <c r="J85" s="2">
        <v>0</v>
      </c>
      <c r="K85" s="1">
        <f t="shared" si="13"/>
        <v>43105.7182843068</v>
      </c>
      <c r="L85" s="1">
        <f t="shared" si="12"/>
        <v>1.1256383603774596</v>
      </c>
      <c r="M85" s="1">
        <f t="shared" si="14"/>
        <v>48521.450052439788</v>
      </c>
      <c r="P85" s="1">
        <f t="shared" si="15"/>
        <v>0</v>
      </c>
      <c r="Q85" s="1">
        <f t="shared" si="16"/>
        <v>0</v>
      </c>
      <c r="R85" s="1">
        <f t="shared" si="17"/>
        <v>48521.450052439788</v>
      </c>
    </row>
    <row r="86" spans="1:18" ht="15.65" outlineLevel="2">
      <c r="A86" s="9" t="s">
        <v>4</v>
      </c>
      <c r="B86" s="11" t="s">
        <v>28</v>
      </c>
      <c r="C86" s="10">
        <v>1142.21</v>
      </c>
      <c r="F86" s="10">
        <v>1142.21</v>
      </c>
      <c r="H86" s="3">
        <v>100</v>
      </c>
      <c r="I86" s="3">
        <v>24.351879</v>
      </c>
      <c r="J86" s="2">
        <v>0</v>
      </c>
      <c r="K86" s="1">
        <f t="shared" si="13"/>
        <v>864.06040287410008</v>
      </c>
      <c r="L86" s="1">
        <f t="shared" si="12"/>
        <v>1.1256383603774596</v>
      </c>
      <c r="M86" s="1">
        <f t="shared" si="14"/>
        <v>972.61953515828918</v>
      </c>
      <c r="P86" s="1">
        <f t="shared" si="15"/>
        <v>0</v>
      </c>
      <c r="Q86" s="1">
        <f t="shared" si="16"/>
        <v>0</v>
      </c>
      <c r="R86" s="1">
        <f t="shared" si="17"/>
        <v>972.61953515828918</v>
      </c>
    </row>
    <row r="87" spans="1:18" ht="15.65" outlineLevel="2">
      <c r="A87" s="9" t="s">
        <v>4</v>
      </c>
      <c r="B87" s="11" t="s">
        <v>27</v>
      </c>
      <c r="C87" s="10">
        <v>152.31</v>
      </c>
      <c r="F87" s="10">
        <v>152.31</v>
      </c>
      <c r="H87" s="3">
        <v>100</v>
      </c>
      <c r="I87" s="3">
        <v>22.338977</v>
      </c>
      <c r="J87" s="2">
        <v>0</v>
      </c>
      <c r="K87" s="1">
        <f t="shared" si="13"/>
        <v>118.2855041313</v>
      </c>
      <c r="L87" s="1">
        <f t="shared" si="12"/>
        <v>1.1256383603774596</v>
      </c>
      <c r="M87" s="1">
        <f t="shared" si="14"/>
        <v>133.14670092677775</v>
      </c>
      <c r="P87" s="1">
        <f t="shared" si="15"/>
        <v>0</v>
      </c>
      <c r="Q87" s="1">
        <f t="shared" si="16"/>
        <v>0</v>
      </c>
      <c r="R87" s="1">
        <f t="shared" si="17"/>
        <v>133.14670092677775</v>
      </c>
    </row>
    <row r="88" spans="1:18" ht="15.65" outlineLevel="2">
      <c r="A88" s="9" t="s">
        <v>4</v>
      </c>
      <c r="B88" s="11" t="s">
        <v>26</v>
      </c>
      <c r="C88" s="10">
        <v>31.75</v>
      </c>
      <c r="F88" s="10">
        <v>31.75</v>
      </c>
      <c r="H88" s="3">
        <v>100</v>
      </c>
      <c r="I88" s="3">
        <v>21.684788999999999</v>
      </c>
      <c r="J88" s="2">
        <v>0</v>
      </c>
      <c r="K88" s="1">
        <f t="shared" si="13"/>
        <v>24.865079492500001</v>
      </c>
      <c r="L88" s="1">
        <f t="shared" si="12"/>
        <v>1.1256383603774596</v>
      </c>
      <c r="M88" s="1">
        <f t="shared" si="14"/>
        <v>27.989087310592897</v>
      </c>
      <c r="P88" s="1">
        <f t="shared" si="15"/>
        <v>0</v>
      </c>
      <c r="Q88" s="1">
        <f t="shared" si="16"/>
        <v>0</v>
      </c>
      <c r="R88" s="1">
        <f t="shared" si="17"/>
        <v>27.989087310592897</v>
      </c>
    </row>
    <row r="89" spans="1:18" ht="15.65" outlineLevel="2">
      <c r="A89" s="9" t="s">
        <v>4</v>
      </c>
      <c r="B89" s="11" t="s">
        <v>25</v>
      </c>
      <c r="C89" s="10">
        <v>260.51999999999998</v>
      </c>
      <c r="F89" s="10">
        <v>260.51999999999998</v>
      </c>
      <c r="H89" s="3">
        <v>100</v>
      </c>
      <c r="I89" s="3">
        <v>21.040628999999999</v>
      </c>
      <c r="J89" s="2">
        <v>0</v>
      </c>
      <c r="K89" s="1">
        <f t="shared" si="13"/>
        <v>205.70495332919998</v>
      </c>
      <c r="L89" s="1">
        <f t="shared" si="12"/>
        <v>1.1256383603774596</v>
      </c>
      <c r="M89" s="1">
        <f t="shared" si="14"/>
        <v>231.5493863870025</v>
      </c>
      <c r="P89" s="1">
        <f t="shared" si="15"/>
        <v>0</v>
      </c>
      <c r="Q89" s="1">
        <f t="shared" si="16"/>
        <v>0</v>
      </c>
      <c r="R89" s="1">
        <f t="shared" si="17"/>
        <v>231.5493863870025</v>
      </c>
    </row>
    <row r="90" spans="1:18" ht="15.65" outlineLevel="2">
      <c r="A90" s="9" t="s">
        <v>4</v>
      </c>
      <c r="B90" s="11" t="s">
        <v>24</v>
      </c>
      <c r="C90" s="10">
        <v>160175.04999999999</v>
      </c>
      <c r="F90" s="10">
        <v>160175.04999999999</v>
      </c>
      <c r="H90" s="3">
        <v>100</v>
      </c>
      <c r="I90" s="3">
        <v>20.407601</v>
      </c>
      <c r="J90" s="2">
        <v>0</v>
      </c>
      <c r="K90" s="1">
        <f t="shared" si="13"/>
        <v>127487.1648944495</v>
      </c>
      <c r="L90" s="1">
        <f t="shared" si="12"/>
        <v>1.1256383603774596</v>
      </c>
      <c r="M90" s="1">
        <f t="shared" si="14"/>
        <v>143504.44326095894</v>
      </c>
      <c r="P90" s="1">
        <f t="shared" si="15"/>
        <v>0</v>
      </c>
      <c r="Q90" s="1">
        <f t="shared" si="16"/>
        <v>0</v>
      </c>
      <c r="R90" s="1">
        <f t="shared" si="17"/>
        <v>143504.44326095894</v>
      </c>
    </row>
    <row r="91" spans="1:18" ht="15.65" outlineLevel="2">
      <c r="A91" s="9" t="s">
        <v>4</v>
      </c>
      <c r="B91" s="11" t="s">
        <v>23</v>
      </c>
      <c r="C91" s="10">
        <v>74.989999999999995</v>
      </c>
      <c r="F91" s="10">
        <v>74.989999999999995</v>
      </c>
      <c r="H91" s="3">
        <v>100</v>
      </c>
      <c r="I91" s="3">
        <v>19.786801000000001</v>
      </c>
      <c r="J91" s="2">
        <v>0</v>
      </c>
      <c r="K91" s="1">
        <f t="shared" si="13"/>
        <v>60.1518779301</v>
      </c>
      <c r="L91" s="1">
        <f t="shared" si="12"/>
        <v>1.1256383603774596</v>
      </c>
      <c r="M91" s="1">
        <f t="shared" si="14"/>
        <v>67.709261246862866</v>
      </c>
      <c r="P91" s="1">
        <f t="shared" si="15"/>
        <v>0</v>
      </c>
      <c r="Q91" s="1">
        <f t="shared" si="16"/>
        <v>0</v>
      </c>
      <c r="R91" s="1">
        <f t="shared" si="17"/>
        <v>67.709261246862866</v>
      </c>
    </row>
    <row r="92" spans="1:18" ht="15.65" outlineLevel="2">
      <c r="A92" s="9" t="s">
        <v>4</v>
      </c>
      <c r="B92" s="11" t="s">
        <v>22</v>
      </c>
      <c r="C92" s="10">
        <v>20708.439999999999</v>
      </c>
      <c r="F92" s="10">
        <v>20708.439999999999</v>
      </c>
      <c r="H92" s="3">
        <v>100</v>
      </c>
      <c r="I92" s="3">
        <v>19.179262000000001</v>
      </c>
      <c r="J92" s="2">
        <v>0</v>
      </c>
      <c r="K92" s="1">
        <f t="shared" si="13"/>
        <v>16736.714036287198</v>
      </c>
      <c r="L92" s="1">
        <f t="shared" si="12"/>
        <v>1.1256383603774596</v>
      </c>
      <c r="M92" s="1">
        <f t="shared" si="14"/>
        <v>18839.487345912734</v>
      </c>
      <c r="P92" s="1">
        <f t="shared" si="15"/>
        <v>0</v>
      </c>
      <c r="Q92" s="1">
        <f t="shared" si="16"/>
        <v>0</v>
      </c>
      <c r="R92" s="1">
        <f t="shared" si="17"/>
        <v>18839.487345912734</v>
      </c>
    </row>
    <row r="93" spans="1:18" ht="15.65" outlineLevel="2">
      <c r="A93" s="9" t="s">
        <v>4</v>
      </c>
      <c r="B93" s="11" t="s">
        <v>21</v>
      </c>
      <c r="C93" s="10">
        <v>151180.66</v>
      </c>
      <c r="F93" s="10">
        <v>151180.66</v>
      </c>
      <c r="H93" s="3">
        <v>100</v>
      </c>
      <c r="I93" s="3">
        <v>18.585899999999999</v>
      </c>
      <c r="J93" s="2">
        <v>0</v>
      </c>
      <c r="K93" s="1">
        <f t="shared" si="13"/>
        <v>123082.37371306001</v>
      </c>
      <c r="L93" s="1">
        <f t="shared" si="12"/>
        <v>1.1256383603774596</v>
      </c>
      <c r="M93" s="1">
        <f t="shared" si="14"/>
        <v>138546.2413377346</v>
      </c>
      <c r="P93" s="1">
        <f t="shared" si="15"/>
        <v>0</v>
      </c>
      <c r="Q93" s="1">
        <f t="shared" si="16"/>
        <v>0</v>
      </c>
      <c r="R93" s="1">
        <f t="shared" si="17"/>
        <v>138546.2413377346</v>
      </c>
    </row>
    <row r="94" spans="1:18" ht="15.65" outlineLevel="2">
      <c r="A94" s="9" t="s">
        <v>4</v>
      </c>
      <c r="B94" s="11" t="s">
        <v>20</v>
      </c>
      <c r="C94" s="10">
        <v>177751.48000000001</v>
      </c>
      <c r="F94" s="10">
        <v>177751.48000000001</v>
      </c>
      <c r="H94" s="3">
        <v>100</v>
      </c>
      <c r="I94" s="3">
        <v>18.007491999999999</v>
      </c>
      <c r="J94" s="2">
        <v>0</v>
      </c>
      <c r="K94" s="1">
        <f t="shared" si="13"/>
        <v>145742.89645911841</v>
      </c>
      <c r="L94" s="1">
        <f t="shared" si="12"/>
        <v>1.1256383603774596</v>
      </c>
      <c r="M94" s="1">
        <f t="shared" si="14"/>
        <v>164053.79500690391</v>
      </c>
      <c r="P94" s="1">
        <f t="shared" si="15"/>
        <v>0</v>
      </c>
      <c r="Q94" s="1">
        <f t="shared" si="16"/>
        <v>0</v>
      </c>
      <c r="R94" s="1">
        <f t="shared" si="17"/>
        <v>164053.79500690391</v>
      </c>
    </row>
    <row r="95" spans="1:18" ht="15.65" outlineLevel="2">
      <c r="A95" s="9" t="s">
        <v>4</v>
      </c>
      <c r="B95" s="11" t="s">
        <v>19</v>
      </c>
      <c r="C95" s="10">
        <v>407131.59000000003</v>
      </c>
      <c r="F95" s="10">
        <v>407131.59000000003</v>
      </c>
      <c r="H95" s="3">
        <v>100</v>
      </c>
      <c r="I95" s="3">
        <v>17.444665000000001</v>
      </c>
      <c r="J95" s="2">
        <v>0</v>
      </c>
      <c r="K95" s="1">
        <f t="shared" si="13"/>
        <v>336108.84801532648</v>
      </c>
      <c r="L95" s="1">
        <f t="shared" si="12"/>
        <v>1.1256383603774596</v>
      </c>
      <c r="M95" s="1">
        <f t="shared" si="14"/>
        <v>378337.01258832886</v>
      </c>
      <c r="P95" s="1">
        <f t="shared" si="15"/>
        <v>0</v>
      </c>
      <c r="Q95" s="1">
        <f t="shared" si="16"/>
        <v>0</v>
      </c>
      <c r="R95" s="1">
        <f t="shared" si="17"/>
        <v>378337.01258832886</v>
      </c>
    </row>
    <row r="96" spans="1:18" ht="15.65" outlineLevel="2">
      <c r="A96" s="9" t="s">
        <v>4</v>
      </c>
      <c r="B96" s="11" t="s">
        <v>18</v>
      </c>
      <c r="C96" s="10">
        <v>623000.88</v>
      </c>
      <c r="F96" s="10">
        <v>623000.88</v>
      </c>
      <c r="H96" s="3">
        <v>100</v>
      </c>
      <c r="I96" s="3">
        <v>16.897877999999999</v>
      </c>
      <c r="J96" s="2">
        <v>0</v>
      </c>
      <c r="K96" s="1">
        <f t="shared" si="13"/>
        <v>517726.95135867363</v>
      </c>
      <c r="L96" s="1">
        <f t="shared" si="12"/>
        <v>1.1256383603774596</v>
      </c>
      <c r="M96" s="1">
        <f t="shared" si="14"/>
        <v>582773.31665059819</v>
      </c>
      <c r="P96" s="1">
        <f t="shared" si="15"/>
        <v>0</v>
      </c>
      <c r="Q96" s="1">
        <f t="shared" si="16"/>
        <v>0</v>
      </c>
      <c r="R96" s="1">
        <f t="shared" si="17"/>
        <v>582773.31665059819</v>
      </c>
    </row>
    <row r="97" spans="1:18" ht="15.65" outlineLevel="2">
      <c r="A97" s="9" t="s">
        <v>4</v>
      </c>
      <c r="B97" s="11" t="s">
        <v>17</v>
      </c>
      <c r="C97" s="10">
        <v>114531.13000000001</v>
      </c>
      <c r="F97" s="10">
        <v>114531.13000000001</v>
      </c>
      <c r="H97" s="3">
        <v>100</v>
      </c>
      <c r="I97" s="3">
        <v>16.367422000000001</v>
      </c>
      <c r="J97" s="2">
        <v>0</v>
      </c>
      <c r="K97" s="1">
        <f t="shared" si="13"/>
        <v>95785.336631531405</v>
      </c>
      <c r="L97" s="1">
        <f t="shared" si="12"/>
        <v>1.1256383603774596</v>
      </c>
      <c r="M97" s="1">
        <f t="shared" si="14"/>
        <v>107819.64927412002</v>
      </c>
      <c r="P97" s="1">
        <f t="shared" si="15"/>
        <v>0</v>
      </c>
      <c r="Q97" s="1">
        <f t="shared" si="16"/>
        <v>0</v>
      </c>
      <c r="R97" s="1">
        <f t="shared" si="17"/>
        <v>107819.64927412002</v>
      </c>
    </row>
    <row r="98" spans="1:18" ht="15.65" outlineLevel="2">
      <c r="A98" s="9" t="s">
        <v>4</v>
      </c>
      <c r="B98" s="11" t="s">
        <v>16</v>
      </c>
      <c r="C98" s="10">
        <v>25201.169999999998</v>
      </c>
      <c r="F98" s="10">
        <v>25201.169999999998</v>
      </c>
      <c r="H98" s="3">
        <v>100</v>
      </c>
      <c r="I98" s="3">
        <v>15.853427999999999</v>
      </c>
      <c r="J98" s="2">
        <v>0</v>
      </c>
      <c r="K98" s="1">
        <f t="shared" si="13"/>
        <v>21205.920658892399</v>
      </c>
      <c r="L98" s="1">
        <f t="shared" si="18" ref="L98:L109">$L$110</f>
        <v>1.1256383603774596</v>
      </c>
      <c r="M98" s="1">
        <f t="shared" si="14"/>
        <v>23870.197760770137</v>
      </c>
      <c r="P98" s="1">
        <f t="shared" si="15"/>
        <v>0</v>
      </c>
      <c r="Q98" s="1">
        <f t="shared" si="16"/>
        <v>0</v>
      </c>
      <c r="R98" s="1">
        <f t="shared" si="17"/>
        <v>23870.197760770137</v>
      </c>
    </row>
    <row r="99" spans="1:18" ht="15.65" outlineLevel="2">
      <c r="A99" s="9" t="s">
        <v>4</v>
      </c>
      <c r="B99" s="11" t="s">
        <v>15</v>
      </c>
      <c r="C99" s="10">
        <v>5376.3500000000004</v>
      </c>
      <c r="F99" s="10">
        <v>5376.3500000000004</v>
      </c>
      <c r="H99" s="3">
        <v>100</v>
      </c>
      <c r="I99" s="3">
        <v>15.355884</v>
      </c>
      <c r="J99" s="2">
        <v>0</v>
      </c>
      <c r="K99" s="1">
        <f t="shared" si="19" ref="K99:K109">+C99*(1-I99/H99)*(1-J99)</f>
        <v>4550.7639305660005</v>
      </c>
      <c r="L99" s="1">
        <f t="shared" si="18"/>
        <v>1.1256383603774596</v>
      </c>
      <c r="M99" s="1">
        <f t="shared" si="20" ref="M99:M109">IF((C99*(1-J99)-K99*L99)&lt;0,C99*(1-J99),K99*L99)</f>
        <v>5122.5144492671961</v>
      </c>
      <c r="P99" s="1">
        <f t="shared" si="21" ref="P99:P109">+D99/$C99*$M99</f>
        <v>0</v>
      </c>
      <c r="Q99" s="1">
        <f t="shared" si="22" ref="Q99:Q109">+E99/$C99*$M99</f>
        <v>0</v>
      </c>
      <c r="R99" s="1">
        <f t="shared" si="23" ref="R99:R109">+F99/$C99*$M99</f>
        <v>5122.5144492671961</v>
      </c>
    </row>
    <row r="100" spans="1:18" ht="15.65" outlineLevel="2">
      <c r="A100" s="9" t="s">
        <v>4</v>
      </c>
      <c r="B100" s="11" t="s">
        <v>14</v>
      </c>
      <c r="C100" s="10">
        <v>117.16</v>
      </c>
      <c r="F100" s="10">
        <v>117.16</v>
      </c>
      <c r="H100" s="3">
        <v>100</v>
      </c>
      <c r="I100" s="3">
        <v>14.874636000000001</v>
      </c>
      <c r="J100" s="2">
        <v>0</v>
      </c>
      <c r="K100" s="1">
        <f t="shared" si="19"/>
        <v>99.7328764624</v>
      </c>
      <c r="L100" s="1">
        <f t="shared" si="18"/>
        <v>1.1256383603774596</v>
      </c>
      <c r="M100" s="1">
        <f t="shared" si="20"/>
        <v>112.26315153686366</v>
      </c>
      <c r="P100" s="1">
        <f t="shared" si="21"/>
        <v>0</v>
      </c>
      <c r="Q100" s="1">
        <f t="shared" si="22"/>
        <v>0</v>
      </c>
      <c r="R100" s="1">
        <f t="shared" si="23"/>
        <v>112.26315153686366</v>
      </c>
    </row>
    <row r="101" spans="1:18" ht="15.65" outlineLevel="2">
      <c r="A101" s="9" t="s">
        <v>4</v>
      </c>
      <c r="B101" s="11" t="s">
        <v>13</v>
      </c>
      <c r="C101" s="10">
        <v>2242.0700000000002</v>
      </c>
      <c r="F101" s="10">
        <v>2242.0700000000002</v>
      </c>
      <c r="H101" s="3">
        <v>100</v>
      </c>
      <c r="I101" s="3">
        <v>14.409413000000001</v>
      </c>
      <c r="J101" s="2">
        <v>0</v>
      </c>
      <c r="K101" s="1">
        <f t="shared" si="19"/>
        <v>1919.0008739509001</v>
      </c>
      <c r="L101" s="1">
        <f t="shared" si="18"/>
        <v>1.1256383603774596</v>
      </c>
      <c r="M101" s="1">
        <f t="shared" si="20"/>
        <v>2160.100997317003</v>
      </c>
      <c r="P101" s="1">
        <f t="shared" si="21"/>
        <v>0</v>
      </c>
      <c r="Q101" s="1">
        <f t="shared" si="22"/>
        <v>0</v>
      </c>
      <c r="R101" s="1">
        <f t="shared" si="23"/>
        <v>2160.100997317003</v>
      </c>
    </row>
    <row r="102" spans="1:18" ht="15.65" outlineLevel="2">
      <c r="A102" s="9" t="s">
        <v>4</v>
      </c>
      <c r="B102" s="11" t="s">
        <v>12</v>
      </c>
      <c r="C102" s="10">
        <v>5410.9300000000003</v>
      </c>
      <c r="F102" s="10">
        <v>5410.9300000000003</v>
      </c>
      <c r="H102" s="3">
        <v>100</v>
      </c>
      <c r="I102" s="3">
        <v>13.959837</v>
      </c>
      <c r="J102" s="2">
        <v>0</v>
      </c>
      <c r="K102" s="1">
        <f t="shared" si="19"/>
        <v>4655.5729918159004</v>
      </c>
      <c r="L102" s="1">
        <f t="shared" si="18"/>
        <v>1.1256383603774596</v>
      </c>
      <c r="M102" s="1">
        <f t="shared" si="20"/>
        <v>5240.4915491252341</v>
      </c>
      <c r="P102" s="1">
        <f t="shared" si="21"/>
        <v>0</v>
      </c>
      <c r="Q102" s="1">
        <f t="shared" si="22"/>
        <v>0</v>
      </c>
      <c r="R102" s="1">
        <f t="shared" si="23"/>
        <v>5240.4915491252341</v>
      </c>
    </row>
    <row r="103" spans="1:18" ht="15.65" outlineLevel="2">
      <c r="A103" s="9" t="s">
        <v>4</v>
      </c>
      <c r="B103" s="11" t="s">
        <v>11</v>
      </c>
      <c r="C103" s="10">
        <v>11445.84</v>
      </c>
      <c r="F103" s="10">
        <v>11445.84</v>
      </c>
      <c r="H103" s="3">
        <v>100</v>
      </c>
      <c r="I103" s="3">
        <v>13.525435999999999</v>
      </c>
      <c r="J103" s="2">
        <v>0</v>
      </c>
      <c r="K103" s="1">
        <f t="shared" si="19"/>
        <v>9897.7402361376007</v>
      </c>
      <c r="L103" s="1">
        <f t="shared" si="18"/>
        <v>1.1256383603774596</v>
      </c>
      <c r="M103" s="1">
        <f t="shared" si="20"/>
        <v>11141.276090847938</v>
      </c>
      <c r="P103" s="1">
        <f t="shared" si="21"/>
        <v>0</v>
      </c>
      <c r="Q103" s="1">
        <f t="shared" si="22"/>
        <v>0</v>
      </c>
      <c r="R103" s="1">
        <f t="shared" si="23"/>
        <v>11141.276090847938</v>
      </c>
    </row>
    <row r="104" spans="1:18" ht="15.65" outlineLevel="2">
      <c r="A104" s="9" t="s">
        <v>4</v>
      </c>
      <c r="B104" s="11" t="s">
        <v>10</v>
      </c>
      <c r="C104" s="10">
        <v>39393.080000000002</v>
      </c>
      <c r="F104" s="10">
        <v>39393.080000000002</v>
      </c>
      <c r="H104" s="3">
        <v>100</v>
      </c>
      <c r="I104" s="3">
        <v>13.10567</v>
      </c>
      <c r="J104" s="2">
        <v>0</v>
      </c>
      <c r="K104" s="1">
        <f t="shared" si="19"/>
        <v>34230.352932364003</v>
      </c>
      <c r="L104" s="1">
        <f t="shared" si="18"/>
        <v>1.1256383603774596</v>
      </c>
      <c r="M104" s="1">
        <f t="shared" si="20"/>
        <v>38530.998349927984</v>
      </c>
      <c r="P104" s="1">
        <f t="shared" si="21"/>
        <v>0</v>
      </c>
      <c r="Q104" s="1">
        <f t="shared" si="22"/>
        <v>0</v>
      </c>
      <c r="R104" s="1">
        <f t="shared" si="23"/>
        <v>38530.998349927984</v>
      </c>
    </row>
    <row r="105" spans="1:18" ht="15.65" outlineLevel="2">
      <c r="A105" s="9" t="s">
        <v>4</v>
      </c>
      <c r="B105" s="11" t="s">
        <v>9</v>
      </c>
      <c r="C105" s="10">
        <v>782964.18999999994</v>
      </c>
      <c r="F105" s="10">
        <v>782964.18999999994</v>
      </c>
      <c r="H105" s="3">
        <v>100</v>
      </c>
      <c r="I105" s="3">
        <v>12.699930999999999</v>
      </c>
      <c r="J105" s="2">
        <v>0</v>
      </c>
      <c r="K105" s="1">
        <f t="shared" si="19"/>
        <v>683528.27811529103</v>
      </c>
      <c r="L105" s="1">
        <f t="shared" si="18"/>
        <v>1.1256383603774596</v>
      </c>
      <c r="M105" s="1">
        <f t="shared" si="20"/>
        <v>769405.65024932439</v>
      </c>
      <c r="P105" s="1">
        <f t="shared" si="21"/>
        <v>0</v>
      </c>
      <c r="Q105" s="1">
        <f t="shared" si="22"/>
        <v>0</v>
      </c>
      <c r="R105" s="1">
        <f t="shared" si="23"/>
        <v>769405.65024932439</v>
      </c>
    </row>
    <row r="106" spans="1:18" ht="15.65" outlineLevel="2">
      <c r="A106" s="9" t="s">
        <v>4</v>
      </c>
      <c r="B106" s="11" t="s">
        <v>8</v>
      </c>
      <c r="C106" s="10">
        <v>319821.34999999998</v>
      </c>
      <c r="F106" s="10">
        <v>319821.34999999998</v>
      </c>
      <c r="H106" s="3">
        <v>100</v>
      </c>
      <c r="I106" s="3">
        <v>12.307563999999999</v>
      </c>
      <c r="J106" s="2">
        <v>0</v>
      </c>
      <c r="K106" s="1">
        <f t="shared" si="19"/>
        <v>280459.132663086</v>
      </c>
      <c r="L106" s="1">
        <f t="shared" si="18"/>
        <v>1.1256383603774596</v>
      </c>
      <c r="M106" s="1">
        <f t="shared" si="20"/>
        <v>315695.55824376055</v>
      </c>
      <c r="P106" s="1">
        <f t="shared" si="21"/>
        <v>0</v>
      </c>
      <c r="Q106" s="1">
        <f t="shared" si="22"/>
        <v>0</v>
      </c>
      <c r="R106" s="1">
        <f t="shared" si="23"/>
        <v>315695.55824376055</v>
      </c>
    </row>
    <row r="107" spans="1:18" ht="15.65" outlineLevel="2">
      <c r="A107" s="9" t="s">
        <v>4</v>
      </c>
      <c r="B107" s="11" t="s">
        <v>7</v>
      </c>
      <c r="C107" s="10">
        <v>9503.2399999999998</v>
      </c>
      <c r="F107" s="10">
        <v>9503.2399999999998</v>
      </c>
      <c r="H107" s="3">
        <v>100</v>
      </c>
      <c r="I107" s="3">
        <v>11.560155</v>
      </c>
      <c r="J107" s="2">
        <v>0</v>
      </c>
      <c r="K107" s="1">
        <f t="shared" si="19"/>
        <v>8404.6507259779992</v>
      </c>
      <c r="L107" s="1">
        <f t="shared" si="18"/>
        <v>1.1256383603774596</v>
      </c>
      <c r="M107" s="1">
        <f t="shared" si="20"/>
        <v>9460.5972627351002</v>
      </c>
      <c r="P107" s="1">
        <f t="shared" si="21"/>
        <v>0</v>
      </c>
      <c r="Q107" s="1">
        <f t="shared" si="22"/>
        <v>0</v>
      </c>
      <c r="R107" s="1">
        <f t="shared" si="23"/>
        <v>9460.5972627351002</v>
      </c>
    </row>
    <row r="108" spans="1:18" ht="15.65" outlineLevel="2">
      <c r="A108" s="9" t="s">
        <v>4</v>
      </c>
      <c r="B108" s="11" t="s">
        <v>6</v>
      </c>
      <c r="C108" s="10">
        <v>470363.71999999997</v>
      </c>
      <c r="F108" s="10">
        <v>470363.71999999997</v>
      </c>
      <c r="H108" s="3">
        <v>100</v>
      </c>
      <c r="I108" s="3">
        <v>11.203654</v>
      </c>
      <c r="J108" s="2">
        <v>0</v>
      </c>
      <c r="K108" s="1">
        <f t="shared" si="19"/>
        <v>417665.79626967118</v>
      </c>
      <c r="L108" s="1">
        <f t="shared" si="18"/>
        <v>1.1256383603774596</v>
      </c>
      <c r="M108" s="1">
        <f t="shared" si="20"/>
        <v>470140.64209873875</v>
      </c>
      <c r="P108" s="1">
        <f t="shared" si="21"/>
        <v>0</v>
      </c>
      <c r="Q108" s="1">
        <f t="shared" si="22"/>
        <v>0</v>
      </c>
      <c r="R108" s="1">
        <f t="shared" si="23"/>
        <v>470140.64209873875</v>
      </c>
    </row>
    <row r="109" spans="1:18" ht="15.65" outlineLevel="2">
      <c r="A109" s="9" t="s">
        <v>4</v>
      </c>
      <c r="B109" s="11" t="s">
        <v>5</v>
      </c>
      <c r="C109" s="10">
        <v>7252.7200000000003</v>
      </c>
      <c r="F109" s="10">
        <v>7252.7200000000003</v>
      </c>
      <c r="H109" s="3">
        <v>100</v>
      </c>
      <c r="I109" s="3">
        <v>10.857628999999999</v>
      </c>
      <c r="J109" s="2">
        <v>0</v>
      </c>
      <c r="K109" s="1">
        <f t="shared" si="19"/>
        <v>6465.2465699912</v>
      </c>
      <c r="L109" s="1">
        <f t="shared" si="18"/>
        <v>1.1256383603774596</v>
      </c>
      <c r="M109" s="1">
        <f t="shared" si="20"/>
        <v>7252.7200000000003</v>
      </c>
      <c r="P109" s="1">
        <f t="shared" si="21"/>
        <v>0</v>
      </c>
      <c r="Q109" s="1">
        <f t="shared" si="22"/>
        <v>0</v>
      </c>
      <c r="R109" s="1">
        <f t="shared" si="23"/>
        <v>7252.7200000000003</v>
      </c>
    </row>
    <row r="110" spans="1:19" ht="15.65" outlineLevel="1">
      <c r="A110" s="9" t="s">
        <v>131</v>
      </c>
      <c r="B110" s="11"/>
      <c r="C110" s="10">
        <f>SUBTOTAL(9,C3:C109)</f>
        <v>521566382.5200001</v>
      </c>
      <c r="D110" s="10">
        <f>SUBTOTAL(9,D3:D109)</f>
        <v>0</v>
      </c>
      <c r="E110" s="10">
        <f>SUBTOTAL(9,E3:E109)</f>
        <v>0</v>
      </c>
      <c r="F110" s="10">
        <f>SUBTOTAL(9,F3:F109)</f>
        <v>521566382.5200001</v>
      </c>
      <c r="J110" s="2" t="s">
        <v>145</v>
      </c>
      <c r="K110" s="1">
        <f>SUBTOTAL(9,K3:K109)</f>
        <v>87395243.617663428</v>
      </c>
      <c r="L110" s="1">
        <v>1.1256383603774596</v>
      </c>
      <c r="M110" s="1">
        <f>SUBTOTAL(9,M3:M109)</f>
        <v>98375413.921026886</v>
      </c>
      <c r="N110" s="1">
        <v>98375413.921026856</v>
      </c>
      <c r="O110" s="1">
        <f>+N110-M110</f>
        <v>0</v>
      </c>
      <c r="P110" s="1">
        <f>SUBTOTAL(9,P3:P109)</f>
        <v>0</v>
      </c>
      <c r="Q110" s="1">
        <f>SUBTOTAL(9,Q3:Q109)</f>
        <v>0</v>
      </c>
      <c r="R110" s="1">
        <f>SUBTOTAL(9,R3:R109)</f>
        <v>98375413.921026886</v>
      </c>
      <c r="S110" s="4">
        <f>+M110-P110-Q110-R110</f>
        <v>0</v>
      </c>
    </row>
    <row r="111" spans="1:18" ht="15.65" outlineLevel="2">
      <c r="A111" s="9" t="s">
        <v>141</v>
      </c>
      <c r="B111" s="11">
        <v>2019</v>
      </c>
      <c r="C111" s="10">
        <v>4.0499999999999998</v>
      </c>
      <c r="D111" s="10">
        <v>4.0499999999999998</v>
      </c>
      <c r="H111" s="3">
        <v>55</v>
      </c>
      <c r="I111" s="3">
        <v>52.502682999999998</v>
      </c>
      <c r="J111" s="2">
        <v>-0.5</v>
      </c>
      <c r="K111" s="1">
        <f t="shared" si="24" ref="K111:K117">+C111*(1-I111/H111)*(1-J111)</f>
        <v>0.27584001409090964</v>
      </c>
      <c r="L111" s="1">
        <f t="shared" si="25" ref="L111:L117">$L$118</f>
        <v>1.12092996886208</v>
      </c>
      <c r="M111" s="1">
        <f t="shared" si="26" ref="M111:M117">IF((C111*(1-J111)-K111*L111)&lt;0,C111*(1-J111),K111*L111)</f>
        <v>0.30919733840583902</v>
      </c>
      <c r="P111" s="1">
        <f t="shared" si="27" ref="P111:R117">+D111/$C111*$M111</f>
        <v>0.30919733840583902</v>
      </c>
      <c r="Q111" s="1">
        <f t="shared" si="27"/>
        <v>0</v>
      </c>
      <c r="R111" s="1">
        <f t="shared" si="27"/>
        <v>0</v>
      </c>
    </row>
    <row r="112" spans="1:18" ht="15.65" outlineLevel="2">
      <c r="A112" s="9" t="s">
        <v>141</v>
      </c>
      <c r="B112" s="11">
        <v>2018</v>
      </c>
      <c r="C112" s="10">
        <v>18982.599999999999</v>
      </c>
      <c r="D112" s="10">
        <v>18982.599999999999</v>
      </c>
      <c r="H112" s="3">
        <v>55</v>
      </c>
      <c r="I112" s="3">
        <v>51.504297000000001</v>
      </c>
      <c r="J112" s="2">
        <v>-0.5</v>
      </c>
      <c r="K112" s="1">
        <f t="shared" si="24"/>
        <v>1809.7508663945446</v>
      </c>
      <c r="L112" s="1">
        <f t="shared" si="25"/>
        <v>1.12092996886208</v>
      </c>
      <c r="M112" s="1">
        <f t="shared" si="26"/>
        <v>2028.6039823157591</v>
      </c>
      <c r="P112" s="1">
        <f t="shared" si="27"/>
        <v>2028.6039823157591</v>
      </c>
      <c r="Q112" s="1">
        <f t="shared" si="27"/>
        <v>0</v>
      </c>
      <c r="R112" s="1">
        <f t="shared" si="27"/>
        <v>0</v>
      </c>
    </row>
    <row r="113" spans="1:18" ht="15.65" outlineLevel="2">
      <c r="A113" s="9" t="s">
        <v>141</v>
      </c>
      <c r="B113" s="11">
        <v>2017</v>
      </c>
      <c r="C113" s="10">
        <v>349719.90000000002</v>
      </c>
      <c r="D113" s="10">
        <v>349719.90000000002</v>
      </c>
      <c r="H113" s="3">
        <v>55</v>
      </c>
      <c r="I113" s="3">
        <v>50.506323999999999</v>
      </c>
      <c r="J113" s="2">
        <v>-0.5</v>
      </c>
      <c r="K113" s="1">
        <f t="shared" si="24"/>
        <v>42859.852400519987</v>
      </c>
      <c r="L113" s="1">
        <f t="shared" si="25"/>
        <v>1.12092996886208</v>
      </c>
      <c r="M113" s="1">
        <f t="shared" si="26"/>
        <v>48042.89301674821</v>
      </c>
      <c r="P113" s="1">
        <f t="shared" si="27"/>
        <v>48042.89301674821</v>
      </c>
      <c r="Q113" s="1">
        <f t="shared" si="27"/>
        <v>0</v>
      </c>
      <c r="R113" s="1">
        <f t="shared" si="27"/>
        <v>0</v>
      </c>
    </row>
    <row r="114" spans="1:18" ht="15.65" outlineLevel="2">
      <c r="A114" s="9" t="s">
        <v>141</v>
      </c>
      <c r="B114" s="11">
        <v>2015</v>
      </c>
      <c r="C114" s="10">
        <v>5929.1800000000003</v>
      </c>
      <c r="D114" s="10">
        <v>5929.1800000000003</v>
      </c>
      <c r="H114" s="3">
        <v>55</v>
      </c>
      <c r="I114" s="3">
        <v>48.512023999999997</v>
      </c>
      <c r="J114" s="2">
        <v>-0.5</v>
      </c>
      <c r="K114" s="1">
        <f t="shared" si="24"/>
        <v>1049.1375692640004</v>
      </c>
      <c r="L114" s="1">
        <f t="shared" si="25"/>
        <v>1.12092996886208</v>
      </c>
      <c r="M114" s="1">
        <f t="shared" si="26"/>
        <v>1176.0097428471343</v>
      </c>
      <c r="P114" s="1">
        <f t="shared" si="27"/>
        <v>1176.0097428471343</v>
      </c>
      <c r="Q114" s="1">
        <f t="shared" si="27"/>
        <v>0</v>
      </c>
      <c r="R114" s="1">
        <f t="shared" si="27"/>
        <v>0</v>
      </c>
    </row>
    <row r="115" spans="1:18" ht="15.65" outlineLevel="2">
      <c r="A115" s="9" t="s">
        <v>141</v>
      </c>
      <c r="B115" s="11">
        <v>2014</v>
      </c>
      <c r="C115" s="10">
        <v>21986.91</v>
      </c>
      <c r="D115" s="10">
        <v>21986.91</v>
      </c>
      <c r="H115" s="3">
        <v>55</v>
      </c>
      <c r="I115" s="3">
        <v>47.515937999999998</v>
      </c>
      <c r="J115" s="2">
        <v>-0.5</v>
      </c>
      <c r="K115" s="1">
        <f t="shared" si="24"/>
        <v>4487.7653898660028</v>
      </c>
      <c r="L115" s="1">
        <f t="shared" si="25"/>
        <v>1.12092996886208</v>
      </c>
      <c r="M115" s="1">
        <f t="shared" si="26"/>
        <v>5030.4707187228187</v>
      </c>
      <c r="P115" s="1">
        <f t="shared" si="27"/>
        <v>5030.4707187228187</v>
      </c>
      <c r="Q115" s="1">
        <f t="shared" si="27"/>
        <v>0</v>
      </c>
      <c r="R115" s="1">
        <f t="shared" si="27"/>
        <v>0</v>
      </c>
    </row>
    <row r="116" spans="1:18" ht="15.65" outlineLevel="2">
      <c r="A116" s="9" t="s">
        <v>141</v>
      </c>
      <c r="B116" s="11">
        <v>2005</v>
      </c>
      <c r="C116" s="10">
        <v>3447.4899999999998</v>
      </c>
      <c r="D116" s="10">
        <v>3447.4899999999998</v>
      </c>
      <c r="H116" s="3">
        <v>55</v>
      </c>
      <c r="I116" s="3">
        <v>38.615901000000001</v>
      </c>
      <c r="J116" s="2">
        <v>-0.5</v>
      </c>
      <c r="K116" s="1">
        <f t="shared" si="24"/>
        <v>1540.4732034957269</v>
      </c>
      <c r="L116" s="1">
        <f t="shared" si="25"/>
        <v>1.12092996886208</v>
      </c>
      <c r="M116" s="1">
        <f t="shared" si="26"/>
        <v>1726.7625800273338</v>
      </c>
      <c r="P116" s="1">
        <f t="shared" si="27"/>
        <v>1726.7625800273338</v>
      </c>
      <c r="Q116" s="1">
        <f t="shared" si="27"/>
        <v>0</v>
      </c>
      <c r="R116" s="1">
        <f t="shared" si="27"/>
        <v>0</v>
      </c>
    </row>
    <row r="117" spans="1:18" ht="15.65" outlineLevel="2">
      <c r="A117" s="9" t="s">
        <v>141</v>
      </c>
      <c r="B117" s="11">
        <v>1997</v>
      </c>
      <c r="C117" s="10">
        <v>1286498.8100000001</v>
      </c>
      <c r="D117" s="10">
        <v>1286498.8100000001</v>
      </c>
      <c r="H117" s="3">
        <v>55</v>
      </c>
      <c r="I117" s="3">
        <v>30.934629000000001</v>
      </c>
      <c r="J117" s="2">
        <v>-0.5</v>
      </c>
      <c r="K117" s="1">
        <f t="shared" si="24"/>
        <v>844365.57691932283</v>
      </c>
      <c r="L117" s="1">
        <f t="shared" si="25"/>
        <v>1.12092996886208</v>
      </c>
      <c r="M117" s="1">
        <f t="shared" si="26"/>
        <v>946474.67984438874</v>
      </c>
      <c r="P117" s="1">
        <f t="shared" si="27"/>
        <v>946474.67984438874</v>
      </c>
      <c r="Q117" s="1">
        <f t="shared" si="27"/>
        <v>0</v>
      </c>
      <c r="R117" s="1">
        <f t="shared" si="27"/>
        <v>0</v>
      </c>
    </row>
    <row r="118" spans="1:19" ht="15.65" outlineLevel="1">
      <c r="A118" s="9" t="s">
        <v>143</v>
      </c>
      <c r="B118" s="11"/>
      <c r="C118" s="10">
        <f>SUBTOTAL(9,C111:C117)</f>
        <v>1686568.9399999999</v>
      </c>
      <c r="D118" s="10">
        <f>SUBTOTAL(9,D111:D117)</f>
        <v>1686568.9399999999</v>
      </c>
      <c r="E118" s="10">
        <f>SUBTOTAL(9,E111:E117)</f>
        <v>0</v>
      </c>
      <c r="F118" s="10">
        <f>SUBTOTAL(9,F111:F117)</f>
        <v>0</v>
      </c>
      <c r="J118" s="2" t="s">
        <v>145</v>
      </c>
      <c r="K118" s="1">
        <f>SUBTOTAL(9,K111:K117)</f>
        <v>896112.83218887716</v>
      </c>
      <c r="L118" s="1">
        <v>1.12092996886208</v>
      </c>
      <c r="M118" s="1">
        <f>SUBTOTAL(9,M111:M117)</f>
        <v>1004479.7290823883</v>
      </c>
      <c r="N118" s="1">
        <v>1004479.7290823883</v>
      </c>
      <c r="O118" s="1">
        <f>+N118-M118</f>
        <v>0</v>
      </c>
      <c r="P118" s="1">
        <f>SUBTOTAL(9,P111:P117)</f>
        <v>1004479.7290823883</v>
      </c>
      <c r="Q118" s="1">
        <f>SUBTOTAL(9,Q111:Q117)</f>
        <v>0</v>
      </c>
      <c r="R118" s="1">
        <f>SUBTOTAL(9,R111:R117)</f>
        <v>0</v>
      </c>
      <c r="S118" s="4">
        <f t="shared" si="28" ref="S118:S181">+M118-P118-Q118-R118</f>
        <v>0</v>
      </c>
    </row>
    <row r="119" spans="1:19" ht="15.65" outlineLevel="2">
      <c r="A119" s="9" t="s">
        <v>112</v>
      </c>
      <c r="B119" s="11" t="s">
        <v>111</v>
      </c>
      <c r="C119" s="10">
        <v>33046391.700000003</v>
      </c>
      <c r="F119" s="10">
        <v>33046391.700000003</v>
      </c>
      <c r="G119" s="5"/>
      <c r="H119" s="3">
        <v>55</v>
      </c>
      <c r="I119" s="3">
        <v>54.500413000000002</v>
      </c>
      <c r="J119" s="2">
        <v>-0.5</v>
      </c>
      <c r="K119" s="1">
        <f t="shared" si="29" ref="K119:K150">+C119*(1-I119/H119)*(1-J119)</f>
        <v>450260.39155166817</v>
      </c>
      <c r="L119" s="1">
        <f t="shared" si="30" ref="L119:L150">$L$212</f>
        <v>1.1385407425440419</v>
      </c>
      <c r="M119" s="1">
        <f t="shared" si="31" ref="M119:M150">IF((C119*(1-J119)-K119*L119)&lt;0,C119*(1-J119),K119*L119)</f>
        <v>512639.80053540732</v>
      </c>
      <c r="P119" s="1">
        <f t="shared" si="32" ref="P119:P150">+D119/$C119*$M119</f>
        <v>0</v>
      </c>
      <c r="Q119" s="1">
        <f t="shared" si="33" ref="Q119:Q150">+E119/$C119*$M119</f>
        <v>0</v>
      </c>
      <c r="R119" s="1">
        <f t="shared" si="34" ref="R119:R150">+F119/$C119*$M119</f>
        <v>512639.80053540732</v>
      </c>
      <c r="S119" s="4">
        <f t="shared" si="28"/>
        <v>0</v>
      </c>
    </row>
    <row r="120" spans="1:19" ht="15.65" outlineLevel="2">
      <c r="A120" s="9" t="s">
        <v>112</v>
      </c>
      <c r="B120" s="11" t="s">
        <v>110</v>
      </c>
      <c r="C120" s="10">
        <v>32925620</v>
      </c>
      <c r="F120" s="10">
        <v>32925620</v>
      </c>
      <c r="H120" s="3">
        <v>55</v>
      </c>
      <c r="I120" s="3">
        <v>53.501407999999998</v>
      </c>
      <c r="J120" s="2">
        <v>-0.5</v>
      </c>
      <c r="K120" s="1">
        <f t="shared" si="29"/>
        <v>1345692.8380101814</v>
      </c>
      <c r="L120" s="1">
        <f t="shared" si="30"/>
        <v>1.1385407425440419</v>
      </c>
      <c r="M120" s="1">
        <f t="shared" si="31"/>
        <v>1532126.1230243112</v>
      </c>
      <c r="P120" s="1">
        <f t="shared" si="32"/>
        <v>0</v>
      </c>
      <c r="Q120" s="1">
        <f t="shared" si="33"/>
        <v>0</v>
      </c>
      <c r="R120" s="1">
        <f t="shared" si="34"/>
        <v>1532126.1230243112</v>
      </c>
      <c r="S120" s="4">
        <f t="shared" si="28"/>
        <v>0</v>
      </c>
    </row>
    <row r="121" spans="1:19" ht="15.65" outlineLevel="2">
      <c r="A121" s="9" t="s">
        <v>112</v>
      </c>
      <c r="B121" s="11" t="s">
        <v>109</v>
      </c>
      <c r="C121" s="10">
        <v>15388522.57</v>
      </c>
      <c r="F121" s="10">
        <v>15388522.57</v>
      </c>
      <c r="H121" s="3">
        <v>55</v>
      </c>
      <c r="I121" s="3">
        <v>52.502682999999998</v>
      </c>
      <c r="J121" s="2">
        <v>-0.5</v>
      </c>
      <c r="K121" s="1">
        <f t="shared" si="29"/>
        <v>1048091.4277894028</v>
      </c>
      <c r="L121" s="1">
        <f t="shared" si="30"/>
        <v>1.1385407425440419</v>
      </c>
      <c r="M121" s="1">
        <f t="shared" si="31"/>
        <v>1193294.7924493917</v>
      </c>
      <c r="P121" s="1">
        <f t="shared" si="32"/>
        <v>0</v>
      </c>
      <c r="Q121" s="1">
        <f t="shared" si="33"/>
        <v>0</v>
      </c>
      <c r="R121" s="1">
        <f t="shared" si="34"/>
        <v>1193294.7924493917</v>
      </c>
      <c r="S121" s="4">
        <f t="shared" si="28"/>
        <v>0</v>
      </c>
    </row>
    <row r="122" spans="1:19" ht="15.65" outlineLevel="2">
      <c r="A122" s="9" t="s">
        <v>112</v>
      </c>
      <c r="B122" s="11" t="s">
        <v>108</v>
      </c>
      <c r="C122" s="10">
        <v>18551060.079999998</v>
      </c>
      <c r="F122" s="10">
        <v>18551060.079999998</v>
      </c>
      <c r="H122" s="3">
        <v>55</v>
      </c>
      <c r="I122" s="3">
        <v>51.504297000000001</v>
      </c>
      <c r="J122" s="2">
        <v>-0.5</v>
      </c>
      <c r="K122" s="1">
        <f t="shared" si="29"/>
        <v>1768608.9920409874</v>
      </c>
      <c r="L122" s="1">
        <f t="shared" si="30"/>
        <v>1.1385407425440419</v>
      </c>
      <c r="M122" s="1">
        <f t="shared" si="31"/>
        <v>2013633.3950684152</v>
      </c>
      <c r="P122" s="1">
        <f t="shared" si="32"/>
        <v>0</v>
      </c>
      <c r="Q122" s="1">
        <f t="shared" si="33"/>
        <v>0</v>
      </c>
      <c r="R122" s="1">
        <f t="shared" si="34"/>
        <v>2013633.3950684152</v>
      </c>
      <c r="S122" s="4">
        <f t="shared" si="28"/>
        <v>0</v>
      </c>
    </row>
    <row r="123" spans="1:19" ht="15.65" outlineLevel="2">
      <c r="A123" s="9" t="s">
        <v>112</v>
      </c>
      <c r="B123" s="11" t="s">
        <v>107</v>
      </c>
      <c r="C123" s="10">
        <v>11736958.52</v>
      </c>
      <c r="F123" s="10">
        <v>11736958.52</v>
      </c>
      <c r="H123" s="3">
        <v>55</v>
      </c>
      <c r="I123" s="3">
        <v>50.506323999999999</v>
      </c>
      <c r="J123" s="2">
        <v>-0.5</v>
      </c>
      <c r="K123" s="1">
        <f t="shared" si="29"/>
        <v>1438420.6040268955</v>
      </c>
      <c r="L123" s="1">
        <f t="shared" si="30"/>
        <v>1.1385407425440419</v>
      </c>
      <c r="M123" s="1">
        <f t="shared" si="31"/>
        <v>1637700.4625994309</v>
      </c>
      <c r="P123" s="1">
        <f t="shared" si="32"/>
        <v>0</v>
      </c>
      <c r="Q123" s="1">
        <f t="shared" si="33"/>
        <v>0</v>
      </c>
      <c r="R123" s="1">
        <f t="shared" si="34"/>
        <v>1637700.4625994309</v>
      </c>
      <c r="S123" s="4">
        <f t="shared" si="28"/>
        <v>0</v>
      </c>
    </row>
    <row r="124" spans="1:19" ht="15.65" outlineLevel="2">
      <c r="A124" s="9" t="s">
        <v>112</v>
      </c>
      <c r="B124" s="11" t="s">
        <v>106</v>
      </c>
      <c r="C124" s="10">
        <v>11917338.84</v>
      </c>
      <c r="F124" s="10">
        <v>11917338.84</v>
      </c>
      <c r="H124" s="3">
        <v>55</v>
      </c>
      <c r="I124" s="3">
        <v>49.508850000000002</v>
      </c>
      <c r="J124" s="2">
        <v>-0.5</v>
      </c>
      <c r="K124" s="1">
        <f t="shared" si="29"/>
        <v>1784724.4137617983</v>
      </c>
      <c r="L124" s="1">
        <f t="shared" si="30"/>
        <v>1.1385407425440419</v>
      </c>
      <c r="M124" s="1">
        <f t="shared" si="31"/>
        <v>2031981.4592808378</v>
      </c>
      <c r="P124" s="1">
        <f t="shared" si="32"/>
        <v>0</v>
      </c>
      <c r="Q124" s="1">
        <f t="shared" si="33"/>
        <v>0</v>
      </c>
      <c r="R124" s="1">
        <f t="shared" si="34"/>
        <v>2031981.4592808378</v>
      </c>
      <c r="S124" s="4">
        <f t="shared" si="28"/>
        <v>0</v>
      </c>
    </row>
    <row r="125" spans="1:19" ht="15.65" outlineLevel="2">
      <c r="A125" s="9" t="s">
        <v>112</v>
      </c>
      <c r="B125" s="11" t="s">
        <v>105</v>
      </c>
      <c r="C125" s="10">
        <v>13639973.430000002</v>
      </c>
      <c r="F125" s="10">
        <v>13639973.430000002</v>
      </c>
      <c r="H125" s="3">
        <v>55</v>
      </c>
      <c r="I125" s="3">
        <v>48.512023999999997</v>
      </c>
      <c r="J125" s="2">
        <v>-0.5</v>
      </c>
      <c r="K125" s="1">
        <f t="shared" si="29"/>
        <v>2413522.3705766653</v>
      </c>
      <c r="L125" s="1">
        <f t="shared" si="30"/>
        <v>1.1385407425440419</v>
      </c>
      <c r="M125" s="1">
        <f t="shared" si="31"/>
        <v>2747893.551943013</v>
      </c>
      <c r="P125" s="1">
        <f t="shared" si="32"/>
        <v>0</v>
      </c>
      <c r="Q125" s="1">
        <f t="shared" si="33"/>
        <v>0</v>
      </c>
      <c r="R125" s="1">
        <f t="shared" si="34"/>
        <v>2747893.551943013</v>
      </c>
      <c r="S125" s="4">
        <f t="shared" si="28"/>
        <v>0</v>
      </c>
    </row>
    <row r="126" spans="1:19" ht="15.65" outlineLevel="2">
      <c r="A126" s="9" t="s">
        <v>112</v>
      </c>
      <c r="B126" s="11" t="s">
        <v>104</v>
      </c>
      <c r="C126" s="10">
        <v>9559609.5100000016</v>
      </c>
      <c r="F126" s="10">
        <v>9559609.5100000016</v>
      </c>
      <c r="H126" s="3">
        <v>55</v>
      </c>
      <c r="I126" s="3">
        <v>47.515937999999998</v>
      </c>
      <c r="J126" s="2">
        <v>-0.5</v>
      </c>
      <c r="K126" s="1">
        <f t="shared" si="29"/>
        <v>1951219.3709626272</v>
      </c>
      <c r="L126" s="1">
        <f t="shared" si="30"/>
        <v>1.1385407425440419</v>
      </c>
      <c r="M126" s="1">
        <f t="shared" si="31"/>
        <v>2221542.7514821081</v>
      </c>
      <c r="P126" s="1">
        <f t="shared" si="32"/>
        <v>0</v>
      </c>
      <c r="Q126" s="1">
        <f t="shared" si="33"/>
        <v>0</v>
      </c>
      <c r="R126" s="1">
        <f t="shared" si="34"/>
        <v>2221542.7514821081</v>
      </c>
      <c r="S126" s="4">
        <f t="shared" si="28"/>
        <v>0</v>
      </c>
    </row>
    <row r="127" spans="1:19" ht="15.65" outlineLevel="2">
      <c r="A127" s="9" t="s">
        <v>112</v>
      </c>
      <c r="B127" s="11" t="s">
        <v>103</v>
      </c>
      <c r="C127" s="10">
        <v>6911192.3600000003</v>
      </c>
      <c r="F127" s="10">
        <v>6911192.3600000003</v>
      </c>
      <c r="H127" s="3">
        <v>55</v>
      </c>
      <c r="I127" s="3">
        <v>46.520733</v>
      </c>
      <c r="J127" s="2">
        <v>-0.5</v>
      </c>
      <c r="K127" s="1">
        <f t="shared" si="29"/>
        <v>1598232.1447854578</v>
      </c>
      <c r="L127" s="1">
        <f t="shared" si="30"/>
        <v>1.1385407425440419</v>
      </c>
      <c r="M127" s="1">
        <f t="shared" si="31"/>
        <v>1819652.4128817918</v>
      </c>
      <c r="P127" s="1">
        <f t="shared" si="32"/>
        <v>0</v>
      </c>
      <c r="Q127" s="1">
        <f t="shared" si="33"/>
        <v>0</v>
      </c>
      <c r="R127" s="1">
        <f t="shared" si="34"/>
        <v>1819652.4128817918</v>
      </c>
      <c r="S127" s="4">
        <f t="shared" si="28"/>
        <v>0</v>
      </c>
    </row>
    <row r="128" spans="1:19" ht="15.65" outlineLevel="2">
      <c r="A128" s="9" t="s">
        <v>112</v>
      </c>
      <c r="B128" s="11" t="s">
        <v>102</v>
      </c>
      <c r="C128" s="10">
        <v>13082021.94</v>
      </c>
      <c r="F128" s="10">
        <v>13082021.94</v>
      </c>
      <c r="H128" s="3">
        <v>55</v>
      </c>
      <c r="I128" s="3">
        <v>45.526567999999997</v>
      </c>
      <c r="J128" s="2">
        <v>-0.5</v>
      </c>
      <c r="K128" s="1">
        <f t="shared" si="29"/>
        <v>3379953.9619390396</v>
      </c>
      <c r="L128" s="1">
        <f t="shared" si="30"/>
        <v>1.1385407425440419</v>
      </c>
      <c r="M128" s="1">
        <f t="shared" si="31"/>
        <v>3848215.2935907505</v>
      </c>
      <c r="P128" s="1">
        <f t="shared" si="32"/>
        <v>0</v>
      </c>
      <c r="Q128" s="1">
        <f t="shared" si="33"/>
        <v>0</v>
      </c>
      <c r="R128" s="1">
        <f t="shared" si="34"/>
        <v>3848215.2935907505</v>
      </c>
      <c r="S128" s="4">
        <f t="shared" si="28"/>
        <v>0</v>
      </c>
    </row>
    <row r="129" spans="1:19" ht="15.65" outlineLevel="2">
      <c r="A129" s="9" t="s">
        <v>112</v>
      </c>
      <c r="B129" s="11" t="s">
        <v>101</v>
      </c>
      <c r="C129" s="10">
        <v>11659882.390000001</v>
      </c>
      <c r="F129" s="10">
        <v>11659882.390000001</v>
      </c>
      <c r="H129" s="3">
        <v>55</v>
      </c>
      <c r="I129" s="3">
        <v>44.533619999999999</v>
      </c>
      <c r="J129" s="2">
        <v>-0.5</v>
      </c>
      <c r="K129" s="1">
        <f t="shared" si="29"/>
        <v>3328275.2686104067</v>
      </c>
      <c r="L129" s="1">
        <f t="shared" si="30"/>
        <v>1.1385407425440419</v>
      </c>
      <c r="M129" s="1">
        <f t="shared" si="31"/>
        <v>3789376.9957146631</v>
      </c>
      <c r="P129" s="1">
        <f t="shared" si="32"/>
        <v>0</v>
      </c>
      <c r="Q129" s="1">
        <f t="shared" si="33"/>
        <v>0</v>
      </c>
      <c r="R129" s="1">
        <f t="shared" si="34"/>
        <v>3789376.9957146631</v>
      </c>
      <c r="S129" s="4">
        <f t="shared" si="28"/>
        <v>0</v>
      </c>
    </row>
    <row r="130" spans="1:19" ht="15.65" outlineLevel="2">
      <c r="A130" s="9" t="s">
        <v>112</v>
      </c>
      <c r="B130" s="11" t="s">
        <v>100</v>
      </c>
      <c r="C130" s="10">
        <v>14061167.949999999</v>
      </c>
      <c r="F130" s="10">
        <v>14061167.949999999</v>
      </c>
      <c r="H130" s="3">
        <v>55</v>
      </c>
      <c r="I130" s="3">
        <v>43.542146000000002</v>
      </c>
      <c r="J130" s="2">
        <v>-0.5</v>
      </c>
      <c r="K130" s="1">
        <f t="shared" si="29"/>
        <v>4393931.1665612524</v>
      </c>
      <c r="L130" s="1">
        <f t="shared" si="30"/>
        <v>1.1385407425440419</v>
      </c>
      <c r="M130" s="1">
        <f t="shared" si="31"/>
        <v>5002669.6530640563</v>
      </c>
      <c r="P130" s="1">
        <f t="shared" si="32"/>
        <v>0</v>
      </c>
      <c r="Q130" s="1">
        <f t="shared" si="33"/>
        <v>0</v>
      </c>
      <c r="R130" s="1">
        <f t="shared" si="34"/>
        <v>5002669.6530640563</v>
      </c>
      <c r="S130" s="4">
        <f t="shared" si="28"/>
        <v>0</v>
      </c>
    </row>
    <row r="131" spans="1:19" ht="15.65" outlineLevel="2">
      <c r="A131" s="9" t="s">
        <v>112</v>
      </c>
      <c r="B131" s="11" t="s">
        <v>99</v>
      </c>
      <c r="C131" s="10">
        <v>16971640.310000002</v>
      </c>
      <c r="F131" s="10">
        <v>16971640.310000002</v>
      </c>
      <c r="H131" s="3">
        <v>55</v>
      </c>
      <c r="I131" s="3">
        <v>42.552402999999998</v>
      </c>
      <c r="J131" s="2">
        <v>-0.5</v>
      </c>
      <c r="K131" s="1">
        <f t="shared" si="29"/>
        <v>5761531.0638500489</v>
      </c>
      <c r="L131" s="1">
        <f t="shared" si="30"/>
        <v>1.1385407425440419</v>
      </c>
      <c r="M131" s="1">
        <f t="shared" si="31"/>
        <v>6559737.8556263987</v>
      </c>
      <c r="P131" s="1">
        <f t="shared" si="32"/>
        <v>0</v>
      </c>
      <c r="Q131" s="1">
        <f t="shared" si="33"/>
        <v>0</v>
      </c>
      <c r="R131" s="1">
        <f t="shared" si="34"/>
        <v>6559737.8556263987</v>
      </c>
      <c r="S131" s="4">
        <f t="shared" si="28"/>
        <v>0</v>
      </c>
    </row>
    <row r="132" spans="1:19" ht="15.65" outlineLevel="2">
      <c r="A132" s="9" t="s">
        <v>112</v>
      </c>
      <c r="B132" s="11" t="s">
        <v>98</v>
      </c>
      <c r="C132" s="10">
        <v>11091982.199999999</v>
      </c>
      <c r="F132" s="10">
        <v>11091982.199999999</v>
      </c>
      <c r="H132" s="3">
        <v>55</v>
      </c>
      <c r="I132" s="3">
        <v>41.564608</v>
      </c>
      <c r="J132" s="2">
        <v>-0.5</v>
      </c>
      <c r="K132" s="1">
        <f t="shared" si="29"/>
        <v>4064321.6976551563</v>
      </c>
      <c r="L132" s="1">
        <f t="shared" si="30"/>
        <v>1.1385407425440419</v>
      </c>
      <c r="M132" s="1">
        <f t="shared" si="31"/>
        <v>4627395.8435861627</v>
      </c>
      <c r="P132" s="1">
        <f t="shared" si="32"/>
        <v>0</v>
      </c>
      <c r="Q132" s="1">
        <f t="shared" si="33"/>
        <v>0</v>
      </c>
      <c r="R132" s="1">
        <f t="shared" si="34"/>
        <v>4627395.8435861627</v>
      </c>
      <c r="S132" s="4">
        <f t="shared" si="28"/>
        <v>0</v>
      </c>
    </row>
    <row r="133" spans="1:19" ht="15.65" outlineLevel="2">
      <c r="A133" s="9" t="s">
        <v>112</v>
      </c>
      <c r="B133" s="11" t="s">
        <v>97</v>
      </c>
      <c r="C133" s="10">
        <v>10152929.07</v>
      </c>
      <c r="F133" s="10">
        <v>10152929.07</v>
      </c>
      <c r="H133" s="3">
        <v>55</v>
      </c>
      <c r="I133" s="3">
        <v>40.579044000000003</v>
      </c>
      <c r="J133" s="2">
        <v>-0.5</v>
      </c>
      <c r="K133" s="1">
        <f t="shared" si="29"/>
        <v>3993134.8197161155</v>
      </c>
      <c r="L133" s="1">
        <f t="shared" si="30"/>
        <v>1.1385407425440419</v>
      </c>
      <c r="M133" s="1">
        <f t="shared" si="31"/>
        <v>4546346.6827180553</v>
      </c>
      <c r="P133" s="1">
        <f t="shared" si="32"/>
        <v>0</v>
      </c>
      <c r="Q133" s="1">
        <f t="shared" si="33"/>
        <v>0</v>
      </c>
      <c r="R133" s="1">
        <f t="shared" si="34"/>
        <v>4546346.6827180553</v>
      </c>
      <c r="S133" s="4">
        <f t="shared" si="28"/>
        <v>0</v>
      </c>
    </row>
    <row r="134" spans="1:19" ht="15.65" outlineLevel="2">
      <c r="A134" s="9" t="s">
        <v>112</v>
      </c>
      <c r="B134" s="11" t="s">
        <v>96</v>
      </c>
      <c r="C134" s="10">
        <v>9543665.4600000009</v>
      </c>
      <c r="F134" s="10">
        <v>9543665.4600000009</v>
      </c>
      <c r="H134" s="3">
        <v>55</v>
      </c>
      <c r="I134" s="3">
        <v>39.596029999999999</v>
      </c>
      <c r="J134" s="2">
        <v>-0.5</v>
      </c>
      <c r="K134" s="1">
        <f t="shared" si="29"/>
        <v>4009372.8118875334</v>
      </c>
      <c r="L134" s="1">
        <f t="shared" si="30"/>
        <v>1.1385407425440419</v>
      </c>
      <c r="M134" s="1">
        <f t="shared" si="31"/>
        <v>4564834.298382326</v>
      </c>
      <c r="P134" s="1">
        <f t="shared" si="32"/>
        <v>0</v>
      </c>
      <c r="Q134" s="1">
        <f t="shared" si="33"/>
        <v>0</v>
      </c>
      <c r="R134" s="1">
        <f t="shared" si="34"/>
        <v>4564834.298382326</v>
      </c>
      <c r="S134" s="4">
        <f t="shared" si="28"/>
        <v>0</v>
      </c>
    </row>
    <row r="135" spans="1:19" ht="15.65" outlineLevel="2">
      <c r="A135" s="9" t="s">
        <v>112</v>
      </c>
      <c r="B135" s="11" t="s">
        <v>95</v>
      </c>
      <c r="C135" s="10">
        <v>7601982.7000000002</v>
      </c>
      <c r="F135" s="10">
        <v>7601982.7000000002</v>
      </c>
      <c r="H135" s="3">
        <v>55</v>
      </c>
      <c r="I135" s="3">
        <v>38.615901000000001</v>
      </c>
      <c r="J135" s="2">
        <v>-0.5</v>
      </c>
      <c r="K135" s="1">
        <f t="shared" si="29"/>
        <v>3396862.8314478351</v>
      </c>
      <c r="L135" s="1">
        <f t="shared" si="30"/>
        <v>1.1385407425440419</v>
      </c>
      <c r="M135" s="1">
        <f t="shared" si="31"/>
        <v>3867466.730436875</v>
      </c>
      <c r="P135" s="1">
        <f t="shared" si="32"/>
        <v>0</v>
      </c>
      <c r="Q135" s="1">
        <f t="shared" si="33"/>
        <v>0</v>
      </c>
      <c r="R135" s="1">
        <f t="shared" si="34"/>
        <v>3867466.730436875</v>
      </c>
      <c r="S135" s="4">
        <f t="shared" si="28"/>
        <v>0</v>
      </c>
    </row>
    <row r="136" spans="1:19" ht="15.65" outlineLevel="2">
      <c r="A136" s="9" t="s">
        <v>112</v>
      </c>
      <c r="B136" s="11" t="s">
        <v>94</v>
      </c>
      <c r="C136" s="10">
        <v>7244608.4800000004</v>
      </c>
      <c r="F136" s="10">
        <v>7244608.4800000004</v>
      </c>
      <c r="H136" s="3">
        <v>55</v>
      </c>
      <c r="I136" s="3">
        <v>37.639279000000002</v>
      </c>
      <c r="J136" s="2">
        <v>-0.5</v>
      </c>
      <c r="K136" s="1">
        <f t="shared" si="29"/>
        <v>3430135.2702412931</v>
      </c>
      <c r="L136" s="1">
        <f t="shared" si="30"/>
        <v>1.1385407425440419</v>
      </c>
      <c r="M136" s="1">
        <f t="shared" si="31"/>
        <v>3905348.7576070298</v>
      </c>
      <c r="P136" s="1">
        <f t="shared" si="32"/>
        <v>0</v>
      </c>
      <c r="Q136" s="1">
        <f t="shared" si="33"/>
        <v>0</v>
      </c>
      <c r="R136" s="1">
        <f t="shared" si="34"/>
        <v>3905348.7576070298</v>
      </c>
      <c r="S136" s="4">
        <f t="shared" si="28"/>
        <v>0</v>
      </c>
    </row>
    <row r="137" spans="1:19" ht="15.65" outlineLevel="2">
      <c r="A137" s="9" t="s">
        <v>112</v>
      </c>
      <c r="B137" s="11" t="s">
        <v>93</v>
      </c>
      <c r="C137" s="10">
        <v>9144843.8900000006</v>
      </c>
      <c r="F137" s="10">
        <v>9144843.8900000006</v>
      </c>
      <c r="H137" s="3">
        <v>55</v>
      </c>
      <c r="I137" s="3">
        <v>36.666384000000001</v>
      </c>
      <c r="J137" s="2">
        <v>-0.5</v>
      </c>
      <c r="K137" s="1">
        <f t="shared" si="29"/>
        <v>4572492.4434328973</v>
      </c>
      <c r="L137" s="1">
        <f t="shared" si="30"/>
        <v>1.1385407425440419</v>
      </c>
      <c r="M137" s="1">
        <f t="shared" si="31"/>
        <v>5205968.9418231118</v>
      </c>
      <c r="P137" s="1">
        <f t="shared" si="32"/>
        <v>0</v>
      </c>
      <c r="Q137" s="1">
        <f t="shared" si="33"/>
        <v>0</v>
      </c>
      <c r="R137" s="1">
        <f t="shared" si="34"/>
        <v>5205968.9418231118</v>
      </c>
      <c r="S137" s="4">
        <f t="shared" si="28"/>
        <v>0</v>
      </c>
    </row>
    <row r="138" spans="1:19" ht="15.65" outlineLevel="2">
      <c r="A138" s="9" t="s">
        <v>112</v>
      </c>
      <c r="B138" s="11" t="s">
        <v>92</v>
      </c>
      <c r="C138" s="10">
        <v>9107149.1600000001</v>
      </c>
      <c r="F138" s="10">
        <v>9107149.1600000001</v>
      </c>
      <c r="H138" s="3">
        <v>55</v>
      </c>
      <c r="I138" s="3">
        <v>35.697651</v>
      </c>
      <c r="J138" s="2">
        <v>-0.5</v>
      </c>
      <c r="K138" s="1">
        <f t="shared" si="29"/>
        <v>4794255.5858557327</v>
      </c>
      <c r="L138" s="1">
        <f t="shared" si="30"/>
        <v>1.1385407425440419</v>
      </c>
      <c r="M138" s="1">
        <f t="shared" si="31"/>
        <v>5458455.3146661064</v>
      </c>
      <c r="P138" s="1">
        <f t="shared" si="32"/>
        <v>0</v>
      </c>
      <c r="Q138" s="1">
        <f t="shared" si="33"/>
        <v>0</v>
      </c>
      <c r="R138" s="1">
        <f t="shared" si="34"/>
        <v>5458455.3146661064</v>
      </c>
      <c r="S138" s="4">
        <f t="shared" si="28"/>
        <v>0</v>
      </c>
    </row>
    <row r="139" spans="1:19" ht="15.65" outlineLevel="2">
      <c r="A139" s="9" t="s">
        <v>112</v>
      </c>
      <c r="B139" s="11" t="s">
        <v>91</v>
      </c>
      <c r="C139" s="10">
        <v>7721479.9100000001</v>
      </c>
      <c r="F139" s="10">
        <v>7721479.9100000001</v>
      </c>
      <c r="H139" s="3">
        <v>55</v>
      </c>
      <c r="I139" s="3">
        <v>34.733542999999997</v>
      </c>
      <c r="J139" s="2">
        <v>-0.5</v>
      </c>
      <c r="K139" s="1">
        <f t="shared" si="29"/>
        <v>4267828.3792466968</v>
      </c>
      <c r="L139" s="1">
        <f t="shared" si="30"/>
        <v>1.1385407425440419</v>
      </c>
      <c r="M139" s="1">
        <f t="shared" si="31"/>
        <v>4859096.4919580687</v>
      </c>
      <c r="P139" s="1">
        <f t="shared" si="32"/>
        <v>0</v>
      </c>
      <c r="Q139" s="1">
        <f t="shared" si="33"/>
        <v>0</v>
      </c>
      <c r="R139" s="1">
        <f t="shared" si="34"/>
        <v>4859096.4919580687</v>
      </c>
      <c r="S139" s="4">
        <f t="shared" si="28"/>
        <v>0</v>
      </c>
    </row>
    <row r="140" spans="1:19" ht="15.65" outlineLevel="2">
      <c r="A140" s="9" t="s">
        <v>112</v>
      </c>
      <c r="B140" s="11" t="s">
        <v>90</v>
      </c>
      <c r="C140" s="10">
        <v>4137069.5699999998</v>
      </c>
      <c r="F140" s="10">
        <v>4137069.5699999998</v>
      </c>
      <c r="H140" s="3">
        <v>55</v>
      </c>
      <c r="I140" s="3">
        <v>33.774535</v>
      </c>
      <c r="J140" s="2">
        <v>-0.5</v>
      </c>
      <c r="K140" s="1">
        <f t="shared" si="29"/>
        <v>2394851.6007436374</v>
      </c>
      <c r="L140" s="1">
        <f t="shared" si="30"/>
        <v>1.1385407425440419</v>
      </c>
      <c r="M140" s="1">
        <f t="shared" si="31"/>
        <v>2726636.1197934481</v>
      </c>
      <c r="P140" s="1">
        <f t="shared" si="32"/>
        <v>0</v>
      </c>
      <c r="Q140" s="1">
        <f t="shared" si="33"/>
        <v>0</v>
      </c>
      <c r="R140" s="1">
        <f t="shared" si="34"/>
        <v>2726636.1197934481</v>
      </c>
      <c r="S140" s="4">
        <f t="shared" si="28"/>
        <v>0</v>
      </c>
    </row>
    <row r="141" spans="1:19" ht="15.65" outlineLevel="2">
      <c r="A141" s="9" t="s">
        <v>112</v>
      </c>
      <c r="B141" s="11" t="s">
        <v>89</v>
      </c>
      <c r="C141" s="10">
        <v>3205598.25</v>
      </c>
      <c r="F141" s="10">
        <v>3205598.25</v>
      </c>
      <c r="H141" s="3">
        <v>55</v>
      </c>
      <c r="I141" s="3">
        <v>32.821353999999999</v>
      </c>
      <c r="J141" s="2">
        <v>-0.5</v>
      </c>
      <c r="K141" s="1">
        <f t="shared" si="29"/>
        <v>1938977.1492264411</v>
      </c>
      <c r="L141" s="1">
        <f t="shared" si="30"/>
        <v>1.1385407425440419</v>
      </c>
      <c r="M141" s="1">
        <f t="shared" si="31"/>
        <v>2207604.4832562017</v>
      </c>
      <c r="P141" s="1">
        <f t="shared" si="32"/>
        <v>0</v>
      </c>
      <c r="Q141" s="1">
        <f t="shared" si="33"/>
        <v>0</v>
      </c>
      <c r="R141" s="1">
        <f t="shared" si="34"/>
        <v>2207604.4832562017</v>
      </c>
      <c r="S141" s="4">
        <f t="shared" si="28"/>
        <v>0</v>
      </c>
    </row>
    <row r="142" spans="1:19" ht="15.65" outlineLevel="2">
      <c r="A142" s="9" t="s">
        <v>112</v>
      </c>
      <c r="B142" s="11" t="s">
        <v>88</v>
      </c>
      <c r="C142" s="10">
        <v>1257664.79</v>
      </c>
      <c r="F142" s="10">
        <v>1257664.79</v>
      </c>
      <c r="H142" s="3">
        <v>55</v>
      </c>
      <c r="I142" s="3">
        <v>31.874600000000001</v>
      </c>
      <c r="J142" s="2">
        <v>-0.5</v>
      </c>
      <c r="K142" s="1">
        <f t="shared" si="29"/>
        <v>793200.03639998171</v>
      </c>
      <c r="L142" s="1">
        <f t="shared" si="30"/>
        <v>1.1385407425440419</v>
      </c>
      <c r="M142" s="1">
        <f t="shared" si="31"/>
        <v>903090.55842879624</v>
      </c>
      <c r="P142" s="1">
        <f t="shared" si="32"/>
        <v>0</v>
      </c>
      <c r="Q142" s="1">
        <f t="shared" si="33"/>
        <v>0</v>
      </c>
      <c r="R142" s="1">
        <f t="shared" si="34"/>
        <v>903090.55842879624</v>
      </c>
      <c r="S142" s="4">
        <f t="shared" si="28"/>
        <v>0</v>
      </c>
    </row>
    <row r="143" spans="1:19" ht="15.65" outlineLevel="2">
      <c r="A143" s="9" t="s">
        <v>112</v>
      </c>
      <c r="B143" s="11" t="s">
        <v>87</v>
      </c>
      <c r="C143" s="10">
        <v>1098996.4300000004</v>
      </c>
      <c r="F143" s="10">
        <v>1098996.4300000004</v>
      </c>
      <c r="H143" s="3">
        <v>55</v>
      </c>
      <c r="I143" s="3">
        <v>30.934629000000001</v>
      </c>
      <c r="J143" s="2">
        <v>-0.5</v>
      </c>
      <c r="K143" s="1">
        <f t="shared" si="29"/>
        <v>721302.45860796922</v>
      </c>
      <c r="L143" s="1">
        <f t="shared" si="30"/>
        <v>1.1385407425440419</v>
      </c>
      <c r="M143" s="1">
        <f t="shared" si="31"/>
        <v>821232.23682236031</v>
      </c>
      <c r="P143" s="1">
        <f t="shared" si="32"/>
        <v>0</v>
      </c>
      <c r="Q143" s="1">
        <f t="shared" si="33"/>
        <v>0</v>
      </c>
      <c r="R143" s="1">
        <f t="shared" si="34"/>
        <v>821232.23682236031</v>
      </c>
      <c r="S143" s="4">
        <f t="shared" si="28"/>
        <v>0</v>
      </c>
    </row>
    <row r="144" spans="1:19" ht="15.65" outlineLevel="2">
      <c r="A144" s="9" t="s">
        <v>112</v>
      </c>
      <c r="B144" s="11" t="s">
        <v>86</v>
      </c>
      <c r="C144" s="10">
        <v>493371.28000000003</v>
      </c>
      <c r="F144" s="10">
        <v>493371.28000000003</v>
      </c>
      <c r="H144" s="3">
        <v>55</v>
      </c>
      <c r="I144" s="3">
        <v>30.002008</v>
      </c>
      <c r="J144" s="2">
        <v>-0.5</v>
      </c>
      <c r="K144" s="1">
        <f t="shared" si="29"/>
        <v>336362.49028553895</v>
      </c>
      <c r="L144" s="1">
        <f t="shared" si="30"/>
        <v>1.1385407425440419</v>
      </c>
      <c r="M144" s="1">
        <f t="shared" si="31"/>
        <v>382962.39945366059</v>
      </c>
      <c r="P144" s="1">
        <f t="shared" si="32"/>
        <v>0</v>
      </c>
      <c r="Q144" s="1">
        <f t="shared" si="33"/>
        <v>0</v>
      </c>
      <c r="R144" s="1">
        <f t="shared" si="34"/>
        <v>382962.39945366059</v>
      </c>
      <c r="S144" s="4">
        <f t="shared" si="28"/>
        <v>0</v>
      </c>
    </row>
    <row r="145" spans="1:19" ht="15.65" outlineLevel="2">
      <c r="A145" s="9" t="s">
        <v>112</v>
      </c>
      <c r="B145" s="11" t="s">
        <v>85</v>
      </c>
      <c r="C145" s="10">
        <v>264983.70000000001</v>
      </c>
      <c r="F145" s="10">
        <v>264983.70000000001</v>
      </c>
      <c r="H145" s="3">
        <v>55</v>
      </c>
      <c r="I145" s="3">
        <v>29.077297999999999</v>
      </c>
      <c r="J145" s="2">
        <v>-0.5</v>
      </c>
      <c r="K145" s="1">
        <f t="shared" si="29"/>
        <v>187338.91336247459</v>
      </c>
      <c r="L145" s="1">
        <f t="shared" si="30"/>
        <v>1.1385407425440419</v>
      </c>
      <c r="M145" s="1">
        <f t="shared" si="31"/>
        <v>213292.98552710575</v>
      </c>
      <c r="P145" s="1">
        <f t="shared" si="32"/>
        <v>0</v>
      </c>
      <c r="Q145" s="1">
        <f t="shared" si="33"/>
        <v>0</v>
      </c>
      <c r="R145" s="1">
        <f t="shared" si="34"/>
        <v>213292.98552710575</v>
      </c>
      <c r="S145" s="4">
        <f t="shared" si="28"/>
        <v>0</v>
      </c>
    </row>
    <row r="146" spans="1:19" ht="15.65" outlineLevel="2">
      <c r="A146" s="9" t="s">
        <v>112</v>
      </c>
      <c r="B146" s="11" t="s">
        <v>84</v>
      </c>
      <c r="C146" s="10">
        <v>747957.06000000006</v>
      </c>
      <c r="F146" s="10">
        <v>747957.06000000006</v>
      </c>
      <c r="H146" s="3">
        <v>55</v>
      </c>
      <c r="I146" s="3">
        <v>28.161066000000002</v>
      </c>
      <c r="J146" s="2">
        <v>-0.5</v>
      </c>
      <c r="K146" s="1">
        <f t="shared" si="29"/>
        <v>547482.82276838284</v>
      </c>
      <c r="L146" s="1">
        <f t="shared" si="30"/>
        <v>1.1385407425440419</v>
      </c>
      <c r="M146" s="1">
        <f t="shared" si="31"/>
        <v>623331.49956482265</v>
      </c>
      <c r="P146" s="1">
        <f t="shared" si="32"/>
        <v>0</v>
      </c>
      <c r="Q146" s="1">
        <f t="shared" si="33"/>
        <v>0</v>
      </c>
      <c r="R146" s="1">
        <f t="shared" si="34"/>
        <v>623331.49956482265</v>
      </c>
      <c r="S146" s="4">
        <f t="shared" si="28"/>
        <v>0</v>
      </c>
    </row>
    <row r="147" spans="1:19" ht="15.65" outlineLevel="2">
      <c r="A147" s="9" t="s">
        <v>112</v>
      </c>
      <c r="B147" s="11" t="s">
        <v>83</v>
      </c>
      <c r="C147" s="10">
        <v>974634.66000000003</v>
      </c>
      <c r="F147" s="10">
        <v>974634.66000000003</v>
      </c>
      <c r="H147" s="3">
        <v>55</v>
      </c>
      <c r="I147" s="3">
        <v>27.254593</v>
      </c>
      <c r="J147" s="2">
        <v>-0.5</v>
      </c>
      <c r="K147" s="1">
        <f t="shared" si="29"/>
        <v>737499.14503654419</v>
      </c>
      <c r="L147" s="1">
        <f t="shared" si="30"/>
        <v>1.1385407425440419</v>
      </c>
      <c r="M147" s="1">
        <f t="shared" si="31"/>
        <v>839672.82421550306</v>
      </c>
      <c r="P147" s="1">
        <f t="shared" si="32"/>
        <v>0</v>
      </c>
      <c r="Q147" s="1">
        <f t="shared" si="33"/>
        <v>0</v>
      </c>
      <c r="R147" s="1">
        <f t="shared" si="34"/>
        <v>839672.82421550306</v>
      </c>
      <c r="S147" s="4">
        <f t="shared" si="28"/>
        <v>0</v>
      </c>
    </row>
    <row r="148" spans="1:19" ht="15.65" outlineLevel="2">
      <c r="A148" s="9" t="s">
        <v>112</v>
      </c>
      <c r="B148" s="11" t="s">
        <v>82</v>
      </c>
      <c r="C148" s="10">
        <v>-1001691.6</v>
      </c>
      <c r="F148" s="10">
        <v>-1001691.6</v>
      </c>
      <c r="H148" s="3">
        <v>55</v>
      </c>
      <c r="I148" s="3">
        <v>25.471391000000001</v>
      </c>
      <c r="J148" s="2">
        <v>-0.5</v>
      </c>
      <c r="K148" s="1">
        <f t="shared" si="29"/>
        <v>-806687.98895412008</v>
      </c>
      <c r="L148" s="1">
        <f t="shared" si="30"/>
        <v>1.1385407425440419</v>
      </c>
      <c r="M148" s="1">
        <f t="shared" si="31"/>
        <v>-1502537.3999999999</v>
      </c>
      <c r="P148" s="1">
        <f t="shared" si="32"/>
        <v>0</v>
      </c>
      <c r="Q148" s="1">
        <f t="shared" si="33"/>
        <v>0</v>
      </c>
      <c r="R148" s="1">
        <f t="shared" si="34"/>
        <v>-1502537.3999999999</v>
      </c>
      <c r="S148" s="4">
        <f t="shared" si="28"/>
        <v>0</v>
      </c>
    </row>
    <row r="149" spans="1:19" ht="15.65" outlineLevel="2">
      <c r="A149" s="9" t="s">
        <v>112</v>
      </c>
      <c r="B149" s="11" t="s">
        <v>81</v>
      </c>
      <c r="C149" s="10">
        <v>978973.43000000005</v>
      </c>
      <c r="F149" s="10">
        <v>978973.43000000005</v>
      </c>
      <c r="H149" s="3">
        <v>55</v>
      </c>
      <c r="I149" s="3">
        <v>24.595724000000001</v>
      </c>
      <c r="J149" s="2">
        <v>-0.5</v>
      </c>
      <c r="K149" s="1">
        <f t="shared" si="29"/>
        <v>811772.13715600036</v>
      </c>
      <c r="L149" s="1">
        <f t="shared" si="30"/>
        <v>1.1385407425440419</v>
      </c>
      <c r="M149" s="1">
        <f t="shared" si="31"/>
        <v>924235.65181415644</v>
      </c>
      <c r="P149" s="1">
        <f t="shared" si="32"/>
        <v>0</v>
      </c>
      <c r="Q149" s="1">
        <f t="shared" si="33"/>
        <v>0</v>
      </c>
      <c r="R149" s="1">
        <f t="shared" si="34"/>
        <v>924235.65181415644</v>
      </c>
      <c r="S149" s="4">
        <f t="shared" si="28"/>
        <v>0</v>
      </c>
    </row>
    <row r="150" spans="1:19" ht="15.65" outlineLevel="2">
      <c r="A150" s="9" t="s">
        <v>112</v>
      </c>
      <c r="B150" s="11" t="s">
        <v>80</v>
      </c>
      <c r="C150" s="10">
        <v>1726151.4199999999</v>
      </c>
      <c r="F150" s="10">
        <v>1726151.4199999999</v>
      </c>
      <c r="H150" s="3">
        <v>55</v>
      </c>
      <c r="I150" s="3">
        <v>23.731344</v>
      </c>
      <c r="J150" s="2">
        <v>-0.5</v>
      </c>
      <c r="K150" s="1">
        <f t="shared" si="29"/>
        <v>1472030.0442515865</v>
      </c>
      <c r="L150" s="1">
        <f t="shared" si="30"/>
        <v>1.1385407425440419</v>
      </c>
      <c r="M150" s="1">
        <f t="shared" si="31"/>
        <v>1675966.1796293403</v>
      </c>
      <c r="P150" s="1">
        <f t="shared" si="32"/>
        <v>0</v>
      </c>
      <c r="Q150" s="1">
        <f t="shared" si="33"/>
        <v>0</v>
      </c>
      <c r="R150" s="1">
        <f t="shared" si="34"/>
        <v>1675966.1796293403</v>
      </c>
      <c r="S150" s="4">
        <f t="shared" si="28"/>
        <v>0</v>
      </c>
    </row>
    <row r="151" spans="1:19" ht="15.65" outlineLevel="2">
      <c r="A151" s="9" t="s">
        <v>112</v>
      </c>
      <c r="B151" s="11" t="s">
        <v>79</v>
      </c>
      <c r="C151" s="10">
        <v>1080272.71</v>
      </c>
      <c r="F151" s="10">
        <v>1080272.71</v>
      </c>
      <c r="H151" s="3">
        <v>55</v>
      </c>
      <c r="I151" s="3">
        <v>22.879187000000002</v>
      </c>
      <c r="J151" s="2">
        <v>-0.5</v>
      </c>
      <c r="K151" s="1">
        <f t="shared" si="35" ref="K151:K182">+C151*(1-I151/H151)*(1-J151)</f>
        <v>946342.84655217896</v>
      </c>
      <c r="L151" s="1">
        <f t="shared" si="36" ref="L151:L182">$L$212</f>
        <v>1.1385407425440419</v>
      </c>
      <c r="M151" s="1">
        <f t="shared" si="37" ref="M151:M182">IF((C151*(1-J151)-K151*L151)&lt;0,C151*(1-J151),K151*L151)</f>
        <v>1077449.8872147601</v>
      </c>
      <c r="P151" s="1">
        <f t="shared" si="38" ref="P151:P182">+D151/$C151*$M151</f>
        <v>0</v>
      </c>
      <c r="Q151" s="1">
        <f t="shared" si="39" ref="Q151:Q182">+E151/$C151*$M151</f>
        <v>0</v>
      </c>
      <c r="R151" s="1">
        <f t="shared" si="40" ref="R151:R182">+F151/$C151*$M151</f>
        <v>1077449.8872147601</v>
      </c>
      <c r="S151" s="4">
        <f t="shared" si="28"/>
        <v>0</v>
      </c>
    </row>
    <row r="152" spans="1:19" ht="15.65" outlineLevel="2">
      <c r="A152" s="9" t="s">
        <v>112</v>
      </c>
      <c r="B152" s="11" t="s">
        <v>78</v>
      </c>
      <c r="C152" s="10">
        <v>1783822.28</v>
      </c>
      <c r="F152" s="10">
        <v>1783822.28</v>
      </c>
      <c r="H152" s="3">
        <v>55</v>
      </c>
      <c r="I152" s="3">
        <v>22.039764000000002</v>
      </c>
      <c r="J152" s="2">
        <v>-0.5</v>
      </c>
      <c r="K152" s="1">
        <f t="shared" si="35"/>
        <v>1603505.5453870385</v>
      </c>
      <c r="L152" s="1">
        <f t="shared" si="36"/>
        <v>1.1385407425440419</v>
      </c>
      <c r="M152" s="1">
        <f t="shared" si="37"/>
        <v>1825656.3943184477</v>
      </c>
      <c r="P152" s="1">
        <f t="shared" si="38"/>
        <v>0</v>
      </c>
      <c r="Q152" s="1">
        <f t="shared" si="39"/>
        <v>0</v>
      </c>
      <c r="R152" s="1">
        <f t="shared" si="40"/>
        <v>1825656.3943184477</v>
      </c>
      <c r="S152" s="4">
        <f t="shared" si="28"/>
        <v>0</v>
      </c>
    </row>
    <row r="153" spans="1:19" ht="15.65" outlineLevel="2">
      <c r="A153" s="9" t="s">
        <v>112</v>
      </c>
      <c r="B153" s="11" t="s">
        <v>77</v>
      </c>
      <c r="C153" s="10">
        <v>841805.31000000006</v>
      </c>
      <c r="F153" s="10">
        <v>841805.31000000006</v>
      </c>
      <c r="H153" s="3">
        <v>55</v>
      </c>
      <c r="I153" s="3">
        <v>21.213006</v>
      </c>
      <c r="J153" s="2">
        <v>-0.5</v>
      </c>
      <c r="K153" s="1">
        <f t="shared" si="35"/>
        <v>775692.84431285842</v>
      </c>
      <c r="L153" s="1">
        <f t="shared" si="36"/>
        <v>1.1385407425440419</v>
      </c>
      <c r="M153" s="1">
        <f t="shared" si="37"/>
        <v>883157.90695006168</v>
      </c>
      <c r="P153" s="1">
        <f t="shared" si="38"/>
        <v>0</v>
      </c>
      <c r="Q153" s="1">
        <f t="shared" si="39"/>
        <v>0</v>
      </c>
      <c r="R153" s="1">
        <f t="shared" si="40"/>
        <v>883157.90695006168</v>
      </c>
      <c r="S153" s="4">
        <f t="shared" si="28"/>
        <v>0</v>
      </c>
    </row>
    <row r="154" spans="1:19" ht="15.65" outlineLevel="2">
      <c r="A154" s="9" t="s">
        <v>112</v>
      </c>
      <c r="B154" s="11" t="s">
        <v>76</v>
      </c>
      <c r="C154" s="10">
        <v>233365.72</v>
      </c>
      <c r="F154" s="10">
        <v>233365.72</v>
      </c>
      <c r="H154" s="3">
        <v>55</v>
      </c>
      <c r="I154" s="3">
        <v>20.399215999999999</v>
      </c>
      <c r="J154" s="2">
        <v>-0.5</v>
      </c>
      <c r="K154" s="1">
        <f t="shared" si="35"/>
        <v>220217.36920157675</v>
      </c>
      <c r="L154" s="1">
        <f t="shared" si="36"/>
        <v>1.1385407425440419</v>
      </c>
      <c r="M154" s="1">
        <f t="shared" si="37"/>
        <v>250726.44705185862</v>
      </c>
      <c r="P154" s="1">
        <f t="shared" si="38"/>
        <v>0</v>
      </c>
      <c r="Q154" s="1">
        <f t="shared" si="39"/>
        <v>0</v>
      </c>
      <c r="R154" s="1">
        <f t="shared" si="40"/>
        <v>250726.44705185862</v>
      </c>
      <c r="S154" s="4">
        <f t="shared" si="28"/>
        <v>0</v>
      </c>
    </row>
    <row r="155" spans="1:19" ht="15.65" outlineLevel="2">
      <c r="A155" s="9" t="s">
        <v>112</v>
      </c>
      <c r="B155" s="11" t="s">
        <v>75</v>
      </c>
      <c r="C155" s="10">
        <v>830858.04000000004</v>
      </c>
      <c r="F155" s="10">
        <v>830858.04000000004</v>
      </c>
      <c r="H155" s="3">
        <v>55</v>
      </c>
      <c r="I155" s="3">
        <v>19.598642000000002</v>
      </c>
      <c r="J155" s="2">
        <v>-0.5</v>
      </c>
      <c r="K155" s="1">
        <f t="shared" si="35"/>
        <v>802186.44330595422</v>
      </c>
      <c r="L155" s="1">
        <f t="shared" si="36"/>
        <v>1.1385407425440419</v>
      </c>
      <c r="M155" s="1">
        <f t="shared" si="37"/>
        <v>913321.94882032508</v>
      </c>
      <c r="P155" s="1">
        <f t="shared" si="38"/>
        <v>0</v>
      </c>
      <c r="Q155" s="1">
        <f t="shared" si="39"/>
        <v>0</v>
      </c>
      <c r="R155" s="1">
        <f t="shared" si="40"/>
        <v>913321.94882032508</v>
      </c>
      <c r="S155" s="4">
        <f t="shared" si="28"/>
        <v>0</v>
      </c>
    </row>
    <row r="156" spans="1:19" ht="15.65" outlineLevel="2">
      <c r="A156" s="9" t="s">
        <v>112</v>
      </c>
      <c r="B156" s="11" t="s">
        <v>74</v>
      </c>
      <c r="C156" s="10">
        <v>336475.31</v>
      </c>
      <c r="F156" s="10">
        <v>336475.31</v>
      </c>
      <c r="H156" s="3">
        <v>55</v>
      </c>
      <c r="I156" s="3">
        <v>18.81146</v>
      </c>
      <c r="J156" s="2">
        <v>-0.5</v>
      </c>
      <c r="K156" s="1">
        <f t="shared" si="35"/>
        <v>332087.73313492909</v>
      </c>
      <c r="L156" s="1">
        <f t="shared" si="36"/>
        <v>1.1385407425440419</v>
      </c>
      <c r="M156" s="1">
        <f t="shared" si="37"/>
        <v>378095.41427320981</v>
      </c>
      <c r="P156" s="1">
        <f t="shared" si="38"/>
        <v>0</v>
      </c>
      <c r="Q156" s="1">
        <f t="shared" si="39"/>
        <v>0</v>
      </c>
      <c r="R156" s="1">
        <f t="shared" si="40"/>
        <v>378095.41427320981</v>
      </c>
      <c r="S156" s="4">
        <f t="shared" si="28"/>
        <v>0</v>
      </c>
    </row>
    <row r="157" spans="1:19" ht="15.65" outlineLevel="2">
      <c r="A157" s="9" t="s">
        <v>112</v>
      </c>
      <c r="B157" s="11" t="s">
        <v>73</v>
      </c>
      <c r="C157" s="10">
        <v>529396.20999999996</v>
      </c>
      <c r="F157" s="10">
        <v>529396.20999999996</v>
      </c>
      <c r="H157" s="3">
        <v>55</v>
      </c>
      <c r="I157" s="3">
        <v>18.038944999999998</v>
      </c>
      <c r="J157" s="2">
        <v>-0.5</v>
      </c>
      <c r="K157" s="1">
        <f t="shared" si="35"/>
        <v>533646.61185276962</v>
      </c>
      <c r="L157" s="1">
        <f t="shared" si="36"/>
        <v>1.1385407425440419</v>
      </c>
      <c r="M157" s="1">
        <f t="shared" si="37"/>
        <v>607578.40971496445</v>
      </c>
      <c r="P157" s="1">
        <f t="shared" si="38"/>
        <v>0</v>
      </c>
      <c r="Q157" s="1">
        <f t="shared" si="39"/>
        <v>0</v>
      </c>
      <c r="R157" s="1">
        <f t="shared" si="40"/>
        <v>607578.40971496445</v>
      </c>
      <c r="S157" s="4">
        <f t="shared" si="28"/>
        <v>0</v>
      </c>
    </row>
    <row r="158" spans="1:19" ht="15.65" outlineLevel="2">
      <c r="A158" s="9" t="s">
        <v>112</v>
      </c>
      <c r="B158" s="11" t="s">
        <v>72</v>
      </c>
      <c r="C158" s="10">
        <v>592367.55000000005</v>
      </c>
      <c r="F158" s="10">
        <v>592367.55000000005</v>
      </c>
      <c r="H158" s="3">
        <v>55</v>
      </c>
      <c r="I158" s="3">
        <v>17.280052999999999</v>
      </c>
      <c r="J158" s="2">
        <v>-0.5</v>
      </c>
      <c r="K158" s="1">
        <f t="shared" si="35"/>
        <v>609383.79792326875</v>
      </c>
      <c r="L158" s="1">
        <f t="shared" si="36"/>
        <v>1.1385407425440419</v>
      </c>
      <c r="M158" s="1">
        <f t="shared" si="37"/>
        <v>693808.2817818668</v>
      </c>
      <c r="P158" s="1">
        <f t="shared" si="38"/>
        <v>0</v>
      </c>
      <c r="Q158" s="1">
        <f t="shared" si="39"/>
        <v>0</v>
      </c>
      <c r="R158" s="1">
        <f t="shared" si="40"/>
        <v>693808.2817818668</v>
      </c>
      <c r="S158" s="4">
        <f t="shared" si="28"/>
        <v>0</v>
      </c>
    </row>
    <row r="159" spans="1:19" ht="15.65" outlineLevel="2">
      <c r="A159" s="9" t="s">
        <v>112</v>
      </c>
      <c r="B159" s="11" t="s">
        <v>71</v>
      </c>
      <c r="C159" s="10">
        <v>333036.01000000001</v>
      </c>
      <c r="F159" s="10">
        <v>333036.01000000001</v>
      </c>
      <c r="H159" s="3">
        <v>55</v>
      </c>
      <c r="I159" s="3">
        <v>16.534700999999998</v>
      </c>
      <c r="J159" s="2">
        <v>-0.5</v>
      </c>
      <c r="K159" s="1">
        <f t="shared" si="35"/>
        <v>349372.62824773614</v>
      </c>
      <c r="L159" s="1">
        <f t="shared" si="36"/>
        <v>1.1385407425440419</v>
      </c>
      <c r="M159" s="1">
        <f t="shared" si="37"/>
        <v>397774.97158974101</v>
      </c>
      <c r="P159" s="1">
        <f t="shared" si="38"/>
        <v>0</v>
      </c>
      <c r="Q159" s="1">
        <f t="shared" si="39"/>
        <v>0</v>
      </c>
      <c r="R159" s="1">
        <f t="shared" si="40"/>
        <v>397774.97158974101</v>
      </c>
      <c r="S159" s="4">
        <f t="shared" si="28"/>
        <v>0</v>
      </c>
    </row>
    <row r="160" spans="1:19" ht="15.65" outlineLevel="2">
      <c r="A160" s="9" t="s">
        <v>112</v>
      </c>
      <c r="B160" s="11" t="s">
        <v>70</v>
      </c>
      <c r="C160" s="10">
        <v>933334.10999999999</v>
      </c>
      <c r="F160" s="10">
        <v>933334.10999999999</v>
      </c>
      <c r="H160" s="3">
        <v>55</v>
      </c>
      <c r="I160" s="3">
        <v>15.802714</v>
      </c>
      <c r="J160" s="2">
        <v>-0.5</v>
      </c>
      <c r="K160" s="1">
        <f t="shared" si="35"/>
        <v>997749.92845160351</v>
      </c>
      <c r="L160" s="1">
        <f t="shared" si="36"/>
        <v>1.1385407425440419</v>
      </c>
      <c r="M160" s="1">
        <f t="shared" si="37"/>
        <v>1135978.9444125535</v>
      </c>
      <c r="P160" s="1">
        <f t="shared" si="38"/>
        <v>0</v>
      </c>
      <c r="Q160" s="1">
        <f t="shared" si="39"/>
        <v>0</v>
      </c>
      <c r="R160" s="1">
        <f t="shared" si="40"/>
        <v>1135978.9444125535</v>
      </c>
      <c r="S160" s="4">
        <f t="shared" si="28"/>
        <v>0</v>
      </c>
    </row>
    <row r="161" spans="1:19" ht="15.65" outlineLevel="2">
      <c r="A161" s="9" t="s">
        <v>112</v>
      </c>
      <c r="B161" s="11" t="s">
        <v>69</v>
      </c>
      <c r="C161" s="10">
        <v>472339.10999999999</v>
      </c>
      <c r="F161" s="10">
        <v>472339.10999999999</v>
      </c>
      <c r="H161" s="3">
        <v>55</v>
      </c>
      <c r="I161" s="3">
        <v>15.08381</v>
      </c>
      <c r="J161" s="2">
        <v>-0.5</v>
      </c>
      <c r="K161" s="1">
        <f t="shared" si="35"/>
        <v>514199.39070520632</v>
      </c>
      <c r="L161" s="1">
        <f t="shared" si="36"/>
        <v>1.1385407425440419</v>
      </c>
      <c r="M161" s="1">
        <f t="shared" si="37"/>
        <v>585436.95610919956</v>
      </c>
      <c r="P161" s="1">
        <f t="shared" si="38"/>
        <v>0</v>
      </c>
      <c r="Q161" s="1">
        <f t="shared" si="39"/>
        <v>0</v>
      </c>
      <c r="R161" s="1">
        <f t="shared" si="40"/>
        <v>585436.95610919956</v>
      </c>
      <c r="S161" s="4">
        <f t="shared" si="28"/>
        <v>0</v>
      </c>
    </row>
    <row r="162" spans="1:19" ht="15.65" outlineLevel="2">
      <c r="A162" s="9" t="s">
        <v>112</v>
      </c>
      <c r="B162" s="11" t="s">
        <v>68</v>
      </c>
      <c r="C162" s="10">
        <v>342440.12</v>
      </c>
      <c r="F162" s="10">
        <v>342440.12</v>
      </c>
      <c r="H162" s="3">
        <v>55</v>
      </c>
      <c r="I162" s="3">
        <v>14.378188</v>
      </c>
      <c r="J162" s="2">
        <v>-0.5</v>
      </c>
      <c r="K162" s="1">
        <f t="shared" si="35"/>
        <v>379378.31388811197</v>
      </c>
      <c r="L162" s="1">
        <f t="shared" si="36"/>
        <v>1.1385407425440419</v>
      </c>
      <c r="M162" s="1">
        <f t="shared" si="37"/>
        <v>431937.66719927761</v>
      </c>
      <c r="P162" s="1">
        <f t="shared" si="38"/>
        <v>0</v>
      </c>
      <c r="Q162" s="1">
        <f t="shared" si="39"/>
        <v>0</v>
      </c>
      <c r="R162" s="1">
        <f t="shared" si="40"/>
        <v>431937.66719927761</v>
      </c>
      <c r="S162" s="4">
        <f t="shared" si="28"/>
        <v>0</v>
      </c>
    </row>
    <row r="163" spans="1:19" ht="15.65" outlineLevel="2">
      <c r="A163" s="9" t="s">
        <v>112</v>
      </c>
      <c r="B163" s="11" t="s">
        <v>67</v>
      </c>
      <c r="C163" s="10">
        <v>1328893.76</v>
      </c>
      <c r="F163" s="10">
        <v>1328893.76</v>
      </c>
      <c r="H163" s="3">
        <v>55</v>
      </c>
      <c r="I163" s="3">
        <v>13.685355</v>
      </c>
      <c r="J163" s="2">
        <v>-0.5</v>
      </c>
      <c r="K163" s="1">
        <f t="shared" si="35"/>
        <v>1497348.3801031418</v>
      </c>
      <c r="L163" s="1">
        <f t="shared" si="36"/>
        <v>1.1385407425440419</v>
      </c>
      <c r="M163" s="1">
        <f t="shared" si="37"/>
        <v>1704792.1365297493</v>
      </c>
      <c r="P163" s="1">
        <f t="shared" si="38"/>
        <v>0</v>
      </c>
      <c r="Q163" s="1">
        <f t="shared" si="39"/>
        <v>0</v>
      </c>
      <c r="R163" s="1">
        <f t="shared" si="40"/>
        <v>1704792.1365297493</v>
      </c>
      <c r="S163" s="4">
        <f t="shared" si="28"/>
        <v>0</v>
      </c>
    </row>
    <row r="164" spans="1:19" ht="15.65" outlineLevel="2">
      <c r="A164" s="9" t="s">
        <v>112</v>
      </c>
      <c r="B164" s="11" t="s">
        <v>66</v>
      </c>
      <c r="C164" s="10">
        <v>785329.20999999996</v>
      </c>
      <c r="F164" s="10">
        <v>785329.20999999996</v>
      </c>
      <c r="H164" s="3">
        <v>55</v>
      </c>
      <c r="I164" s="3">
        <v>13.004595</v>
      </c>
      <c r="J164" s="2">
        <v>-0.5</v>
      </c>
      <c r="K164" s="1">
        <f t="shared" si="35"/>
        <v>899460.49724400137</v>
      </c>
      <c r="L164" s="1">
        <f t="shared" si="36"/>
        <v>1.1385407425440419</v>
      </c>
      <c r="M164" s="1">
        <f t="shared" si="37"/>
        <v>1024072.4224212185</v>
      </c>
      <c r="P164" s="1">
        <f t="shared" si="38"/>
        <v>0</v>
      </c>
      <c r="Q164" s="1">
        <f t="shared" si="39"/>
        <v>0</v>
      </c>
      <c r="R164" s="1">
        <f t="shared" si="40"/>
        <v>1024072.4224212185</v>
      </c>
      <c r="S164" s="4">
        <f t="shared" si="28"/>
        <v>0</v>
      </c>
    </row>
    <row r="165" spans="1:19" ht="15.65" outlineLevel="2">
      <c r="A165" s="9" t="s">
        <v>112</v>
      </c>
      <c r="B165" s="11" t="s">
        <v>65</v>
      </c>
      <c r="C165" s="10">
        <v>882828.43999999994</v>
      </c>
      <c r="F165" s="10">
        <v>882828.43999999994</v>
      </c>
      <c r="H165" s="3">
        <v>55</v>
      </c>
      <c r="I165" s="3">
        <v>12.337101000000001</v>
      </c>
      <c r="J165" s="2">
        <v>-0.5</v>
      </c>
      <c r="K165" s="1">
        <f t="shared" si="35"/>
        <v>1027200.5610012971</v>
      </c>
      <c r="L165" s="1">
        <f t="shared" si="36"/>
        <v>1.1385407425440419</v>
      </c>
      <c r="M165" s="1">
        <f t="shared" si="37"/>
        <v>1169509.6894640732</v>
      </c>
      <c r="P165" s="1">
        <f t="shared" si="38"/>
        <v>0</v>
      </c>
      <c r="Q165" s="1">
        <f t="shared" si="39"/>
        <v>0</v>
      </c>
      <c r="R165" s="1">
        <f t="shared" si="40"/>
        <v>1169509.6894640732</v>
      </c>
      <c r="S165" s="4">
        <f t="shared" si="28"/>
        <v>0</v>
      </c>
    </row>
    <row r="166" spans="1:19" ht="15.65" outlineLevel="2">
      <c r="A166" s="9" t="s">
        <v>112</v>
      </c>
      <c r="B166" s="11" t="s">
        <v>64</v>
      </c>
      <c r="C166" s="10">
        <v>1468776.0700000001</v>
      </c>
      <c r="F166" s="10">
        <v>1468776.0700000001</v>
      </c>
      <c r="H166" s="3">
        <v>55</v>
      </c>
      <c r="I166" s="3">
        <v>11.685431</v>
      </c>
      <c r="J166" s="2">
        <v>-0.5</v>
      </c>
      <c r="K166" s="1">
        <f t="shared" si="35"/>
        <v>1735074.6117153773</v>
      </c>
      <c r="L166" s="1">
        <f t="shared" si="36"/>
        <v>1.1385407425440419</v>
      </c>
      <c r="M166" s="1">
        <f t="shared" si="37"/>
        <v>1975453.1367917408</v>
      </c>
      <c r="P166" s="1">
        <f t="shared" si="38"/>
        <v>0</v>
      </c>
      <c r="Q166" s="1">
        <f t="shared" si="39"/>
        <v>0</v>
      </c>
      <c r="R166" s="1">
        <f t="shared" si="40"/>
        <v>1975453.1367917408</v>
      </c>
      <c r="S166" s="4">
        <f t="shared" si="28"/>
        <v>0</v>
      </c>
    </row>
    <row r="167" spans="1:19" ht="15.65" outlineLevel="2">
      <c r="A167" s="9" t="s">
        <v>112</v>
      </c>
      <c r="B167" s="11" t="s">
        <v>63</v>
      </c>
      <c r="C167" s="10">
        <v>544956.30000000005</v>
      </c>
      <c r="F167" s="10">
        <v>544956.30000000005</v>
      </c>
      <c r="H167" s="3">
        <v>55</v>
      </c>
      <c r="I167" s="3">
        <v>11.052936000000001</v>
      </c>
      <c r="J167" s="2">
        <v>-0.5</v>
      </c>
      <c r="K167" s="1">
        <f t="shared" si="35"/>
        <v>653160.80163554195</v>
      </c>
      <c r="L167" s="1">
        <f t="shared" si="36"/>
        <v>1.1385407425440419</v>
      </c>
      <c r="M167" s="1">
        <f t="shared" si="37"/>
        <v>743650.18409479165</v>
      </c>
      <c r="P167" s="1">
        <f t="shared" si="38"/>
        <v>0</v>
      </c>
      <c r="Q167" s="1">
        <f t="shared" si="39"/>
        <v>0</v>
      </c>
      <c r="R167" s="1">
        <f t="shared" si="40"/>
        <v>743650.18409479165</v>
      </c>
      <c r="S167" s="4">
        <f t="shared" si="28"/>
        <v>0</v>
      </c>
    </row>
    <row r="168" spans="1:19" ht="15.65" outlineLevel="2">
      <c r="A168" s="9" t="s">
        <v>112</v>
      </c>
      <c r="B168" s="11" t="s">
        <v>62</v>
      </c>
      <c r="C168" s="10">
        <v>208366.16</v>
      </c>
      <c r="F168" s="10">
        <v>208366.16</v>
      </c>
      <c r="H168" s="3">
        <v>55</v>
      </c>
      <c r="I168" s="3">
        <v>10.445067</v>
      </c>
      <c r="J168" s="2">
        <v>-0.5</v>
      </c>
      <c r="K168" s="1">
        <f t="shared" si="35"/>
        <v>253192.91722547126</v>
      </c>
      <c r="L168" s="1">
        <f t="shared" si="36"/>
        <v>1.1385407425440419</v>
      </c>
      <c r="M168" s="1">
        <f t="shared" si="37"/>
        <v>288270.4519847802</v>
      </c>
      <c r="P168" s="1">
        <f t="shared" si="38"/>
        <v>0</v>
      </c>
      <c r="Q168" s="1">
        <f t="shared" si="39"/>
        <v>0</v>
      </c>
      <c r="R168" s="1">
        <f t="shared" si="40"/>
        <v>288270.4519847802</v>
      </c>
      <c r="S168" s="4">
        <f t="shared" si="28"/>
        <v>0</v>
      </c>
    </row>
    <row r="169" spans="1:19" ht="15.65" outlineLevel="2">
      <c r="A169" s="9" t="s">
        <v>112</v>
      </c>
      <c r="B169" s="11" t="s">
        <v>61</v>
      </c>
      <c r="C169" s="10">
        <v>552736.04000000004</v>
      </c>
      <c r="F169" s="10">
        <v>552736.04000000004</v>
      </c>
      <c r="H169" s="3">
        <v>55</v>
      </c>
      <c r="I169" s="3">
        <v>9.8632419999999996</v>
      </c>
      <c r="J169" s="2">
        <v>-0.5</v>
      </c>
      <c r="K169" s="1">
        <f t="shared" si="35"/>
        <v>680419.442055227</v>
      </c>
      <c r="L169" s="1">
        <f t="shared" si="36"/>
        <v>1.1385407425440419</v>
      </c>
      <c r="M169" s="1">
        <f t="shared" si="37"/>
        <v>774685.25679896085</v>
      </c>
      <c r="P169" s="1">
        <f t="shared" si="38"/>
        <v>0</v>
      </c>
      <c r="Q169" s="1">
        <f t="shared" si="39"/>
        <v>0</v>
      </c>
      <c r="R169" s="1">
        <f t="shared" si="40"/>
        <v>774685.25679896085</v>
      </c>
      <c r="S169" s="4">
        <f t="shared" si="28"/>
        <v>0</v>
      </c>
    </row>
    <row r="170" spans="1:19" ht="15.65" outlineLevel="2">
      <c r="A170" s="9" t="s">
        <v>112</v>
      </c>
      <c r="B170" s="11" t="s">
        <v>60</v>
      </c>
      <c r="C170" s="10">
        <v>348146.77000000002</v>
      </c>
      <c r="F170" s="10">
        <v>348146.77000000002</v>
      </c>
      <c r="H170" s="3">
        <v>55</v>
      </c>
      <c r="I170" s="3">
        <v>9.3095389999999991</v>
      </c>
      <c r="J170" s="2">
        <v>-0.5</v>
      </c>
      <c r="K170" s="1">
        <f t="shared" si="35"/>
        <v>433826.90228075377</v>
      </c>
      <c r="L170" s="1">
        <f t="shared" si="36"/>
        <v>1.1385407425440419</v>
      </c>
      <c r="M170" s="1">
        <f t="shared" si="37"/>
        <v>493929.60345831088</v>
      </c>
      <c r="P170" s="1">
        <f t="shared" si="38"/>
        <v>0</v>
      </c>
      <c r="Q170" s="1">
        <f t="shared" si="39"/>
        <v>0</v>
      </c>
      <c r="R170" s="1">
        <f t="shared" si="40"/>
        <v>493929.60345831088</v>
      </c>
      <c r="S170" s="4">
        <f t="shared" si="28"/>
        <v>0</v>
      </c>
    </row>
    <row r="171" spans="1:19" ht="15.65" outlineLevel="2">
      <c r="A171" s="9" t="s">
        <v>112</v>
      </c>
      <c r="B171" s="11" t="s">
        <v>59</v>
      </c>
      <c r="C171" s="10">
        <v>240345.56</v>
      </c>
      <c r="F171" s="10">
        <v>240345.56</v>
      </c>
      <c r="H171" s="3">
        <v>55</v>
      </c>
      <c r="I171" s="3">
        <v>8.7851510000000008</v>
      </c>
      <c r="J171" s="2">
        <v>-0.5</v>
      </c>
      <c r="K171" s="1">
        <f t="shared" si="35"/>
        <v>302932.73899692105</v>
      </c>
      <c r="L171" s="1">
        <f t="shared" si="36"/>
        <v>1.1385407425440419</v>
      </c>
      <c r="M171" s="1">
        <f t="shared" si="37"/>
        <v>344901.26559845492</v>
      </c>
      <c r="P171" s="1">
        <f t="shared" si="38"/>
        <v>0</v>
      </c>
      <c r="Q171" s="1">
        <f t="shared" si="39"/>
        <v>0</v>
      </c>
      <c r="R171" s="1">
        <f t="shared" si="40"/>
        <v>344901.26559845492</v>
      </c>
      <c r="S171" s="4">
        <f t="shared" si="28"/>
        <v>0</v>
      </c>
    </row>
    <row r="172" spans="1:19" ht="15.65" outlineLevel="2">
      <c r="A172" s="9" t="s">
        <v>112</v>
      </c>
      <c r="B172" s="11" t="s">
        <v>58</v>
      </c>
      <c r="C172" s="10">
        <v>132750.60000000001</v>
      </c>
      <c r="F172" s="10">
        <v>132750.60000000001</v>
      </c>
      <c r="H172" s="3">
        <v>55</v>
      </c>
      <c r="I172" s="3">
        <v>8.2904319999999991</v>
      </c>
      <c r="J172" s="2">
        <v>-0.5</v>
      </c>
      <c r="K172" s="1">
        <f t="shared" si="35"/>
        <v>169110.63212020363</v>
      </c>
      <c r="L172" s="1">
        <f t="shared" si="36"/>
        <v>1.1385407425440419</v>
      </c>
      <c r="M172" s="1">
        <f t="shared" si="37"/>
        <v>192539.34466622895</v>
      </c>
      <c r="P172" s="1">
        <f t="shared" si="38"/>
        <v>0</v>
      </c>
      <c r="Q172" s="1">
        <f t="shared" si="39"/>
        <v>0</v>
      </c>
      <c r="R172" s="1">
        <f t="shared" si="40"/>
        <v>192539.34466622895</v>
      </c>
      <c r="S172" s="4">
        <f t="shared" si="28"/>
        <v>0</v>
      </c>
    </row>
    <row r="173" spans="1:19" ht="15.65" outlineLevel="2">
      <c r="A173" s="9" t="s">
        <v>112</v>
      </c>
      <c r="B173" s="11" t="s">
        <v>57</v>
      </c>
      <c r="C173" s="10">
        <v>295181.69</v>
      </c>
      <c r="F173" s="10">
        <v>295181.69</v>
      </c>
      <c r="H173" s="3">
        <v>55</v>
      </c>
      <c r="I173" s="3">
        <v>7.8256360000000003</v>
      </c>
      <c r="J173" s="2">
        <v>-0.5</v>
      </c>
      <c r="K173" s="1">
        <f t="shared" si="35"/>
        <v>379772.95882350439</v>
      </c>
      <c r="L173" s="1">
        <f t="shared" si="36"/>
        <v>1.1385407425440419</v>
      </c>
      <c r="M173" s="1">
        <f t="shared" si="37"/>
        <v>432386.98653706053</v>
      </c>
      <c r="P173" s="1">
        <f t="shared" si="38"/>
        <v>0</v>
      </c>
      <c r="Q173" s="1">
        <f t="shared" si="39"/>
        <v>0</v>
      </c>
      <c r="R173" s="1">
        <f t="shared" si="40"/>
        <v>432386.98653706053</v>
      </c>
      <c r="S173" s="4">
        <f t="shared" si="28"/>
        <v>0</v>
      </c>
    </row>
    <row r="174" spans="1:19" ht="15.65" outlineLevel="2">
      <c r="A174" s="9" t="s">
        <v>112</v>
      </c>
      <c r="B174" s="11" t="s">
        <v>56</v>
      </c>
      <c r="C174" s="10">
        <v>247529.45999999999</v>
      </c>
      <c r="F174" s="10">
        <v>247529.45999999999</v>
      </c>
      <c r="H174" s="3">
        <v>55</v>
      </c>
      <c r="I174" s="3">
        <v>7.38924</v>
      </c>
      <c r="J174" s="2">
        <v>-0.5</v>
      </c>
      <c r="K174" s="1">
        <f t="shared" si="35"/>
        <v>321410.88308153453</v>
      </c>
      <c r="L174" s="1">
        <f t="shared" si="36"/>
        <v>1.1385407425440419</v>
      </c>
      <c r="M174" s="1">
        <f t="shared" si="37"/>
        <v>365939.38548538653</v>
      </c>
      <c r="P174" s="1">
        <f t="shared" si="38"/>
        <v>0</v>
      </c>
      <c r="Q174" s="1">
        <f t="shared" si="39"/>
        <v>0</v>
      </c>
      <c r="R174" s="1">
        <f t="shared" si="40"/>
        <v>365939.38548538653</v>
      </c>
      <c r="S174" s="4">
        <f t="shared" si="28"/>
        <v>0</v>
      </c>
    </row>
    <row r="175" spans="1:19" ht="15.65" outlineLevel="2">
      <c r="A175" s="9" t="s">
        <v>112</v>
      </c>
      <c r="B175" s="11" t="s">
        <v>55</v>
      </c>
      <c r="C175" s="10">
        <v>128742.96000000001</v>
      </c>
      <c r="F175" s="10">
        <v>128742.96000000001</v>
      </c>
      <c r="H175" s="3">
        <v>55</v>
      </c>
      <c r="I175" s="3">
        <v>6.9788949999999996</v>
      </c>
      <c r="J175" s="2">
        <v>-0.5</v>
      </c>
      <c r="K175" s="1">
        <f t="shared" si="35"/>
        <v>168610.34182283998</v>
      </c>
      <c r="L175" s="1">
        <f t="shared" si="36"/>
        <v>1.1385407425440419</v>
      </c>
      <c r="M175" s="1">
        <f t="shared" si="37"/>
        <v>191969.74377958095</v>
      </c>
      <c r="P175" s="1">
        <f t="shared" si="38"/>
        <v>0</v>
      </c>
      <c r="Q175" s="1">
        <f t="shared" si="39"/>
        <v>0</v>
      </c>
      <c r="R175" s="1">
        <f t="shared" si="40"/>
        <v>191969.74377958095</v>
      </c>
      <c r="S175" s="4">
        <f t="shared" si="28"/>
        <v>0</v>
      </c>
    </row>
    <row r="176" spans="1:19" ht="15.65" outlineLevel="2">
      <c r="A176" s="9" t="s">
        <v>112</v>
      </c>
      <c r="B176" s="11" t="s">
        <v>54</v>
      </c>
      <c r="C176" s="10">
        <v>187338.19</v>
      </c>
      <c r="F176" s="10">
        <v>187338.19</v>
      </c>
      <c r="H176" s="3">
        <v>55</v>
      </c>
      <c r="I176" s="3">
        <v>6.5926900000000002</v>
      </c>
      <c r="J176" s="2">
        <v>-0.5</v>
      </c>
      <c r="K176" s="1">
        <f t="shared" si="35"/>
        <v>247323.75922278818</v>
      </c>
      <c r="L176" s="1">
        <f t="shared" si="36"/>
        <v>1.1385407425440419</v>
      </c>
      <c r="M176" s="1">
        <f t="shared" si="37"/>
        <v>281007.28500000003</v>
      </c>
      <c r="P176" s="1">
        <f t="shared" si="38"/>
        <v>0</v>
      </c>
      <c r="Q176" s="1">
        <f t="shared" si="39"/>
        <v>0</v>
      </c>
      <c r="R176" s="1">
        <f t="shared" si="40"/>
        <v>281007.28500000003</v>
      </c>
      <c r="S176" s="4">
        <f t="shared" si="28"/>
        <v>0</v>
      </c>
    </row>
    <row r="177" spans="1:19" ht="15.65" outlineLevel="2">
      <c r="A177" s="9" t="s">
        <v>112</v>
      </c>
      <c r="B177" s="11" t="s">
        <v>53</v>
      </c>
      <c r="C177" s="10">
        <v>123456.42</v>
      </c>
      <c r="F177" s="10">
        <v>123456.42</v>
      </c>
      <c r="H177" s="3">
        <v>55</v>
      </c>
      <c r="I177" s="3">
        <v>6.2285810000000001</v>
      </c>
      <c r="J177" s="2">
        <v>-0.5</v>
      </c>
      <c r="K177" s="1">
        <f t="shared" si="35"/>
        <v>164213.0396743631</v>
      </c>
      <c r="L177" s="1">
        <f t="shared" si="36"/>
        <v>1.1385407425440419</v>
      </c>
      <c r="M177" s="1">
        <f t="shared" si="37"/>
        <v>185184.63000000001</v>
      </c>
      <c r="P177" s="1">
        <f t="shared" si="38"/>
        <v>0</v>
      </c>
      <c r="Q177" s="1">
        <f t="shared" si="39"/>
        <v>0</v>
      </c>
      <c r="R177" s="1">
        <f t="shared" si="40"/>
        <v>185184.63000000001</v>
      </c>
      <c r="S177" s="4">
        <f t="shared" si="28"/>
        <v>0</v>
      </c>
    </row>
    <row r="178" spans="1:19" ht="15.65" outlineLevel="2">
      <c r="A178" s="9" t="s">
        <v>112</v>
      </c>
      <c r="B178" s="11" t="s">
        <v>52</v>
      </c>
      <c r="C178" s="10">
        <v>71697.059999999998</v>
      </c>
      <c r="F178" s="10">
        <v>71697.059999999998</v>
      </c>
      <c r="H178" s="3">
        <v>55</v>
      </c>
      <c r="I178" s="3">
        <v>5.8844719999999997</v>
      </c>
      <c r="J178" s="2">
        <v>-0.5</v>
      </c>
      <c r="K178" s="1">
        <f t="shared" si="35"/>
        <v>96039.24430766399</v>
      </c>
      <c r="L178" s="1">
        <f t="shared" si="36"/>
        <v>1.1385407425440419</v>
      </c>
      <c r="M178" s="1">
        <f t="shared" si="37"/>
        <v>107545.59</v>
      </c>
      <c r="P178" s="1">
        <f t="shared" si="38"/>
        <v>0</v>
      </c>
      <c r="Q178" s="1">
        <f t="shared" si="39"/>
        <v>0</v>
      </c>
      <c r="R178" s="1">
        <f t="shared" si="40"/>
        <v>107545.59</v>
      </c>
      <c r="S178" s="4">
        <f t="shared" si="28"/>
        <v>0</v>
      </c>
    </row>
    <row r="179" spans="1:19" ht="15.65" outlineLevel="2">
      <c r="A179" s="9" t="s">
        <v>112</v>
      </c>
      <c r="B179" s="11" t="s">
        <v>51</v>
      </c>
      <c r="C179" s="10">
        <v>95621.619999999995</v>
      </c>
      <c r="F179" s="10">
        <v>95621.619999999995</v>
      </c>
      <c r="H179" s="3">
        <v>55</v>
      </c>
      <c r="I179" s="3">
        <v>5.5564980000000004</v>
      </c>
      <c r="J179" s="2">
        <v>-0.5</v>
      </c>
      <c r="K179" s="1">
        <f t="shared" si="35"/>
        <v>128941.84799217925</v>
      </c>
      <c r="L179" s="1">
        <f t="shared" si="36"/>
        <v>1.1385407425440419</v>
      </c>
      <c r="M179" s="1">
        <f t="shared" si="37"/>
        <v>143432.42999999999</v>
      </c>
      <c r="P179" s="1">
        <f t="shared" si="38"/>
        <v>0</v>
      </c>
      <c r="Q179" s="1">
        <f t="shared" si="39"/>
        <v>0</v>
      </c>
      <c r="R179" s="1">
        <f t="shared" si="40"/>
        <v>143432.42999999999</v>
      </c>
      <c r="S179" s="4">
        <f t="shared" si="28"/>
        <v>0</v>
      </c>
    </row>
    <row r="180" spans="1:19" ht="15.65" outlineLevel="2">
      <c r="A180" s="9" t="s">
        <v>112</v>
      </c>
      <c r="B180" s="11" t="s">
        <v>50</v>
      </c>
      <c r="C180" s="10">
        <v>114076.85000000001</v>
      </c>
      <c r="F180" s="10">
        <v>114076.85000000001</v>
      </c>
      <c r="H180" s="3">
        <v>55</v>
      </c>
      <c r="I180" s="3">
        <v>5.2429680000000003</v>
      </c>
      <c r="J180" s="2">
        <v>-0.5</v>
      </c>
      <c r="K180" s="1">
        <f t="shared" si="35"/>
        <v>154803.42207025091</v>
      </c>
      <c r="L180" s="1">
        <f t="shared" si="36"/>
        <v>1.1385407425440419</v>
      </c>
      <c r="M180" s="1">
        <f t="shared" si="37"/>
        <v>171115.27500000002</v>
      </c>
      <c r="P180" s="1">
        <f t="shared" si="38"/>
        <v>0</v>
      </c>
      <c r="Q180" s="1">
        <f t="shared" si="39"/>
        <v>0</v>
      </c>
      <c r="R180" s="1">
        <f t="shared" si="40"/>
        <v>171115.27500000002</v>
      </c>
      <c r="S180" s="4">
        <f t="shared" si="28"/>
        <v>0</v>
      </c>
    </row>
    <row r="181" spans="1:19" ht="15.65" outlineLevel="2">
      <c r="A181" s="9" t="s">
        <v>112</v>
      </c>
      <c r="B181" s="11" t="s">
        <v>49</v>
      </c>
      <c r="C181" s="10">
        <v>81462.110000000001</v>
      </c>
      <c r="F181" s="10">
        <v>81462.110000000001</v>
      </c>
      <c r="H181" s="3">
        <v>55</v>
      </c>
      <c r="I181" s="3">
        <v>4.9418629999999997</v>
      </c>
      <c r="J181" s="2">
        <v>-0.5</v>
      </c>
      <c r="K181" s="1">
        <f t="shared" si="35"/>
        <v>111213.85807333827</v>
      </c>
      <c r="L181" s="1">
        <f t="shared" si="36"/>
        <v>1.1385407425440419</v>
      </c>
      <c r="M181" s="1">
        <f t="shared" si="37"/>
        <v>122193.16500000001</v>
      </c>
      <c r="P181" s="1">
        <f t="shared" si="38"/>
        <v>0</v>
      </c>
      <c r="Q181" s="1">
        <f t="shared" si="39"/>
        <v>0</v>
      </c>
      <c r="R181" s="1">
        <f t="shared" si="40"/>
        <v>122193.16500000001</v>
      </c>
      <c r="S181" s="4">
        <f t="shared" si="28"/>
        <v>0</v>
      </c>
    </row>
    <row r="182" spans="1:19" ht="15.65" outlineLevel="2">
      <c r="A182" s="9" t="s">
        <v>112</v>
      </c>
      <c r="B182" s="11" t="s">
        <v>48</v>
      </c>
      <c r="C182" s="10">
        <v>152713.51000000001</v>
      </c>
      <c r="F182" s="10">
        <v>152713.51000000001</v>
      </c>
      <c r="H182" s="3">
        <v>55</v>
      </c>
      <c r="I182" s="3">
        <v>4.6513929999999997</v>
      </c>
      <c r="J182" s="2">
        <v>-0.5</v>
      </c>
      <c r="K182" s="1">
        <f t="shared" si="35"/>
        <v>209697.61359765194</v>
      </c>
      <c r="L182" s="1">
        <f t="shared" si="36"/>
        <v>1.1385407425440419</v>
      </c>
      <c r="M182" s="1">
        <f t="shared" si="37"/>
        <v>229070.26500000001</v>
      </c>
      <c r="P182" s="1">
        <f t="shared" si="38"/>
        <v>0</v>
      </c>
      <c r="Q182" s="1">
        <f t="shared" si="39"/>
        <v>0</v>
      </c>
      <c r="R182" s="1">
        <f t="shared" si="40"/>
        <v>229070.26500000001</v>
      </c>
      <c r="S182" s="4">
        <f t="shared" si="41" ref="S182:S245">+M182-P182-Q182-R182</f>
        <v>0</v>
      </c>
    </row>
    <row r="183" spans="1:19" ht="15.65" outlineLevel="2">
      <c r="A183" s="9" t="s">
        <v>112</v>
      </c>
      <c r="B183" s="11" t="s">
        <v>47</v>
      </c>
      <c r="C183" s="10">
        <v>29340.009999999998</v>
      </c>
      <c r="F183" s="10">
        <v>29340.009999999998</v>
      </c>
      <c r="H183" s="3">
        <v>55</v>
      </c>
      <c r="I183" s="3">
        <v>4.3700710000000003</v>
      </c>
      <c r="J183" s="2">
        <v>-0.5</v>
      </c>
      <c r="K183" s="1">
        <f t="shared" si="42" ref="K183:K211">+C183*(1-I183/H183)*(1-J183)</f>
        <v>40513.162449798816</v>
      </c>
      <c r="L183" s="1">
        <f t="shared" si="43" ref="L183:L211">$L$212</f>
        <v>1.1385407425440419</v>
      </c>
      <c r="M183" s="1">
        <f t="shared" si="44" ref="M183:M211">IF((C183*(1-J183)-K183*L183)&lt;0,C183*(1-J183),K183*L183)</f>
        <v>44010.014999999999</v>
      </c>
      <c r="P183" s="1">
        <f t="shared" si="45" ref="P183:P211">+D183/$C183*$M183</f>
        <v>0</v>
      </c>
      <c r="Q183" s="1">
        <f t="shared" si="46" ref="Q183:Q211">+E183/$C183*$M183</f>
        <v>0</v>
      </c>
      <c r="R183" s="1">
        <f t="shared" si="47" ref="R183:R211">+F183/$C183*$M183</f>
        <v>44010.014999999999</v>
      </c>
      <c r="S183" s="4">
        <f t="shared" si="41"/>
        <v>0</v>
      </c>
    </row>
    <row r="184" spans="1:19" ht="15.65" outlineLevel="2">
      <c r="A184" s="9" t="s">
        <v>112</v>
      </c>
      <c r="B184" s="11" t="s">
        <v>46</v>
      </c>
      <c r="C184" s="10">
        <v>111024.39</v>
      </c>
      <c r="F184" s="10">
        <v>111024.39</v>
      </c>
      <c r="H184" s="3">
        <v>55</v>
      </c>
      <c r="I184" s="3">
        <v>4.0944839999999996</v>
      </c>
      <c r="J184" s="2">
        <v>-0.5</v>
      </c>
      <c r="K184" s="1">
        <f t="shared" si="42"/>
        <v>154138.74167823381</v>
      </c>
      <c r="L184" s="1">
        <f t="shared" si="43"/>
        <v>1.1385407425440419</v>
      </c>
      <c r="M184" s="1">
        <f t="shared" si="44"/>
        <v>166536.58499999999</v>
      </c>
      <c r="P184" s="1">
        <f t="shared" si="45"/>
        <v>0</v>
      </c>
      <c r="Q184" s="1">
        <f t="shared" si="46"/>
        <v>0</v>
      </c>
      <c r="R184" s="1">
        <f t="shared" si="47"/>
        <v>166536.58499999999</v>
      </c>
      <c r="S184" s="4">
        <f t="shared" si="41"/>
        <v>0</v>
      </c>
    </row>
    <row r="185" spans="1:19" ht="15.65" outlineLevel="2">
      <c r="A185" s="9" t="s">
        <v>112</v>
      </c>
      <c r="B185" s="11" t="s">
        <v>45</v>
      </c>
      <c r="C185" s="10">
        <v>48263.510000000002</v>
      </c>
      <c r="F185" s="10">
        <v>48263.510000000002</v>
      </c>
      <c r="H185" s="3">
        <v>55</v>
      </c>
      <c r="I185" s="3">
        <v>3.822584</v>
      </c>
      <c r="J185" s="2">
        <v>-0.5</v>
      </c>
      <c r="K185" s="1">
        <f t="shared" si="42"/>
        <v>67363.683515186189</v>
      </c>
      <c r="L185" s="1">
        <f t="shared" si="43"/>
        <v>1.1385407425440419</v>
      </c>
      <c r="M185" s="1">
        <f t="shared" si="44"/>
        <v>72395.264999999999</v>
      </c>
      <c r="P185" s="1">
        <f t="shared" si="45"/>
        <v>0</v>
      </c>
      <c r="Q185" s="1">
        <f t="shared" si="46"/>
        <v>0</v>
      </c>
      <c r="R185" s="1">
        <f t="shared" si="47"/>
        <v>72395.264999999999</v>
      </c>
      <c r="S185" s="4">
        <f t="shared" si="41"/>
        <v>0</v>
      </c>
    </row>
    <row r="186" spans="1:19" ht="15.65" outlineLevel="2">
      <c r="A186" s="9" t="s">
        <v>112</v>
      </c>
      <c r="B186" s="11" t="s">
        <v>44</v>
      </c>
      <c r="C186" s="10">
        <v>92109.449999999997</v>
      </c>
      <c r="F186" s="10">
        <v>92109.449999999997</v>
      </c>
      <c r="H186" s="3">
        <v>55</v>
      </c>
      <c r="I186" s="3">
        <v>3.5553900000000001</v>
      </c>
      <c r="J186" s="2">
        <v>-0.5</v>
      </c>
      <c r="K186" s="1">
        <f t="shared" si="42"/>
        <v>129232.76543357727</v>
      </c>
      <c r="L186" s="1">
        <f t="shared" si="43"/>
        <v>1.1385407425440419</v>
      </c>
      <c r="M186" s="1">
        <f t="shared" si="44"/>
        <v>138164.17499999999</v>
      </c>
      <c r="P186" s="1">
        <f t="shared" si="45"/>
        <v>0</v>
      </c>
      <c r="Q186" s="1">
        <f t="shared" si="46"/>
        <v>0</v>
      </c>
      <c r="R186" s="1">
        <f t="shared" si="47"/>
        <v>138164.17499999999</v>
      </c>
      <c r="S186" s="4">
        <f t="shared" si="41"/>
        <v>0</v>
      </c>
    </row>
    <row r="187" spans="1:19" ht="15.65" outlineLevel="2">
      <c r="A187" s="9" t="s">
        <v>112</v>
      </c>
      <c r="B187" s="11" t="s">
        <v>43</v>
      </c>
      <c r="C187" s="10">
        <v>61990.18</v>
      </c>
      <c r="F187" s="10">
        <v>61990.18</v>
      </c>
      <c r="H187" s="3">
        <v>55</v>
      </c>
      <c r="I187" s="3">
        <v>3.292808</v>
      </c>
      <c r="J187" s="2">
        <v>-0.5</v>
      </c>
      <c r="K187" s="1">
        <f t="shared" si="42"/>
        <v>87418.312892033457</v>
      </c>
      <c r="L187" s="1">
        <f t="shared" si="43"/>
        <v>1.1385407425440419</v>
      </c>
      <c r="M187" s="1">
        <f t="shared" si="44"/>
        <v>92985.270000000004</v>
      </c>
      <c r="P187" s="1">
        <f t="shared" si="45"/>
        <v>0</v>
      </c>
      <c r="Q187" s="1">
        <f t="shared" si="46"/>
        <v>0</v>
      </c>
      <c r="R187" s="1">
        <f t="shared" si="47"/>
        <v>92985.270000000004</v>
      </c>
      <c r="S187" s="4">
        <f t="shared" si="41"/>
        <v>0</v>
      </c>
    </row>
    <row r="188" spans="1:19" ht="15.65" outlineLevel="2">
      <c r="A188" s="9" t="s">
        <v>112</v>
      </c>
      <c r="B188" s="11" t="s">
        <v>42</v>
      </c>
      <c r="C188" s="10">
        <v>73039.570000000007</v>
      </c>
      <c r="F188" s="10">
        <v>73039.570000000007</v>
      </c>
      <c r="H188" s="3">
        <v>55</v>
      </c>
      <c r="I188" s="3">
        <v>3.0353279999999998</v>
      </c>
      <c r="J188" s="2">
        <v>-0.5</v>
      </c>
      <c r="K188" s="1">
        <f t="shared" si="42"/>
        <v>103513.01722011928</v>
      </c>
      <c r="L188" s="1">
        <f t="shared" si="43"/>
        <v>1.1385407425440419</v>
      </c>
      <c r="M188" s="1">
        <f t="shared" si="44"/>
        <v>109559.35500000001</v>
      </c>
      <c r="P188" s="1">
        <f t="shared" si="45"/>
        <v>0</v>
      </c>
      <c r="Q188" s="1">
        <f t="shared" si="46"/>
        <v>0</v>
      </c>
      <c r="R188" s="1">
        <f t="shared" si="47"/>
        <v>109559.35500000001</v>
      </c>
      <c r="S188" s="4">
        <f t="shared" si="41"/>
        <v>0</v>
      </c>
    </row>
    <row r="189" spans="1:19" ht="15.65" outlineLevel="2">
      <c r="A189" s="9" t="s">
        <v>112</v>
      </c>
      <c r="B189" s="11" t="s">
        <v>41</v>
      </c>
      <c r="C189" s="10">
        <v>30205.84</v>
      </c>
      <c r="F189" s="10">
        <v>30205.84</v>
      </c>
      <c r="H189" s="3">
        <v>55</v>
      </c>
      <c r="I189" s="3">
        <v>2.784224</v>
      </c>
      <c r="J189" s="2">
        <v>-0.5</v>
      </c>
      <c r="K189" s="1">
        <f t="shared" si="42"/>
        <v>43015.128418141088</v>
      </c>
      <c r="L189" s="1">
        <f t="shared" si="43"/>
        <v>1.1385407425440419</v>
      </c>
      <c r="M189" s="1">
        <f t="shared" si="44"/>
        <v>45308.760000000002</v>
      </c>
      <c r="P189" s="1">
        <f t="shared" si="45"/>
        <v>0</v>
      </c>
      <c r="Q189" s="1">
        <f t="shared" si="46"/>
        <v>0</v>
      </c>
      <c r="R189" s="1">
        <f t="shared" si="47"/>
        <v>45308.760000000002</v>
      </c>
      <c r="S189" s="4">
        <f t="shared" si="41"/>
        <v>0</v>
      </c>
    </row>
    <row r="190" spans="1:19" ht="15.65" outlineLevel="2">
      <c r="A190" s="9" t="s">
        <v>112</v>
      </c>
      <c r="B190" s="11" t="s">
        <v>40</v>
      </c>
      <c r="C190" s="10">
        <v>66159.949999999997</v>
      </c>
      <c r="F190" s="10">
        <v>66159.949999999997</v>
      </c>
      <c r="H190" s="3">
        <v>55</v>
      </c>
      <c r="I190" s="3">
        <v>2.5322490000000002</v>
      </c>
      <c r="J190" s="2">
        <v>-0.5</v>
      </c>
      <c r="K190" s="1">
        <f t="shared" si="42"/>
        <v>94670.830439248632</v>
      </c>
      <c r="L190" s="1">
        <f t="shared" si="43"/>
        <v>1.1385407425440419</v>
      </c>
      <c r="M190" s="1">
        <f t="shared" si="44"/>
        <v>99239.924999999988</v>
      </c>
      <c r="P190" s="1">
        <f t="shared" si="45"/>
        <v>0</v>
      </c>
      <c r="Q190" s="1">
        <f t="shared" si="46"/>
        <v>0</v>
      </c>
      <c r="R190" s="1">
        <f t="shared" si="47"/>
        <v>99239.924999999988</v>
      </c>
      <c r="S190" s="4">
        <f t="shared" si="41"/>
        <v>0</v>
      </c>
    </row>
    <row r="191" spans="1:19" ht="15.65" outlineLevel="2">
      <c r="A191" s="9" t="s">
        <v>112</v>
      </c>
      <c r="B191" s="11" t="s">
        <v>39</v>
      </c>
      <c r="C191" s="10">
        <v>67347.350000000006</v>
      </c>
      <c r="F191" s="10">
        <v>67347.350000000006</v>
      </c>
      <c r="H191" s="3">
        <v>55</v>
      </c>
      <c r="I191" s="3">
        <v>2.285752</v>
      </c>
      <c r="J191" s="2">
        <v>-0.5</v>
      </c>
      <c r="K191" s="1">
        <f t="shared" si="42"/>
        <v>96822.679364803655</v>
      </c>
      <c r="L191" s="1">
        <f t="shared" si="43"/>
        <v>1.1385407425440419</v>
      </c>
      <c r="M191" s="1">
        <f t="shared" si="44"/>
        <v>101021.02500000001</v>
      </c>
      <c r="P191" s="1">
        <f t="shared" si="45"/>
        <v>0</v>
      </c>
      <c r="Q191" s="1">
        <f t="shared" si="46"/>
        <v>0</v>
      </c>
      <c r="R191" s="1">
        <f t="shared" si="47"/>
        <v>101021.02500000001</v>
      </c>
      <c r="S191" s="4">
        <f t="shared" si="41"/>
        <v>0</v>
      </c>
    </row>
    <row r="192" spans="1:19" ht="15.65" outlineLevel="2">
      <c r="A192" s="9" t="s">
        <v>112</v>
      </c>
      <c r="B192" s="11" t="s">
        <v>38</v>
      </c>
      <c r="C192" s="10">
        <v>77555.380000000005</v>
      </c>
      <c r="F192" s="10">
        <v>77555.380000000005</v>
      </c>
      <c r="H192" s="3">
        <v>55</v>
      </c>
      <c r="I192" s="3">
        <v>2.0461260000000001</v>
      </c>
      <c r="J192" s="2">
        <v>-0.5</v>
      </c>
      <c r="K192" s="1">
        <f t="shared" si="42"/>
        <v>112005.21328751236</v>
      </c>
      <c r="L192" s="1">
        <f t="shared" si="43"/>
        <v>1.1385407425440419</v>
      </c>
      <c r="M192" s="1">
        <f t="shared" si="44"/>
        <v>116333.07000000001</v>
      </c>
      <c r="P192" s="1">
        <f t="shared" si="45"/>
        <v>0</v>
      </c>
      <c r="Q192" s="1">
        <f t="shared" si="46"/>
        <v>0</v>
      </c>
      <c r="R192" s="1">
        <f t="shared" si="47"/>
        <v>116333.07000000001</v>
      </c>
      <c r="S192" s="4">
        <f t="shared" si="41"/>
        <v>0</v>
      </c>
    </row>
    <row r="193" spans="1:19" ht="15.65" outlineLevel="2">
      <c r="A193" s="9" t="s">
        <v>112</v>
      </c>
      <c r="B193" s="11" t="s">
        <v>37</v>
      </c>
      <c r="C193" s="10">
        <v>337.47000000000003</v>
      </c>
      <c r="F193" s="10">
        <v>337.47000000000003</v>
      </c>
      <c r="H193" s="3">
        <v>55</v>
      </c>
      <c r="I193" s="3">
        <v>1.8153809999999999</v>
      </c>
      <c r="J193" s="2">
        <v>-0.5</v>
      </c>
      <c r="K193" s="1">
        <f t="shared" si="42"/>
        <v>489.49672837990914</v>
      </c>
      <c r="L193" s="1">
        <f t="shared" si="43"/>
        <v>1.1385407425440419</v>
      </c>
      <c r="M193" s="1">
        <f t="shared" si="44"/>
        <v>506.20500000000004</v>
      </c>
      <c r="P193" s="1">
        <f t="shared" si="45"/>
        <v>0</v>
      </c>
      <c r="Q193" s="1">
        <f t="shared" si="46"/>
        <v>0</v>
      </c>
      <c r="R193" s="1">
        <f t="shared" si="47"/>
        <v>506.20500000000004</v>
      </c>
      <c r="S193" s="4">
        <f t="shared" si="41"/>
        <v>0</v>
      </c>
    </row>
    <row r="194" spans="1:19" ht="15.65" outlineLevel="2">
      <c r="A194" s="9" t="s">
        <v>112</v>
      </c>
      <c r="B194" s="11" t="s">
        <v>36</v>
      </c>
      <c r="C194" s="10">
        <v>6121.29</v>
      </c>
      <c r="F194" s="10">
        <v>6121.29</v>
      </c>
      <c r="H194" s="3">
        <v>55</v>
      </c>
      <c r="I194" s="3">
        <v>1.597</v>
      </c>
      <c r="J194" s="2">
        <v>-0.5</v>
      </c>
      <c r="K194" s="1">
        <f t="shared" si="42"/>
        <v>8915.3249964545448</v>
      </c>
      <c r="L194" s="1">
        <f t="shared" si="43"/>
        <v>1.1385407425440419</v>
      </c>
      <c r="M194" s="1">
        <f t="shared" si="44"/>
        <v>9181.9349999999995</v>
      </c>
      <c r="P194" s="1">
        <f t="shared" si="45"/>
        <v>0</v>
      </c>
      <c r="Q194" s="1">
        <f t="shared" si="46"/>
        <v>0</v>
      </c>
      <c r="R194" s="1">
        <f t="shared" si="47"/>
        <v>9181.9349999999995</v>
      </c>
      <c r="S194" s="4">
        <f t="shared" si="41"/>
        <v>0</v>
      </c>
    </row>
    <row r="195" spans="1:28" ht="15.65" outlineLevel="2">
      <c r="A195" s="9" t="s">
        <v>112</v>
      </c>
      <c r="B195" s="11" t="s">
        <v>35</v>
      </c>
      <c r="C195" s="10">
        <v>2360.73</v>
      </c>
      <c r="F195" s="10">
        <v>2360.73</v>
      </c>
      <c r="G195" s="3"/>
      <c r="H195" s="3">
        <v>55</v>
      </c>
      <c r="I195" s="3">
        <v>1.385783</v>
      </c>
      <c r="J195" s="6">
        <v>-0.5</v>
      </c>
      <c r="K195" s="3">
        <f t="shared" si="42"/>
        <v>3451.8733772293635</v>
      </c>
      <c r="L195" s="3">
        <f t="shared" si="43"/>
        <v>1.1385407425440419</v>
      </c>
      <c r="M195" s="3">
        <f t="shared" si="44"/>
        <v>3541.0950000000003</v>
      </c>
      <c r="N195" s="3"/>
      <c r="O195" s="3"/>
      <c r="P195" s="3">
        <f t="shared" si="45"/>
        <v>0</v>
      </c>
      <c r="Q195" s="3">
        <f t="shared" si="46"/>
        <v>0</v>
      </c>
      <c r="R195" s="3">
        <f t="shared" si="47"/>
        <v>3541.0950000000003</v>
      </c>
      <c r="S195" s="7">
        <f t="shared" si="41"/>
        <v>0</v>
      </c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5.65" outlineLevel="2">
      <c r="A196" s="9" t="s">
        <v>112</v>
      </c>
      <c r="B196" s="11" t="s">
        <v>34</v>
      </c>
      <c r="C196" s="10">
        <v>1409.6800000000001</v>
      </c>
      <c r="F196" s="10">
        <v>1409.6800000000001</v>
      </c>
      <c r="G196" s="3"/>
      <c r="H196" s="3">
        <v>55</v>
      </c>
      <c r="I196" s="3">
        <v>1.177379</v>
      </c>
      <c r="J196" s="6">
        <v>-0.5</v>
      </c>
      <c r="K196" s="3">
        <f t="shared" si="42"/>
        <v>2069.2547010349094</v>
      </c>
      <c r="L196" s="3">
        <f t="shared" si="43"/>
        <v>1.1385407425440419</v>
      </c>
      <c r="M196" s="3">
        <f t="shared" si="44"/>
        <v>2114.52</v>
      </c>
      <c r="N196" s="3"/>
      <c r="O196" s="3"/>
      <c r="P196" s="3">
        <f t="shared" si="45"/>
        <v>0</v>
      </c>
      <c r="Q196" s="3">
        <f t="shared" si="46"/>
        <v>0</v>
      </c>
      <c r="R196" s="3">
        <f t="shared" si="47"/>
        <v>2114.52</v>
      </c>
      <c r="S196" s="7">
        <f t="shared" si="41"/>
        <v>0</v>
      </c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5.65" outlineLevel="2">
      <c r="A197" s="9" t="s">
        <v>112</v>
      </c>
      <c r="B197" s="11" t="s">
        <v>33</v>
      </c>
      <c r="C197" s="10">
        <v>3176.02</v>
      </c>
      <c r="F197" s="10">
        <v>3176.02</v>
      </c>
      <c r="G197" s="3"/>
      <c r="H197" s="3">
        <v>55</v>
      </c>
      <c r="I197" s="3">
        <v>0.97811899999999996</v>
      </c>
      <c r="J197" s="6">
        <v>-0.5</v>
      </c>
      <c r="K197" s="3">
        <f t="shared" si="42"/>
        <v>4679.3065770987268</v>
      </c>
      <c r="L197" s="3">
        <f t="shared" si="43"/>
        <v>1.1385407425440419</v>
      </c>
      <c r="M197" s="3">
        <f t="shared" si="44"/>
        <v>4764.0299999999997</v>
      </c>
      <c r="N197" s="3"/>
      <c r="O197" s="3"/>
      <c r="P197" s="3">
        <f t="shared" si="45"/>
        <v>0</v>
      </c>
      <c r="Q197" s="3">
        <f t="shared" si="46"/>
        <v>0</v>
      </c>
      <c r="R197" s="3">
        <f t="shared" si="47"/>
        <v>4764.0299999999997</v>
      </c>
      <c r="S197" s="7">
        <f t="shared" si="41"/>
        <v>0</v>
      </c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5.65" outlineLevel="2">
      <c r="A198" s="9" t="s">
        <v>112</v>
      </c>
      <c r="B198" s="11" t="s">
        <v>32</v>
      </c>
      <c r="C198" s="10">
        <v>871</v>
      </c>
      <c r="F198" s="10">
        <v>871</v>
      </c>
      <c r="G198" s="3"/>
      <c r="H198" s="3">
        <v>55</v>
      </c>
      <c r="I198" s="3">
        <v>0.79098299999999999</v>
      </c>
      <c r="J198" s="6">
        <v>-0.5</v>
      </c>
      <c r="K198" s="3">
        <f t="shared" si="42"/>
        <v>1287.7105583727273</v>
      </c>
      <c r="L198" s="3">
        <f t="shared" si="43"/>
        <v>1.1385407425440419</v>
      </c>
      <c r="M198" s="3">
        <f t="shared" si="44"/>
        <v>1306.5</v>
      </c>
      <c r="N198" s="3"/>
      <c r="O198" s="3"/>
      <c r="P198" s="3">
        <f t="shared" si="45"/>
        <v>0</v>
      </c>
      <c r="Q198" s="3">
        <f t="shared" si="46"/>
        <v>0</v>
      </c>
      <c r="R198" s="3">
        <f t="shared" si="47"/>
        <v>1306.5</v>
      </c>
      <c r="S198" s="7">
        <f t="shared" si="41"/>
        <v>0</v>
      </c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5.65" outlineLevel="2">
      <c r="A199" s="9" t="s">
        <v>112</v>
      </c>
      <c r="B199" s="11" t="s">
        <v>31</v>
      </c>
      <c r="C199" s="10">
        <v>298693.76000000001</v>
      </c>
      <c r="F199" s="10">
        <v>298693.76000000001</v>
      </c>
      <c r="G199" s="3"/>
      <c r="H199" s="3">
        <v>55</v>
      </c>
      <c r="I199" s="3">
        <v>0.52923399999999998</v>
      </c>
      <c r="J199" s="6">
        <v>-0.5</v>
      </c>
      <c r="K199" s="3">
        <f t="shared" si="42"/>
        <v>443729.39745327708</v>
      </c>
      <c r="L199" s="3">
        <f t="shared" si="43"/>
        <v>1.1385407425440419</v>
      </c>
      <c r="M199" s="3">
        <f t="shared" si="44"/>
        <v>448040.64000000001</v>
      </c>
      <c r="N199" s="3"/>
      <c r="O199" s="3"/>
      <c r="P199" s="3">
        <f t="shared" si="45"/>
        <v>0</v>
      </c>
      <c r="Q199" s="3">
        <f t="shared" si="46"/>
        <v>0</v>
      </c>
      <c r="R199" s="3">
        <f t="shared" si="47"/>
        <v>448040.64000000001</v>
      </c>
      <c r="S199" s="7">
        <f t="shared" si="41"/>
        <v>0</v>
      </c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5.65" outlineLevel="2">
      <c r="A200" s="9" t="s">
        <v>112</v>
      </c>
      <c r="B200" s="11" t="s">
        <v>29</v>
      </c>
      <c r="C200" s="10">
        <v>7588.9300000000003</v>
      </c>
      <c r="F200" s="10">
        <v>7588.9300000000003</v>
      </c>
      <c r="G200" s="3"/>
      <c r="H200" s="3">
        <v>55</v>
      </c>
      <c r="I200" s="3">
        <v>0.32458199999999998</v>
      </c>
      <c r="J200" s="6">
        <v>-0.5</v>
      </c>
      <c r="K200" s="3">
        <f t="shared" si="42"/>
        <v>11316.215997892909</v>
      </c>
      <c r="L200" s="3">
        <f t="shared" si="43"/>
        <v>1.1385407425440419</v>
      </c>
      <c r="M200" s="3">
        <f t="shared" si="44"/>
        <v>11383.395</v>
      </c>
      <c r="N200" s="3"/>
      <c r="O200" s="3"/>
      <c r="P200" s="3">
        <f t="shared" si="45"/>
        <v>0</v>
      </c>
      <c r="Q200" s="3">
        <f t="shared" si="46"/>
        <v>0</v>
      </c>
      <c r="R200" s="3">
        <f t="shared" si="47"/>
        <v>11383.395</v>
      </c>
      <c r="S200" s="7">
        <f t="shared" si="41"/>
        <v>0</v>
      </c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5.65" outlineLevel="2">
      <c r="A201" s="9" t="s">
        <v>112</v>
      </c>
      <c r="B201" s="11" t="s">
        <v>28</v>
      </c>
      <c r="C201" s="10">
        <v>66.879999999999995</v>
      </c>
      <c r="F201" s="10">
        <v>66.879999999999995</v>
      </c>
      <c r="G201" s="3"/>
      <c r="H201" s="3">
        <v>55</v>
      </c>
      <c r="I201" s="3">
        <v>0</v>
      </c>
      <c r="J201" s="6">
        <v>-0.5</v>
      </c>
      <c r="K201" s="3">
        <f t="shared" si="42"/>
        <v>100.31999999999999</v>
      </c>
      <c r="L201" s="3">
        <f t="shared" si="43"/>
        <v>1.1385407425440419</v>
      </c>
      <c r="M201" s="3">
        <f t="shared" si="44"/>
        <v>100.31999999999999</v>
      </c>
      <c r="N201" s="3"/>
      <c r="O201" s="3"/>
      <c r="P201" s="3">
        <f t="shared" si="45"/>
        <v>0</v>
      </c>
      <c r="Q201" s="3">
        <f t="shared" si="46"/>
        <v>0</v>
      </c>
      <c r="R201" s="3">
        <f t="shared" si="47"/>
        <v>100.31999999999999</v>
      </c>
      <c r="S201" s="7">
        <f t="shared" si="41"/>
        <v>0</v>
      </c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5.65" outlineLevel="2">
      <c r="A202" s="9" t="s">
        <v>112</v>
      </c>
      <c r="B202" s="11" t="s">
        <v>23</v>
      </c>
      <c r="C202" s="10">
        <v>278.82999999999998</v>
      </c>
      <c r="F202" s="10">
        <v>278.82999999999998</v>
      </c>
      <c r="G202" s="3"/>
      <c r="H202" s="3">
        <v>55</v>
      </c>
      <c r="I202" s="3">
        <v>0</v>
      </c>
      <c r="J202" s="6">
        <v>-0.5</v>
      </c>
      <c r="K202" s="3">
        <f t="shared" si="42"/>
        <v>418.245</v>
      </c>
      <c r="L202" s="3">
        <f t="shared" si="43"/>
        <v>1.1385407425440419</v>
      </c>
      <c r="M202" s="3">
        <f t="shared" si="44"/>
        <v>418.245</v>
      </c>
      <c r="N202" s="3"/>
      <c r="O202" s="3"/>
      <c r="P202" s="3">
        <f t="shared" si="45"/>
        <v>0</v>
      </c>
      <c r="Q202" s="3">
        <f t="shared" si="46"/>
        <v>0</v>
      </c>
      <c r="R202" s="3">
        <f t="shared" si="47"/>
        <v>418.245</v>
      </c>
      <c r="S202" s="7">
        <f t="shared" si="41"/>
        <v>0</v>
      </c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5.65" outlineLevel="2">
      <c r="A203" s="9" t="s">
        <v>112</v>
      </c>
      <c r="B203" s="11" t="s">
        <v>22</v>
      </c>
      <c r="C203" s="10">
        <v>3344.8699999999999</v>
      </c>
      <c r="F203" s="10">
        <v>3344.8699999999999</v>
      </c>
      <c r="G203" s="3"/>
      <c r="H203" s="3">
        <v>55</v>
      </c>
      <c r="I203" s="3">
        <v>0</v>
      </c>
      <c r="J203" s="6">
        <v>-0.5</v>
      </c>
      <c r="K203" s="3">
        <f t="shared" si="42"/>
        <v>5017.3050000000003</v>
      </c>
      <c r="L203" s="3">
        <f t="shared" si="43"/>
        <v>1.1385407425440419</v>
      </c>
      <c r="M203" s="3">
        <f t="shared" si="44"/>
        <v>5017.3050000000003</v>
      </c>
      <c r="N203" s="3"/>
      <c r="O203" s="3"/>
      <c r="P203" s="3">
        <f t="shared" si="45"/>
        <v>0</v>
      </c>
      <c r="Q203" s="3">
        <f t="shared" si="46"/>
        <v>0</v>
      </c>
      <c r="R203" s="3">
        <f t="shared" si="47"/>
        <v>5017.3050000000003</v>
      </c>
      <c r="S203" s="7">
        <f t="shared" si="41"/>
        <v>0</v>
      </c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5.65" outlineLevel="2">
      <c r="A204" s="9" t="s">
        <v>112</v>
      </c>
      <c r="B204" s="11" t="s">
        <v>21</v>
      </c>
      <c r="C204" s="10">
        <v>18579.57</v>
      </c>
      <c r="F204" s="10">
        <v>18579.57</v>
      </c>
      <c r="G204" s="3"/>
      <c r="H204" s="3">
        <v>55</v>
      </c>
      <c r="I204" s="3">
        <v>0</v>
      </c>
      <c r="J204" s="6">
        <v>-0.5</v>
      </c>
      <c r="K204" s="3">
        <f t="shared" si="42"/>
        <v>27869.355</v>
      </c>
      <c r="L204" s="3">
        <f t="shared" si="43"/>
        <v>1.1385407425440419</v>
      </c>
      <c r="M204" s="3">
        <f t="shared" si="44"/>
        <v>27869.355</v>
      </c>
      <c r="N204" s="3"/>
      <c r="O204" s="3"/>
      <c r="P204" s="3">
        <f t="shared" si="45"/>
        <v>0</v>
      </c>
      <c r="Q204" s="3">
        <f t="shared" si="46"/>
        <v>0</v>
      </c>
      <c r="R204" s="3">
        <f t="shared" si="47"/>
        <v>27869.355</v>
      </c>
      <c r="S204" s="7">
        <f t="shared" si="41"/>
        <v>0</v>
      </c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5.65" outlineLevel="2">
      <c r="A205" s="9" t="s">
        <v>112</v>
      </c>
      <c r="B205" s="11" t="s">
        <v>20</v>
      </c>
      <c r="C205" s="10">
        <v>119806.22</v>
      </c>
      <c r="F205" s="10">
        <v>119806.22</v>
      </c>
      <c r="G205" s="3"/>
      <c r="H205" s="3">
        <v>55</v>
      </c>
      <c r="I205" s="3">
        <v>0</v>
      </c>
      <c r="J205" s="6">
        <v>-0.5</v>
      </c>
      <c r="K205" s="3">
        <f t="shared" si="42"/>
        <v>179709.33000000002</v>
      </c>
      <c r="L205" s="3">
        <f t="shared" si="43"/>
        <v>1.1385407425440419</v>
      </c>
      <c r="M205" s="3">
        <f t="shared" si="44"/>
        <v>179709.33000000002</v>
      </c>
      <c r="N205" s="3"/>
      <c r="O205" s="3"/>
      <c r="P205" s="3">
        <f t="shared" si="45"/>
        <v>0</v>
      </c>
      <c r="Q205" s="3">
        <f t="shared" si="46"/>
        <v>0</v>
      </c>
      <c r="R205" s="3">
        <f t="shared" si="47"/>
        <v>179709.33000000002</v>
      </c>
      <c r="S205" s="7">
        <f t="shared" si="41"/>
        <v>0</v>
      </c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5.65" outlineLevel="2">
      <c r="A206" s="9" t="s">
        <v>112</v>
      </c>
      <c r="B206" s="11" t="s">
        <v>19</v>
      </c>
      <c r="C206" s="10">
        <v>4727.0799999999999</v>
      </c>
      <c r="F206" s="10">
        <v>4727.0799999999999</v>
      </c>
      <c r="G206" s="3"/>
      <c r="H206" s="3">
        <v>55</v>
      </c>
      <c r="I206" s="3">
        <v>0</v>
      </c>
      <c r="J206" s="6">
        <v>-0.5</v>
      </c>
      <c r="K206" s="3">
        <f t="shared" si="42"/>
        <v>7090.6199999999999</v>
      </c>
      <c r="L206" s="3">
        <f t="shared" si="43"/>
        <v>1.1385407425440419</v>
      </c>
      <c r="M206" s="3">
        <f t="shared" si="44"/>
        <v>7090.6199999999999</v>
      </c>
      <c r="N206" s="3"/>
      <c r="O206" s="3"/>
      <c r="P206" s="3">
        <f t="shared" si="45"/>
        <v>0</v>
      </c>
      <c r="Q206" s="3">
        <f t="shared" si="46"/>
        <v>0</v>
      </c>
      <c r="R206" s="3">
        <f t="shared" si="47"/>
        <v>7090.6199999999999</v>
      </c>
      <c r="S206" s="7">
        <f t="shared" si="41"/>
        <v>0</v>
      </c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5.65" outlineLevel="2">
      <c r="A207" s="9" t="s">
        <v>112</v>
      </c>
      <c r="B207" s="11" t="s">
        <v>17</v>
      </c>
      <c r="C207" s="10">
        <v>14949.27</v>
      </c>
      <c r="F207" s="10">
        <v>14949.27</v>
      </c>
      <c r="G207" s="3"/>
      <c r="H207" s="3">
        <v>55</v>
      </c>
      <c r="I207" s="3">
        <v>0</v>
      </c>
      <c r="J207" s="6">
        <v>-0.5</v>
      </c>
      <c r="K207" s="3">
        <f t="shared" si="42"/>
        <v>22423.904999999999</v>
      </c>
      <c r="L207" s="3">
        <f t="shared" si="43"/>
        <v>1.1385407425440419</v>
      </c>
      <c r="M207" s="3">
        <f t="shared" si="44"/>
        <v>22423.904999999999</v>
      </c>
      <c r="N207" s="3"/>
      <c r="O207" s="3"/>
      <c r="P207" s="3">
        <f t="shared" si="45"/>
        <v>0</v>
      </c>
      <c r="Q207" s="3">
        <f t="shared" si="46"/>
        <v>0</v>
      </c>
      <c r="R207" s="3">
        <f t="shared" si="47"/>
        <v>22423.904999999999</v>
      </c>
      <c r="S207" s="7">
        <f t="shared" si="41"/>
        <v>0</v>
      </c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5.65" outlineLevel="2">
      <c r="A208" s="9" t="s">
        <v>112</v>
      </c>
      <c r="B208" s="11" t="s">
        <v>16</v>
      </c>
      <c r="C208" s="10">
        <v>3131.4499999999998</v>
      </c>
      <c r="F208" s="10">
        <v>3131.4499999999998</v>
      </c>
      <c r="G208" s="3"/>
      <c r="H208" s="3">
        <v>55</v>
      </c>
      <c r="I208" s="3">
        <v>0</v>
      </c>
      <c r="J208" s="6">
        <v>-0.5</v>
      </c>
      <c r="K208" s="3">
        <f t="shared" si="42"/>
        <v>4697.1749999999993</v>
      </c>
      <c r="L208" s="3">
        <f t="shared" si="43"/>
        <v>1.1385407425440419</v>
      </c>
      <c r="M208" s="3">
        <f t="shared" si="44"/>
        <v>4697.1749999999993</v>
      </c>
      <c r="N208" s="3"/>
      <c r="O208" s="3"/>
      <c r="P208" s="3">
        <f t="shared" si="45"/>
        <v>0</v>
      </c>
      <c r="Q208" s="3">
        <f t="shared" si="46"/>
        <v>0</v>
      </c>
      <c r="R208" s="3">
        <f t="shared" si="47"/>
        <v>4697.1749999999993</v>
      </c>
      <c r="S208" s="7">
        <f t="shared" si="41"/>
        <v>0</v>
      </c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5.65" outlineLevel="2">
      <c r="A209" s="9" t="s">
        <v>112</v>
      </c>
      <c r="B209" s="11" t="s">
        <v>13</v>
      </c>
      <c r="C209" s="10">
        <v>4222.5</v>
      </c>
      <c r="F209" s="10">
        <v>4222.5</v>
      </c>
      <c r="G209" s="3"/>
      <c r="H209" s="3">
        <v>55</v>
      </c>
      <c r="I209" s="3">
        <v>0</v>
      </c>
      <c r="J209" s="6">
        <v>-0.5</v>
      </c>
      <c r="K209" s="3">
        <f t="shared" si="42"/>
        <v>6333.75</v>
      </c>
      <c r="L209" s="3">
        <f t="shared" si="43"/>
        <v>1.1385407425440419</v>
      </c>
      <c r="M209" s="3">
        <f t="shared" si="44"/>
        <v>6333.75</v>
      </c>
      <c r="N209" s="3"/>
      <c r="O209" s="3"/>
      <c r="P209" s="3">
        <f t="shared" si="45"/>
        <v>0</v>
      </c>
      <c r="Q209" s="3">
        <f t="shared" si="46"/>
        <v>0</v>
      </c>
      <c r="R209" s="3">
        <f t="shared" si="47"/>
        <v>6333.75</v>
      </c>
      <c r="S209" s="7">
        <f t="shared" si="41"/>
        <v>0</v>
      </c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5.65" outlineLevel="2">
      <c r="A210" s="9" t="s">
        <v>112</v>
      </c>
      <c r="B210" s="11" t="s">
        <v>12</v>
      </c>
      <c r="C210" s="10">
        <v>1510.0899999999999</v>
      </c>
      <c r="F210" s="10">
        <v>1510.0899999999999</v>
      </c>
      <c r="G210" s="3"/>
      <c r="H210" s="3">
        <v>55</v>
      </c>
      <c r="I210" s="3">
        <v>0</v>
      </c>
      <c r="J210" s="6">
        <v>-0.5</v>
      </c>
      <c r="K210" s="3">
        <f t="shared" si="42"/>
        <v>2265.1349999999998</v>
      </c>
      <c r="L210" s="3">
        <f t="shared" si="43"/>
        <v>1.1385407425440419</v>
      </c>
      <c r="M210" s="3">
        <f t="shared" si="44"/>
        <v>2265.1349999999998</v>
      </c>
      <c r="N210" s="3"/>
      <c r="O210" s="3"/>
      <c r="P210" s="3">
        <f t="shared" si="45"/>
        <v>0</v>
      </c>
      <c r="Q210" s="3">
        <f t="shared" si="46"/>
        <v>0</v>
      </c>
      <c r="R210" s="3">
        <f t="shared" si="47"/>
        <v>2265.1349999999998</v>
      </c>
      <c r="S210" s="7">
        <f t="shared" si="41"/>
        <v>0</v>
      </c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5.65" outlineLevel="2">
      <c r="A211" s="9" t="s">
        <v>112</v>
      </c>
      <c r="B211" s="11" t="s">
        <v>9</v>
      </c>
      <c r="C211" s="10">
        <v>289.69999999999999</v>
      </c>
      <c r="F211" s="10">
        <v>289.69999999999999</v>
      </c>
      <c r="G211" s="3"/>
      <c r="H211" s="3">
        <v>55</v>
      </c>
      <c r="I211" s="3">
        <v>0</v>
      </c>
      <c r="J211" s="6">
        <v>-0.5</v>
      </c>
      <c r="K211" s="3">
        <f t="shared" si="42"/>
        <v>434.54999999999995</v>
      </c>
      <c r="L211" s="3">
        <f t="shared" si="43"/>
        <v>1.1385407425440419</v>
      </c>
      <c r="M211" s="3">
        <f t="shared" si="44"/>
        <v>434.54999999999995</v>
      </c>
      <c r="N211" s="3"/>
      <c r="O211" s="3"/>
      <c r="P211" s="3">
        <f t="shared" si="45"/>
        <v>0</v>
      </c>
      <c r="Q211" s="3">
        <f t="shared" si="46"/>
        <v>0</v>
      </c>
      <c r="R211" s="3">
        <f t="shared" si="47"/>
        <v>434.54999999999995</v>
      </c>
      <c r="S211" s="7">
        <f t="shared" si="41"/>
        <v>0</v>
      </c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5.65" outlineLevel="1">
      <c r="A212" s="9" t="s">
        <v>132</v>
      </c>
      <c r="B212" s="11"/>
      <c r="C212" s="10">
        <f>SUBTOTAL(9,C119:C211)</f>
        <v>312392691.69</v>
      </c>
      <c r="D212" s="10">
        <f>SUBTOTAL(9,D119:D211)</f>
        <v>0</v>
      </c>
      <c r="E212" s="10">
        <f>SUBTOTAL(9,E119:E211)</f>
        <v>0</v>
      </c>
      <c r="F212" s="10">
        <f>SUBTOTAL(9,F119:F211)</f>
        <v>312392691.69</v>
      </c>
      <c r="G212" s="3"/>
      <c r="J212" s="6"/>
      <c r="K212" s="3">
        <f>SUBTOTAL(9,K119:K211)</f>
        <v>91683506.373929828</v>
      </c>
      <c r="L212" s="3">
        <v>1.1385407425440419</v>
      </c>
      <c r="M212" s="3">
        <f>SUBTOTAL(9,M119:M211)</f>
        <v>103606188.07899033</v>
      </c>
      <c r="N212" s="1">
        <v>103606188.07899031</v>
      </c>
      <c r="O212" s="1">
        <f>+N212-M212</f>
        <v>0</v>
      </c>
      <c r="P212" s="3">
        <f>SUBTOTAL(9,P119:P211)</f>
        <v>0</v>
      </c>
      <c r="Q212" s="3">
        <f>SUBTOTAL(9,Q119:Q211)</f>
        <v>0</v>
      </c>
      <c r="R212" s="3">
        <f>SUBTOTAL(9,R119:R211)</f>
        <v>103606188.07899033</v>
      </c>
      <c r="S212" s="7">
        <f t="shared" si="41"/>
        <v>0</v>
      </c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5.65" outlineLevel="2">
      <c r="A213" s="9" t="s">
        <v>113</v>
      </c>
      <c r="B213" s="11">
        <v>2021</v>
      </c>
      <c r="C213" s="10">
        <v>77.400000000000006</v>
      </c>
      <c r="F213" s="10">
        <v>77.400000000000006</v>
      </c>
      <c r="G213" s="3"/>
      <c r="H213" s="3">
        <v>55</v>
      </c>
      <c r="I213" s="3">
        <v>54.500413000000002</v>
      </c>
      <c r="J213" s="6">
        <v>-0.5</v>
      </c>
      <c r="K213" s="3">
        <f t="shared" si="48" ref="K213:K219">+C213*(1-I213/H213)*(1-J213)</f>
        <v>1.0545827399999959</v>
      </c>
      <c r="L213" s="3">
        <f t="shared" si="49" ref="L213:L219">$L$220</f>
        <v>1.1329573134276958</v>
      </c>
      <c r="M213" s="3">
        <f t="shared" si="50" ref="M213:M219">IF((C213*(1-J213)-K213*L213)&lt;0,C213*(1-J213),K213*L213)</f>
        <v>1.1947972278976136</v>
      </c>
      <c r="N213" s="3"/>
      <c r="O213" s="3"/>
      <c r="P213" s="3">
        <f t="shared" si="51" ref="P213:R219">+D213/$C213*$M213</f>
        <v>0</v>
      </c>
      <c r="Q213" s="3">
        <f t="shared" si="51"/>
        <v>0</v>
      </c>
      <c r="R213" s="3">
        <f t="shared" si="51"/>
        <v>1.1947972278976136</v>
      </c>
      <c r="S213" s="7">
        <f t="shared" si="41"/>
        <v>0</v>
      </c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5.65" outlineLevel="2">
      <c r="A214" s="9" t="s">
        <v>113</v>
      </c>
      <c r="B214" s="11">
        <v>2020</v>
      </c>
      <c r="C214" s="10">
        <v>2552.3699999999999</v>
      </c>
      <c r="F214" s="10">
        <v>2552.3699999999999</v>
      </c>
      <c r="G214" s="10"/>
      <c r="H214" s="3">
        <v>55</v>
      </c>
      <c r="I214" s="3">
        <v>53.501407999999998</v>
      </c>
      <c r="J214" s="6">
        <v>-0.5</v>
      </c>
      <c r="K214" s="3">
        <f t="shared" si="48"/>
        <v>104.31712535563634</v>
      </c>
      <c r="L214" s="3">
        <f t="shared" si="49"/>
        <v>1.1329573134276958</v>
      </c>
      <c r="M214" s="3">
        <f t="shared" si="50"/>
        <v>118.1868500874219</v>
      </c>
      <c r="N214" s="3"/>
      <c r="O214" s="3"/>
      <c r="P214" s="3">
        <f t="shared" si="51"/>
        <v>0</v>
      </c>
      <c r="Q214" s="3">
        <f t="shared" si="51"/>
        <v>0</v>
      </c>
      <c r="R214" s="3">
        <f t="shared" si="51"/>
        <v>118.1868500874219</v>
      </c>
      <c r="S214" s="7">
        <f t="shared" si="41"/>
        <v>0</v>
      </c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5.65" outlineLevel="2">
      <c r="A215" s="9" t="s">
        <v>113</v>
      </c>
      <c r="B215" s="11">
        <v>2019</v>
      </c>
      <c r="C215" s="10">
        <v>407103.62</v>
      </c>
      <c r="F215" s="10">
        <v>407103.62</v>
      </c>
      <c r="G215" s="3"/>
      <c r="H215" s="3">
        <v>55</v>
      </c>
      <c r="I215" s="3">
        <v>52.502682999999998</v>
      </c>
      <c r="J215" s="6">
        <v>-0.5</v>
      </c>
      <c r="K215" s="3">
        <f t="shared" si="48"/>
        <v>27727.276117842055</v>
      </c>
      <c r="L215" s="3">
        <f t="shared" si="49"/>
        <v>1.1329573134276958</v>
      </c>
      <c r="M215" s="3">
        <f t="shared" si="50"/>
        <v>31413.820259138247</v>
      </c>
      <c r="N215" s="3"/>
      <c r="O215" s="3"/>
      <c r="P215" s="3">
        <f t="shared" si="51"/>
        <v>0</v>
      </c>
      <c r="Q215" s="3">
        <f t="shared" si="51"/>
        <v>0</v>
      </c>
      <c r="R215" s="3">
        <f t="shared" si="51"/>
        <v>31413.820259138247</v>
      </c>
      <c r="S215" s="7">
        <f t="shared" si="41"/>
        <v>0</v>
      </c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5.65" outlineLevel="2">
      <c r="A216" s="9" t="s">
        <v>113</v>
      </c>
      <c r="B216" s="11">
        <v>2014</v>
      </c>
      <c r="C216" s="10">
        <v>7275455.4000000004</v>
      </c>
      <c r="F216" s="10">
        <v>7275455.4000000004</v>
      </c>
      <c r="G216" s="3"/>
      <c r="H216" s="3">
        <v>55</v>
      </c>
      <c r="I216" s="3">
        <v>47.515937999999998</v>
      </c>
      <c r="J216" s="6">
        <v>-0.5</v>
      </c>
      <c r="K216" s="3">
        <f t="shared" si="48"/>
        <v>1484998.8897773137</v>
      </c>
      <c r="L216" s="3">
        <f t="shared" si="49"/>
        <v>1.1329573134276958</v>
      </c>
      <c r="M216" s="3">
        <f t="shared" si="50"/>
        <v>1682440.3526052162</v>
      </c>
      <c r="N216" s="3"/>
      <c r="O216" s="3"/>
      <c r="P216" s="3">
        <f t="shared" si="51"/>
        <v>0</v>
      </c>
      <c r="Q216" s="3">
        <f t="shared" si="51"/>
        <v>0</v>
      </c>
      <c r="R216" s="3">
        <f t="shared" si="51"/>
        <v>1682440.3526052162</v>
      </c>
      <c r="S216" s="7">
        <f t="shared" si="41"/>
        <v>0</v>
      </c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5.65" outlineLevel="2">
      <c r="A217" s="9" t="s">
        <v>113</v>
      </c>
      <c r="B217" s="11">
        <v>2011</v>
      </c>
      <c r="C217" s="10">
        <v>7786.04</v>
      </c>
      <c r="F217" s="10">
        <v>7786.04</v>
      </c>
      <c r="G217" s="3"/>
      <c r="H217" s="3">
        <v>55</v>
      </c>
      <c r="I217" s="3">
        <v>44.533619999999999</v>
      </c>
      <c r="J217" s="6">
        <v>-0.5</v>
      </c>
      <c r="K217" s="3">
        <f t="shared" si="48"/>
        <v>2222.4996364145463</v>
      </c>
      <c r="L217" s="3">
        <f t="shared" si="49"/>
        <v>1.1329573134276958</v>
      </c>
      <c r="M217" s="3">
        <f t="shared" si="50"/>
        <v>2517.9972171662553</v>
      </c>
      <c r="N217" s="3"/>
      <c r="O217" s="3"/>
      <c r="P217" s="3">
        <f t="shared" si="51"/>
        <v>0</v>
      </c>
      <c r="Q217" s="3">
        <f t="shared" si="51"/>
        <v>0</v>
      </c>
      <c r="R217" s="3">
        <f t="shared" si="51"/>
        <v>2517.9972171662553</v>
      </c>
      <c r="S217" s="7">
        <f t="shared" si="41"/>
        <v>0</v>
      </c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5.65" outlineLevel="2">
      <c r="A218" s="9" t="s">
        <v>113</v>
      </c>
      <c r="B218" s="11">
        <v>2010</v>
      </c>
      <c r="C218" s="10">
        <v>1302245.1399999999</v>
      </c>
      <c r="F218" s="10">
        <v>1302245.1399999999</v>
      </c>
      <c r="G218" s="3"/>
      <c r="H218" s="3">
        <v>55</v>
      </c>
      <c r="I218" s="3">
        <v>43.542146000000002</v>
      </c>
      <c r="J218" s="6">
        <v>-0.5</v>
      </c>
      <c r="K218" s="3">
        <f t="shared" si="48"/>
        <v>406934.58235444245</v>
      </c>
      <c r="L218" s="3">
        <f t="shared" si="49"/>
        <v>1.1329573134276958</v>
      </c>
      <c r="M218" s="3">
        <f t="shared" si="50"/>
        <v>461039.51116511051</v>
      </c>
      <c r="N218" s="3"/>
      <c r="O218" s="3"/>
      <c r="P218" s="3">
        <f t="shared" si="51"/>
        <v>0</v>
      </c>
      <c r="Q218" s="3">
        <f t="shared" si="51"/>
        <v>0</v>
      </c>
      <c r="R218" s="3">
        <f t="shared" si="51"/>
        <v>461039.51116511051</v>
      </c>
      <c r="S218" s="7">
        <f t="shared" si="41"/>
        <v>0</v>
      </c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5.65" outlineLevel="2">
      <c r="A219" s="9" t="s">
        <v>113</v>
      </c>
      <c r="B219" s="11">
        <v>2009</v>
      </c>
      <c r="C219" s="10">
        <v>3733609.1099999999</v>
      </c>
      <c r="F219" s="10">
        <v>3733609.1099999999</v>
      </c>
      <c r="G219" s="3"/>
      <c r="H219" s="3">
        <v>55</v>
      </c>
      <c r="I219" s="3">
        <v>42.552402999999998</v>
      </c>
      <c r="J219" s="6">
        <v>-0.5</v>
      </c>
      <c r="K219" s="3">
        <f t="shared" si="48"/>
        <v>1267485.315185691</v>
      </c>
      <c r="L219" s="3">
        <f t="shared" si="49"/>
        <v>1.1329573134276958</v>
      </c>
      <c r="M219" s="3">
        <f t="shared" si="50"/>
        <v>1436006.7575018366</v>
      </c>
      <c r="N219" s="3"/>
      <c r="O219" s="3"/>
      <c r="P219" s="3">
        <f t="shared" si="51"/>
        <v>0</v>
      </c>
      <c r="Q219" s="3">
        <f t="shared" si="51"/>
        <v>0</v>
      </c>
      <c r="R219" s="3">
        <f t="shared" si="51"/>
        <v>1436006.7575018366</v>
      </c>
      <c r="S219" s="7">
        <f t="shared" si="41"/>
        <v>0</v>
      </c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5.65" outlineLevel="1">
      <c r="A220" s="18" t="s">
        <v>133</v>
      </c>
      <c r="B220" s="19"/>
      <c r="C220" s="20">
        <f>SUBTOTAL(9,C213:C219)</f>
        <v>12728829.08</v>
      </c>
      <c r="D220" s="20">
        <f>SUBTOTAL(9,D213:D219)</f>
        <v>0</v>
      </c>
      <c r="E220" s="20">
        <f>SUBTOTAL(9,E213:E219)</f>
        <v>0</v>
      </c>
      <c r="F220" s="20">
        <f>SUBTOTAL(9,F213:F219)</f>
        <v>12728829.08</v>
      </c>
      <c r="G220" s="21"/>
      <c r="H220" s="21"/>
      <c r="I220" s="21"/>
      <c r="J220" s="22"/>
      <c r="K220" s="21">
        <f>SUBTOTAL(9,K213:K219)</f>
        <v>3189473.9347797995</v>
      </c>
      <c r="L220" s="21">
        <v>1.1329573134276958</v>
      </c>
      <c r="M220" s="21">
        <f>SUBTOTAL(9,M213:M219)</f>
        <v>3613537.8203957835</v>
      </c>
      <c r="N220" s="23">
        <v>3613537.8203957835</v>
      </c>
      <c r="O220" s="23">
        <f>+N220-M220</f>
        <v>0</v>
      </c>
      <c r="P220" s="21">
        <f>SUBTOTAL(9,P213:P219)</f>
        <v>0</v>
      </c>
      <c r="Q220" s="21">
        <f>SUBTOTAL(9,Q213:Q219)</f>
        <v>0</v>
      </c>
      <c r="R220" s="21">
        <f>SUBTOTAL(9,R213:R219)</f>
        <v>3613537.8203957835</v>
      </c>
      <c r="S220" s="7">
        <f t="shared" si="41"/>
        <v>0</v>
      </c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5.65" outlineLevel="2">
      <c r="A221" s="24" t="s">
        <v>142</v>
      </c>
      <c r="B221" s="19">
        <v>2019</v>
      </c>
      <c r="C221" s="20">
        <v>1845.2000000000001</v>
      </c>
      <c r="D221" s="20">
        <v>1845.2000000000001</v>
      </c>
      <c r="E221" s="20"/>
      <c r="F221" s="20"/>
      <c r="G221" s="21"/>
      <c r="H221" s="21">
        <v>30</v>
      </c>
      <c r="I221" s="21">
        <v>27.759616000000001</v>
      </c>
      <c r="J221" s="22">
        <v>-0.14999999999999999</v>
      </c>
      <c r="K221" s="21">
        <f t="shared" si="52" ref="K221:K234">+C221*(1-I221/H221)*(1-J221)</f>
        <v>158.46833467733316</v>
      </c>
      <c r="L221" s="21">
        <f t="shared" si="53" ref="L221:L234">$L$235</f>
        <v>1.3991792838286989</v>
      </c>
      <c r="M221" s="21">
        <f t="shared" si="54" ref="M221:M234">IF((C221*(1-J221)-K221*L221)&lt;0,C221*(1-J221),K221*L221)</f>
        <v>221.7256110233576</v>
      </c>
      <c r="N221" s="21"/>
      <c r="O221" s="21"/>
      <c r="P221" s="21">
        <f t="shared" si="55" ref="P221:P234">+D221/$C221*$M221</f>
        <v>221.7256110233576</v>
      </c>
      <c r="Q221" s="21">
        <f t="shared" si="56" ref="Q221:Q234">+E221/$C221*$M221</f>
        <v>0</v>
      </c>
      <c r="R221" s="21">
        <f t="shared" si="57" ref="R221:R234">+F221/$C221*$M221</f>
        <v>0</v>
      </c>
      <c r="S221" s="7">
        <f t="shared" si="41"/>
        <v>0</v>
      </c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65" outlineLevel="2">
      <c r="A222" s="24" t="s">
        <v>142</v>
      </c>
      <c r="B222" s="19">
        <v>2018</v>
      </c>
      <c r="C222" s="20">
        <v>615490.10999999999</v>
      </c>
      <c r="D222" s="20">
        <v>615490.10999999999</v>
      </c>
      <c r="E222" s="20"/>
      <c r="F222" s="20"/>
      <c r="G222" s="21"/>
      <c r="H222" s="21">
        <v>30</v>
      </c>
      <c r="I222" s="21">
        <v>26.879031999999999</v>
      </c>
      <c r="J222" s="22">
        <v>-0.14999999999999999</v>
      </c>
      <c r="K222" s="21">
        <f t="shared" si="52"/>
        <v>73635.455942348461</v>
      </c>
      <c r="L222" s="21">
        <f t="shared" si="53"/>
        <v>1.3991792838286989</v>
      </c>
      <c r="M222" s="21">
        <f t="shared" si="54"/>
        <v>103029.20450981484</v>
      </c>
      <c r="N222" s="21"/>
      <c r="O222" s="21"/>
      <c r="P222" s="21">
        <f t="shared" si="55"/>
        <v>103029.20450981484</v>
      </c>
      <c r="Q222" s="21">
        <f t="shared" si="56"/>
        <v>0</v>
      </c>
      <c r="R222" s="21">
        <f t="shared" si="57"/>
        <v>0</v>
      </c>
      <c r="S222" s="7">
        <f t="shared" si="41"/>
        <v>0</v>
      </c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65" outlineLevel="2">
      <c r="A223" s="24" t="s">
        <v>142</v>
      </c>
      <c r="B223" s="19">
        <v>2017</v>
      </c>
      <c r="C223" s="20">
        <v>11307530.449999999</v>
      </c>
      <c r="D223" s="20">
        <v>11307530.449999999</v>
      </c>
      <c r="E223" s="20"/>
      <c r="F223" s="20"/>
      <c r="G223" s="21"/>
      <c r="H223" s="21">
        <v>30</v>
      </c>
      <c r="I223" s="21">
        <v>26.007835</v>
      </c>
      <c r="J223" s="22">
        <v>-0.14999999999999999</v>
      </c>
      <c r="K223" s="21">
        <f t="shared" si="52"/>
        <v>1730425.2131254294</v>
      </c>
      <c r="L223" s="21">
        <f t="shared" si="53"/>
        <v>1.3991792838286989</v>
      </c>
      <c r="M223" s="21">
        <f t="shared" si="54"/>
        <v>2421175.1104199621</v>
      </c>
      <c r="N223" s="21"/>
      <c r="O223" s="21"/>
      <c r="P223" s="21">
        <f t="shared" si="55"/>
        <v>2421175.1104199621</v>
      </c>
      <c r="Q223" s="21">
        <f t="shared" si="56"/>
        <v>0</v>
      </c>
      <c r="R223" s="21">
        <f t="shared" si="57"/>
        <v>0</v>
      </c>
      <c r="S223" s="7">
        <f t="shared" si="41"/>
        <v>0</v>
      </c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65" outlineLevel="2">
      <c r="A224" s="24" t="s">
        <v>142</v>
      </c>
      <c r="B224" s="19">
        <v>2016</v>
      </c>
      <c r="C224" s="20">
        <v>49508.360000000001</v>
      </c>
      <c r="D224" s="20">
        <v>49508.360000000001</v>
      </c>
      <c r="E224" s="20"/>
      <c r="F224" s="20"/>
      <c r="G224" s="21"/>
      <c r="H224" s="21">
        <v>30</v>
      </c>
      <c r="I224" s="21">
        <v>25.146840000000001</v>
      </c>
      <c r="J224" s="22">
        <v>-0.14999999999999999</v>
      </c>
      <c r="K224" s="21">
        <f t="shared" si="52"/>
        <v>9210.4263760079957</v>
      </c>
      <c r="L224" s="21">
        <f t="shared" si="53"/>
        <v>1.3991792838286989</v>
      </c>
      <c r="M224" s="21">
        <f t="shared" si="54"/>
        <v>12887.037780539826</v>
      </c>
      <c r="N224" s="21"/>
      <c r="O224" s="21"/>
      <c r="P224" s="21">
        <f t="shared" si="55"/>
        <v>12887.037780539826</v>
      </c>
      <c r="Q224" s="21">
        <f t="shared" si="56"/>
        <v>0</v>
      </c>
      <c r="R224" s="21">
        <f t="shared" si="57"/>
        <v>0</v>
      </c>
      <c r="S224" s="7">
        <f t="shared" si="41"/>
        <v>0</v>
      </c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65" outlineLevel="2">
      <c r="A225" s="24" t="s">
        <v>142</v>
      </c>
      <c r="B225" s="19">
        <v>2015</v>
      </c>
      <c r="C225" s="20">
        <v>273693.02000000002</v>
      </c>
      <c r="D225" s="20">
        <v>273693.02000000002</v>
      </c>
      <c r="E225" s="20"/>
      <c r="F225" s="20"/>
      <c r="G225" s="21"/>
      <c r="H225" s="21">
        <v>30</v>
      </c>
      <c r="I225" s="21">
        <v>24.296032</v>
      </c>
      <c r="J225" s="22">
        <v>-0.14999999999999999</v>
      </c>
      <c r="K225" s="21">
        <f t="shared" si="52"/>
        <v>59843.55540296212</v>
      </c>
      <c r="L225" s="21">
        <f t="shared" si="53"/>
        <v>1.3991792838286989</v>
      </c>
      <c r="M225" s="21">
        <f t="shared" si="54"/>
        <v>83731.862990479611</v>
      </c>
      <c r="N225" s="21"/>
      <c r="O225" s="21"/>
      <c r="P225" s="21">
        <f t="shared" si="55"/>
        <v>83731.862990479611</v>
      </c>
      <c r="Q225" s="21">
        <f t="shared" si="56"/>
        <v>0</v>
      </c>
      <c r="R225" s="21">
        <f t="shared" si="57"/>
        <v>0</v>
      </c>
      <c r="S225" s="7">
        <f t="shared" si="41"/>
        <v>0</v>
      </c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65" outlineLevel="2">
      <c r="A226" s="24" t="s">
        <v>142</v>
      </c>
      <c r="B226" s="19">
        <v>2014</v>
      </c>
      <c r="C226" s="20">
        <v>1947237.4099999999</v>
      </c>
      <c r="D226" s="20">
        <v>1947237.4099999999</v>
      </c>
      <c r="E226" s="20"/>
      <c r="F226" s="20"/>
      <c r="G226" s="21"/>
      <c r="H226" s="21">
        <v>30</v>
      </c>
      <c r="I226" s="21">
        <v>23.455777999999999</v>
      </c>
      <c r="J226" s="22">
        <v>-0.14999999999999999</v>
      </c>
      <c r="K226" s="21">
        <f t="shared" si="52"/>
        <v>488487.56608022581</v>
      </c>
      <c r="L226" s="21">
        <f t="shared" si="53"/>
        <v>1.3991792838286989</v>
      </c>
      <c r="M226" s="21">
        <f t="shared" si="54"/>
        <v>683481.6828673546</v>
      </c>
      <c r="N226" s="21"/>
      <c r="O226" s="21"/>
      <c r="P226" s="21">
        <f t="shared" si="55"/>
        <v>683481.6828673546</v>
      </c>
      <c r="Q226" s="21">
        <f t="shared" si="56"/>
        <v>0</v>
      </c>
      <c r="R226" s="21">
        <f t="shared" si="57"/>
        <v>0</v>
      </c>
      <c r="S226" s="7">
        <f t="shared" si="41"/>
        <v>0</v>
      </c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65" outlineLevel="2">
      <c r="A227" s="24" t="s">
        <v>142</v>
      </c>
      <c r="B227" s="19">
        <v>2011</v>
      </c>
      <c r="C227" s="20">
        <v>74354.940000000002</v>
      </c>
      <c r="D227" s="20">
        <v>74354.940000000002</v>
      </c>
      <c r="E227" s="20"/>
      <c r="F227" s="20"/>
      <c r="G227" s="21"/>
      <c r="H227" s="21">
        <v>30</v>
      </c>
      <c r="I227" s="21">
        <v>21.003668000000001</v>
      </c>
      <c r="J227" s="22">
        <v>-0.14999999999999999</v>
      </c>
      <c r="K227" s="21">
        <f t="shared" si="52"/>
        <v>25641.999499736401</v>
      </c>
      <c r="L227" s="21">
        <f t="shared" si="53"/>
        <v>1.3991792838286989</v>
      </c>
      <c r="M227" s="21">
        <f t="shared" si="54"/>
        <v>35877.754495977031</v>
      </c>
      <c r="N227" s="21"/>
      <c r="O227" s="21"/>
      <c r="P227" s="21">
        <f t="shared" si="55"/>
        <v>35877.754495977031</v>
      </c>
      <c r="Q227" s="21">
        <f t="shared" si="56"/>
        <v>0</v>
      </c>
      <c r="R227" s="21">
        <f t="shared" si="57"/>
        <v>0</v>
      </c>
      <c r="S227" s="7">
        <f t="shared" si="41"/>
        <v>0</v>
      </c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65" outlineLevel="2">
      <c r="A228" s="24" t="s">
        <v>142</v>
      </c>
      <c r="B228" s="19">
        <v>2010</v>
      </c>
      <c r="C228" s="20">
        <v>786.35000000000002</v>
      </c>
      <c r="D228" s="20">
        <v>786.35000000000002</v>
      </c>
      <c r="E228" s="20"/>
      <c r="F228" s="20"/>
      <c r="G228" s="21"/>
      <c r="H228" s="21">
        <v>30</v>
      </c>
      <c r="I228" s="21">
        <v>20.210529000000001</v>
      </c>
      <c r="J228" s="22">
        <v>-0.14999999999999999</v>
      </c>
      <c r="K228" s="21">
        <f t="shared" si="52"/>
        <v>295.08810329925001</v>
      </c>
      <c r="L228" s="21">
        <f t="shared" si="53"/>
        <v>1.3991792838286989</v>
      </c>
      <c r="M228" s="21">
        <f t="shared" si="54"/>
        <v>412.88116104061373</v>
      </c>
      <c r="N228" s="21"/>
      <c r="O228" s="21"/>
      <c r="P228" s="21">
        <f t="shared" si="55"/>
        <v>412.88116104061373</v>
      </c>
      <c r="Q228" s="21">
        <f t="shared" si="56"/>
        <v>0</v>
      </c>
      <c r="R228" s="21">
        <f t="shared" si="57"/>
        <v>0</v>
      </c>
      <c r="S228" s="7">
        <f t="shared" si="41"/>
        <v>0</v>
      </c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65" outlineLevel="2">
      <c r="A229" s="24" t="s">
        <v>142</v>
      </c>
      <c r="B229" s="19">
        <v>2009</v>
      </c>
      <c r="C229" s="20">
        <v>183.94999999999999</v>
      </c>
      <c r="D229" s="20">
        <v>183.94999999999999</v>
      </c>
      <c r="E229" s="20"/>
      <c r="F229" s="20"/>
      <c r="G229" s="21"/>
      <c r="H229" s="21">
        <v>30</v>
      </c>
      <c r="I229" s="21">
        <v>19.429905000000002</v>
      </c>
      <c r="J229" s="22">
        <v>-0.14999999999999999</v>
      </c>
      <c r="K229" s="21">
        <f t="shared" si="52"/>
        <v>74.534144051249967</v>
      </c>
      <c r="L229" s="21">
        <f t="shared" si="53"/>
        <v>1.3991792838286989</v>
      </c>
      <c r="M229" s="21">
        <f t="shared" si="54"/>
        <v>104.28663029441302</v>
      </c>
      <c r="N229" s="21"/>
      <c r="O229" s="21"/>
      <c r="P229" s="21">
        <f t="shared" si="55"/>
        <v>104.28663029441302</v>
      </c>
      <c r="Q229" s="21">
        <f t="shared" si="56"/>
        <v>0</v>
      </c>
      <c r="R229" s="21">
        <f t="shared" si="57"/>
        <v>0</v>
      </c>
      <c r="S229" s="7">
        <f t="shared" si="41"/>
        <v>0</v>
      </c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65" outlineLevel="2">
      <c r="A230" s="24" t="s">
        <v>142</v>
      </c>
      <c r="B230" s="19">
        <v>2008</v>
      </c>
      <c r="C230" s="20">
        <v>10995.889999999999</v>
      </c>
      <c r="D230" s="20">
        <v>10995.889999999999</v>
      </c>
      <c r="E230" s="20"/>
      <c r="F230" s="20"/>
      <c r="G230" s="21"/>
      <c r="H230" s="21">
        <v>30</v>
      </c>
      <c r="I230" s="21">
        <v>18.662182000000001</v>
      </c>
      <c r="J230" s="22">
        <v>-0.14999999999999999</v>
      </c>
      <c r="K230" s="21">
        <f t="shared" si="52"/>
        <v>4778.9936501074326</v>
      </c>
      <c r="L230" s="21">
        <f t="shared" si="53"/>
        <v>1.3991792838286989</v>
      </c>
      <c r="M230" s="21">
        <f t="shared" si="54"/>
        <v>6686.668912779217</v>
      </c>
      <c r="N230" s="21"/>
      <c r="O230" s="21"/>
      <c r="P230" s="21">
        <f t="shared" si="55"/>
        <v>6686.668912779217</v>
      </c>
      <c r="Q230" s="21">
        <f t="shared" si="56"/>
        <v>0</v>
      </c>
      <c r="R230" s="21">
        <f t="shared" si="57"/>
        <v>0</v>
      </c>
      <c r="S230" s="7">
        <f t="shared" si="41"/>
        <v>0</v>
      </c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65" outlineLevel="2">
      <c r="A231" s="24" t="s">
        <v>142</v>
      </c>
      <c r="B231" s="19">
        <v>2005</v>
      </c>
      <c r="C231" s="20">
        <v>90650.440000000002</v>
      </c>
      <c r="D231" s="20">
        <v>90650.440000000002</v>
      </c>
      <c r="E231" s="20"/>
      <c r="F231" s="20"/>
      <c r="G231" s="21"/>
      <c r="H231" s="21">
        <v>30</v>
      </c>
      <c r="I231" s="21">
        <v>16.442585999999999</v>
      </c>
      <c r="J231" s="22">
        <v>-0.14999999999999999</v>
      </c>
      <c r="K231" s="21">
        <f t="shared" si="52"/>
        <v>47111.112533882799</v>
      </c>
      <c r="L231" s="21">
        <f t="shared" si="53"/>
        <v>1.3991792838286989</v>
      </c>
      <c r="M231" s="21">
        <f t="shared" si="54"/>
        <v>65916.89269553138</v>
      </c>
      <c r="N231" s="21"/>
      <c r="O231" s="21"/>
      <c r="P231" s="21">
        <f t="shared" si="55"/>
        <v>65916.89269553138</v>
      </c>
      <c r="Q231" s="21">
        <f t="shared" si="56"/>
        <v>0</v>
      </c>
      <c r="R231" s="21">
        <f t="shared" si="57"/>
        <v>0</v>
      </c>
      <c r="S231" s="7">
        <f t="shared" si="41"/>
        <v>0</v>
      </c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65" outlineLevel="2">
      <c r="A232" s="24" t="s">
        <v>142</v>
      </c>
      <c r="B232" s="19">
        <v>2003</v>
      </c>
      <c r="C232" s="20">
        <v>250889.5</v>
      </c>
      <c r="D232" s="20">
        <v>250889.5</v>
      </c>
      <c r="E232" s="20"/>
      <c r="F232" s="20"/>
      <c r="G232" s="21"/>
      <c r="H232" s="21">
        <v>30</v>
      </c>
      <c r="I232" s="21">
        <v>15.036858000000001</v>
      </c>
      <c r="J232" s="22">
        <v>-0.14999999999999999</v>
      </c>
      <c r="K232" s="21">
        <f t="shared" si="52"/>
        <v>143906.98323434498</v>
      </c>
      <c r="L232" s="21">
        <f t="shared" si="53"/>
        <v>1.3991792838286989</v>
      </c>
      <c r="M232" s="21">
        <f t="shared" si="54"/>
        <v>201351.66973977941</v>
      </c>
      <c r="N232" s="21"/>
      <c r="O232" s="21"/>
      <c r="P232" s="21">
        <f t="shared" si="55"/>
        <v>201351.66973977941</v>
      </c>
      <c r="Q232" s="21">
        <f t="shared" si="56"/>
        <v>0</v>
      </c>
      <c r="R232" s="21">
        <f t="shared" si="57"/>
        <v>0</v>
      </c>
      <c r="S232" s="7">
        <f t="shared" si="41"/>
        <v>0</v>
      </c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65" outlineLevel="2">
      <c r="A233" s="24" t="s">
        <v>142</v>
      </c>
      <c r="B233" s="19">
        <v>2002</v>
      </c>
      <c r="C233" s="20">
        <v>76293.309999999998</v>
      </c>
      <c r="D233" s="20">
        <v>76293.309999999998</v>
      </c>
      <c r="E233" s="20"/>
      <c r="F233" s="20"/>
      <c r="G233" s="21"/>
      <c r="H233" s="21">
        <v>30</v>
      </c>
      <c r="I233" s="21">
        <v>14.357226000000001</v>
      </c>
      <c r="J233" s="22">
        <v>-0.14999999999999999</v>
      </c>
      <c r="K233" s="21">
        <f t="shared" si="52"/>
        <v>45748.495231607696</v>
      </c>
      <c r="L233" s="21">
        <f t="shared" si="53"/>
        <v>1.3991792838286989</v>
      </c>
      <c r="M233" s="21">
        <f t="shared" si="54"/>
        <v>64010.346794401506</v>
      </c>
      <c r="N233" s="21"/>
      <c r="O233" s="21"/>
      <c r="P233" s="21">
        <f t="shared" si="55"/>
        <v>64010.346794401506</v>
      </c>
      <c r="Q233" s="21">
        <f t="shared" si="56"/>
        <v>0</v>
      </c>
      <c r="R233" s="21">
        <f t="shared" si="57"/>
        <v>0</v>
      </c>
      <c r="S233" s="7">
        <f t="shared" si="41"/>
        <v>0</v>
      </c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65" outlineLevel="2">
      <c r="A234" s="24" t="s">
        <v>142</v>
      </c>
      <c r="B234" s="19">
        <v>1997</v>
      </c>
      <c r="C234" s="20">
        <v>16153089.779999999</v>
      </c>
      <c r="D234" s="20">
        <v>16153089.779999999</v>
      </c>
      <c r="E234" s="20"/>
      <c r="F234" s="20"/>
      <c r="G234" s="21"/>
      <c r="H234" s="21">
        <v>30</v>
      </c>
      <c r="I234" s="21">
        <v>11.216709</v>
      </c>
      <c r="J234" s="22">
        <v>-0.14999999999999999</v>
      </c>
      <c r="K234" s="21">
        <f t="shared" si="52"/>
        <v>11630647.125663195</v>
      </c>
      <c r="L234" s="21">
        <f t="shared" si="53"/>
        <v>1.3991792838286989</v>
      </c>
      <c r="M234" s="21">
        <f t="shared" si="54"/>
        <v>16273360.515749745</v>
      </c>
      <c r="N234" s="21"/>
      <c r="O234" s="21"/>
      <c r="P234" s="21">
        <f t="shared" si="55"/>
        <v>16273360.515749745</v>
      </c>
      <c r="Q234" s="21">
        <f t="shared" si="56"/>
        <v>0</v>
      </c>
      <c r="R234" s="21">
        <f t="shared" si="57"/>
        <v>0</v>
      </c>
      <c r="S234" s="7">
        <f t="shared" si="41"/>
        <v>0</v>
      </c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65" outlineLevel="1">
      <c r="A235" s="18" t="s">
        <v>144</v>
      </c>
      <c r="B235" s="19"/>
      <c r="C235" s="20">
        <f>SUBTOTAL(9,C221:C234)</f>
        <v>30852548.709999997</v>
      </c>
      <c r="D235" s="20">
        <f>SUBTOTAL(9,D221:D234)</f>
        <v>30852548.709999997</v>
      </c>
      <c r="E235" s="20">
        <f>SUBTOTAL(9,E221:E234)</f>
        <v>0</v>
      </c>
      <c r="F235" s="20">
        <f>SUBTOTAL(9,F221:F234)</f>
        <v>0</v>
      </c>
      <c r="G235" s="21"/>
      <c r="H235" s="21"/>
      <c r="I235" s="21"/>
      <c r="J235" s="22"/>
      <c r="K235" s="21">
        <f>SUBTOTAL(9,K221:K234)</f>
        <v>14259965.017321875</v>
      </c>
      <c r="L235" s="21">
        <v>1.3991792838286989</v>
      </c>
      <c r="M235" s="21">
        <f>SUBTOTAL(9,M221:M234)</f>
        <v>19952247.640358724</v>
      </c>
      <c r="N235" s="21">
        <v>19952247.640358716</v>
      </c>
      <c r="O235" s="21">
        <f>+N235-M235</f>
        <v>0</v>
      </c>
      <c r="P235" s="21">
        <f>SUBTOTAL(9,P221:P234)</f>
        <v>19952247.640358724</v>
      </c>
      <c r="Q235" s="21">
        <f>SUBTOTAL(9,Q221:Q234)</f>
        <v>0</v>
      </c>
      <c r="R235" s="21">
        <f>SUBTOTAL(9,R221:R234)</f>
        <v>0</v>
      </c>
      <c r="S235" s="7">
        <f t="shared" si="41"/>
        <v>0</v>
      </c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65" outlineLevel="2">
      <c r="A236" s="18" t="s">
        <v>114</v>
      </c>
      <c r="B236" s="19" t="s">
        <v>111</v>
      </c>
      <c r="C236" s="20">
        <v>297219786.33000004</v>
      </c>
      <c r="D236" s="20"/>
      <c r="E236" s="20">
        <v>24444232.674575485</v>
      </c>
      <c r="F236" s="20">
        <v>272775553.65542454</v>
      </c>
      <c r="G236" s="21"/>
      <c r="H236" s="21">
        <v>50</v>
      </c>
      <c r="I236" s="21">
        <v>49.546653999999997</v>
      </c>
      <c r="J236" s="22">
        <v>-0.14999999999999999</v>
      </c>
      <c r="K236" s="21">
        <f t="shared" si="58" ref="K236:K267">+C236*(1-I236/H236)*(1-J236)</f>
        <v>3099098.2288319152</v>
      </c>
      <c r="L236" s="21">
        <f t="shared" si="59" ref="L236:L267">$L$338</f>
        <v>1.1245566106417322</v>
      </c>
      <c r="M236" s="21">
        <f t="shared" si="60" ref="M236:M267">IF((C236*(1-J236)-K236*L236)&lt;0,C236*(1-J236),K236*L236)</f>
        <v>3485111.4002610138</v>
      </c>
      <c r="N236" s="21"/>
      <c r="O236" s="21"/>
      <c r="P236" s="21">
        <f t="shared" si="61" ref="P236:P267">+D236/$C236*$M236</f>
        <v>0</v>
      </c>
      <c r="Q236" s="21">
        <f t="shared" si="62" ref="Q236:Q267">+E236/$C236*$M236</f>
        <v>286625.85023935535</v>
      </c>
      <c r="R236" s="21">
        <f t="shared" si="63" ref="R236:R267">+F236/$C236*$M236</f>
        <v>3198485.5500216582</v>
      </c>
      <c r="S236" s="7">
        <f t="shared" si="41"/>
        <v>0</v>
      </c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65" outlineLevel="2">
      <c r="A237" s="18" t="s">
        <v>114</v>
      </c>
      <c r="B237" s="19" t="s">
        <v>110</v>
      </c>
      <c r="C237" s="20">
        <v>285701790.28000003</v>
      </c>
      <c r="D237" s="20"/>
      <c r="E237" s="20">
        <v>18733964.314517129</v>
      </c>
      <c r="F237" s="20">
        <v>266967825.96548289</v>
      </c>
      <c r="G237" s="21"/>
      <c r="H237" s="21">
        <v>50</v>
      </c>
      <c r="I237" s="21">
        <v>48.684268000000003</v>
      </c>
      <c r="J237" s="22">
        <v>-0.14999999999999999</v>
      </c>
      <c r="K237" s="21">
        <f t="shared" si="58"/>
        <v>8645860.7223597355</v>
      </c>
      <c r="L237" s="21">
        <f t="shared" si="59"/>
        <v>1.1245566106417322</v>
      </c>
      <c r="M237" s="21">
        <f t="shared" si="60"/>
        <v>9722759.8300173432</v>
      </c>
      <c r="N237" s="21"/>
      <c r="O237" s="21"/>
      <c r="P237" s="21">
        <f t="shared" si="61"/>
        <v>0</v>
      </c>
      <c r="Q237" s="21">
        <f t="shared" si="62"/>
        <v>637538.30704265018</v>
      </c>
      <c r="R237" s="21">
        <f t="shared" si="63"/>
        <v>9085221.5229746923</v>
      </c>
      <c r="S237" s="7">
        <f t="shared" si="41"/>
        <v>0</v>
      </c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65" outlineLevel="2">
      <c r="A238" s="18" t="s">
        <v>114</v>
      </c>
      <c r="B238" s="19" t="s">
        <v>109</v>
      </c>
      <c r="C238" s="20">
        <v>218020446.15000004</v>
      </c>
      <c r="D238" s="20"/>
      <c r="E238" s="20">
        <v>18451791.196665559</v>
      </c>
      <c r="F238" s="20">
        <v>199568654.95333445</v>
      </c>
      <c r="G238" s="20"/>
      <c r="H238" s="21">
        <v>50</v>
      </c>
      <c r="I238" s="21">
        <v>47.860689000000001</v>
      </c>
      <c r="J238" s="22">
        <v>-0.14999999999999999</v>
      </c>
      <c r="K238" s="21">
        <f t="shared" si="58"/>
        <v>10727511.389492858</v>
      </c>
      <c r="L238" s="21">
        <f t="shared" si="59"/>
        <v>1.1245566106417322</v>
      </c>
      <c r="M238" s="21">
        <f t="shared" si="60"/>
        <v>12063693.848788668</v>
      </c>
      <c r="N238" s="21"/>
      <c r="O238" s="21"/>
      <c r="P238" s="21">
        <f t="shared" si="61"/>
        <v>0</v>
      </c>
      <c r="Q238" s="21">
        <f t="shared" si="62"/>
        <v>1020990.2965027354</v>
      </c>
      <c r="R238" s="21">
        <f t="shared" si="63"/>
        <v>11042703.55228593</v>
      </c>
      <c r="S238" s="7">
        <f t="shared" si="41"/>
        <v>0</v>
      </c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65" outlineLevel="2">
      <c r="A239" s="18" t="s">
        <v>114</v>
      </c>
      <c r="B239" s="19" t="s">
        <v>108</v>
      </c>
      <c r="C239" s="20">
        <v>215234220.94999999</v>
      </c>
      <c r="D239" s="20"/>
      <c r="E239" s="20">
        <v>27234963.591504261</v>
      </c>
      <c r="F239" s="20">
        <v>187999257.35849574</v>
      </c>
      <c r="G239" s="21"/>
      <c r="H239" s="21">
        <v>50</v>
      </c>
      <c r="I239" s="21">
        <v>47.067028000000001</v>
      </c>
      <c r="J239" s="22">
        <v>-0.14999999999999999</v>
      </c>
      <c r="K239" s="21">
        <f t="shared" si="58"/>
        <v>14519346.700227758</v>
      </c>
      <c r="L239" s="21">
        <f t="shared" si="59"/>
        <v>1.1245566106417322</v>
      </c>
      <c r="M239" s="21">
        <f t="shared" si="60"/>
        <v>16327827.313940346</v>
      </c>
      <c r="N239" s="21"/>
      <c r="O239" s="21"/>
      <c r="P239" s="21">
        <f t="shared" si="61"/>
        <v>0</v>
      </c>
      <c r="Q239" s="21">
        <f t="shared" si="62"/>
        <v>2066064.4969037585</v>
      </c>
      <c r="R239" s="21">
        <f t="shared" si="63"/>
        <v>14261762.81703659</v>
      </c>
      <c r="S239" s="7">
        <f t="shared" si="41"/>
        <v>0</v>
      </c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65" outlineLevel="2">
      <c r="A240" s="18" t="s">
        <v>114</v>
      </c>
      <c r="B240" s="19" t="s">
        <v>107</v>
      </c>
      <c r="C240" s="20">
        <v>137209140.74000001</v>
      </c>
      <c r="D240" s="20"/>
      <c r="E240" s="20">
        <v>11339711.073437795</v>
      </c>
      <c r="F240" s="20">
        <v>125869429.66656221</v>
      </c>
      <c r="G240" s="21"/>
      <c r="H240" s="21">
        <v>50</v>
      </c>
      <c r="I240" s="21">
        <v>46.299014999999997</v>
      </c>
      <c r="J240" s="22">
        <v>-0.14999999999999999</v>
      </c>
      <c r="K240" s="21">
        <f t="shared" si="58"/>
        <v>11679606.350057468</v>
      </c>
      <c r="L240" s="21">
        <f t="shared" si="59"/>
        <v>1.1245566106417322</v>
      </c>
      <c r="M240" s="21">
        <f t="shared" si="60"/>
        <v>13134378.530650279</v>
      </c>
      <c r="N240" s="21"/>
      <c r="O240" s="21"/>
      <c r="P240" s="21">
        <f t="shared" si="61"/>
        <v>0</v>
      </c>
      <c r="Q240" s="21">
        <f t="shared" si="62"/>
        <v>1085496.6138806141</v>
      </c>
      <c r="R240" s="21">
        <f t="shared" si="63"/>
        <v>12048881.916769665</v>
      </c>
      <c r="S240" s="7">
        <f t="shared" si="41"/>
        <v>0</v>
      </c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65" outlineLevel="2">
      <c r="A241" s="18" t="s">
        <v>114</v>
      </c>
      <c r="B241" s="19" t="s">
        <v>106</v>
      </c>
      <c r="C241" s="20">
        <v>158782122.39999998</v>
      </c>
      <c r="D241" s="20"/>
      <c r="E241" s="20">
        <v>28863536.48</v>
      </c>
      <c r="F241" s="20">
        <v>129918585.92</v>
      </c>
      <c r="G241" s="21"/>
      <c r="H241" s="21">
        <v>50</v>
      </c>
      <c r="I241" s="21">
        <v>45.554161000000001</v>
      </c>
      <c r="J241" s="22">
        <v>-0.14999999999999999</v>
      </c>
      <c r="K241" s="21">
        <f t="shared" si="58"/>
        <v>16236154.302179953</v>
      </c>
      <c r="L241" s="21">
        <f t="shared" si="59"/>
        <v>1.1245566106417322</v>
      </c>
      <c r="M241" s="21">
        <f t="shared" si="60"/>
        <v>18258474.651915666</v>
      </c>
      <c r="N241" s="21"/>
      <c r="O241" s="21"/>
      <c r="P241" s="21">
        <f t="shared" si="61"/>
        <v>0</v>
      </c>
      <c r="Q241" s="21">
        <f t="shared" si="62"/>
        <v>3319039.5821584202</v>
      </c>
      <c r="R241" s="21">
        <f t="shared" si="63"/>
        <v>14939435.069757247</v>
      </c>
      <c r="S241" s="7">
        <f t="shared" si="41"/>
        <v>0</v>
      </c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65" outlineLevel="2">
      <c r="A242" s="18" t="s">
        <v>114</v>
      </c>
      <c r="B242" s="19" t="s">
        <v>105</v>
      </c>
      <c r="C242" s="20">
        <v>147018854.70999998</v>
      </c>
      <c r="D242" s="20"/>
      <c r="E242" s="20">
        <v>10952394.864647275</v>
      </c>
      <c r="F242" s="20">
        <v>136066459.84535271</v>
      </c>
      <c r="G242" s="21"/>
      <c r="H242" s="21">
        <v>50</v>
      </c>
      <c r="I242" s="21">
        <v>44.830908999999998</v>
      </c>
      <c r="J242" s="22">
        <v>-0.14999999999999999</v>
      </c>
      <c r="K242" s="21">
        <f t="shared" si="58"/>
        <v>17478938.290370688</v>
      </c>
      <c r="L242" s="21">
        <f t="shared" si="59"/>
        <v>1.1245566106417322</v>
      </c>
      <c r="M242" s="21">
        <f t="shared" si="60"/>
        <v>19656055.601435255</v>
      </c>
      <c r="N242" s="21"/>
      <c r="O242" s="21"/>
      <c r="P242" s="21">
        <f t="shared" si="61"/>
        <v>0</v>
      </c>
      <c r="Q242" s="21">
        <f t="shared" si="62"/>
        <v>1464307.981809749</v>
      </c>
      <c r="R242" s="21">
        <f t="shared" si="63"/>
        <v>18191747.619625505</v>
      </c>
      <c r="S242" s="7">
        <f t="shared" si="41"/>
        <v>0</v>
      </c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65" outlineLevel="2">
      <c r="A243" s="18" t="s">
        <v>114</v>
      </c>
      <c r="B243" s="19" t="s">
        <v>104</v>
      </c>
      <c r="C243" s="20">
        <v>116249163.19999997</v>
      </c>
      <c r="D243" s="20"/>
      <c r="E243" s="20">
        <v>7892064.3020762801</v>
      </c>
      <c r="F243" s="20">
        <v>108357098.89792369</v>
      </c>
      <c r="G243" s="21"/>
      <c r="H243" s="21">
        <v>50</v>
      </c>
      <c r="I243" s="21">
        <v>44.128194999999998</v>
      </c>
      <c r="J243" s="22">
        <v>-0.14999999999999999</v>
      </c>
      <c r="K243" s="21">
        <f t="shared" si="58"/>
        <v>15699625.607642248</v>
      </c>
      <c r="L243" s="21">
        <f t="shared" si="59"/>
        <v>1.1245566106417322</v>
      </c>
      <c r="M243" s="21">
        <f t="shared" si="60"/>
        <v>17655117.761674311</v>
      </c>
      <c r="N243" s="21"/>
      <c r="O243" s="21"/>
      <c r="P243" s="21">
        <f t="shared" si="61"/>
        <v>0</v>
      </c>
      <c r="Q243" s="21">
        <f t="shared" si="62"/>
        <v>1198592.0655286294</v>
      </c>
      <c r="R243" s="21">
        <f t="shared" si="63"/>
        <v>16456525.69614568</v>
      </c>
      <c r="S243" s="7">
        <f t="shared" si="41"/>
        <v>0</v>
      </c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65" outlineLevel="2">
      <c r="A244" s="18" t="s">
        <v>114</v>
      </c>
      <c r="B244" s="19" t="s">
        <v>103</v>
      </c>
      <c r="C244" s="20">
        <v>110727078.91</v>
      </c>
      <c r="D244" s="20"/>
      <c r="E244" s="20">
        <v>7751985.0199999996</v>
      </c>
      <c r="F244" s="20">
        <v>102975093.89</v>
      </c>
      <c r="G244" s="21"/>
      <c r="H244" s="21">
        <v>50</v>
      </c>
      <c r="I244" s="21">
        <v>43.445310999999997</v>
      </c>
      <c r="J244" s="22">
        <v>-0.14999999999999999</v>
      </c>
      <c r="K244" s="21">
        <f t="shared" si="58"/>
        <v>16692976.021070711</v>
      </c>
      <c r="L244" s="21">
        <f t="shared" si="59"/>
        <v>1.1245566106417322</v>
      </c>
      <c r="M244" s="21">
        <f t="shared" si="60"/>
        <v>18772196.535778988</v>
      </c>
      <c r="N244" s="21"/>
      <c r="O244" s="21"/>
      <c r="P244" s="21">
        <f t="shared" si="61"/>
        <v>0</v>
      </c>
      <c r="Q244" s="21">
        <f t="shared" si="62"/>
        <v>1314238.4660588407</v>
      </c>
      <c r="R244" s="21">
        <f t="shared" si="63"/>
        <v>17457958.069720149</v>
      </c>
      <c r="S244" s="7">
        <f t="shared" si="41"/>
        <v>0</v>
      </c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65" outlineLevel="2">
      <c r="A245" s="18" t="s">
        <v>114</v>
      </c>
      <c r="B245" s="19" t="s">
        <v>102</v>
      </c>
      <c r="C245" s="20">
        <v>109885964.96000001</v>
      </c>
      <c r="D245" s="20"/>
      <c r="E245" s="20">
        <v>8562468.9800000004</v>
      </c>
      <c r="F245" s="20">
        <v>101323495.98</v>
      </c>
      <c r="G245" s="21"/>
      <c r="H245" s="21">
        <v>50</v>
      </c>
      <c r="I245" s="21">
        <v>42.781726999999997</v>
      </c>
      <c r="J245" s="22">
        <v>-0.14999999999999999</v>
      </c>
      <c r="K245" s="21">
        <f t="shared" si="58"/>
        <v>18243298.56084343</v>
      </c>
      <c r="L245" s="21">
        <f t="shared" si="59"/>
        <v>1.1245566106417322</v>
      </c>
      <c r="M245" s="21">
        <f t="shared" si="60"/>
        <v>20515621.99650728</v>
      </c>
      <c r="N245" s="21"/>
      <c r="O245" s="21"/>
      <c r="P245" s="21">
        <f t="shared" si="61"/>
        <v>0</v>
      </c>
      <c r="Q245" s="21">
        <f t="shared" si="62"/>
        <v>1598606.1278566695</v>
      </c>
      <c r="R245" s="21">
        <f t="shared" si="63"/>
        <v>18917015.868650608</v>
      </c>
      <c r="S245" s="7">
        <f t="shared" si="41"/>
        <v>0</v>
      </c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65" outlineLevel="2">
      <c r="A246" s="18" t="s">
        <v>114</v>
      </c>
      <c r="B246" s="19" t="s">
        <v>101</v>
      </c>
      <c r="C246" s="20">
        <v>197457527.67000005</v>
      </c>
      <c r="D246" s="20"/>
      <c r="E246" s="20">
        <v>9993253.5961288102</v>
      </c>
      <c r="F246" s="20">
        <v>187464274.07387123</v>
      </c>
      <c r="G246" s="21"/>
      <c r="H246" s="21">
        <v>50</v>
      </c>
      <c r="I246" s="21">
        <v>42.137053000000002</v>
      </c>
      <c r="J246" s="22">
        <v>-0.14999999999999999</v>
      </c>
      <c r="K246" s="21">
        <f t="shared" si="58"/>
        <v>35709755.720865592</v>
      </c>
      <c r="L246" s="21">
        <f t="shared" si="59"/>
        <v>1.1245566106417322</v>
      </c>
      <c r="M246" s="21">
        <f t="shared" si="60"/>
        <v>40157641.860300817</v>
      </c>
      <c r="N246" s="21"/>
      <c r="O246" s="21"/>
      <c r="P246" s="21">
        <f t="shared" si="61"/>
        <v>0</v>
      </c>
      <c r="Q246" s="21">
        <f t="shared" si="62"/>
        <v>2032363.636210334</v>
      </c>
      <c r="R246" s="21">
        <f t="shared" si="63"/>
        <v>38125278.224090479</v>
      </c>
      <c r="S246" s="7">
        <f t="shared" si="64" ref="S246:S309">+M246-P246-Q246-R246</f>
        <v>0</v>
      </c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65" outlineLevel="2">
      <c r="A247" s="18" t="s">
        <v>114</v>
      </c>
      <c r="B247" s="19" t="s">
        <v>100</v>
      </c>
      <c r="C247" s="20">
        <v>108054153.47000001</v>
      </c>
      <c r="D247" s="20"/>
      <c r="E247" s="20">
        <v>11043688.758309357</v>
      </c>
      <c r="F247" s="20">
        <v>97010464.711690649</v>
      </c>
      <c r="G247" s="21"/>
      <c r="H247" s="21">
        <v>50</v>
      </c>
      <c r="I247" s="21">
        <v>41.510976999999997</v>
      </c>
      <c r="J247" s="22">
        <v>-0.14999999999999999</v>
      </c>
      <c r="K247" s="21">
        <f t="shared" si="58"/>
        <v>21097306.46320428</v>
      </c>
      <c r="L247" s="21">
        <f t="shared" si="59"/>
        <v>1.1245566106417322</v>
      </c>
      <c r="M247" s="21">
        <f t="shared" si="60"/>
        <v>23725115.449930914</v>
      </c>
      <c r="N247" s="21"/>
      <c r="O247" s="21"/>
      <c r="P247" s="21">
        <f t="shared" si="61"/>
        <v>0</v>
      </c>
      <c r="Q247" s="21">
        <f t="shared" si="62"/>
        <v>2424828.4991352833</v>
      </c>
      <c r="R247" s="21">
        <f t="shared" si="63"/>
        <v>21300286.950795632</v>
      </c>
      <c r="S247" s="7">
        <f t="shared" si="64"/>
        <v>0</v>
      </c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65" outlineLevel="2">
      <c r="A248" s="18" t="s">
        <v>114</v>
      </c>
      <c r="B248" s="19" t="s">
        <v>99</v>
      </c>
      <c r="C248" s="20">
        <v>100937735.09000002</v>
      </c>
      <c r="D248" s="20"/>
      <c r="E248" s="20">
        <v>7122135.0153213292</v>
      </c>
      <c r="F248" s="20">
        <v>93815600.074678689</v>
      </c>
      <c r="G248" s="21"/>
      <c r="H248" s="21">
        <v>50</v>
      </c>
      <c r="I248" s="21">
        <v>40.903224000000002</v>
      </c>
      <c r="J248" s="22">
        <v>-0.14999999999999999</v>
      </c>
      <c r="K248" s="21">
        <f t="shared" si="58"/>
        <v>21118783.219404608</v>
      </c>
      <c r="L248" s="21">
        <f t="shared" si="59"/>
        <v>1.1245566106417322</v>
      </c>
      <c r="M248" s="21">
        <f t="shared" si="60"/>
        <v>23749267.278091136</v>
      </c>
      <c r="N248" s="21"/>
      <c r="O248" s="21"/>
      <c r="P248" s="21">
        <f t="shared" si="61"/>
        <v>0</v>
      </c>
      <c r="Q248" s="21">
        <f t="shared" si="62"/>
        <v>1675740.8705347038</v>
      </c>
      <c r="R248" s="21">
        <f t="shared" si="63"/>
        <v>22073526.407556433</v>
      </c>
      <c r="S248" s="7">
        <f t="shared" si="64"/>
        <v>0</v>
      </c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65" outlineLevel="2">
      <c r="A249" s="18" t="s">
        <v>114</v>
      </c>
      <c r="B249" s="19" t="s">
        <v>98</v>
      </c>
      <c r="C249" s="20">
        <v>92722673</v>
      </c>
      <c r="D249" s="20"/>
      <c r="E249" s="20">
        <v>8303369.3418017952</v>
      </c>
      <c r="F249" s="20">
        <v>84419303.658198208</v>
      </c>
      <c r="G249" s="21"/>
      <c r="H249" s="21">
        <v>50</v>
      </c>
      <c r="I249" s="21">
        <v>40.313519999999997</v>
      </c>
      <c r="J249" s="22">
        <v>-0.14999999999999999</v>
      </c>
      <c r="K249" s="21">
        <f t="shared" si="58"/>
        <v>20657595.303903926</v>
      </c>
      <c r="L249" s="21">
        <f t="shared" si="59"/>
        <v>1.1245566106417322</v>
      </c>
      <c r="M249" s="21">
        <f t="shared" si="60"/>
        <v>23230635.358966764</v>
      </c>
      <c r="N249" s="21"/>
      <c r="O249" s="21"/>
      <c r="P249" s="21">
        <f t="shared" si="61"/>
        <v>0</v>
      </c>
      <c r="Q249" s="21">
        <f t="shared" si="62"/>
        <v>2080316.9191446989</v>
      </c>
      <c r="R249" s="21">
        <f t="shared" si="63"/>
        <v>21150318.439822067</v>
      </c>
      <c r="S249" s="7">
        <f t="shared" si="64"/>
        <v>0</v>
      </c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65" outlineLevel="2">
      <c r="A250" s="18" t="s">
        <v>114</v>
      </c>
      <c r="B250" s="19" t="s">
        <v>97</v>
      </c>
      <c r="C250" s="20">
        <v>102787547.38000001</v>
      </c>
      <c r="D250" s="20"/>
      <c r="E250" s="20">
        <v>11418473.26</v>
      </c>
      <c r="F250" s="20">
        <v>91369074.120000005</v>
      </c>
      <c r="G250" s="21"/>
      <c r="H250" s="21">
        <v>50</v>
      </c>
      <c r="I250" s="21">
        <v>39.741591999999997</v>
      </c>
      <c r="J250" s="22">
        <v>-0.14999999999999999</v>
      </c>
      <c r="K250" s="21">
        <f t="shared" si="58"/>
        <v>24252041.761897542</v>
      </c>
      <c r="L250" s="21">
        <f t="shared" si="59"/>
        <v>1.1245566106417322</v>
      </c>
      <c r="M250" s="21">
        <f t="shared" si="60"/>
        <v>27272793.88490124</v>
      </c>
      <c r="N250" s="21"/>
      <c r="O250" s="21"/>
      <c r="P250" s="21">
        <f t="shared" si="61"/>
        <v>0</v>
      </c>
      <c r="Q250" s="21">
        <f t="shared" si="62"/>
        <v>3029682.8325804565</v>
      </c>
      <c r="R250" s="21">
        <f t="shared" si="63"/>
        <v>24243111.052320782</v>
      </c>
      <c r="S250" s="7">
        <f t="shared" si="64"/>
        <v>0</v>
      </c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65" outlineLevel="2">
      <c r="A251" s="18" t="s">
        <v>114</v>
      </c>
      <c r="B251" s="19" t="s">
        <v>96</v>
      </c>
      <c r="C251" s="20">
        <v>70896617.049999997</v>
      </c>
      <c r="D251" s="20"/>
      <c r="E251" s="20">
        <v>4820739.6500000004</v>
      </c>
      <c r="F251" s="20">
        <v>66075877.399999999</v>
      </c>
      <c r="G251" s="21"/>
      <c r="H251" s="21">
        <v>50</v>
      </c>
      <c r="I251" s="21">
        <v>39.187137999999997</v>
      </c>
      <c r="J251" s="22">
        <v>-0.14999999999999999</v>
      </c>
      <c r="K251" s="21">
        <f t="shared" si="58"/>
        <v>17631692.737855434</v>
      </c>
      <c r="L251" s="21">
        <f t="shared" si="59"/>
        <v>1.1245566106417322</v>
      </c>
      <c r="M251" s="21">
        <f t="shared" si="60"/>
        <v>19827836.625159152</v>
      </c>
      <c r="N251" s="21"/>
      <c r="O251" s="21"/>
      <c r="P251" s="21">
        <f t="shared" si="61"/>
        <v>0</v>
      </c>
      <c r="Q251" s="21">
        <f t="shared" si="62"/>
        <v>1348228.4792970514</v>
      </c>
      <c r="R251" s="21">
        <f t="shared" si="63"/>
        <v>18479608.145862103</v>
      </c>
      <c r="S251" s="7">
        <f t="shared" si="64"/>
        <v>0</v>
      </c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65" outlineLevel="2">
      <c r="A252" s="18" t="s">
        <v>114</v>
      </c>
      <c r="B252" s="19" t="s">
        <v>95</v>
      </c>
      <c r="C252" s="20">
        <v>83085173.270000011</v>
      </c>
      <c r="D252" s="20"/>
      <c r="E252" s="20">
        <v>9683753.5361792091</v>
      </c>
      <c r="F252" s="20">
        <v>73401419.733820796</v>
      </c>
      <c r="G252" s="21"/>
      <c r="H252" s="21">
        <v>50</v>
      </c>
      <c r="I252" s="21">
        <v>38.649794999999997</v>
      </c>
      <c r="J252" s="22">
        <v>-0.14999999999999999</v>
      </c>
      <c r="K252" s="21">
        <f t="shared" si="58"/>
        <v>21689776.228725474</v>
      </c>
      <c r="L252" s="21">
        <f t="shared" si="59"/>
        <v>1.1245566106417322</v>
      </c>
      <c r="M252" s="21">
        <f t="shared" si="60"/>
        <v>24391381.241353132</v>
      </c>
      <c r="N252" s="21"/>
      <c r="O252" s="21"/>
      <c r="P252" s="21">
        <f t="shared" si="61"/>
        <v>0</v>
      </c>
      <c r="Q252" s="21">
        <f t="shared" si="62"/>
        <v>2842867.3258064277</v>
      </c>
      <c r="R252" s="21">
        <f t="shared" si="63"/>
        <v>21548513.9155467</v>
      </c>
      <c r="S252" s="7">
        <f t="shared" si="64"/>
        <v>0</v>
      </c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65" outlineLevel="2">
      <c r="A253" s="18" t="s">
        <v>114</v>
      </c>
      <c r="B253" s="19" t="s">
        <v>94</v>
      </c>
      <c r="C253" s="20">
        <v>60292433.670000002</v>
      </c>
      <c r="D253" s="20"/>
      <c r="E253" s="20">
        <v>8562858.2699999996</v>
      </c>
      <c r="F253" s="20">
        <v>51729575.399999999</v>
      </c>
      <c r="G253" s="21"/>
      <c r="H253" s="21">
        <v>50</v>
      </c>
      <c r="I253" s="21">
        <v>38.129167000000002</v>
      </c>
      <c r="J253" s="22">
        <v>-0.14999999999999999</v>
      </c>
      <c r="K253" s="21">
        <f t="shared" si="58"/>
        <v>16461592.458983379</v>
      </c>
      <c r="L253" s="21">
        <f t="shared" si="59"/>
        <v>1.1245566106417322</v>
      </c>
      <c r="M253" s="21">
        <f t="shared" si="60"/>
        <v>18511992.621439844</v>
      </c>
      <c r="N253" s="21"/>
      <c r="O253" s="21"/>
      <c r="P253" s="21">
        <f t="shared" si="61"/>
        <v>0</v>
      </c>
      <c r="Q253" s="21">
        <f t="shared" si="62"/>
        <v>2629112.1366949975</v>
      </c>
      <c r="R253" s="21">
        <f t="shared" si="63"/>
        <v>15882880.484744845</v>
      </c>
      <c r="S253" s="7">
        <f t="shared" si="64"/>
        <v>0</v>
      </c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65" outlineLevel="2">
      <c r="A254" s="18" t="s">
        <v>114</v>
      </c>
      <c r="B254" s="19" t="s">
        <v>93</v>
      </c>
      <c r="C254" s="20">
        <v>68350005.319999993</v>
      </c>
      <c r="D254" s="20"/>
      <c r="E254" s="20">
        <v>8286736.79</v>
      </c>
      <c r="F254" s="20">
        <v>60063268.530000001</v>
      </c>
      <c r="G254" s="21"/>
      <c r="H254" s="21">
        <v>50</v>
      </c>
      <c r="I254" s="21">
        <v>37.624785000000003</v>
      </c>
      <c r="J254" s="22">
        <v>-0.14999999999999999</v>
      </c>
      <c r="K254" s="21">
        <f t="shared" si="58"/>
        <v>19454458.254981294</v>
      </c>
      <c r="L254" s="21">
        <f t="shared" si="59"/>
        <v>1.1245566106417322</v>
      </c>
      <c r="M254" s="21">
        <f t="shared" si="60"/>
        <v>21877639.637092832</v>
      </c>
      <c r="N254" s="21"/>
      <c r="O254" s="21"/>
      <c r="P254" s="21">
        <f t="shared" si="61"/>
        <v>0</v>
      </c>
      <c r="Q254" s="21">
        <f t="shared" si="62"/>
        <v>2652439.3145293677</v>
      </c>
      <c r="R254" s="21">
        <f t="shared" si="63"/>
        <v>19225200.322563466</v>
      </c>
      <c r="S254" s="7">
        <f t="shared" si="64"/>
        <v>0</v>
      </c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65" outlineLevel="2">
      <c r="A255" s="18" t="s">
        <v>114</v>
      </c>
      <c r="B255" s="19" t="s">
        <v>92</v>
      </c>
      <c r="C255" s="20">
        <v>66672700.649999999</v>
      </c>
      <c r="D255" s="20"/>
      <c r="E255" s="20">
        <v>15656160.4</v>
      </c>
      <c r="F255" s="20">
        <v>51016540.25</v>
      </c>
      <c r="G255" s="21"/>
      <c r="H255" s="21">
        <v>50</v>
      </c>
      <c r="I255" s="21">
        <v>37.136108</v>
      </c>
      <c r="J255" s="22">
        <v>-0.14999999999999999</v>
      </c>
      <c r="K255" s="21">
        <f t="shared" si="58"/>
        <v>19726419.671728384</v>
      </c>
      <c r="L255" s="21">
        <f t="shared" si="59"/>
        <v>1.1245566106417322</v>
      </c>
      <c r="M255" s="21">
        <f t="shared" si="60"/>
        <v>22183475.646135263</v>
      </c>
      <c r="N255" s="21"/>
      <c r="O255" s="21"/>
      <c r="P255" s="21">
        <f t="shared" si="61"/>
        <v>0</v>
      </c>
      <c r="Q255" s="21">
        <f t="shared" si="62"/>
        <v>5209149.3153785625</v>
      </c>
      <c r="R255" s="21">
        <f t="shared" si="63"/>
        <v>16974326.330756702</v>
      </c>
      <c r="S255" s="7">
        <f t="shared" si="64"/>
        <v>0</v>
      </c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65" outlineLevel="2">
      <c r="A256" s="18" t="s">
        <v>114</v>
      </c>
      <c r="B256" s="19" t="s">
        <v>91</v>
      </c>
      <c r="C256" s="20">
        <v>54194836.979999997</v>
      </c>
      <c r="D256" s="20"/>
      <c r="E256" s="20">
        <v>3563151.0800000001</v>
      </c>
      <c r="F256" s="20">
        <v>50631685.899999999</v>
      </c>
      <c r="G256" s="21"/>
      <c r="H256" s="21">
        <v>50</v>
      </c>
      <c r="I256" s="21">
        <v>36.662514999999999</v>
      </c>
      <c r="J256" s="22">
        <v>-0.14999999999999999</v>
      </c>
      <c r="K256" s="21">
        <f t="shared" si="58"/>
        <v>16624924.98185849</v>
      </c>
      <c r="L256" s="21">
        <f t="shared" si="59"/>
        <v>1.1245566106417322</v>
      </c>
      <c r="M256" s="21">
        <f t="shared" si="60"/>
        <v>18695669.289771844</v>
      </c>
      <c r="N256" s="21"/>
      <c r="O256" s="21"/>
      <c r="P256" s="21">
        <f t="shared" si="61"/>
        <v>0</v>
      </c>
      <c r="Q256" s="21">
        <f t="shared" si="62"/>
        <v>1229185.249616252</v>
      </c>
      <c r="R256" s="21">
        <f t="shared" si="63"/>
        <v>17466484.040155593</v>
      </c>
      <c r="S256" s="7">
        <f t="shared" si="64"/>
        <v>0</v>
      </c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65" outlineLevel="2">
      <c r="A257" s="18" t="s">
        <v>114</v>
      </c>
      <c r="B257" s="19" t="s">
        <v>90</v>
      </c>
      <c r="C257" s="20">
        <v>33174572.859999999</v>
      </c>
      <c r="D257" s="20"/>
      <c r="E257" s="20">
        <v>2185702.79</v>
      </c>
      <c r="F257" s="20">
        <v>30988870.07</v>
      </c>
      <c r="G257" s="21"/>
      <c r="H257" s="21">
        <v>50</v>
      </c>
      <c r="I257" s="21">
        <v>36.203294999999997</v>
      </c>
      <c r="J257" s="22">
        <v>-0.14999999999999999</v>
      </c>
      <c r="K257" s="21">
        <f t="shared" si="58"/>
        <v>10527095.290759808</v>
      </c>
      <c r="L257" s="21">
        <f t="shared" si="59"/>
        <v>1.1245566106417322</v>
      </c>
      <c r="M257" s="21">
        <f t="shared" si="60"/>
        <v>11838314.600079389</v>
      </c>
      <c r="N257" s="21"/>
      <c r="O257" s="21"/>
      <c r="P257" s="21">
        <f t="shared" si="61"/>
        <v>0</v>
      </c>
      <c r="Q257" s="21">
        <f t="shared" si="62"/>
        <v>779965.95041288075</v>
      </c>
      <c r="R257" s="21">
        <f t="shared" si="63"/>
        <v>11058348.649666509</v>
      </c>
      <c r="S257" s="7">
        <f t="shared" si="64"/>
        <v>0</v>
      </c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65" outlineLevel="2">
      <c r="A258" s="18" t="s">
        <v>114</v>
      </c>
      <c r="B258" s="19" t="s">
        <v>89</v>
      </c>
      <c r="C258" s="20">
        <v>28491199.600000001</v>
      </c>
      <c r="D258" s="20"/>
      <c r="E258" s="20">
        <v>5207813.6500000004</v>
      </c>
      <c r="F258" s="20">
        <v>23283385.949999999</v>
      </c>
      <c r="G258" s="21"/>
      <c r="H258" s="21">
        <v>50</v>
      </c>
      <c r="I258" s="21">
        <v>35.757657000000002</v>
      </c>
      <c r="J258" s="22">
        <v>-0.14999999999999999</v>
      </c>
      <c r="K258" s="21">
        <f t="shared" si="58"/>
        <v>9332973.0552472416</v>
      </c>
      <c r="L258" s="21">
        <f t="shared" si="59"/>
        <v>1.1245566106417322</v>
      </c>
      <c r="M258" s="21">
        <f t="shared" si="60"/>
        <v>10495456.54621945</v>
      </c>
      <c r="N258" s="21"/>
      <c r="O258" s="21"/>
      <c r="P258" s="21">
        <f t="shared" si="61"/>
        <v>0</v>
      </c>
      <c r="Q258" s="21">
        <f t="shared" si="62"/>
        <v>1918430.3445188564</v>
      </c>
      <c r="R258" s="21">
        <f t="shared" si="63"/>
        <v>8577026.2017005924</v>
      </c>
      <c r="S258" s="7">
        <f t="shared" si="64"/>
        <v>0</v>
      </c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65" outlineLevel="2">
      <c r="A259" s="18" t="s">
        <v>114</v>
      </c>
      <c r="B259" s="19" t="s">
        <v>88</v>
      </c>
      <c r="C259" s="20">
        <v>14164969.869999999</v>
      </c>
      <c r="D259" s="20"/>
      <c r="E259" s="20">
        <v>3843432.1800000002</v>
      </c>
      <c r="F259" s="20">
        <v>10321537.69</v>
      </c>
      <c r="G259" s="21"/>
      <c r="H259" s="21">
        <v>50</v>
      </c>
      <c r="I259" s="21">
        <v>35.324693000000003</v>
      </c>
      <c r="J259" s="22">
        <v>-0.14999999999999999</v>
      </c>
      <c r="K259" s="21">
        <f t="shared" si="58"/>
        <v>4781131.4742240012</v>
      </c>
      <c r="L259" s="21">
        <f t="shared" si="59"/>
        <v>1.1245566106417322</v>
      </c>
      <c r="M259" s="21">
        <f t="shared" si="60"/>
        <v>5376653.005685851</v>
      </c>
      <c r="N259" s="21"/>
      <c r="O259" s="21"/>
      <c r="P259" s="21">
        <f t="shared" si="61"/>
        <v>0</v>
      </c>
      <c r="Q259" s="21">
        <f t="shared" si="62"/>
        <v>1458866.5823082845</v>
      </c>
      <c r="R259" s="21">
        <f t="shared" si="63"/>
        <v>3917786.423377567</v>
      </c>
      <c r="S259" s="7">
        <f t="shared" si="64"/>
        <v>0</v>
      </c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65" outlineLevel="2">
      <c r="A260" s="18" t="s">
        <v>114</v>
      </c>
      <c r="B260" s="19" t="s">
        <v>87</v>
      </c>
      <c r="C260" s="20">
        <v>10084110.249999996</v>
      </c>
      <c r="D260" s="20"/>
      <c r="E260" s="20">
        <v>1518213.179540636</v>
      </c>
      <c r="F260" s="20">
        <v>8565897.0704593621</v>
      </c>
      <c r="G260" s="21"/>
      <c r="H260" s="21">
        <v>50</v>
      </c>
      <c r="I260" s="21">
        <v>34.903404999999999</v>
      </c>
      <c r="J260" s="22">
        <v>-0.14999999999999999</v>
      </c>
      <c r="K260" s="21">
        <f t="shared" si="58"/>
        <v>3501421.75273077</v>
      </c>
      <c r="L260" s="21">
        <f t="shared" si="59"/>
        <v>1.1245566106417322</v>
      </c>
      <c r="M260" s="21">
        <f t="shared" si="60"/>
        <v>3937546.9786781482</v>
      </c>
      <c r="N260" s="21"/>
      <c r="O260" s="21"/>
      <c r="P260" s="21">
        <f t="shared" si="61"/>
        <v>0</v>
      </c>
      <c r="Q260" s="21">
        <f t="shared" si="62"/>
        <v>592817.37008870754</v>
      </c>
      <c r="R260" s="21">
        <f t="shared" si="63"/>
        <v>3344729.6085894415</v>
      </c>
      <c r="S260" s="7">
        <f t="shared" si="64"/>
        <v>0</v>
      </c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65" outlineLevel="2">
      <c r="A261" s="18" t="s">
        <v>114</v>
      </c>
      <c r="B261" s="19" t="s">
        <v>86</v>
      </c>
      <c r="C261" s="20">
        <v>7396045.870000001</v>
      </c>
      <c r="D261" s="20"/>
      <c r="E261" s="20">
        <v>3057664.2200000002</v>
      </c>
      <c r="F261" s="20">
        <v>4338381.6500000004</v>
      </c>
      <c r="G261" s="21"/>
      <c r="H261" s="21">
        <v>50</v>
      </c>
      <c r="I261" s="21">
        <v>34.492708</v>
      </c>
      <c r="J261" s="22">
        <v>-0.14999999999999999</v>
      </c>
      <c r="K261" s="21">
        <f t="shared" si="58"/>
        <v>2637930.7878841329</v>
      </c>
      <c r="L261" s="21">
        <f t="shared" si="59"/>
        <v>1.1245566106417322</v>
      </c>
      <c r="M261" s="21">
        <f t="shared" si="60"/>
        <v>2966502.5059304545</v>
      </c>
      <c r="N261" s="21"/>
      <c r="O261" s="21"/>
      <c r="P261" s="21">
        <f t="shared" si="61"/>
        <v>0</v>
      </c>
      <c r="Q261" s="21">
        <f t="shared" si="62"/>
        <v>1226407.8306647777</v>
      </c>
      <c r="R261" s="21">
        <f t="shared" si="63"/>
        <v>1740094.6752656766</v>
      </c>
      <c r="S261" s="7">
        <f t="shared" si="64"/>
        <v>0</v>
      </c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65" outlineLevel="2">
      <c r="A262" s="18" t="s">
        <v>114</v>
      </c>
      <c r="B262" s="19" t="s">
        <v>85</v>
      </c>
      <c r="C262" s="20">
        <v>10480728.199999999</v>
      </c>
      <c r="D262" s="20"/>
      <c r="E262" s="20">
        <v>1189206.8700000001</v>
      </c>
      <c r="F262" s="20">
        <v>9291521.3300000001</v>
      </c>
      <c r="G262" s="21"/>
      <c r="H262" s="21">
        <v>50</v>
      </c>
      <c r="I262" s="21">
        <v>34.091591000000001</v>
      </c>
      <c r="J262" s="22">
        <v>-0.14999999999999999</v>
      </c>
      <c r="K262" s="21">
        <f t="shared" si="58"/>
        <v>3834829.3489389769</v>
      </c>
      <c r="L262" s="21">
        <f t="shared" si="59"/>
        <v>1.1245566106417322</v>
      </c>
      <c r="M262" s="21">
        <f t="shared" si="60"/>
        <v>4312482.6950322567</v>
      </c>
      <c r="N262" s="21"/>
      <c r="O262" s="21"/>
      <c r="P262" s="21">
        <f t="shared" si="61"/>
        <v>0</v>
      </c>
      <c r="Q262" s="21">
        <f t="shared" si="62"/>
        <v>489320.39356659161</v>
      </c>
      <c r="R262" s="21">
        <f t="shared" si="63"/>
        <v>3823162.3014656655</v>
      </c>
      <c r="S262" s="7">
        <f t="shared" si="64"/>
        <v>0</v>
      </c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65" outlineLevel="2">
      <c r="A263" s="18" t="s">
        <v>114</v>
      </c>
      <c r="B263" s="19" t="s">
        <v>84</v>
      </c>
      <c r="C263" s="20">
        <v>15603810.520000001</v>
      </c>
      <c r="D263" s="20"/>
      <c r="E263" s="20">
        <v>1342702.8000000001</v>
      </c>
      <c r="F263" s="20">
        <v>14261107.720000001</v>
      </c>
      <c r="G263" s="21"/>
      <c r="H263" s="21">
        <v>50</v>
      </c>
      <c r="I263" s="21">
        <v>33.699021999999999</v>
      </c>
      <c r="J263" s="22">
        <v>-0.14999999999999999</v>
      </c>
      <c r="K263" s="21">
        <f t="shared" si="58"/>
        <v>5850219.5560618369</v>
      </c>
      <c r="L263" s="21">
        <f t="shared" si="59"/>
        <v>1.1245566106417322</v>
      </c>
      <c r="M263" s="21">
        <f t="shared" si="60"/>
        <v>6578903.0754748788</v>
      </c>
      <c r="N263" s="21"/>
      <c r="O263" s="21"/>
      <c r="P263" s="21">
        <f t="shared" si="61"/>
        <v>0</v>
      </c>
      <c r="Q263" s="21">
        <f t="shared" si="62"/>
        <v>566112.46137899987</v>
      </c>
      <c r="R263" s="21">
        <f t="shared" si="63"/>
        <v>6012790.6140958788</v>
      </c>
      <c r="S263" s="7">
        <f t="shared" si="64"/>
        <v>0</v>
      </c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65" outlineLevel="2">
      <c r="A264" s="18" t="s">
        <v>114</v>
      </c>
      <c r="B264" s="19" t="s">
        <v>83</v>
      </c>
      <c r="C264" s="20">
        <v>16191683.859999999</v>
      </c>
      <c r="D264" s="20"/>
      <c r="E264" s="20">
        <v>3518775.0800000001</v>
      </c>
      <c r="F264" s="20">
        <v>12672908.779999999</v>
      </c>
      <c r="G264" s="21"/>
      <c r="H264" s="21">
        <v>50</v>
      </c>
      <c r="I264" s="21">
        <v>33.313879999999997</v>
      </c>
      <c r="J264" s="22">
        <v>-0.14999999999999999</v>
      </c>
      <c r="K264" s="21">
        <f t="shared" si="58"/>
        <v>6214056.7374705346</v>
      </c>
      <c r="L264" s="21">
        <f t="shared" si="59"/>
        <v>1.1245566106417322</v>
      </c>
      <c r="M264" s="21">
        <f t="shared" si="60"/>
        <v>6988058.5830252841</v>
      </c>
      <c r="N264" s="21"/>
      <c r="O264" s="21"/>
      <c r="P264" s="21">
        <f t="shared" si="61"/>
        <v>0</v>
      </c>
      <c r="Q264" s="21">
        <f t="shared" si="62"/>
        <v>1518644.1763648342</v>
      </c>
      <c r="R264" s="21">
        <f t="shared" si="63"/>
        <v>5469414.4066604497</v>
      </c>
      <c r="S264" s="7">
        <f t="shared" si="64"/>
        <v>0</v>
      </c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65" outlineLevel="2">
      <c r="A265" s="18" t="s">
        <v>114</v>
      </c>
      <c r="B265" s="19" t="s">
        <v>82</v>
      </c>
      <c r="C265" s="20">
        <v>14510169.700000001</v>
      </c>
      <c r="D265" s="20"/>
      <c r="E265" s="20">
        <v>1884157.22</v>
      </c>
      <c r="F265" s="20">
        <v>12626012.48</v>
      </c>
      <c r="G265" s="21"/>
      <c r="H265" s="21">
        <v>50</v>
      </c>
      <c r="I265" s="21">
        <v>32.934944999999999</v>
      </c>
      <c r="J265" s="22">
        <v>-0.14999999999999999</v>
      </c>
      <c r="K265" s="21">
        <f t="shared" si="58"/>
        <v>5695187.4117661705</v>
      </c>
      <c r="L265" s="21">
        <f t="shared" si="59"/>
        <v>1.1245566106417322</v>
      </c>
      <c r="M265" s="21">
        <f t="shared" si="60"/>
        <v>6404560.6527452236</v>
      </c>
      <c r="N265" s="21"/>
      <c r="O265" s="21"/>
      <c r="P265" s="21">
        <f t="shared" si="61"/>
        <v>0</v>
      </c>
      <c r="Q265" s="21">
        <f t="shared" si="62"/>
        <v>831637.35809360142</v>
      </c>
      <c r="R265" s="21">
        <f t="shared" si="63"/>
        <v>5572923.294651622</v>
      </c>
      <c r="S265" s="7">
        <f t="shared" si="64"/>
        <v>0</v>
      </c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65" outlineLevel="2">
      <c r="A266" s="18" t="s">
        <v>114</v>
      </c>
      <c r="B266" s="19" t="s">
        <v>81</v>
      </c>
      <c r="C266" s="20">
        <v>23404620.140000001</v>
      </c>
      <c r="D266" s="20"/>
      <c r="E266" s="20">
        <v>2864314.8300000001</v>
      </c>
      <c r="F266" s="20">
        <v>20540305.310000002</v>
      </c>
      <c r="G266" s="21"/>
      <c r="H266" s="21">
        <v>50</v>
      </c>
      <c r="I266" s="21">
        <v>32.560929000000002</v>
      </c>
      <c r="J266" s="22">
        <v>-0.14999999999999999</v>
      </c>
      <c r="K266" s="21">
        <f t="shared" si="58"/>
        <v>9387561.1440382674</v>
      </c>
      <c r="L266" s="21">
        <f t="shared" si="59"/>
        <v>1.1245566106417322</v>
      </c>
      <c r="M266" s="21">
        <f t="shared" si="60"/>
        <v>10556843.942331696</v>
      </c>
      <c r="N266" s="21"/>
      <c r="O266" s="21"/>
      <c r="P266" s="21">
        <f t="shared" si="61"/>
        <v>0</v>
      </c>
      <c r="Q266" s="21">
        <f t="shared" si="62"/>
        <v>1291972.4601869287</v>
      </c>
      <c r="R266" s="21">
        <f t="shared" si="63"/>
        <v>9264871.4821447674</v>
      </c>
      <c r="S266" s="7">
        <f t="shared" si="64"/>
        <v>0</v>
      </c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65" outlineLevel="2">
      <c r="A267" s="18" t="s">
        <v>114</v>
      </c>
      <c r="B267" s="19" t="s">
        <v>80</v>
      </c>
      <c r="C267" s="20">
        <v>30068317.350000001</v>
      </c>
      <c r="D267" s="20"/>
      <c r="E267" s="20">
        <v>1363534.73</v>
      </c>
      <c r="F267" s="20">
        <v>28704782.620000001</v>
      </c>
      <c r="G267" s="21"/>
      <c r="H267" s="21">
        <v>50</v>
      </c>
      <c r="I267" s="21">
        <v>32.191122999999997</v>
      </c>
      <c r="J267" s="22">
        <v>-0.14999999999999999</v>
      </c>
      <c r="K267" s="21">
        <f t="shared" si="58"/>
        <v>12316108.201511666</v>
      </c>
      <c r="L267" s="21">
        <f t="shared" si="59"/>
        <v>1.1245566106417322</v>
      </c>
      <c r="M267" s="21">
        <f t="shared" si="60"/>
        <v>13850160.895388799</v>
      </c>
      <c r="N267" s="21"/>
      <c r="O267" s="21"/>
      <c r="P267" s="21">
        <f t="shared" si="61"/>
        <v>0</v>
      </c>
      <c r="Q267" s="21">
        <f t="shared" si="62"/>
        <v>628075.564625851</v>
      </c>
      <c r="R267" s="21">
        <f t="shared" si="63"/>
        <v>13222085.330762947</v>
      </c>
      <c r="S267" s="7">
        <f t="shared" si="64"/>
        <v>0</v>
      </c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65" outlineLevel="2">
      <c r="A268" s="18" t="s">
        <v>114</v>
      </c>
      <c r="B268" s="19" t="s">
        <v>79</v>
      </c>
      <c r="C268" s="20">
        <v>12766078.199999999</v>
      </c>
      <c r="D268" s="20"/>
      <c r="E268" s="20">
        <v>1260509.21</v>
      </c>
      <c r="F268" s="20">
        <v>11505568.99</v>
      </c>
      <c r="G268" s="21"/>
      <c r="H268" s="21">
        <v>50</v>
      </c>
      <c r="I268" s="21">
        <v>31.825465000000001</v>
      </c>
      <c r="J268" s="22">
        <v>-0.14999999999999999</v>
      </c>
      <c r="K268" s="21">
        <f t="shared" si="65" ref="K268:K299">+C268*(1-I268/H268)*(1-J268)</f>
        <v>5336403.3063486498</v>
      </c>
      <c r="L268" s="21">
        <f t="shared" si="66" ref="L268:L299">$L$338</f>
        <v>1.1245566106417322</v>
      </c>
      <c r="M268" s="21">
        <f t="shared" si="67" ref="M268:M299">IF((C268*(1-J268)-K268*L268)&lt;0,C268*(1-J268),K268*L268)</f>
        <v>6001087.615204771</v>
      </c>
      <c r="N268" s="21"/>
      <c r="O268" s="21"/>
      <c r="P268" s="21">
        <f t="shared" si="68" ref="P268:P299">+D268/$C268*$M268</f>
        <v>0</v>
      </c>
      <c r="Q268" s="21">
        <f t="shared" si="69" ref="Q268:Q299">+E268/$C268*$M268</f>
        <v>592541.11485722766</v>
      </c>
      <c r="R268" s="21">
        <f t="shared" si="70" ref="R268:R299">+F268/$C268*$M268</f>
        <v>5408546.5003475444</v>
      </c>
      <c r="S268" s="7">
        <f t="shared" si="64"/>
        <v>0</v>
      </c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65" outlineLevel="2">
      <c r="A269" s="18" t="s">
        <v>114</v>
      </c>
      <c r="B269" s="19" t="s">
        <v>78</v>
      </c>
      <c r="C269" s="20">
        <v>24969979.550000001</v>
      </c>
      <c r="D269" s="20"/>
      <c r="E269" s="20">
        <v>5814833.8200000003</v>
      </c>
      <c r="F269" s="20">
        <v>19155145.73</v>
      </c>
      <c r="G269" s="21"/>
      <c r="H269" s="21">
        <v>50</v>
      </c>
      <c r="I269" s="21">
        <v>31.463892000000001</v>
      </c>
      <c r="J269" s="22">
        <v>-0.14999999999999999</v>
      </c>
      <c r="K269" s="21">
        <f t="shared" si="65"/>
        <v>10645463.467021603</v>
      </c>
      <c r="L269" s="21">
        <f t="shared" si="66"/>
        <v>1.1245566106417322</v>
      </c>
      <c r="M269" s="21">
        <f t="shared" si="67"/>
        <v>11971426.315184197</v>
      </c>
      <c r="N269" s="21"/>
      <c r="O269" s="21"/>
      <c r="P269" s="21">
        <f t="shared" si="68"/>
        <v>0</v>
      </c>
      <c r="Q269" s="21">
        <f t="shared" si="69"/>
        <v>2787821.8511064439</v>
      </c>
      <c r="R269" s="21">
        <f t="shared" si="70"/>
        <v>9183604.4640777521</v>
      </c>
      <c r="S269" s="7">
        <f t="shared" si="64"/>
        <v>0</v>
      </c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65" outlineLevel="2">
      <c r="A270" s="18" t="s">
        <v>114</v>
      </c>
      <c r="B270" s="19" t="s">
        <v>77</v>
      </c>
      <c r="C270" s="20">
        <v>16563952.859999999</v>
      </c>
      <c r="D270" s="20"/>
      <c r="E270" s="20">
        <v>2168943.2400000002</v>
      </c>
      <c r="F270" s="20">
        <v>14395009.619999999</v>
      </c>
      <c r="G270" s="21"/>
      <c r="H270" s="21">
        <v>50</v>
      </c>
      <c r="I270" s="21">
        <v>31.106359999999999</v>
      </c>
      <c r="J270" s="22">
        <v>-0.14999999999999999</v>
      </c>
      <c r="K270" s="21">
        <f t="shared" si="65"/>
        <v>7197927.3332176385</v>
      </c>
      <c r="L270" s="21">
        <f t="shared" si="66"/>
        <v>1.1245566106417322</v>
      </c>
      <c r="M270" s="21">
        <f t="shared" si="67"/>
        <v>8094476.7654887093</v>
      </c>
      <c r="N270" s="21"/>
      <c r="O270" s="21"/>
      <c r="P270" s="21">
        <f t="shared" si="68"/>
        <v>0</v>
      </c>
      <c r="Q270" s="21">
        <f t="shared" si="69"/>
        <v>1059919.7432057774</v>
      </c>
      <c r="R270" s="21">
        <f t="shared" si="70"/>
        <v>7034557.022282932</v>
      </c>
      <c r="S270" s="7">
        <f t="shared" si="64"/>
        <v>0</v>
      </c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65" outlineLevel="2">
      <c r="A271" s="18" t="s">
        <v>114</v>
      </c>
      <c r="B271" s="19" t="s">
        <v>76</v>
      </c>
      <c r="C271" s="20">
        <v>10328957.879999999</v>
      </c>
      <c r="D271" s="20"/>
      <c r="E271" s="20">
        <v>2537626.29</v>
      </c>
      <c r="F271" s="20">
        <v>7791331.5899999999</v>
      </c>
      <c r="G271" s="21"/>
      <c r="H271" s="21">
        <v>50</v>
      </c>
      <c r="I271" s="21">
        <v>30.752814999999998</v>
      </c>
      <c r="J271" s="22">
        <v>-0.14999999999999999</v>
      </c>
      <c r="K271" s="21">
        <f t="shared" si="65"/>
        <v>4572477.3529920587</v>
      </c>
      <c r="L271" s="21">
        <f t="shared" si="66"/>
        <v>1.1245566106417322</v>
      </c>
      <c r="M271" s="21">
        <f t="shared" si="67"/>
        <v>5142009.634316829</v>
      </c>
      <c r="N271" s="21"/>
      <c r="O271" s="21"/>
      <c r="P271" s="21">
        <f t="shared" si="68"/>
        <v>0</v>
      </c>
      <c r="Q271" s="21">
        <f t="shared" si="69"/>
        <v>1263292.8687550882</v>
      </c>
      <c r="R271" s="21">
        <f t="shared" si="70"/>
        <v>3878716.7655617413</v>
      </c>
      <c r="S271" s="7">
        <f t="shared" si="64"/>
        <v>0</v>
      </c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65" outlineLevel="2">
      <c r="A272" s="18" t="s">
        <v>114</v>
      </c>
      <c r="B272" s="19" t="s">
        <v>75</v>
      </c>
      <c r="C272" s="20">
        <v>13809423.200000001</v>
      </c>
      <c r="D272" s="20"/>
      <c r="E272" s="20">
        <v>1986939.6399999999</v>
      </c>
      <c r="F272" s="20">
        <v>11822483.560000001</v>
      </c>
      <c r="G272" s="21"/>
      <c r="H272" s="21">
        <v>50</v>
      </c>
      <c r="I272" s="21">
        <v>30.403213000000001</v>
      </c>
      <c r="J272" s="22">
        <v>-0.14999999999999999</v>
      </c>
      <c r="K272" s="21">
        <f t="shared" si="65"/>
        <v>6224267.4759949427</v>
      </c>
      <c r="L272" s="21">
        <f t="shared" si="66"/>
        <v>1.1245566106417322</v>
      </c>
      <c r="M272" s="21">
        <f t="shared" si="67"/>
        <v>6999541.1365324417</v>
      </c>
      <c r="N272" s="21"/>
      <c r="O272" s="21"/>
      <c r="P272" s="21">
        <f t="shared" si="68"/>
        <v>0</v>
      </c>
      <c r="Q272" s="21">
        <f t="shared" si="69"/>
        <v>1007114.1672294436</v>
      </c>
      <c r="R272" s="21">
        <f t="shared" si="70"/>
        <v>5992426.9693029979</v>
      </c>
      <c r="S272" s="7">
        <f t="shared" si="64"/>
        <v>0</v>
      </c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65" outlineLevel="2">
      <c r="A273" s="18" t="s">
        <v>114</v>
      </c>
      <c r="B273" s="19" t="s">
        <v>74</v>
      </c>
      <c r="C273" s="20">
        <v>13319157.799999999</v>
      </c>
      <c r="D273" s="20"/>
      <c r="E273" s="20">
        <v>2190209.0299999998</v>
      </c>
      <c r="F273" s="20">
        <v>11128948.77</v>
      </c>
      <c r="G273" s="21"/>
      <c r="H273" s="21">
        <v>50</v>
      </c>
      <c r="I273" s="21">
        <v>30.057501999999999</v>
      </c>
      <c r="J273" s="22">
        <v>-0.14999999999999999</v>
      </c>
      <c r="K273" s="21">
        <f t="shared" si="65"/>
        <v>6109197.3891282408</v>
      </c>
      <c r="L273" s="21">
        <f t="shared" si="66"/>
        <v>1.1245566106417322</v>
      </c>
      <c r="M273" s="21">
        <f t="shared" si="67"/>
        <v>6870138.3096593739</v>
      </c>
      <c r="N273" s="21"/>
      <c r="O273" s="21"/>
      <c r="P273" s="21">
        <f t="shared" si="68"/>
        <v>0</v>
      </c>
      <c r="Q273" s="21">
        <f t="shared" si="69"/>
        <v>1129729.0105809015</v>
      </c>
      <c r="R273" s="21">
        <f t="shared" si="70"/>
        <v>5740409.2990784729</v>
      </c>
      <c r="S273" s="7">
        <f t="shared" si="64"/>
        <v>0</v>
      </c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65" outlineLevel="2">
      <c r="A274" s="18" t="s">
        <v>114</v>
      </c>
      <c r="B274" s="19" t="s">
        <v>73</v>
      </c>
      <c r="C274" s="20">
        <v>16772386.17</v>
      </c>
      <c r="D274" s="20"/>
      <c r="E274" s="20">
        <v>1163666.3899999999</v>
      </c>
      <c r="F274" s="20">
        <v>15608719.779999999</v>
      </c>
      <c r="G274" s="21"/>
      <c r="H274" s="21">
        <v>50</v>
      </c>
      <c r="I274" s="21">
        <v>29.715623999999998</v>
      </c>
      <c r="J274" s="22">
        <v>-0.14999999999999999</v>
      </c>
      <c r="K274" s="21">
        <f t="shared" si="65"/>
        <v>7824999.9122580383</v>
      </c>
      <c r="L274" s="21">
        <f t="shared" si="66"/>
        <v>1.1245566106417322</v>
      </c>
      <c r="M274" s="21">
        <f t="shared" si="67"/>
        <v>8799655.3796007521</v>
      </c>
      <c r="N274" s="21"/>
      <c r="O274" s="21"/>
      <c r="P274" s="21">
        <f t="shared" si="68"/>
        <v>0</v>
      </c>
      <c r="Q274" s="21">
        <f t="shared" si="69"/>
        <v>610519.16555198689</v>
      </c>
      <c r="R274" s="21">
        <f t="shared" si="70"/>
        <v>8189136.2140487647</v>
      </c>
      <c r="S274" s="7">
        <f t="shared" si="64"/>
        <v>0</v>
      </c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65" outlineLevel="2">
      <c r="A275" s="18" t="s">
        <v>114</v>
      </c>
      <c r="B275" s="19" t="s">
        <v>72</v>
      </c>
      <c r="C275" s="20">
        <v>10952530.810000001</v>
      </c>
      <c r="D275" s="20"/>
      <c r="E275" s="20">
        <v>1121752.72</v>
      </c>
      <c r="F275" s="20">
        <v>9830778.0899999999</v>
      </c>
      <c r="G275" s="21"/>
      <c r="H275" s="21">
        <v>50</v>
      </c>
      <c r="I275" s="21">
        <v>29.377549999999999</v>
      </c>
      <c r="J275" s="22">
        <v>-0.14999999999999999</v>
      </c>
      <c r="K275" s="21">
        <f t="shared" si="65"/>
        <v>5194964.4370617438</v>
      </c>
      <c r="L275" s="21">
        <f t="shared" si="66"/>
        <v>1.1245566106417322</v>
      </c>
      <c r="M275" s="21">
        <f t="shared" si="67"/>
        <v>5842031.599746489</v>
      </c>
      <c r="N275" s="21"/>
      <c r="O275" s="21"/>
      <c r="P275" s="21">
        <f t="shared" si="68"/>
        <v>0</v>
      </c>
      <c r="Q275" s="21">
        <f t="shared" si="69"/>
        <v>598337.95047243289</v>
      </c>
      <c r="R275" s="21">
        <f t="shared" si="70"/>
        <v>5243693.6492740558</v>
      </c>
      <c r="S275" s="7">
        <f t="shared" si="64"/>
        <v>0</v>
      </c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65" outlineLevel="2">
      <c r="A276" s="18" t="s">
        <v>114</v>
      </c>
      <c r="B276" s="19" t="s">
        <v>71</v>
      </c>
      <c r="C276" s="20">
        <v>11413782.57</v>
      </c>
      <c r="D276" s="20"/>
      <c r="E276" s="20">
        <v>1384449.6100000001</v>
      </c>
      <c r="F276" s="20">
        <v>10029332.960000001</v>
      </c>
      <c r="G276" s="21"/>
      <c r="H276" s="21">
        <v>50</v>
      </c>
      <c r="I276" s="21">
        <v>29.043223999999999</v>
      </c>
      <c r="J276" s="22">
        <v>-0.14999999999999999</v>
      </c>
      <c r="K276" s="21">
        <f t="shared" si="65"/>
        <v>5501509.9465404693</v>
      </c>
      <c r="L276" s="21">
        <f t="shared" si="66"/>
        <v>1.1245566106417322</v>
      </c>
      <c r="M276" s="21">
        <f t="shared" si="67"/>
        <v>6186759.378893327</v>
      </c>
      <c r="N276" s="21"/>
      <c r="O276" s="21"/>
      <c r="P276" s="21">
        <f t="shared" si="68"/>
        <v>0</v>
      </c>
      <c r="Q276" s="21">
        <f t="shared" si="69"/>
        <v>750431.02991865645</v>
      </c>
      <c r="R276" s="21">
        <f t="shared" si="70"/>
        <v>5436328.3489746712</v>
      </c>
      <c r="S276" s="7">
        <f t="shared" si="64"/>
        <v>0</v>
      </c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65" outlineLevel="2">
      <c r="A277" s="18" t="s">
        <v>114</v>
      </c>
      <c r="B277" s="19" t="s">
        <v>70</v>
      </c>
      <c r="C277" s="20">
        <v>16913207.949999999</v>
      </c>
      <c r="D277" s="20"/>
      <c r="E277" s="20">
        <v>2161551.6800000002</v>
      </c>
      <c r="F277" s="20">
        <v>14751656.27</v>
      </c>
      <c r="G277" s="21"/>
      <c r="H277" s="21">
        <v>50</v>
      </c>
      <c r="I277" s="21">
        <v>28.712596000000001</v>
      </c>
      <c r="J277" s="22">
        <v>-0.14999999999999999</v>
      </c>
      <c r="K277" s="21">
        <f t="shared" si="65"/>
        <v>8280880.6830562204</v>
      </c>
      <c r="L277" s="21">
        <f t="shared" si="66"/>
        <v>1.1245566106417322</v>
      </c>
      <c r="M277" s="21">
        <f t="shared" si="67"/>
        <v>9312319.1140662953</v>
      </c>
      <c r="N277" s="21"/>
      <c r="O277" s="21"/>
      <c r="P277" s="21">
        <f t="shared" si="68"/>
        <v>0</v>
      </c>
      <c r="Q277" s="21">
        <f t="shared" si="69"/>
        <v>1190138.4459537799</v>
      </c>
      <c r="R277" s="21">
        <f t="shared" si="70"/>
        <v>8122180.6681125155</v>
      </c>
      <c r="S277" s="7">
        <f t="shared" si="64"/>
        <v>0</v>
      </c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65" outlineLevel="2">
      <c r="A278" s="18" t="s">
        <v>114</v>
      </c>
      <c r="B278" s="19" t="s">
        <v>69</v>
      </c>
      <c r="C278" s="20">
        <v>13323028.319999998</v>
      </c>
      <c r="D278" s="20"/>
      <c r="E278" s="20">
        <v>2914243.0299999998</v>
      </c>
      <c r="F278" s="20">
        <v>10408785.289999999</v>
      </c>
      <c r="G278" s="21"/>
      <c r="H278" s="21">
        <v>50</v>
      </c>
      <c r="I278" s="21">
        <v>28.385626999999999</v>
      </c>
      <c r="J278" s="22">
        <v>-0.14999999999999999</v>
      </c>
      <c r="K278" s="21">
        <f t="shared" si="65"/>
        <v>6623284.7827549949</v>
      </c>
      <c r="L278" s="21">
        <f t="shared" si="66"/>
        <v>1.1245566106417322</v>
      </c>
      <c r="M278" s="21">
        <f t="shared" si="67"/>
        <v>7448258.6866099183</v>
      </c>
      <c r="N278" s="21"/>
      <c r="O278" s="21"/>
      <c r="P278" s="21">
        <f t="shared" si="68"/>
        <v>0</v>
      </c>
      <c r="Q278" s="21">
        <f t="shared" si="69"/>
        <v>1629211.8759896106</v>
      </c>
      <c r="R278" s="21">
        <f t="shared" si="70"/>
        <v>5819046.8106203079</v>
      </c>
      <c r="S278" s="7">
        <f t="shared" si="64"/>
        <v>0</v>
      </c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65" outlineLevel="2">
      <c r="A279" s="18" t="s">
        <v>114</v>
      </c>
      <c r="B279" s="19" t="s">
        <v>68</v>
      </c>
      <c r="C279" s="20">
        <v>7711275.0399999991</v>
      </c>
      <c r="D279" s="20"/>
      <c r="E279" s="20">
        <v>398610.47999999998</v>
      </c>
      <c r="F279" s="20">
        <v>7312664.5599999996</v>
      </c>
      <c r="G279" s="21"/>
      <c r="H279" s="21">
        <v>50</v>
      </c>
      <c r="I279" s="21">
        <v>28.062275</v>
      </c>
      <c r="J279" s="22">
        <v>-0.14999999999999999</v>
      </c>
      <c r="K279" s="21">
        <f t="shared" si="65"/>
        <v>3890860.1182183316</v>
      </c>
      <c r="L279" s="21">
        <f t="shared" si="66"/>
        <v>1.1245566106417322</v>
      </c>
      <c r="M279" s="21">
        <f t="shared" si="67"/>
        <v>4375492.4670246961</v>
      </c>
      <c r="N279" s="21"/>
      <c r="O279" s="21"/>
      <c r="P279" s="21">
        <f t="shared" si="68"/>
        <v>0</v>
      </c>
      <c r="Q279" s="21">
        <f t="shared" si="69"/>
        <v>226177.53140304258</v>
      </c>
      <c r="R279" s="21">
        <f t="shared" si="70"/>
        <v>4149314.9356216537</v>
      </c>
      <c r="S279" s="7">
        <f t="shared" si="64"/>
        <v>0</v>
      </c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65" outlineLevel="2">
      <c r="A280" s="18" t="s">
        <v>114</v>
      </c>
      <c r="B280" s="19" t="s">
        <v>67</v>
      </c>
      <c r="C280" s="20">
        <v>12498656.5</v>
      </c>
      <c r="D280" s="20"/>
      <c r="E280" s="20">
        <v>408035.31</v>
      </c>
      <c r="F280" s="20">
        <v>12090621.19</v>
      </c>
      <c r="G280" s="21"/>
      <c r="H280" s="21">
        <v>50</v>
      </c>
      <c r="I280" s="21">
        <v>27.742488000000002</v>
      </c>
      <c r="J280" s="22">
        <v>-0.14999999999999999</v>
      </c>
      <c r="K280" s="21">
        <f t="shared" si="65"/>
        <v>6398346.9317504419</v>
      </c>
      <c r="L280" s="21">
        <f t="shared" si="66"/>
        <v>1.1245566106417322</v>
      </c>
      <c r="M280" s="21">
        <f t="shared" si="67"/>
        <v>7195303.3392792037</v>
      </c>
      <c r="N280" s="21"/>
      <c r="O280" s="21"/>
      <c r="P280" s="21">
        <f t="shared" si="68"/>
        <v>0</v>
      </c>
      <c r="Q280" s="21">
        <f t="shared" si="69"/>
        <v>234900.27336832765</v>
      </c>
      <c r="R280" s="21">
        <f t="shared" si="70"/>
        <v>6960403.0659108758</v>
      </c>
      <c r="S280" s="7">
        <f t="shared" si="64"/>
        <v>0</v>
      </c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65" outlineLevel="2">
      <c r="A281" s="18" t="s">
        <v>114</v>
      </c>
      <c r="B281" s="19" t="s">
        <v>66</v>
      </c>
      <c r="C281" s="20">
        <v>9955503.5500000007</v>
      </c>
      <c r="D281" s="20"/>
      <c r="E281" s="20">
        <v>218559.23000000001</v>
      </c>
      <c r="F281" s="20">
        <v>9736944.3200000003</v>
      </c>
      <c r="G281" s="21"/>
      <c r="H281" s="21">
        <v>50</v>
      </c>
      <c r="I281" s="21">
        <v>27.426227999999998</v>
      </c>
      <c r="J281" s="22">
        <v>-0.14999999999999999</v>
      </c>
      <c r="K281" s="21">
        <f t="shared" si="65"/>
        <v>5168865.1475064848</v>
      </c>
      <c r="L281" s="21">
        <f t="shared" si="66"/>
        <v>1.1245566106417322</v>
      </c>
      <c r="M281" s="21">
        <f t="shared" si="67"/>
        <v>5812681.4711440699</v>
      </c>
      <c r="N281" s="21"/>
      <c r="O281" s="21"/>
      <c r="P281" s="21">
        <f t="shared" si="68"/>
        <v>0</v>
      </c>
      <c r="Q281" s="21">
        <f t="shared" si="69"/>
        <v>127609.33489582404</v>
      </c>
      <c r="R281" s="21">
        <f t="shared" si="70"/>
        <v>5685072.1362482458</v>
      </c>
      <c r="S281" s="7">
        <f t="shared" si="64"/>
        <v>0</v>
      </c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65" outlineLevel="2">
      <c r="A282" s="18" t="s">
        <v>114</v>
      </c>
      <c r="B282" s="19" t="s">
        <v>65</v>
      </c>
      <c r="C282" s="20">
        <v>7523091.8200000003</v>
      </c>
      <c r="D282" s="20"/>
      <c r="E282" s="20">
        <v>973035.16000000003</v>
      </c>
      <c r="F282" s="20">
        <v>6550056.6600000001</v>
      </c>
      <c r="G282" s="21"/>
      <c r="H282" s="21">
        <v>50</v>
      </c>
      <c r="I282" s="21">
        <v>27.113454000000001</v>
      </c>
      <c r="J282" s="22">
        <v>-0.14999999999999999</v>
      </c>
      <c r="K282" s="21">
        <f t="shared" si="65"/>
        <v>3960084.501015035</v>
      </c>
      <c r="L282" s="21">
        <f t="shared" si="66"/>
        <v>1.1245566106417322</v>
      </c>
      <c r="M282" s="21">
        <f t="shared" si="67"/>
        <v>4453339.2043163227</v>
      </c>
      <c r="N282" s="21"/>
      <c r="O282" s="21"/>
      <c r="P282" s="21">
        <f t="shared" si="68"/>
        <v>0</v>
      </c>
      <c r="Q282" s="21">
        <f t="shared" si="69"/>
        <v>575993.98344259546</v>
      </c>
      <c r="R282" s="21">
        <f t="shared" si="70"/>
        <v>3877345.2208737275</v>
      </c>
      <c r="S282" s="7">
        <f t="shared" si="64"/>
        <v>0</v>
      </c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65" outlineLevel="2">
      <c r="A283" s="18" t="s">
        <v>114</v>
      </c>
      <c r="B283" s="19" t="s">
        <v>64</v>
      </c>
      <c r="C283" s="20">
        <v>7962578.79</v>
      </c>
      <c r="D283" s="20"/>
      <c r="E283" s="20">
        <v>1215130.53</v>
      </c>
      <c r="F283" s="20">
        <v>6747448.2599999998</v>
      </c>
      <c r="G283" s="21"/>
      <c r="H283" s="21">
        <v>50</v>
      </c>
      <c r="I283" s="21">
        <v>26.804124000000002</v>
      </c>
      <c r="J283" s="22">
        <v>-0.14999999999999999</v>
      </c>
      <c r="K283" s="21">
        <f t="shared" si="65"/>
        <v>4248076.7758206101</v>
      </c>
      <c r="L283" s="21">
        <f t="shared" si="66"/>
        <v>1.1245566106417322</v>
      </c>
      <c r="M283" s="21">
        <f t="shared" si="67"/>
        <v>4777202.8207626827</v>
      </c>
      <c r="N283" s="21"/>
      <c r="O283" s="21"/>
      <c r="P283" s="21">
        <f t="shared" si="68"/>
        <v>0</v>
      </c>
      <c r="Q283" s="21">
        <f t="shared" si="69"/>
        <v>729025.75266207871</v>
      </c>
      <c r="R283" s="21">
        <f t="shared" si="70"/>
        <v>4048177.0681006038</v>
      </c>
      <c r="S283" s="7">
        <f t="shared" si="64"/>
        <v>0</v>
      </c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65" outlineLevel="2">
      <c r="A284" s="18" t="s">
        <v>114</v>
      </c>
      <c r="B284" s="19" t="s">
        <v>63</v>
      </c>
      <c r="C284" s="20">
        <v>6366335.6099999994</v>
      </c>
      <c r="D284" s="20"/>
      <c r="E284" s="20">
        <v>1339244.77</v>
      </c>
      <c r="F284" s="20">
        <v>5027090.8399999999</v>
      </c>
      <c r="G284" s="21"/>
      <c r="H284" s="21">
        <v>50</v>
      </c>
      <c r="I284" s="21">
        <v>26.498194999999999</v>
      </c>
      <c r="J284" s="22">
        <v>-0.14999999999999999</v>
      </c>
      <c r="K284" s="21">
        <f t="shared" si="65"/>
        <v>3441268.6956278486</v>
      </c>
      <c r="L284" s="21">
        <f t="shared" si="66"/>
        <v>1.1245566106417322</v>
      </c>
      <c r="M284" s="21">
        <f t="shared" si="67"/>
        <v>3869901.4606627482</v>
      </c>
      <c r="N284" s="21"/>
      <c r="O284" s="21"/>
      <c r="P284" s="21">
        <f t="shared" si="68"/>
        <v>0</v>
      </c>
      <c r="Q284" s="21">
        <f t="shared" si="69"/>
        <v>814086.09427801543</v>
      </c>
      <c r="R284" s="21">
        <f t="shared" si="70"/>
        <v>3055815.366384733</v>
      </c>
      <c r="S284" s="7">
        <f t="shared" si="64"/>
        <v>0</v>
      </c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65" outlineLevel="2">
      <c r="A285" s="18" t="s">
        <v>114</v>
      </c>
      <c r="B285" s="19" t="s">
        <v>62</v>
      </c>
      <c r="C285" s="20">
        <v>4233409.1899999995</v>
      </c>
      <c r="D285" s="20"/>
      <c r="E285" s="20">
        <v>363728.59999999998</v>
      </c>
      <c r="F285" s="20">
        <v>3869680.5899999999</v>
      </c>
      <c r="G285" s="21"/>
      <c r="H285" s="21">
        <v>50</v>
      </c>
      <c r="I285" s="21">
        <v>26.195632</v>
      </c>
      <c r="J285" s="22">
        <v>-0.14999999999999999</v>
      </c>
      <c r="K285" s="21">
        <f t="shared" si="65"/>
        <v>2317793.4958268637</v>
      </c>
      <c r="L285" s="21">
        <f t="shared" si="66"/>
        <v>1.1245566106417322</v>
      </c>
      <c r="M285" s="21">
        <f t="shared" si="67"/>
        <v>2606489.9978345097</v>
      </c>
      <c r="N285" s="21"/>
      <c r="O285" s="21"/>
      <c r="P285" s="21">
        <f t="shared" si="68"/>
        <v>0</v>
      </c>
      <c r="Q285" s="21">
        <f t="shared" si="69"/>
        <v>223945.97717267895</v>
      </c>
      <c r="R285" s="21">
        <f t="shared" si="70"/>
        <v>2382544.0206618309</v>
      </c>
      <c r="S285" s="7">
        <f t="shared" si="64"/>
        <v>0</v>
      </c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65" outlineLevel="2">
      <c r="A286" s="18" t="s">
        <v>114</v>
      </c>
      <c r="B286" s="19" t="s">
        <v>61</v>
      </c>
      <c r="C286" s="20">
        <v>6018844.1900000004</v>
      </c>
      <c r="D286" s="20"/>
      <c r="E286" s="20">
        <v>487546.96000000002</v>
      </c>
      <c r="F286" s="20">
        <v>5531297.2300000004</v>
      </c>
      <c r="G286" s="21"/>
      <c r="H286" s="21">
        <v>50</v>
      </c>
      <c r="I286" s="21">
        <v>25.896398999999999</v>
      </c>
      <c r="J286" s="22">
        <v>-0.14999999999999999</v>
      </c>
      <c r="K286" s="21">
        <f t="shared" si="65"/>
        <v>3336743.8332493487</v>
      </c>
      <c r="L286" s="21">
        <f t="shared" si="66"/>
        <v>1.1245566106417322</v>
      </c>
      <c r="M286" s="21">
        <f t="shared" si="67"/>
        <v>3752357.3356985888</v>
      </c>
      <c r="N286" s="21"/>
      <c r="O286" s="21"/>
      <c r="P286" s="21">
        <f t="shared" si="68"/>
        <v>0</v>
      </c>
      <c r="Q286" s="21">
        <f t="shared" si="69"/>
        <v>303953.77486147324</v>
      </c>
      <c r="R286" s="21">
        <f t="shared" si="70"/>
        <v>3448403.5608371156</v>
      </c>
      <c r="S286" s="7">
        <f t="shared" si="64"/>
        <v>0</v>
      </c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65" outlineLevel="2">
      <c r="A287" s="18" t="s">
        <v>114</v>
      </c>
      <c r="B287" s="19" t="s">
        <v>60</v>
      </c>
      <c r="C287" s="20">
        <v>5279307.7400000002</v>
      </c>
      <c r="D287" s="20"/>
      <c r="E287" s="20">
        <v>1951773.27</v>
      </c>
      <c r="F287" s="20">
        <v>3327534.4700000002</v>
      </c>
      <c r="G287" s="21"/>
      <c r="H287" s="21">
        <v>50</v>
      </c>
      <c r="I287" s="21">
        <v>25.600455</v>
      </c>
      <c r="J287" s="22">
        <v>-0.14999999999999999</v>
      </c>
      <c r="K287" s="21">
        <f t="shared" si="65"/>
        <v>2962692.2557325009</v>
      </c>
      <c r="L287" s="21">
        <f t="shared" si="66"/>
        <v>1.1245566106417322</v>
      </c>
      <c r="M287" s="21">
        <f t="shared" si="67"/>
        <v>3331715.1614810494</v>
      </c>
      <c r="N287" s="21"/>
      <c r="O287" s="21"/>
      <c r="P287" s="21">
        <f t="shared" si="68"/>
        <v>0</v>
      </c>
      <c r="Q287" s="21">
        <f t="shared" si="69"/>
        <v>1231743.4246468924</v>
      </c>
      <c r="R287" s="21">
        <f t="shared" si="70"/>
        <v>2099971.7368341568</v>
      </c>
      <c r="S287" s="7">
        <f t="shared" si="64"/>
        <v>0</v>
      </c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65" outlineLevel="2">
      <c r="A288" s="18" t="s">
        <v>114</v>
      </c>
      <c r="B288" s="19" t="s">
        <v>59</v>
      </c>
      <c r="C288" s="20">
        <v>3682050.1699999999</v>
      </c>
      <c r="D288" s="20"/>
      <c r="E288" s="20">
        <v>488857.77000000002</v>
      </c>
      <c r="F288" s="20">
        <v>3193192.3999999999</v>
      </c>
      <c r="G288" s="21"/>
      <c r="H288" s="21">
        <v>50</v>
      </c>
      <c r="I288" s="21">
        <v>25.307760999999999</v>
      </c>
      <c r="J288" s="22">
        <v>-0.14999999999999999</v>
      </c>
      <c r="K288" s="21">
        <f t="shared" si="65"/>
        <v>2091115.4445755042</v>
      </c>
      <c r="L288" s="21">
        <f t="shared" si="66"/>
        <v>1.1245566106417322</v>
      </c>
      <c r="M288" s="21">
        <f t="shared" si="67"/>
        <v>2351577.696812408</v>
      </c>
      <c r="N288" s="21"/>
      <c r="O288" s="21"/>
      <c r="P288" s="21">
        <f t="shared" si="68"/>
        <v>0</v>
      </c>
      <c r="Q288" s="21">
        <f t="shared" si="69"/>
        <v>312213.84168305615</v>
      </c>
      <c r="R288" s="21">
        <f t="shared" si="70"/>
        <v>2039363.8551293518</v>
      </c>
      <c r="S288" s="7">
        <f t="shared" si="64"/>
        <v>0</v>
      </c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65" outlineLevel="2">
      <c r="A289" s="18" t="s">
        <v>114</v>
      </c>
      <c r="B289" s="19" t="s">
        <v>58</v>
      </c>
      <c r="C289" s="20">
        <v>3128284.54</v>
      </c>
      <c r="D289" s="20"/>
      <c r="E289" s="20">
        <v>336236.14000000001</v>
      </c>
      <c r="F289" s="20">
        <v>2792048.3999999999</v>
      </c>
      <c r="G289" s="21"/>
      <c r="H289" s="21">
        <v>50</v>
      </c>
      <c r="I289" s="21">
        <v>25.018284999999999</v>
      </c>
      <c r="J289" s="22">
        <v>-0.14999999999999999</v>
      </c>
      <c r="K289" s="21">
        <f t="shared" si="65"/>
        <v>1797447.99479528</v>
      </c>
      <c r="L289" s="21">
        <f t="shared" si="66"/>
        <v>1.1245566106417322</v>
      </c>
      <c r="M289" s="21">
        <f t="shared" si="67"/>
        <v>2021332.0248317579</v>
      </c>
      <c r="N289" s="21"/>
      <c r="O289" s="21"/>
      <c r="P289" s="21">
        <f t="shared" si="68"/>
        <v>0</v>
      </c>
      <c r="Q289" s="21">
        <f t="shared" si="69"/>
        <v>217258.01121908636</v>
      </c>
      <c r="R289" s="21">
        <f t="shared" si="70"/>
        <v>1804074.0136126715</v>
      </c>
      <c r="S289" s="7">
        <f t="shared" si="64"/>
        <v>0</v>
      </c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65" outlineLevel="2">
      <c r="A290" s="18" t="s">
        <v>114</v>
      </c>
      <c r="B290" s="19" t="s">
        <v>57</v>
      </c>
      <c r="C290" s="20">
        <v>2778382.9699999997</v>
      </c>
      <c r="D290" s="20"/>
      <c r="E290" s="20">
        <v>856253.71999999997</v>
      </c>
      <c r="F290" s="20">
        <v>1922129.25</v>
      </c>
      <c r="G290" s="21"/>
      <c r="H290" s="21">
        <v>50</v>
      </c>
      <c r="I290" s="21">
        <v>24.731985000000002</v>
      </c>
      <c r="J290" s="22">
        <v>-0.14999999999999999</v>
      </c>
      <c r="K290" s="21">
        <f t="shared" si="65"/>
        <v>1614697.1189192045</v>
      </c>
      <c r="L290" s="21">
        <f t="shared" si="66"/>
        <v>1.1245566106417322</v>
      </c>
      <c r="M290" s="21">
        <f t="shared" si="67"/>
        <v>1815818.3192647505</v>
      </c>
      <c r="N290" s="21"/>
      <c r="O290" s="21"/>
      <c r="P290" s="21">
        <f t="shared" si="68"/>
        <v>0</v>
      </c>
      <c r="Q290" s="21">
        <f t="shared" si="69"/>
        <v>559606.50763511925</v>
      </c>
      <c r="R290" s="21">
        <f t="shared" si="70"/>
        <v>1256211.8116296313</v>
      </c>
      <c r="S290" s="7">
        <f t="shared" si="64"/>
        <v>0</v>
      </c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65" outlineLevel="2">
      <c r="A291" s="18" t="s">
        <v>114</v>
      </c>
      <c r="B291" s="19" t="s">
        <v>56</v>
      </c>
      <c r="C291" s="20">
        <v>6402361.5800000001</v>
      </c>
      <c r="D291" s="20"/>
      <c r="E291" s="20">
        <v>567662.5</v>
      </c>
      <c r="F291" s="20">
        <v>5834699.0800000001</v>
      </c>
      <c r="G291" s="21"/>
      <c r="H291" s="21">
        <v>50</v>
      </c>
      <c r="I291" s="21">
        <v>24.448844000000001</v>
      </c>
      <c r="J291" s="22">
        <v>-0.14999999999999999</v>
      </c>
      <c r="K291" s="21">
        <f t="shared" si="65"/>
        <v>3762518.0084766885</v>
      </c>
      <c r="L291" s="21">
        <f t="shared" si="66"/>
        <v>1.1245566106417322</v>
      </c>
      <c r="M291" s="21">
        <f t="shared" si="67"/>
        <v>4231164.4990910254</v>
      </c>
      <c r="N291" s="21"/>
      <c r="O291" s="21"/>
      <c r="P291" s="21">
        <f t="shared" si="68"/>
        <v>0</v>
      </c>
      <c r="Q291" s="21">
        <f t="shared" si="69"/>
        <v>375154.2907180289</v>
      </c>
      <c r="R291" s="21">
        <f t="shared" si="70"/>
        <v>3856010.2083729962</v>
      </c>
      <c r="S291" s="7">
        <f t="shared" si="64"/>
        <v>0</v>
      </c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65" outlineLevel="2">
      <c r="A292" s="18" t="s">
        <v>114</v>
      </c>
      <c r="B292" s="19" t="s">
        <v>55</v>
      </c>
      <c r="C292" s="20">
        <v>2039500.5599999998</v>
      </c>
      <c r="D292" s="20"/>
      <c r="E292" s="20">
        <v>475404.42999999999</v>
      </c>
      <c r="F292" s="20">
        <v>1564096.1299999999</v>
      </c>
      <c r="G292" s="21"/>
      <c r="H292" s="21">
        <v>50</v>
      </c>
      <c r="I292" s="21">
        <v>24.168814000000001</v>
      </c>
      <c r="J292" s="22">
        <v>-0.14999999999999999</v>
      </c>
      <c r="K292" s="21">
        <f t="shared" si="65"/>
        <v>1211702.5211866752</v>
      </c>
      <c r="L292" s="21">
        <f t="shared" si="66"/>
        <v>1.1245566106417322</v>
      </c>
      <c r="M292" s="21">
        <f t="shared" si="67"/>
        <v>1362628.080331729</v>
      </c>
      <c r="N292" s="21"/>
      <c r="O292" s="21"/>
      <c r="P292" s="21">
        <f t="shared" si="68"/>
        <v>0</v>
      </c>
      <c r="Q292" s="21">
        <f t="shared" si="69"/>
        <v>317626.50059390027</v>
      </c>
      <c r="R292" s="21">
        <f t="shared" si="70"/>
        <v>1045001.5797378288</v>
      </c>
      <c r="S292" s="7">
        <f t="shared" si="64"/>
        <v>0</v>
      </c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65" outlineLevel="2">
      <c r="A293" s="18" t="s">
        <v>114</v>
      </c>
      <c r="B293" s="19" t="s">
        <v>54</v>
      </c>
      <c r="C293" s="20">
        <v>2578857.04</v>
      </c>
      <c r="D293" s="20"/>
      <c r="E293" s="20">
        <v>130021.92999999999</v>
      </c>
      <c r="F293" s="20">
        <v>2448835.1099999999</v>
      </c>
      <c r="G293" s="21"/>
      <c r="H293" s="21">
        <v>50</v>
      </c>
      <c r="I293" s="21">
        <v>23.891863000000001</v>
      </c>
      <c r="J293" s="22">
        <v>-0.14999999999999999</v>
      </c>
      <c r="K293" s="21">
        <f t="shared" si="65"/>
        <v>1548570.5167858927</v>
      </c>
      <c r="L293" s="21">
        <f t="shared" si="66"/>
        <v>1.1245566106417322</v>
      </c>
      <c r="M293" s="21">
        <f t="shared" si="67"/>
        <v>1741455.211696459</v>
      </c>
      <c r="N293" s="21"/>
      <c r="O293" s="21"/>
      <c r="P293" s="21">
        <f t="shared" si="68"/>
        <v>0</v>
      </c>
      <c r="Q293" s="21">
        <f t="shared" si="69"/>
        <v>87801.442313891181</v>
      </c>
      <c r="R293" s="21">
        <f t="shared" si="70"/>
        <v>1653653.7693825678</v>
      </c>
      <c r="S293" s="7">
        <f t="shared" si="64"/>
        <v>0</v>
      </c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65" outlineLevel="2">
      <c r="A294" s="18" t="s">
        <v>114</v>
      </c>
      <c r="B294" s="19" t="s">
        <v>53</v>
      </c>
      <c r="C294" s="20">
        <v>2420957.3199999998</v>
      </c>
      <c r="D294" s="20"/>
      <c r="E294" s="20">
        <v>308414.10999999999</v>
      </c>
      <c r="F294" s="20">
        <v>2112543.21</v>
      </c>
      <c r="G294" s="21"/>
      <c r="H294" s="21">
        <v>50</v>
      </c>
      <c r="I294" s="21">
        <v>23.617968000000001</v>
      </c>
      <c r="J294" s="22">
        <v>-0.14999999999999999</v>
      </c>
      <c r="K294" s="21">
        <f t="shared" si="65"/>
        <v>1469004.7901981073</v>
      </c>
      <c r="L294" s="21">
        <f t="shared" si="66"/>
        <v>1.1245566106417322</v>
      </c>
      <c r="M294" s="21">
        <f t="shared" si="67"/>
        <v>1651979.0478816524</v>
      </c>
      <c r="N294" s="21"/>
      <c r="O294" s="21"/>
      <c r="P294" s="21">
        <f t="shared" si="68"/>
        <v>0</v>
      </c>
      <c r="Q294" s="21">
        <f t="shared" si="69"/>
        <v>210451.31344614833</v>
      </c>
      <c r="R294" s="21">
        <f t="shared" si="70"/>
        <v>1441527.7344355041</v>
      </c>
      <c r="S294" s="7">
        <f t="shared" si="64"/>
        <v>0</v>
      </c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65" outlineLevel="2">
      <c r="A295" s="18" t="s">
        <v>114</v>
      </c>
      <c r="B295" s="19" t="s">
        <v>52</v>
      </c>
      <c r="C295" s="20">
        <v>1005228.1599999999</v>
      </c>
      <c r="D295" s="20"/>
      <c r="E295" s="20">
        <v>47854.309999999998</v>
      </c>
      <c r="F295" s="20">
        <v>957373.84999999998</v>
      </c>
      <c r="G295" s="21"/>
      <c r="H295" s="21">
        <v>50</v>
      </c>
      <c r="I295" s="21">
        <v>23.347096000000001</v>
      </c>
      <c r="J295" s="22">
        <v>-0.14999999999999999</v>
      </c>
      <c r="K295" s="21">
        <f t="shared" si="65"/>
        <v>616221.74187126267</v>
      </c>
      <c r="L295" s="21">
        <f t="shared" si="66"/>
        <v>1.1245566106417322</v>
      </c>
      <c r="M295" s="21">
        <f t="shared" si="67"/>
        <v>692976.2334424915</v>
      </c>
      <c r="N295" s="21"/>
      <c r="O295" s="21"/>
      <c r="P295" s="21">
        <f t="shared" si="68"/>
        <v>0</v>
      </c>
      <c r="Q295" s="21">
        <f t="shared" si="69"/>
        <v>32989.425502951846</v>
      </c>
      <c r="R295" s="21">
        <f t="shared" si="70"/>
        <v>659986.80793953966</v>
      </c>
      <c r="S295" s="7">
        <f t="shared" si="64"/>
        <v>0</v>
      </c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65" outlineLevel="2">
      <c r="A296" s="18" t="s">
        <v>114</v>
      </c>
      <c r="B296" s="19" t="s">
        <v>51</v>
      </c>
      <c r="C296" s="20">
        <v>995065.21999999997</v>
      </c>
      <c r="D296" s="20"/>
      <c r="E296" s="20">
        <v>280452.27000000002</v>
      </c>
      <c r="F296" s="20">
        <v>714612.94999999995</v>
      </c>
      <c r="G296" s="21"/>
      <c r="H296" s="21">
        <v>50</v>
      </c>
      <c r="I296" s="21">
        <v>23.079222000000001</v>
      </c>
      <c r="J296" s="22">
        <v>-0.14999999999999999</v>
      </c>
      <c r="K296" s="21">
        <f t="shared" si="65"/>
        <v>616122.3873122466</v>
      </c>
      <c r="L296" s="21">
        <f t="shared" si="66"/>
        <v>1.1245566106417322</v>
      </c>
      <c r="M296" s="21">
        <f t="shared" si="67"/>
        <v>692864.50361635257</v>
      </c>
      <c r="N296" s="21"/>
      <c r="O296" s="21"/>
      <c r="P296" s="21">
        <f t="shared" si="68"/>
        <v>0</v>
      </c>
      <c r="Q296" s="21">
        <f t="shared" si="69"/>
        <v>195279.08215064468</v>
      </c>
      <c r="R296" s="21">
        <f t="shared" si="70"/>
        <v>497585.42146570794</v>
      </c>
      <c r="S296" s="7">
        <f t="shared" si="64"/>
        <v>0</v>
      </c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65" outlineLevel="2">
      <c r="A297" s="18" t="s">
        <v>114</v>
      </c>
      <c r="B297" s="19" t="s">
        <v>50</v>
      </c>
      <c r="C297" s="20">
        <v>1007852.86</v>
      </c>
      <c r="D297" s="20"/>
      <c r="E297" s="20">
        <v>86429.740000000005</v>
      </c>
      <c r="F297" s="20">
        <v>921423.12</v>
      </c>
      <c r="G297" s="21"/>
      <c r="H297" s="21">
        <v>50</v>
      </c>
      <c r="I297" s="21">
        <v>22.814302000000001</v>
      </c>
      <c r="J297" s="22">
        <v>-0.14999999999999999</v>
      </c>
      <c r="K297" s="21">
        <f t="shared" si="65"/>
        <v>630181.22004911455</v>
      </c>
      <c r="L297" s="21">
        <f t="shared" si="66"/>
        <v>1.1245566106417322</v>
      </c>
      <c r="M297" s="21">
        <f t="shared" si="67"/>
        <v>708674.4569085039</v>
      </c>
      <c r="N297" s="21"/>
      <c r="O297" s="21"/>
      <c r="P297" s="21">
        <f t="shared" si="68"/>
        <v>0</v>
      </c>
      <c r="Q297" s="21">
        <f t="shared" si="69"/>
        <v>60773.30480090437</v>
      </c>
      <c r="R297" s="21">
        <f t="shared" si="70"/>
        <v>647901.15210759954</v>
      </c>
      <c r="S297" s="7">
        <f t="shared" si="64"/>
        <v>0</v>
      </c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65" outlineLevel="2">
      <c r="A298" s="18" t="s">
        <v>114</v>
      </c>
      <c r="B298" s="19" t="s">
        <v>49</v>
      </c>
      <c r="C298" s="20">
        <v>1420805.1600000002</v>
      </c>
      <c r="D298" s="20"/>
      <c r="E298" s="20">
        <v>318074.56</v>
      </c>
      <c r="F298" s="20">
        <v>1102730.6000000001</v>
      </c>
      <c r="G298" s="21"/>
      <c r="H298" s="21">
        <v>50</v>
      </c>
      <c r="I298" s="21">
        <v>22.552329</v>
      </c>
      <c r="J298" s="22">
        <v>-0.14999999999999999</v>
      </c>
      <c r="K298" s="21">
        <f t="shared" si="65"/>
        <v>896949.22949599416</v>
      </c>
      <c r="L298" s="21">
        <f t="shared" si="66"/>
        <v>1.1245566106417322</v>
      </c>
      <c r="M298" s="21">
        <f t="shared" si="67"/>
        <v>1008670.1854397284</v>
      </c>
      <c r="N298" s="21"/>
      <c r="O298" s="21"/>
      <c r="P298" s="21">
        <f t="shared" si="68"/>
        <v>0</v>
      </c>
      <c r="Q298" s="21">
        <f t="shared" si="69"/>
        <v>225810.21976219455</v>
      </c>
      <c r="R298" s="21">
        <f t="shared" si="70"/>
        <v>782859.96567753388</v>
      </c>
      <c r="S298" s="7">
        <f t="shared" si="64"/>
        <v>0</v>
      </c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65" outlineLevel="2">
      <c r="A299" s="18" t="s">
        <v>114</v>
      </c>
      <c r="B299" s="19" t="s">
        <v>48</v>
      </c>
      <c r="C299" s="20">
        <v>2443138.4700000002</v>
      </c>
      <c r="D299" s="20"/>
      <c r="E299" s="20">
        <v>722028.59999999998</v>
      </c>
      <c r="F299" s="20">
        <v>1721109.8700000001</v>
      </c>
      <c r="G299" s="21"/>
      <c r="H299" s="21">
        <v>50</v>
      </c>
      <c r="I299" s="21">
        <v>22.293268999999999</v>
      </c>
      <c r="J299" s="22">
        <v>-0.14999999999999999</v>
      </c>
      <c r="K299" s="21">
        <f t="shared" si="65"/>
        <v>1556901.7488329562</v>
      </c>
      <c r="L299" s="21">
        <f t="shared" si="66"/>
        <v>1.1245566106417322</v>
      </c>
      <c r="M299" s="21">
        <f t="shared" si="67"/>
        <v>1750824.1537697746</v>
      </c>
      <c r="N299" s="21"/>
      <c r="O299" s="21"/>
      <c r="P299" s="21">
        <f t="shared" si="68"/>
        <v>0</v>
      </c>
      <c r="Q299" s="21">
        <f t="shared" si="69"/>
        <v>517426.71490600158</v>
      </c>
      <c r="R299" s="21">
        <f t="shared" si="70"/>
        <v>1233397.4388637729</v>
      </c>
      <c r="S299" s="7">
        <f t="shared" si="64"/>
        <v>0</v>
      </c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65" outlineLevel="2">
      <c r="A300" s="18" t="s">
        <v>114</v>
      </c>
      <c r="B300" s="19" t="s">
        <v>47</v>
      </c>
      <c r="C300" s="20">
        <v>1115924.1500000001</v>
      </c>
      <c r="D300" s="20"/>
      <c r="E300" s="20">
        <v>467114.34000000003</v>
      </c>
      <c r="F300" s="20">
        <v>648809.81000000006</v>
      </c>
      <c r="G300" s="21"/>
      <c r="H300" s="21">
        <v>50</v>
      </c>
      <c r="I300" s="21">
        <v>22.037091</v>
      </c>
      <c r="J300" s="22">
        <v>-0.14999999999999999</v>
      </c>
      <c r="K300" s="21">
        <f t="shared" si="71" ref="K300:K331">+C300*(1-I300/H300)*(1-J300)</f>
        <v>717703.16551910411</v>
      </c>
      <c r="L300" s="21">
        <f t="shared" si="72" ref="L300:L331">$L$338</f>
        <v>1.1245566106417322</v>
      </c>
      <c r="M300" s="21">
        <f t="shared" si="73" ref="M300:M331">IF((C300*(1-J300)-K300*L300)&lt;0,C300*(1-J300),K300*L300)</f>
        <v>807097.83926300576</v>
      </c>
      <c r="N300" s="21"/>
      <c r="O300" s="21"/>
      <c r="P300" s="21">
        <f t="shared" si="74" ref="P300:P331">+D300/$C300*$M300</f>
        <v>0</v>
      </c>
      <c r="Q300" s="21">
        <f t="shared" si="75" ref="Q300:Q331">+E300/$C300*$M300</f>
        <v>337842.83143506217</v>
      </c>
      <c r="R300" s="21">
        <f t="shared" si="76" ref="R300:R331">+F300/$C300*$M300</f>
        <v>469255.0078279436</v>
      </c>
      <c r="S300" s="7">
        <f t="shared" si="64"/>
        <v>0</v>
      </c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65" outlineLevel="2">
      <c r="A301" s="18" t="s">
        <v>114</v>
      </c>
      <c r="B301" s="19" t="s">
        <v>46</v>
      </c>
      <c r="C301" s="20">
        <v>1881355.0500000001</v>
      </c>
      <c r="D301" s="20"/>
      <c r="E301" s="20">
        <v>609909.95999999996</v>
      </c>
      <c r="F301" s="20">
        <v>1271445.0900000001</v>
      </c>
      <c r="G301" s="21"/>
      <c r="H301" s="21">
        <v>50</v>
      </c>
      <c r="I301" s="21">
        <v>21.783778999999999</v>
      </c>
      <c r="J301" s="22">
        <v>-0.14999999999999999</v>
      </c>
      <c r="K301" s="21">
        <f t="shared" si="71"/>
        <v>1220948.7870161191</v>
      </c>
      <c r="L301" s="21">
        <f t="shared" si="72"/>
        <v>1.1245566106417322</v>
      </c>
      <c r="M301" s="21">
        <f t="shared" si="73"/>
        <v>1373026.0296939809</v>
      </c>
      <c r="N301" s="21"/>
      <c r="O301" s="21"/>
      <c r="P301" s="21">
        <f t="shared" si="74"/>
        <v>0</v>
      </c>
      <c r="Q301" s="21">
        <f t="shared" si="75"/>
        <v>445116.54025624489</v>
      </c>
      <c r="R301" s="21">
        <f t="shared" si="76"/>
        <v>927909.48943773599</v>
      </c>
      <c r="S301" s="7">
        <f t="shared" si="64"/>
        <v>0</v>
      </c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65" outlineLevel="2">
      <c r="A302" s="18" t="s">
        <v>114</v>
      </c>
      <c r="B302" s="19" t="s">
        <v>45</v>
      </c>
      <c r="C302" s="20">
        <v>978866.27000000002</v>
      </c>
      <c r="D302" s="20"/>
      <c r="E302" s="20">
        <v>298208.53000000003</v>
      </c>
      <c r="F302" s="20">
        <v>680657.73999999999</v>
      </c>
      <c r="G302" s="21"/>
      <c r="H302" s="21">
        <v>50</v>
      </c>
      <c r="I302" s="21">
        <v>21.533311000000001</v>
      </c>
      <c r="J302" s="22">
        <v>-0.14999999999999999</v>
      </c>
      <c r="K302" s="21">
        <f t="shared" si="71"/>
        <v>640896.87865564064</v>
      </c>
      <c r="L302" s="21">
        <f t="shared" si="72"/>
        <v>1.1245566106417322</v>
      </c>
      <c r="M302" s="21">
        <f t="shared" si="73"/>
        <v>720724.82163185277</v>
      </c>
      <c r="N302" s="21"/>
      <c r="O302" s="21"/>
      <c r="P302" s="21">
        <f t="shared" si="74"/>
        <v>0</v>
      </c>
      <c r="Q302" s="21">
        <f t="shared" si="75"/>
        <v>219566.54977328726</v>
      </c>
      <c r="R302" s="21">
        <f t="shared" si="76"/>
        <v>501158.27185856557</v>
      </c>
      <c r="S302" s="7">
        <f t="shared" si="64"/>
        <v>0</v>
      </c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65" outlineLevel="2">
      <c r="A303" s="18" t="s">
        <v>114</v>
      </c>
      <c r="B303" s="19" t="s">
        <v>44</v>
      </c>
      <c r="C303" s="20">
        <v>1478536</v>
      </c>
      <c r="D303" s="20"/>
      <c r="E303" s="20">
        <v>270719.78999999998</v>
      </c>
      <c r="F303" s="20">
        <v>1207816.21</v>
      </c>
      <c r="G303" s="21"/>
      <c r="H303" s="21">
        <v>50</v>
      </c>
      <c r="I303" s="21">
        <v>21.285658999999999</v>
      </c>
      <c r="J303" s="22">
        <v>-0.14999999999999999</v>
      </c>
      <c r="K303" s="21">
        <f t="shared" si="71"/>
        <v>976469.2983498479</v>
      </c>
      <c r="L303" s="21">
        <f t="shared" si="72"/>
        <v>1.1245566106417322</v>
      </c>
      <c r="M303" s="21">
        <f t="shared" si="73"/>
        <v>1098095.0045480153</v>
      </c>
      <c r="N303" s="21"/>
      <c r="O303" s="21"/>
      <c r="P303" s="21">
        <f t="shared" si="74"/>
        <v>0</v>
      </c>
      <c r="Q303" s="21">
        <f t="shared" si="75"/>
        <v>201061.08274082452</v>
      </c>
      <c r="R303" s="21">
        <f t="shared" si="76"/>
        <v>897033.92180719075</v>
      </c>
      <c r="S303" s="7">
        <f t="shared" si="64"/>
        <v>0</v>
      </c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65" outlineLevel="2">
      <c r="A304" s="18" t="s">
        <v>114</v>
      </c>
      <c r="B304" s="19" t="s">
        <v>43</v>
      </c>
      <c r="C304" s="20">
        <v>1032212.0900000001</v>
      </c>
      <c r="D304" s="20"/>
      <c r="E304" s="20">
        <v>139777.70000000001</v>
      </c>
      <c r="F304" s="20">
        <v>892434.39000000001</v>
      </c>
      <c r="G304" s="21"/>
      <c r="H304" s="21">
        <v>50</v>
      </c>
      <c r="I304" s="21">
        <v>21.040803</v>
      </c>
      <c r="J304" s="22">
        <v>-0.14999999999999999</v>
      </c>
      <c r="K304" s="21">
        <f t="shared" si="71"/>
        <v>687516.76498210989</v>
      </c>
      <c r="L304" s="21">
        <f t="shared" si="72"/>
        <v>1.1245566106417322</v>
      </c>
      <c r="M304" s="21">
        <f t="shared" si="73"/>
        <v>773151.52298764989</v>
      </c>
      <c r="N304" s="21"/>
      <c r="O304" s="21"/>
      <c r="P304" s="21">
        <f t="shared" si="74"/>
        <v>0</v>
      </c>
      <c r="Q304" s="21">
        <f t="shared" si="75"/>
        <v>104696.83767675191</v>
      </c>
      <c r="R304" s="21">
        <f t="shared" si="76"/>
        <v>668454.68531089788</v>
      </c>
      <c r="S304" s="7">
        <f t="shared" si="64"/>
        <v>0</v>
      </c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65" outlineLevel="2">
      <c r="A305" s="18" t="s">
        <v>114</v>
      </c>
      <c r="B305" s="19" t="s">
        <v>42</v>
      </c>
      <c r="C305" s="20">
        <v>833173.1100000001</v>
      </c>
      <c r="D305" s="20"/>
      <c r="E305" s="20">
        <v>390700.96000000002</v>
      </c>
      <c r="F305" s="20">
        <v>442472.15000000002</v>
      </c>
      <c r="G305" s="21"/>
      <c r="H305" s="21">
        <v>50</v>
      </c>
      <c r="I305" s="21">
        <v>20.798734</v>
      </c>
      <c r="J305" s="22">
        <v>-0.14999999999999999</v>
      </c>
      <c r="K305" s="21">
        <f t="shared" si="71"/>
        <v>559583.32101061707</v>
      </c>
      <c r="L305" s="21">
        <f t="shared" si="72"/>
        <v>1.1245566106417322</v>
      </c>
      <c r="M305" s="21">
        <f t="shared" si="73"/>
        <v>629283.12284734391</v>
      </c>
      <c r="N305" s="21"/>
      <c r="O305" s="21"/>
      <c r="P305" s="21">
        <f t="shared" si="74"/>
        <v>0</v>
      </c>
      <c r="Q305" s="21">
        <f t="shared" si="75"/>
        <v>295090.56072183506</v>
      </c>
      <c r="R305" s="21">
        <f t="shared" si="76"/>
        <v>334192.56212550873</v>
      </c>
      <c r="S305" s="7">
        <f t="shared" si="64"/>
        <v>0</v>
      </c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65" outlineLevel="2">
      <c r="A306" s="18" t="s">
        <v>114</v>
      </c>
      <c r="B306" s="19" t="s">
        <v>41</v>
      </c>
      <c r="C306" s="20">
        <v>612665.75</v>
      </c>
      <c r="D306" s="20"/>
      <c r="E306" s="20">
        <v>230898.26000000001</v>
      </c>
      <c r="F306" s="20">
        <v>381767.48999999999</v>
      </c>
      <c r="G306" s="21"/>
      <c r="H306" s="21">
        <v>50</v>
      </c>
      <c r="I306" s="21">
        <v>20.559418000000001</v>
      </c>
      <c r="J306" s="22">
        <v>-0.14999999999999999</v>
      </c>
      <c r="K306" s="21">
        <f t="shared" si="71"/>
        <v>414856.43378372944</v>
      </c>
      <c r="L306" s="21">
        <f t="shared" si="72"/>
        <v>1.1245566106417322</v>
      </c>
      <c r="M306" s="21">
        <f t="shared" si="73"/>
        <v>466529.54507874697</v>
      </c>
      <c r="N306" s="21"/>
      <c r="O306" s="21"/>
      <c r="P306" s="21">
        <f t="shared" si="74"/>
        <v>0</v>
      </c>
      <c r="Q306" s="21">
        <f t="shared" si="75"/>
        <v>175823.21224464441</v>
      </c>
      <c r="R306" s="21">
        <f t="shared" si="76"/>
        <v>290706.33283410256</v>
      </c>
      <c r="S306" s="7">
        <f t="shared" si="64"/>
        <v>0</v>
      </c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65" outlineLevel="2">
      <c r="A307" s="18" t="s">
        <v>114</v>
      </c>
      <c r="B307" s="19" t="s">
        <v>40</v>
      </c>
      <c r="C307" s="20">
        <v>809640.75</v>
      </c>
      <c r="D307" s="20"/>
      <c r="E307" s="20">
        <v>70356.089999999997</v>
      </c>
      <c r="F307" s="20">
        <v>739284.66000000003</v>
      </c>
      <c r="G307" s="21"/>
      <c r="H307" s="21">
        <v>50</v>
      </c>
      <c r="I307" s="21">
        <v>20.322841</v>
      </c>
      <c r="J307" s="22">
        <v>-0.14999999999999999</v>
      </c>
      <c r="K307" s="21">
        <f t="shared" si="71"/>
        <v>552640.25722447271</v>
      </c>
      <c r="L307" s="21">
        <f t="shared" si="72"/>
        <v>1.1245566106417322</v>
      </c>
      <c r="M307" s="21">
        <f t="shared" si="73"/>
        <v>621475.25456852803</v>
      </c>
      <c r="N307" s="21"/>
      <c r="O307" s="21"/>
      <c r="P307" s="21">
        <f t="shared" si="74"/>
        <v>0</v>
      </c>
      <c r="Q307" s="21">
        <f t="shared" si="75"/>
        <v>54004.901486488008</v>
      </c>
      <c r="R307" s="21">
        <f t="shared" si="76"/>
        <v>567470.35308203998</v>
      </c>
      <c r="S307" s="7">
        <f t="shared" si="64"/>
        <v>0</v>
      </c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65" outlineLevel="2">
      <c r="A308" s="18" t="s">
        <v>114</v>
      </c>
      <c r="B308" s="19" t="s">
        <v>39</v>
      </c>
      <c r="C308" s="20">
        <v>793686.72999999998</v>
      </c>
      <c r="D308" s="20"/>
      <c r="E308" s="20">
        <v>103914.12</v>
      </c>
      <c r="F308" s="20">
        <v>689772.60999999999</v>
      </c>
      <c r="G308" s="21"/>
      <c r="H308" s="21">
        <v>50</v>
      </c>
      <c r="I308" s="21">
        <v>20.088996999999999</v>
      </c>
      <c r="J308" s="22">
        <v>-0.14999999999999999</v>
      </c>
      <c r="K308" s="21">
        <f t="shared" si="71"/>
        <v>546019.22172807436</v>
      </c>
      <c r="L308" s="21">
        <f t="shared" si="72"/>
        <v>1.1245566106417322</v>
      </c>
      <c r="M308" s="21">
        <f t="shared" si="73"/>
        <v>614029.52533175971</v>
      </c>
      <c r="N308" s="21"/>
      <c r="O308" s="21"/>
      <c r="P308" s="21">
        <f t="shared" si="74"/>
        <v>0</v>
      </c>
      <c r="Q308" s="21">
        <f t="shared" si="75"/>
        <v>80392.345452049471</v>
      </c>
      <c r="R308" s="21">
        <f t="shared" si="76"/>
        <v>533637.17987971019</v>
      </c>
      <c r="S308" s="7">
        <f t="shared" si="64"/>
        <v>0</v>
      </c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65" outlineLevel="2">
      <c r="A309" s="18" t="s">
        <v>114</v>
      </c>
      <c r="B309" s="19" t="s">
        <v>38</v>
      </c>
      <c r="C309" s="20">
        <v>316550.28999999998</v>
      </c>
      <c r="D309" s="20"/>
      <c r="E309" s="20">
        <v>27701.860000000001</v>
      </c>
      <c r="F309" s="20">
        <v>288848.42999999999</v>
      </c>
      <c r="G309" s="21"/>
      <c r="H309" s="21">
        <v>50</v>
      </c>
      <c r="I309" s="21">
        <v>19.857866000000001</v>
      </c>
      <c r="J309" s="22">
        <v>-0.14999999999999999</v>
      </c>
      <c r="K309" s="21">
        <f t="shared" si="71"/>
        <v>219454.52895513372</v>
      </c>
      <c r="L309" s="21">
        <f t="shared" si="72"/>
        <v>1.1245566106417322</v>
      </c>
      <c r="M309" s="21">
        <f t="shared" si="73"/>
        <v>246789.04127176304</v>
      </c>
      <c r="N309" s="21"/>
      <c r="O309" s="21"/>
      <c r="P309" s="21">
        <f t="shared" si="74"/>
        <v>0</v>
      </c>
      <c r="Q309" s="21">
        <f t="shared" si="75"/>
        <v>21596.933210342668</v>
      </c>
      <c r="R309" s="21">
        <f t="shared" si="76"/>
        <v>225192.10806142038</v>
      </c>
      <c r="S309" s="7">
        <f t="shared" si="64"/>
        <v>0</v>
      </c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65" outlineLevel="2">
      <c r="A310" s="18" t="s">
        <v>114</v>
      </c>
      <c r="B310" s="19" t="s">
        <v>37</v>
      </c>
      <c r="C310" s="20">
        <v>8204.8899999999994</v>
      </c>
      <c r="D310" s="20"/>
      <c r="E310" s="20">
        <v>5428.2399999999998</v>
      </c>
      <c r="F310" s="20">
        <v>2776.6500000000001</v>
      </c>
      <c r="G310" s="21"/>
      <c r="H310" s="21">
        <v>50</v>
      </c>
      <c r="I310" s="21">
        <v>19.629427</v>
      </c>
      <c r="J310" s="22">
        <v>-0.14999999999999999</v>
      </c>
      <c r="K310" s="21">
        <f t="shared" si="71"/>
        <v>5731.3058461453093</v>
      </c>
      <c r="L310" s="21">
        <f t="shared" si="72"/>
        <v>1.1245566106417322</v>
      </c>
      <c r="M310" s="21">
        <f t="shared" si="73"/>
        <v>6445.1778768923141</v>
      </c>
      <c r="N310" s="21"/>
      <c r="O310" s="21"/>
      <c r="P310" s="21">
        <f t="shared" si="74"/>
        <v>0</v>
      </c>
      <c r="Q310" s="21">
        <f t="shared" si="75"/>
        <v>4264.0391715747483</v>
      </c>
      <c r="R310" s="21">
        <f t="shared" si="76"/>
        <v>2181.1387053175663</v>
      </c>
      <c r="S310" s="7">
        <f t="shared" si="77" ref="S310:S373">+M310-P310-Q310-R310</f>
        <v>0</v>
      </c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65" outlineLevel="2">
      <c r="A311" s="18" t="s">
        <v>114</v>
      </c>
      <c r="B311" s="19" t="s">
        <v>36</v>
      </c>
      <c r="C311" s="20">
        <v>59814.289999999994</v>
      </c>
      <c r="D311" s="20"/>
      <c r="E311" s="20">
        <v>10223.77</v>
      </c>
      <c r="F311" s="20">
        <v>49590.519999999997</v>
      </c>
      <c r="G311" s="21"/>
      <c r="H311" s="21">
        <v>50</v>
      </c>
      <c r="I311" s="21">
        <v>19.403661</v>
      </c>
      <c r="J311" s="22">
        <v>-0.14999999999999999</v>
      </c>
      <c r="K311" s="21">
        <f t="shared" si="71"/>
        <v>42092.260759339122</v>
      </c>
      <c r="L311" s="21">
        <f t="shared" si="72"/>
        <v>1.1245566106417322</v>
      </c>
      <c r="M311" s="21">
        <f t="shared" si="73"/>
        <v>47335.130093770385</v>
      </c>
      <c r="N311" s="21"/>
      <c r="O311" s="21"/>
      <c r="P311" s="21">
        <f t="shared" si="74"/>
        <v>0</v>
      </c>
      <c r="Q311" s="21">
        <f t="shared" si="75"/>
        <v>8090.7669889383778</v>
      </c>
      <c r="R311" s="21">
        <f t="shared" si="76"/>
        <v>39244.363104832009</v>
      </c>
      <c r="S311" s="7">
        <f t="shared" si="77"/>
        <v>0</v>
      </c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65" outlineLevel="2">
      <c r="A312" s="18" t="s">
        <v>114</v>
      </c>
      <c r="B312" s="19" t="s">
        <v>35</v>
      </c>
      <c r="C312" s="20">
        <v>24935.630000000001</v>
      </c>
      <c r="D312" s="20"/>
      <c r="E312" s="20">
        <v>2488.27</v>
      </c>
      <c r="F312" s="20">
        <v>22447.360000000001</v>
      </c>
      <c r="G312" s="21"/>
      <c r="H312" s="21">
        <v>50</v>
      </c>
      <c r="I312" s="21">
        <v>19.180582999999999</v>
      </c>
      <c r="J312" s="22">
        <v>-0.14999999999999999</v>
      </c>
      <c r="K312" s="21">
        <f t="shared" si="71"/>
        <v>17675.536319937331</v>
      </c>
      <c r="L312" s="21">
        <f t="shared" si="72"/>
        <v>1.1245566106417322</v>
      </c>
      <c r="M312" s="21">
        <f t="shared" si="73"/>
        <v>19877.141215223561</v>
      </c>
      <c r="N312" s="21"/>
      <c r="O312" s="21"/>
      <c r="P312" s="21">
        <f t="shared" si="74"/>
        <v>0</v>
      </c>
      <c r="Q312" s="21">
        <f t="shared" si="75"/>
        <v>1983.4948694540433</v>
      </c>
      <c r="R312" s="21">
        <f t="shared" si="76"/>
        <v>17893.646345769517</v>
      </c>
      <c r="S312" s="7">
        <f t="shared" si="77"/>
        <v>0</v>
      </c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65" outlineLevel="2">
      <c r="A313" s="18" t="s">
        <v>114</v>
      </c>
      <c r="B313" s="19" t="s">
        <v>34</v>
      </c>
      <c r="C313" s="20">
        <v>12426.35</v>
      </c>
      <c r="D313" s="20"/>
      <c r="E313" s="20">
        <v>4454.25</v>
      </c>
      <c r="F313" s="20">
        <v>7972.1000000000004</v>
      </c>
      <c r="G313" s="21"/>
      <c r="H313" s="21">
        <v>50</v>
      </c>
      <c r="I313" s="21">
        <v>18.960156000000001</v>
      </c>
      <c r="J313" s="22">
        <v>-0.14999999999999999</v>
      </c>
      <c r="K313" s="21">
        <f t="shared" si="71"/>
        <v>8871.3752062561998</v>
      </c>
      <c r="L313" s="21">
        <f t="shared" si="72"/>
        <v>1.1245566106417322</v>
      </c>
      <c r="M313" s="21">
        <f t="shared" si="73"/>
        <v>9976.3636336785694</v>
      </c>
      <c r="N313" s="21"/>
      <c r="O313" s="21"/>
      <c r="P313" s="21">
        <f t="shared" si="74"/>
        <v>0</v>
      </c>
      <c r="Q313" s="21">
        <f t="shared" si="75"/>
        <v>3576.0474890303881</v>
      </c>
      <c r="R313" s="21">
        <f t="shared" si="76"/>
        <v>6400.3161446481809</v>
      </c>
      <c r="S313" s="7">
        <f t="shared" si="77"/>
        <v>0</v>
      </c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65" outlineLevel="2">
      <c r="A314" s="18" t="s">
        <v>114</v>
      </c>
      <c r="B314" s="19" t="s">
        <v>33</v>
      </c>
      <c r="C314" s="20">
        <v>70962.399999999994</v>
      </c>
      <c r="D314" s="20"/>
      <c r="E314" s="20">
        <v>1484.2000000000001</v>
      </c>
      <c r="F314" s="20">
        <v>69478.199999999997</v>
      </c>
      <c r="G314" s="21"/>
      <c r="H314" s="21">
        <v>50</v>
      </c>
      <c r="I314" s="21">
        <v>18.742391000000001</v>
      </c>
      <c r="J314" s="22">
        <v>-0.14999999999999999</v>
      </c>
      <c r="K314" s="21">
        <f t="shared" si="71"/>
        <v>51016.643916736786</v>
      </c>
      <c r="L314" s="21">
        <f t="shared" si="72"/>
        <v>1.1245566106417322</v>
      </c>
      <c r="M314" s="21">
        <f t="shared" si="73"/>
        <v>57371.104169321661</v>
      </c>
      <c r="N314" s="21"/>
      <c r="O314" s="21"/>
      <c r="P314" s="21">
        <f t="shared" si="74"/>
        <v>0</v>
      </c>
      <c r="Q314" s="21">
        <f t="shared" si="75"/>
        <v>1199.9339482332507</v>
      </c>
      <c r="R314" s="21">
        <f t="shared" si="76"/>
        <v>56171.17022108841</v>
      </c>
      <c r="S314" s="7">
        <f t="shared" si="77"/>
        <v>0</v>
      </c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65" outlineLevel="2">
      <c r="A315" s="18" t="s">
        <v>114</v>
      </c>
      <c r="B315" s="19" t="s">
        <v>32</v>
      </c>
      <c r="C315" s="20">
        <v>27428.18</v>
      </c>
      <c r="D315" s="20"/>
      <c r="E315" s="20">
        <v>1113.5999999999999</v>
      </c>
      <c r="F315" s="20">
        <v>26314.580000000002</v>
      </c>
      <c r="G315" s="21"/>
      <c r="H315" s="21">
        <v>50</v>
      </c>
      <c r="I315" s="21">
        <v>18.527266999999998</v>
      </c>
      <c r="J315" s="22">
        <v>-0.14999999999999999</v>
      </c>
      <c r="K315" s="21">
        <f t="shared" si="71"/>
        <v>19854.515073766619</v>
      </c>
      <c r="L315" s="21">
        <f t="shared" si="72"/>
        <v>1.1245566106417322</v>
      </c>
      <c r="M315" s="21">
        <f t="shared" si="73"/>
        <v>22327.526177290169</v>
      </c>
      <c r="N315" s="21"/>
      <c r="O315" s="21"/>
      <c r="P315" s="21">
        <f t="shared" si="74"/>
        <v>0</v>
      </c>
      <c r="Q315" s="21">
        <f t="shared" si="75"/>
        <v>906.51049945823343</v>
      </c>
      <c r="R315" s="21">
        <f t="shared" si="76"/>
        <v>21421.015677831936</v>
      </c>
      <c r="S315" s="7">
        <f t="shared" si="77"/>
        <v>0</v>
      </c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65" outlineLevel="2">
      <c r="A316" s="18" t="s">
        <v>114</v>
      </c>
      <c r="B316" s="19" t="s">
        <v>31</v>
      </c>
      <c r="C316" s="20">
        <v>1337125.1400000001</v>
      </c>
      <c r="D316" s="20"/>
      <c r="E316" s="20">
        <v>189635.34</v>
      </c>
      <c r="F316" s="20">
        <v>1147489.8000000001</v>
      </c>
      <c r="G316" s="21"/>
      <c r="H316" s="21">
        <v>50</v>
      </c>
      <c r="I316" s="21">
        <v>18.314778</v>
      </c>
      <c r="J316" s="22">
        <v>-0.14999999999999999</v>
      </c>
      <c r="K316" s="21">
        <f t="shared" si="71"/>
        <v>974443.45876166492</v>
      </c>
      <c r="L316" s="21">
        <f t="shared" si="72"/>
        <v>1.1245566106417322</v>
      </c>
      <c r="M316" s="21">
        <f t="shared" si="73"/>
        <v>1095816.8332470243</v>
      </c>
      <c r="N316" s="21"/>
      <c r="O316" s="21"/>
      <c r="P316" s="21">
        <f t="shared" si="74"/>
        <v>0</v>
      </c>
      <c r="Q316" s="21">
        <f t="shared" si="75"/>
        <v>155412.2284698968</v>
      </c>
      <c r="R316" s="21">
        <f t="shared" si="76"/>
        <v>940404.60477712739</v>
      </c>
      <c r="S316" s="7">
        <f t="shared" si="77"/>
        <v>0</v>
      </c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65" outlineLevel="2">
      <c r="A317" s="18" t="s">
        <v>114</v>
      </c>
      <c r="B317" s="19" t="s">
        <v>30</v>
      </c>
      <c r="C317" s="20">
        <v>412.14999999999998</v>
      </c>
      <c r="D317" s="20"/>
      <c r="E317" s="20">
        <v>117.77</v>
      </c>
      <c r="F317" s="20">
        <v>294.38</v>
      </c>
      <c r="G317" s="21"/>
      <c r="H317" s="21">
        <v>50</v>
      </c>
      <c r="I317" s="21">
        <v>18.104921000000001</v>
      </c>
      <c r="J317" s="22">
        <v>-0.14999999999999999</v>
      </c>
      <c r="K317" s="21">
        <f t="shared" si="71"/>
        <v>302.34780662654993</v>
      </c>
      <c r="L317" s="21">
        <f t="shared" si="72"/>
        <v>1.1245566106417322</v>
      </c>
      <c r="M317" s="21">
        <f t="shared" si="73"/>
        <v>340.00722465491486</v>
      </c>
      <c r="N317" s="21"/>
      <c r="O317" s="21"/>
      <c r="P317" s="21">
        <f t="shared" si="74"/>
        <v>0</v>
      </c>
      <c r="Q317" s="21">
        <f t="shared" si="75"/>
        <v>97.155527957319734</v>
      </c>
      <c r="R317" s="21">
        <f t="shared" si="76"/>
        <v>242.85169669759515</v>
      </c>
      <c r="S317" s="7">
        <f t="shared" si="77"/>
        <v>0</v>
      </c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65" outlineLevel="2">
      <c r="A318" s="18" t="s">
        <v>114</v>
      </c>
      <c r="B318" s="19" t="s">
        <v>29</v>
      </c>
      <c r="C318" s="20">
        <v>41144.290000000001</v>
      </c>
      <c r="D318" s="20"/>
      <c r="E318" s="20">
        <v>98.540000000000006</v>
      </c>
      <c r="F318" s="20">
        <v>41045.75</v>
      </c>
      <c r="G318" s="21"/>
      <c r="H318" s="21">
        <v>50</v>
      </c>
      <c r="I318" s="21">
        <v>17.897684000000002</v>
      </c>
      <c r="J318" s="22">
        <v>-0.14999999999999999</v>
      </c>
      <c r="K318" s="21">
        <f t="shared" si="71"/>
        <v>30379.020981039714</v>
      </c>
      <c r="L318" s="21">
        <f t="shared" si="72"/>
        <v>1.1245566106417322</v>
      </c>
      <c r="M318" s="21">
        <f t="shared" si="73"/>
        <v>34162.928869052092</v>
      </c>
      <c r="N318" s="21"/>
      <c r="O318" s="21"/>
      <c r="P318" s="21">
        <f t="shared" si="74"/>
        <v>0</v>
      </c>
      <c r="Q318" s="21">
        <f t="shared" si="75"/>
        <v>81.819737580995891</v>
      </c>
      <c r="R318" s="21">
        <f t="shared" si="76"/>
        <v>34081.109131471094</v>
      </c>
      <c r="S318" s="7">
        <f t="shared" si="77"/>
        <v>0</v>
      </c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65" outlineLevel="2">
      <c r="A319" s="18" t="s">
        <v>114</v>
      </c>
      <c r="B319" s="19" t="s">
        <v>28</v>
      </c>
      <c r="C319" s="20">
        <v>659.88</v>
      </c>
      <c r="D319" s="20"/>
      <c r="E319" s="20">
        <v>202.47999999999999</v>
      </c>
      <c r="F319" s="20">
        <v>457.39999999999998</v>
      </c>
      <c r="G319" s="21"/>
      <c r="H319" s="21">
        <v>50</v>
      </c>
      <c r="I319" s="21">
        <v>17.693072999999998</v>
      </c>
      <c r="J319" s="22">
        <v>-0.14999999999999999</v>
      </c>
      <c r="K319" s="21">
        <f t="shared" si="71"/>
        <v>490.32998474147996</v>
      </c>
      <c r="L319" s="21">
        <f t="shared" si="72"/>
        <v>1.1245566106417322</v>
      </c>
      <c r="M319" s="21">
        <f t="shared" si="73"/>
        <v>551.40382573689101</v>
      </c>
      <c r="N319" s="21"/>
      <c r="O319" s="21"/>
      <c r="P319" s="21">
        <f t="shared" si="74"/>
        <v>0</v>
      </c>
      <c r="Q319" s="21">
        <f t="shared" si="75"/>
        <v>169.19477273929456</v>
      </c>
      <c r="R319" s="21">
        <f t="shared" si="76"/>
        <v>382.20905299759642</v>
      </c>
      <c r="S319" s="7">
        <f t="shared" si="77"/>
        <v>0</v>
      </c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65" outlineLevel="2">
      <c r="A320" s="18" t="s">
        <v>114</v>
      </c>
      <c r="B320" s="19" t="s">
        <v>117</v>
      </c>
      <c r="C320" s="20">
        <v>249.81999999999999</v>
      </c>
      <c r="D320" s="20"/>
      <c r="E320" s="20">
        <v>212.84999999999999</v>
      </c>
      <c r="F320" s="20">
        <f>+C320-212.85</f>
        <v>36.969999999999999</v>
      </c>
      <c r="G320" s="21"/>
      <c r="H320" s="21">
        <v>50</v>
      </c>
      <c r="I320" s="21">
        <v>17.291722</v>
      </c>
      <c r="J320" s="22">
        <v>-0.14999999999999999</v>
      </c>
      <c r="K320" s="21">
        <f t="shared" si="71"/>
        <v>187.93718622908</v>
      </c>
      <c r="L320" s="21">
        <f t="shared" si="72"/>
        <v>1.1245566106417322</v>
      </c>
      <c r="M320" s="21">
        <f t="shared" si="73"/>
        <v>211.34600515931822</v>
      </c>
      <c r="N320" s="21"/>
      <c r="O320" s="21"/>
      <c r="P320" s="21">
        <f t="shared" si="74"/>
        <v>0</v>
      </c>
      <c r="Q320" s="21">
        <f t="shared" si="75"/>
        <v>180.06963893267508</v>
      </c>
      <c r="R320" s="21">
        <f t="shared" si="76"/>
        <v>31.276366226643162</v>
      </c>
      <c r="S320" s="7">
        <f t="shared" si="77"/>
        <v>0</v>
      </c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65" outlineLevel="2">
      <c r="A321" s="18" t="s">
        <v>114</v>
      </c>
      <c r="B321" s="19" t="s">
        <v>27</v>
      </c>
      <c r="C321" s="20">
        <v>27.280000000000001</v>
      </c>
      <c r="D321" s="20"/>
      <c r="E321" s="20"/>
      <c r="F321" s="20">
        <v>27.280000000000001</v>
      </c>
      <c r="G321" s="21"/>
      <c r="H321" s="21">
        <v>50</v>
      </c>
      <c r="I321" s="21">
        <v>17.094985000000001</v>
      </c>
      <c r="J321" s="22">
        <v>-0.14999999999999999</v>
      </c>
      <c r="K321" s="21">
        <f t="shared" si="71"/>
        <v>20.6459226116</v>
      </c>
      <c r="L321" s="21">
        <f t="shared" si="72"/>
        <v>1.1245566106417322</v>
      </c>
      <c r="M321" s="21">
        <f t="shared" si="73"/>
        <v>23.217508755672394</v>
      </c>
      <c r="N321" s="21"/>
      <c r="O321" s="21"/>
      <c r="P321" s="21">
        <f t="shared" si="74"/>
        <v>0</v>
      </c>
      <c r="Q321" s="21">
        <f t="shared" si="75"/>
        <v>0</v>
      </c>
      <c r="R321" s="21">
        <f t="shared" si="76"/>
        <v>23.217508755672394</v>
      </c>
      <c r="S321" s="7">
        <f t="shared" si="77"/>
        <v>0</v>
      </c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65" outlineLevel="2">
      <c r="A322" s="18" t="s">
        <v>114</v>
      </c>
      <c r="B322" s="19" t="s">
        <v>25</v>
      </c>
      <c r="C322" s="20">
        <v>1550</v>
      </c>
      <c r="D322" s="20"/>
      <c r="E322" s="20">
        <v>55.539999999999999</v>
      </c>
      <c r="F322" s="20">
        <v>1494.46</v>
      </c>
      <c r="G322" s="21"/>
      <c r="H322" s="21">
        <v>50</v>
      </c>
      <c r="I322" s="21">
        <v>16.70936</v>
      </c>
      <c r="J322" s="22">
        <v>-0.14999999999999999</v>
      </c>
      <c r="K322" s="21">
        <f t="shared" si="71"/>
        <v>1186.8113159999998</v>
      </c>
      <c r="L322" s="21">
        <f t="shared" si="72"/>
        <v>1.1245566106417322</v>
      </c>
      <c r="M322" s="21">
        <f t="shared" si="73"/>
        <v>1334.6365109922135</v>
      </c>
      <c r="N322" s="21"/>
      <c r="O322" s="21"/>
      <c r="P322" s="21">
        <f t="shared" si="74"/>
        <v>0</v>
      </c>
      <c r="Q322" s="21">
        <f t="shared" si="75"/>
        <v>47.823039884198408</v>
      </c>
      <c r="R322" s="21">
        <f t="shared" si="76"/>
        <v>1286.8134711080152</v>
      </c>
      <c r="S322" s="7">
        <f t="shared" si="77"/>
        <v>0</v>
      </c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65" outlineLevel="2">
      <c r="A323" s="18" t="s">
        <v>114</v>
      </c>
      <c r="B323" s="19" t="s">
        <v>24</v>
      </c>
      <c r="C323" s="20">
        <v>104.61</v>
      </c>
      <c r="D323" s="20"/>
      <c r="E323" s="20"/>
      <c r="F323" s="20">
        <v>104.61</v>
      </c>
      <c r="G323" s="21"/>
      <c r="H323" s="21">
        <v>50</v>
      </c>
      <c r="I323" s="21">
        <v>16.520492999999998</v>
      </c>
      <c r="J323" s="22">
        <v>-0.14999999999999999</v>
      </c>
      <c r="K323" s="21">
        <f t="shared" si="71"/>
        <v>80.552698227210001</v>
      </c>
      <c r="L323" s="21">
        <f t="shared" si="72"/>
        <v>1.1245566106417322</v>
      </c>
      <c r="M323" s="21">
        <f t="shared" si="73"/>
        <v>90.586069296437543</v>
      </c>
      <c r="N323" s="21"/>
      <c r="O323" s="21"/>
      <c r="P323" s="21">
        <f t="shared" si="74"/>
        <v>0</v>
      </c>
      <c r="Q323" s="21">
        <f t="shared" si="75"/>
        <v>0</v>
      </c>
      <c r="R323" s="21">
        <f t="shared" si="76"/>
        <v>90.586069296437543</v>
      </c>
      <c r="S323" s="7">
        <f t="shared" si="77"/>
        <v>0</v>
      </c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65" outlineLevel="2">
      <c r="A324" s="18" t="s">
        <v>114</v>
      </c>
      <c r="B324" s="19" t="s">
        <v>23</v>
      </c>
      <c r="C324" s="20">
        <v>353.77999999999997</v>
      </c>
      <c r="D324" s="20"/>
      <c r="E324" s="20">
        <v>134.81999999999999</v>
      </c>
      <c r="F324" s="20">
        <v>218.96000000000001</v>
      </c>
      <c r="G324" s="21"/>
      <c r="H324" s="21">
        <v>50</v>
      </c>
      <c r="I324" s="21">
        <v>16.334257000000001</v>
      </c>
      <c r="J324" s="22">
        <v>-0.14999999999999999</v>
      </c>
      <c r="K324" s="21">
        <f t="shared" si="71"/>
        <v>273.93613084641993</v>
      </c>
      <c r="L324" s="21">
        <f t="shared" si="72"/>
        <v>1.1245566106417322</v>
      </c>
      <c r="M324" s="21">
        <f t="shared" si="73"/>
        <v>308.05668683696007</v>
      </c>
      <c r="N324" s="21"/>
      <c r="O324" s="21"/>
      <c r="P324" s="21">
        <f t="shared" si="74"/>
        <v>0</v>
      </c>
      <c r="Q324" s="21">
        <f t="shared" si="75"/>
        <v>117.39556368183322</v>
      </c>
      <c r="R324" s="21">
        <f t="shared" si="76"/>
        <v>190.66112315512689</v>
      </c>
      <c r="S324" s="7">
        <f t="shared" si="77"/>
        <v>0</v>
      </c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65" outlineLevel="2">
      <c r="A325" s="18" t="s">
        <v>114</v>
      </c>
      <c r="B325" s="19" t="s">
        <v>22</v>
      </c>
      <c r="C325" s="20">
        <v>23576.379999999997</v>
      </c>
      <c r="D325" s="20"/>
      <c r="E325" s="20">
        <v>3281.6199999999999</v>
      </c>
      <c r="F325" s="20">
        <v>20294.759999999998</v>
      </c>
      <c r="G325" s="21"/>
      <c r="H325" s="21">
        <v>50</v>
      </c>
      <c r="I325" s="21">
        <v>16.150668</v>
      </c>
      <c r="J325" s="22">
        <v>-0.14999999999999999</v>
      </c>
      <c r="K325" s="21">
        <f t="shared" si="71"/>
        <v>18355.028421497675</v>
      </c>
      <c r="L325" s="21">
        <f t="shared" si="72"/>
        <v>1.1245566106417322</v>
      </c>
      <c r="M325" s="21">
        <f t="shared" si="73"/>
        <v>20641.268549912089</v>
      </c>
      <c r="N325" s="21"/>
      <c r="O325" s="21"/>
      <c r="P325" s="21">
        <f t="shared" si="74"/>
        <v>0</v>
      </c>
      <c r="Q325" s="21">
        <f t="shared" si="75"/>
        <v>2873.0788907695969</v>
      </c>
      <c r="R325" s="21">
        <f t="shared" si="76"/>
        <v>17768.189659142492</v>
      </c>
      <c r="S325" s="7">
        <f t="shared" si="77"/>
        <v>0</v>
      </c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65" outlineLevel="2">
      <c r="A326" s="18" t="s">
        <v>114</v>
      </c>
      <c r="B326" s="19" t="s">
        <v>21</v>
      </c>
      <c r="C326" s="20">
        <v>53637.159999999996</v>
      </c>
      <c r="D326" s="20"/>
      <c r="E326" s="20">
        <v>3144.3200000000002</v>
      </c>
      <c r="F326" s="20">
        <v>50492.839999999997</v>
      </c>
      <c r="G326" s="21"/>
      <c r="H326" s="21">
        <v>50</v>
      </c>
      <c r="I326" s="21">
        <v>15.969739000000001</v>
      </c>
      <c r="J326" s="22">
        <v>-0.14999999999999999</v>
      </c>
      <c r="K326" s="21">
        <f t="shared" si="71"/>
        <v>41981.590744271474</v>
      </c>
      <c r="L326" s="21">
        <f t="shared" si="72"/>
        <v>1.1245566106417322</v>
      </c>
      <c r="M326" s="21">
        <f t="shared" si="73"/>
        <v>47210.675396726241</v>
      </c>
      <c r="N326" s="21"/>
      <c r="O326" s="21"/>
      <c r="P326" s="21">
        <f t="shared" si="74"/>
        <v>0</v>
      </c>
      <c r="Q326" s="21">
        <f t="shared" si="75"/>
        <v>2767.5863312568054</v>
      </c>
      <c r="R326" s="21">
        <f t="shared" si="76"/>
        <v>44443.089065469438</v>
      </c>
      <c r="S326" s="7">
        <f t="shared" si="77"/>
        <v>0</v>
      </c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65" outlineLevel="2">
      <c r="A327" s="18" t="s">
        <v>114</v>
      </c>
      <c r="B327" s="19" t="s">
        <v>20</v>
      </c>
      <c r="C327" s="20">
        <v>385354.17999999999</v>
      </c>
      <c r="D327" s="20"/>
      <c r="E327" s="20">
        <v>153959.94</v>
      </c>
      <c r="F327" s="20">
        <v>231394.23999999999</v>
      </c>
      <c r="G327" s="21"/>
      <c r="H327" s="21">
        <v>50</v>
      </c>
      <c r="I327" s="21">
        <v>15.791441000000001</v>
      </c>
      <c r="J327" s="22">
        <v>-0.14999999999999999</v>
      </c>
      <c r="K327" s="21">
        <f t="shared" si="71"/>
        <v>303195.45765581221</v>
      </c>
      <c r="L327" s="21">
        <f t="shared" si="72"/>
        <v>1.1245566106417322</v>
      </c>
      <c r="M327" s="21">
        <f t="shared" si="73"/>
        <v>340960.45622338902</v>
      </c>
      <c r="N327" s="21"/>
      <c r="O327" s="21"/>
      <c r="P327" s="21">
        <f t="shared" si="74"/>
        <v>0</v>
      </c>
      <c r="Q327" s="21">
        <f t="shared" si="75"/>
        <v>136223.38645068181</v>
      </c>
      <c r="R327" s="21">
        <f t="shared" si="76"/>
        <v>204737.06977270721</v>
      </c>
      <c r="S327" s="7">
        <f t="shared" si="77"/>
        <v>0</v>
      </c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65" outlineLevel="2">
      <c r="A328" s="18" t="s">
        <v>114</v>
      </c>
      <c r="B328" s="19" t="s">
        <v>19</v>
      </c>
      <c r="C328" s="20">
        <v>16912.950000000001</v>
      </c>
      <c r="D328" s="20"/>
      <c r="E328" s="20">
        <v>1151.0899999999999</v>
      </c>
      <c r="F328" s="20">
        <v>15761.860000000001</v>
      </c>
      <c r="G328" s="21"/>
      <c r="H328" s="21">
        <v>50</v>
      </c>
      <c r="I328" s="21">
        <v>15.615835000000001</v>
      </c>
      <c r="J328" s="22">
        <v>-0.14999999999999999</v>
      </c>
      <c r="K328" s="21">
        <f t="shared" si="71"/>
        <v>13375.36625904525</v>
      </c>
      <c r="L328" s="21">
        <f t="shared" si="72"/>
        <v>1.1245566106417322</v>
      </c>
      <c r="M328" s="21">
        <f t="shared" si="73"/>
        <v>15041.356546363712</v>
      </c>
      <c r="N328" s="21"/>
      <c r="O328" s="21"/>
      <c r="P328" s="21">
        <f t="shared" si="74"/>
        <v>0</v>
      </c>
      <c r="Q328" s="21">
        <f t="shared" si="75"/>
        <v>1023.7099445663708</v>
      </c>
      <c r="R328" s="21">
        <f t="shared" si="76"/>
        <v>14017.646601797342</v>
      </c>
      <c r="S328" s="7">
        <f t="shared" si="77"/>
        <v>0</v>
      </c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65" outlineLevel="2">
      <c r="A329" s="18" t="s">
        <v>114</v>
      </c>
      <c r="B329" s="19" t="s">
        <v>18</v>
      </c>
      <c r="C329" s="20">
        <v>2317.8699999999999</v>
      </c>
      <c r="D329" s="20"/>
      <c r="E329" s="20">
        <v>849.65999999999997</v>
      </c>
      <c r="F329" s="20">
        <v>1468.21</v>
      </c>
      <c r="G329" s="21"/>
      <c r="H329" s="21">
        <v>50</v>
      </c>
      <c r="I329" s="21">
        <v>15.44291</v>
      </c>
      <c r="J329" s="22">
        <v>-0.14999999999999999</v>
      </c>
      <c r="K329" s="21">
        <f t="shared" si="71"/>
        <v>1842.2733705608998</v>
      </c>
      <c r="L329" s="21">
        <f t="shared" si="72"/>
        <v>1.1245566106417322</v>
      </c>
      <c r="M329" s="21">
        <f t="shared" si="73"/>
        <v>2071.7406974734854</v>
      </c>
      <c r="N329" s="21"/>
      <c r="O329" s="21"/>
      <c r="P329" s="21">
        <f t="shared" si="74"/>
        <v>0</v>
      </c>
      <c r="Q329" s="21">
        <f t="shared" si="75"/>
        <v>759.43655209969563</v>
      </c>
      <c r="R329" s="21">
        <f t="shared" si="76"/>
        <v>1312.3041453737897</v>
      </c>
      <c r="S329" s="7">
        <f t="shared" si="77"/>
        <v>0</v>
      </c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65" outlineLevel="2">
      <c r="A330" s="18" t="s">
        <v>114</v>
      </c>
      <c r="B330" s="19" t="s">
        <v>17</v>
      </c>
      <c r="C330" s="20">
        <v>55090.849999999999</v>
      </c>
      <c r="D330" s="20"/>
      <c r="E330" s="20">
        <v>4664.79</v>
      </c>
      <c r="F330" s="20">
        <v>50426.059999999998</v>
      </c>
      <c r="G330" s="21"/>
      <c r="H330" s="21">
        <v>50</v>
      </c>
      <c r="I330" s="21">
        <v>15.272669000000001</v>
      </c>
      <c r="J330" s="22">
        <v>-0.14999999999999999</v>
      </c>
      <c r="K330" s="21">
        <f t="shared" si="71"/>
        <v>44002.638209491051</v>
      </c>
      <c r="L330" s="21">
        <f t="shared" si="72"/>
        <v>1.1245566106417322</v>
      </c>
      <c r="M330" s="21">
        <f t="shared" si="73"/>
        <v>49483.457684159635</v>
      </c>
      <c r="N330" s="21"/>
      <c r="O330" s="21"/>
      <c r="P330" s="21">
        <f t="shared" si="74"/>
        <v>0</v>
      </c>
      <c r="Q330" s="21">
        <f t="shared" si="75"/>
        <v>4189.9868775030891</v>
      </c>
      <c r="R330" s="21">
        <f t="shared" si="76"/>
        <v>45293.470806656544</v>
      </c>
      <c r="S330" s="7">
        <f t="shared" si="77"/>
        <v>0</v>
      </c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65" outlineLevel="2">
      <c r="A331" s="18" t="s">
        <v>114</v>
      </c>
      <c r="B331" s="19" t="s">
        <v>16</v>
      </c>
      <c r="C331" s="20">
        <v>7819.4299999999994</v>
      </c>
      <c r="D331" s="20"/>
      <c r="E331" s="20">
        <v>1675.5699999999999</v>
      </c>
      <c r="F331" s="20">
        <v>6143.8599999999997</v>
      </c>
      <c r="G331" s="21"/>
      <c r="H331" s="21">
        <v>50</v>
      </c>
      <c r="I331" s="21">
        <v>15.105138</v>
      </c>
      <c r="J331" s="22">
        <v>-0.14999999999999999</v>
      </c>
      <c r="K331" s="21">
        <f t="shared" si="71"/>
        <v>6275.7324076791792</v>
      </c>
      <c r="L331" s="21">
        <f t="shared" si="72"/>
        <v>1.1245566106417322</v>
      </c>
      <c r="M331" s="21">
        <f t="shared" si="73"/>
        <v>7057.4163656741748</v>
      </c>
      <c r="N331" s="21"/>
      <c r="O331" s="21"/>
      <c r="P331" s="21">
        <f t="shared" si="74"/>
        <v>0</v>
      </c>
      <c r="Q331" s="21">
        <f t="shared" si="75"/>
        <v>1512.2835219232959</v>
      </c>
      <c r="R331" s="21">
        <f t="shared" si="76"/>
        <v>5545.1328437508791</v>
      </c>
      <c r="S331" s="7">
        <f t="shared" si="77"/>
        <v>0</v>
      </c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65" outlineLevel="2">
      <c r="A332" s="18" t="s">
        <v>114</v>
      </c>
      <c r="B332" s="19" t="s">
        <v>15</v>
      </c>
      <c r="C332" s="20">
        <v>113892.41</v>
      </c>
      <c r="D332" s="20"/>
      <c r="E332" s="20">
        <v>113892.41</v>
      </c>
      <c r="F332" s="20"/>
      <c r="G332" s="21"/>
      <c r="H332" s="21">
        <v>50</v>
      </c>
      <c r="I332" s="21">
        <v>14.940300000000001</v>
      </c>
      <c r="J332" s="22">
        <v>-0.14999999999999999</v>
      </c>
      <c r="K332" s="21">
        <f t="shared" si="78" ref="K332:K337">+C332*(1-I332/H332)*(1-J332)</f>
        <v>91839.775718171004</v>
      </c>
      <c r="L332" s="21">
        <f t="shared" si="79" ref="L332:L337">$L$338</f>
        <v>1.1245566106417322</v>
      </c>
      <c r="M332" s="21">
        <f t="shared" si="80" ref="M332:M337">IF((C332*(1-J332)-K332*L332)&lt;0,C332*(1-J332),K332*L332)</f>
        <v>103279.02690372324</v>
      </c>
      <c r="N332" s="21"/>
      <c r="O332" s="21"/>
      <c r="P332" s="21">
        <f t="shared" si="81" ref="P332:P337">+D332/$C332*$M332</f>
        <v>0</v>
      </c>
      <c r="Q332" s="21">
        <f t="shared" si="82" ref="Q332:Q337">+E332/$C332*$M332</f>
        <v>103279.02690372324</v>
      </c>
      <c r="R332" s="21">
        <f t="shared" si="83" ref="R332:R337">+F332/$C332*$M332</f>
        <v>0</v>
      </c>
      <c r="S332" s="7">
        <f t="shared" si="77"/>
        <v>0</v>
      </c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65" outlineLevel="2">
      <c r="A333" s="18" t="s">
        <v>114</v>
      </c>
      <c r="B333" s="19" t="s">
        <v>13</v>
      </c>
      <c r="C333" s="20">
        <v>14608.440000000001</v>
      </c>
      <c r="D333" s="20"/>
      <c r="E333" s="20">
        <v>14819.200000000001</v>
      </c>
      <c r="F333" s="20">
        <v>-210.75999999999999</v>
      </c>
      <c r="G333" s="21"/>
      <c r="H333" s="21">
        <v>50</v>
      </c>
      <c r="I333" s="21">
        <v>14.618888999999999</v>
      </c>
      <c r="J333" s="22">
        <v>-0.14999999999999999</v>
      </c>
      <c r="K333" s="21">
        <f t="shared" si="78"/>
        <v>11887.845255067319</v>
      </c>
      <c r="L333" s="21">
        <f t="shared" si="79"/>
        <v>1.1245566106417322</v>
      </c>
      <c r="M333" s="21">
        <f t="shared" si="80"/>
        <v>13368.554967871904</v>
      </c>
      <c r="N333" s="21"/>
      <c r="O333" s="21"/>
      <c r="P333" s="21">
        <f t="shared" si="81"/>
        <v>0</v>
      </c>
      <c r="Q333" s="21">
        <f t="shared" si="82"/>
        <v>13561.426803949451</v>
      </c>
      <c r="R333" s="21">
        <f t="shared" si="83"/>
        <v>-192.8718360775471</v>
      </c>
      <c r="S333" s="7">
        <f t="shared" si="77"/>
        <v>-3.1263880373444408E-13</v>
      </c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65" outlineLevel="2">
      <c r="A334" s="18" t="s">
        <v>114</v>
      </c>
      <c r="B334" s="19" t="s">
        <v>12</v>
      </c>
      <c r="C334" s="20">
        <v>6098.6599999999999</v>
      </c>
      <c r="D334" s="20"/>
      <c r="E334" s="20">
        <v>5155.7799999999997</v>
      </c>
      <c r="F334" s="20">
        <v>942.88</v>
      </c>
      <c r="G334" s="21"/>
      <c r="H334" s="21">
        <v>50</v>
      </c>
      <c r="I334" s="21">
        <v>14.462308</v>
      </c>
      <c r="J334" s="22">
        <v>-0.14999999999999999</v>
      </c>
      <c r="K334" s="21">
        <f t="shared" si="78"/>
        <v>4984.8429159325597</v>
      </c>
      <c r="L334" s="21">
        <f t="shared" si="79"/>
        <v>1.1245566106417322</v>
      </c>
      <c r="M334" s="21">
        <f t="shared" si="80"/>
        <v>5605.7380541225684</v>
      </c>
      <c r="N334" s="21"/>
      <c r="O334" s="21"/>
      <c r="P334" s="21">
        <f t="shared" si="81"/>
        <v>0</v>
      </c>
      <c r="Q334" s="21">
        <f t="shared" si="82"/>
        <v>4739.0659824755039</v>
      </c>
      <c r="R334" s="21">
        <f t="shared" si="83"/>
        <v>866.67207164706463</v>
      </c>
      <c r="S334" s="7">
        <f t="shared" si="77"/>
        <v>0</v>
      </c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65" outlineLevel="2">
      <c r="A335" s="18" t="s">
        <v>114</v>
      </c>
      <c r="B335" s="19" t="s">
        <v>116</v>
      </c>
      <c r="C335" s="20">
        <v>670.88</v>
      </c>
      <c r="D335" s="20"/>
      <c r="E335" s="20">
        <v>9.3000000000000007</v>
      </c>
      <c r="F335" s="20">
        <v>661.58000000000004</v>
      </c>
      <c r="G335" s="21"/>
      <c r="H335" s="21">
        <v>50</v>
      </c>
      <c r="I335" s="21">
        <v>13.721484</v>
      </c>
      <c r="J335" s="22">
        <v>-0.14999999999999999</v>
      </c>
      <c r="K335" s="21">
        <f t="shared" si="78"/>
        <v>559.78620872383999</v>
      </c>
      <c r="L335" s="21">
        <f t="shared" si="79"/>
        <v>1.1245566106417322</v>
      </c>
      <c r="M335" s="21">
        <f t="shared" si="80"/>
        <v>629.51128156646678</v>
      </c>
      <c r="N335" s="21"/>
      <c r="O335" s="21"/>
      <c r="P335" s="21">
        <f t="shared" si="81"/>
        <v>0</v>
      </c>
      <c r="Q335" s="21">
        <f t="shared" si="82"/>
        <v>8.7265307038041691</v>
      </c>
      <c r="R335" s="21">
        <f t="shared" si="83"/>
        <v>620.78475086266269</v>
      </c>
      <c r="S335" s="7">
        <f t="shared" si="77"/>
        <v>0</v>
      </c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65" outlineLevel="2">
      <c r="A336" s="18" t="s">
        <v>114</v>
      </c>
      <c r="B336" s="19" t="s">
        <v>5</v>
      </c>
      <c r="C336" s="20">
        <v>4832.4200000000001</v>
      </c>
      <c r="D336" s="20"/>
      <c r="E336" s="20"/>
      <c r="F336" s="20">
        <v>4832.4200000000001</v>
      </c>
      <c r="G336" s="21"/>
      <c r="H336" s="21">
        <v>50</v>
      </c>
      <c r="I336" s="21">
        <v>13.311187</v>
      </c>
      <c r="J336" s="22">
        <v>-0.14999999999999999</v>
      </c>
      <c r="K336" s="21">
        <f t="shared" si="78"/>
        <v>4077.8023355015798</v>
      </c>
      <c r="L336" s="21">
        <f t="shared" si="79"/>
        <v>1.1245566106417322</v>
      </c>
      <c r="M336" s="21">
        <f t="shared" si="80"/>
        <v>4585.7195732785958</v>
      </c>
      <c r="N336" s="21"/>
      <c r="O336" s="21"/>
      <c r="P336" s="21">
        <f t="shared" si="81"/>
        <v>0</v>
      </c>
      <c r="Q336" s="21">
        <f t="shared" si="82"/>
        <v>0</v>
      </c>
      <c r="R336" s="21">
        <f t="shared" si="83"/>
        <v>4585.7195732785958</v>
      </c>
      <c r="S336" s="7">
        <f t="shared" si="77"/>
        <v>0</v>
      </c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65" outlineLevel="2">
      <c r="A337" s="18" t="s">
        <v>114</v>
      </c>
      <c r="B337" s="19" t="s">
        <v>115</v>
      </c>
      <c r="C337" s="20">
        <v>7335.8999999999996</v>
      </c>
      <c r="D337" s="20"/>
      <c r="E337" s="20"/>
      <c r="F337" s="20">
        <v>7335.8999999999996</v>
      </c>
      <c r="G337" s="21"/>
      <c r="H337" s="21">
        <v>50</v>
      </c>
      <c r="I337" s="21">
        <v>11.932453000000001</v>
      </c>
      <c r="J337" s="22">
        <v>-0.14999999999999999</v>
      </c>
      <c r="K337" s="21">
        <f t="shared" si="78"/>
        <v>6422.9735148578993</v>
      </c>
      <c r="L337" s="21">
        <f t="shared" si="79"/>
        <v>1.1245566106417322</v>
      </c>
      <c r="M337" s="21">
        <f t="shared" si="80"/>
        <v>7222.9973261102123</v>
      </c>
      <c r="N337" s="21"/>
      <c r="O337" s="21"/>
      <c r="P337" s="21">
        <f t="shared" si="81"/>
        <v>0</v>
      </c>
      <c r="Q337" s="21">
        <f t="shared" si="82"/>
        <v>0</v>
      </c>
      <c r="R337" s="21">
        <f t="shared" si="83"/>
        <v>7222.9973261102123</v>
      </c>
      <c r="S337" s="7">
        <f t="shared" si="77"/>
        <v>0</v>
      </c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65" outlineLevel="1">
      <c r="A338" s="18" t="s">
        <v>134</v>
      </c>
      <c r="B338" s="19"/>
      <c r="C338" s="20">
        <f>SUBTOTAL(9,C236:C337)</f>
        <v>3275784328.6000009</v>
      </c>
      <c r="D338" s="20">
        <f>SUBTOTAL(9,D236:D337)</f>
        <v>0</v>
      </c>
      <c r="E338" s="20">
        <f>SUBTOTAL(9,E236:E337)</f>
        <v>330462583.75470495</v>
      </c>
      <c r="F338" s="20">
        <f>SUBTOTAL(9,F236:F337)</f>
        <v>2945321744.8452959</v>
      </c>
      <c r="G338" s="21">
        <f>+C338-E338-F338</f>
        <v>0</v>
      </c>
      <c r="H338" s="21"/>
      <c r="I338" s="21"/>
      <c r="J338" s="22"/>
      <c r="K338" s="21">
        <f>SUBTOTAL(9,K236:K337)</f>
        <v>576810314.74889147</v>
      </c>
      <c r="L338" s="21">
        <v>1.1245566106417322</v>
      </c>
      <c r="M338" s="21">
        <f>SUBTOTAL(9,M236:M337)</f>
        <v>648655852.53720403</v>
      </c>
      <c r="N338" s="21">
        <v>648655852.53720438</v>
      </c>
      <c r="O338" s="21">
        <f>+N338-M338</f>
        <v>0</v>
      </c>
      <c r="P338" s="21">
        <f>SUBTOTAL(9,P236:P337)</f>
        <v>0</v>
      </c>
      <c r="Q338" s="21">
        <f>SUBTOTAL(9,Q236:Q337)</f>
        <v>75028804.873708621</v>
      </c>
      <c r="R338" s="21">
        <f>SUBTOTAL(9,R236:R337)</f>
        <v>573627047.6634953</v>
      </c>
      <c r="S338" s="7">
        <f t="shared" si="77"/>
        <v>0</v>
      </c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65" outlineLevel="2">
      <c r="A339" s="18" t="s">
        <v>118</v>
      </c>
      <c r="B339" s="19" t="s">
        <v>111</v>
      </c>
      <c r="C339" s="20">
        <v>3291918.27</v>
      </c>
      <c r="D339" s="20"/>
      <c r="E339" s="20">
        <v>331826.94542451442</v>
      </c>
      <c r="F339" s="20">
        <v>2960091.3245754857</v>
      </c>
      <c r="G339" s="21">
        <f t="shared" si="84" ref="G339:G384">+C339-E339-F339</f>
        <v>0</v>
      </c>
      <c r="H339" s="21">
        <v>30</v>
      </c>
      <c r="I339" s="21">
        <v>29.547744000000002</v>
      </c>
      <c r="J339" s="22">
        <f t="shared" si="85" ref="J339:J348">$J$337</f>
        <v>-0.14999999999999999</v>
      </c>
      <c r="K339" s="21">
        <f t="shared" si="86" ref="K339:K348">+C339*(1-I339/H339)*(1-J339)</f>
        <v>57070.275249489423</v>
      </c>
      <c r="L339" s="21">
        <f t="shared" si="87" ref="L339:L348">$L$349</f>
        <v>1.1265541826474528</v>
      </c>
      <c r="M339" s="21">
        <f t="shared" si="88" ref="M339:M348">IF((C339*(1-J339)-K339*L339)&lt;0,C339*(1-J339),K339*L339)</f>
        <v>64292.757287153712</v>
      </c>
      <c r="N339" s="21"/>
      <c r="O339" s="21"/>
      <c r="P339" s="21">
        <f t="shared" si="89" ref="P339:P348">+D339/$C339*$M339</f>
        <v>0</v>
      </c>
      <c r="Q339" s="21">
        <f t="shared" si="90" ref="Q339:Q348">+E339/$C339*$M339</f>
        <v>6480.7408670920331</v>
      </c>
      <c r="R339" s="21">
        <f t="shared" si="91" ref="R339:R348">+F339/$C339*$M339</f>
        <v>57812.016420061678</v>
      </c>
      <c r="S339" s="7">
        <f t="shared" si="77"/>
        <v>0</v>
      </c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65" outlineLevel="2">
      <c r="A340" s="18" t="s">
        <v>118</v>
      </c>
      <c r="B340" s="19" t="s">
        <v>110</v>
      </c>
      <c r="C340" s="20">
        <v>6676531.4700000016</v>
      </c>
      <c r="D340" s="20"/>
      <c r="E340" s="20">
        <v>88540.705482872159</v>
      </c>
      <c r="F340" s="20">
        <v>6587990.7645171294</v>
      </c>
      <c r="G340" s="21">
        <f t="shared" si="84"/>
        <v>0</v>
      </c>
      <c r="H340" s="21">
        <v>30</v>
      </c>
      <c r="I340" s="21">
        <v>28.649208999999999</v>
      </c>
      <c r="J340" s="22">
        <f t="shared" si="85"/>
        <v>-0.14999999999999999</v>
      </c>
      <c r="K340" s="21">
        <f t="shared" si="86"/>
        <v>345712.94713422318</v>
      </c>
      <c r="L340" s="21">
        <f t="shared" si="87"/>
        <v>1.1265541826474528</v>
      </c>
      <c r="M340" s="21">
        <f t="shared" si="88"/>
        <v>389464.36658943683</v>
      </c>
      <c r="N340" s="21"/>
      <c r="O340" s="21"/>
      <c r="P340" s="21">
        <f t="shared" si="89"/>
        <v>0</v>
      </c>
      <c r="Q340" s="21">
        <f t="shared" si="90"/>
        <v>5164.8748954775274</v>
      </c>
      <c r="R340" s="21">
        <f t="shared" si="91"/>
        <v>384299.49169395928</v>
      </c>
      <c r="S340" s="7">
        <f t="shared" si="77"/>
        <v>0</v>
      </c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65" outlineLevel="2">
      <c r="A341" s="18" t="s">
        <v>118</v>
      </c>
      <c r="B341" s="19" t="s">
        <v>109</v>
      </c>
      <c r="C341" s="20">
        <v>60859655.219999999</v>
      </c>
      <c r="D341" s="20"/>
      <c r="E341" s="20">
        <v>312792.55776747619</v>
      </c>
      <c r="F341" s="20">
        <v>60546862.662232526</v>
      </c>
      <c r="G341" s="21">
        <f t="shared" si="84"/>
        <v>0</v>
      </c>
      <c r="H341" s="21">
        <v>30</v>
      </c>
      <c r="I341" s="21">
        <v>27.759616000000001</v>
      </c>
      <c r="J341" s="22">
        <f t="shared" si="85"/>
        <v>-0.14999999999999999</v>
      </c>
      <c r="K341" s="21">
        <f t="shared" si="86"/>
        <v>5226711.5823488319</v>
      </c>
      <c r="L341" s="21">
        <f t="shared" si="87"/>
        <v>1.1265541826474528</v>
      </c>
      <c r="M341" s="21">
        <f t="shared" si="88"/>
        <v>5888173.794586963</v>
      </c>
      <c r="N341" s="21"/>
      <c r="O341" s="21"/>
      <c r="P341" s="21">
        <f t="shared" si="89"/>
        <v>0</v>
      </c>
      <c r="Q341" s="21">
        <f t="shared" si="90"/>
        <v>30262.691024628555</v>
      </c>
      <c r="R341" s="21">
        <f t="shared" si="91"/>
        <v>5857911.1035623346</v>
      </c>
      <c r="S341" s="7">
        <f t="shared" si="77"/>
        <v>0</v>
      </c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65" outlineLevel="2">
      <c r="A342" s="18" t="s">
        <v>118</v>
      </c>
      <c r="B342" s="19" t="s">
        <v>108</v>
      </c>
      <c r="C342" s="20">
        <v>21042.459999999999</v>
      </c>
      <c r="D342" s="20"/>
      <c r="E342" s="20"/>
      <c r="F342" s="20">
        <v>21042.459999999999</v>
      </c>
      <c r="G342" s="21">
        <f t="shared" si="84"/>
        <v>0</v>
      </c>
      <c r="H342" s="21">
        <v>30</v>
      </c>
      <c r="I342" s="21">
        <v>26.879031999999999</v>
      </c>
      <c r="J342" s="22">
        <f t="shared" si="85"/>
        <v>-0.14999999999999999</v>
      </c>
      <c r="K342" s="21">
        <f t="shared" si="86"/>
        <v>2517.4590315490686</v>
      </c>
      <c r="L342" s="21">
        <f t="shared" si="87"/>
        <v>1.1265541826474528</v>
      </c>
      <c r="M342" s="21">
        <f t="shared" si="88"/>
        <v>2836.0540016352093</v>
      </c>
      <c r="N342" s="21"/>
      <c r="O342" s="21"/>
      <c r="P342" s="21">
        <f t="shared" si="89"/>
        <v>0</v>
      </c>
      <c r="Q342" s="21">
        <f t="shared" si="90"/>
        <v>0</v>
      </c>
      <c r="R342" s="21">
        <f t="shared" si="91"/>
        <v>2836.0540016352093</v>
      </c>
      <c r="S342" s="7">
        <f t="shared" si="77"/>
        <v>0</v>
      </c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65" outlineLevel="2">
      <c r="A343" s="18" t="s">
        <v>118</v>
      </c>
      <c r="B343" s="19" t="s">
        <v>107</v>
      </c>
      <c r="C343" s="20">
        <v>7804.8499999999995</v>
      </c>
      <c r="D343" s="20"/>
      <c r="E343" s="20">
        <v>-0.0068663462805304701</v>
      </c>
      <c r="F343" s="20">
        <v>7804.8568663462802</v>
      </c>
      <c r="G343" s="21">
        <f t="shared" si="84"/>
        <v>0</v>
      </c>
      <c r="H343" s="21">
        <v>30</v>
      </c>
      <c r="I343" s="21">
        <v>26.007835</v>
      </c>
      <c r="J343" s="22">
        <f t="shared" si="85"/>
        <v>-0.14999999999999999</v>
      </c>
      <c r="K343" s="21">
        <f t="shared" si="86"/>
        <v>1194.3995450095829</v>
      </c>
      <c r="L343" s="21">
        <f t="shared" si="87"/>
        <v>1.1265541826474528</v>
      </c>
      <c r="M343" s="21">
        <f t="shared" si="88"/>
        <v>1345.5558031827602</v>
      </c>
      <c r="N343" s="21"/>
      <c r="O343" s="21"/>
      <c r="P343" s="21">
        <f t="shared" si="89"/>
        <v>0</v>
      </c>
      <c r="Q343" s="21">
        <f t="shared" si="90"/>
        <v>-0.0011837578024472136</v>
      </c>
      <c r="R343" s="21">
        <f t="shared" si="91"/>
        <v>1345.5569869405629</v>
      </c>
      <c r="S343" s="7">
        <f t="shared" si="77"/>
        <v>0</v>
      </c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65" outlineLevel="2">
      <c r="A344" s="18" t="s">
        <v>118</v>
      </c>
      <c r="B344" s="19" t="s">
        <v>104</v>
      </c>
      <c r="C344" s="20">
        <v>85581417.969999999</v>
      </c>
      <c r="D344" s="20"/>
      <c r="E344" s="20">
        <f>6986.8973744463-0.18</f>
        <v>6986.7173744462998</v>
      </c>
      <c r="F344" s="20">
        <f>-243.52+85574674.7726256</f>
        <v>85574431.2526256</v>
      </c>
      <c r="G344" s="21">
        <f t="shared" si="84"/>
        <v>0</v>
      </c>
      <c r="H344" s="21">
        <v>30</v>
      </c>
      <c r="I344" s="21">
        <v>23.455777999999999</v>
      </c>
      <c r="J344" s="22">
        <f t="shared" si="85"/>
        <v>-0.14999999999999999</v>
      </c>
      <c r="K344" s="21">
        <f t="shared" si="86"/>
        <v>21469112.267034661</v>
      </c>
      <c r="L344" s="21">
        <f t="shared" si="87"/>
        <v>1.1265541826474528</v>
      </c>
      <c r="M344" s="21">
        <f t="shared" si="88"/>
        <v>24186118.222155634</v>
      </c>
      <c r="N344" s="21"/>
      <c r="O344" s="21"/>
      <c r="P344" s="21">
        <f t="shared" si="89"/>
        <v>0</v>
      </c>
      <c r="Q344" s="21">
        <f t="shared" si="90"/>
        <v>1974.5124164965623</v>
      </c>
      <c r="R344" s="21">
        <f t="shared" si="91"/>
        <v>24184143.709739149</v>
      </c>
      <c r="S344" s="7">
        <f t="shared" si="77"/>
        <v>0</v>
      </c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65" outlineLevel="2">
      <c r="A345" s="18" t="s">
        <v>118</v>
      </c>
      <c r="B345" s="19" t="s">
        <v>102</v>
      </c>
      <c r="C345" s="20">
        <v>5341.8600000000006</v>
      </c>
      <c r="D345" s="20"/>
      <c r="E345" s="20">
        <v>2482.04</v>
      </c>
      <c r="F345" s="20">
        <v>2859.8200000000002</v>
      </c>
      <c r="G345" s="21">
        <f t="shared" si="84"/>
        <v>0</v>
      </c>
      <c r="H345" s="21">
        <v>30</v>
      </c>
      <c r="I345" s="21">
        <v>21.809453000000001</v>
      </c>
      <c r="J345" s="22">
        <f t="shared" si="85"/>
        <v>-0.14999999999999999</v>
      </c>
      <c r="K345" s="21">
        <f t="shared" si="86"/>
        <v>1677.1889569010998</v>
      </c>
      <c r="L345" s="21">
        <f t="shared" si="87"/>
        <v>1.1265541826474528</v>
      </c>
      <c r="M345" s="21">
        <f t="shared" si="88"/>
        <v>1889.4442344870524</v>
      </c>
      <c r="N345" s="21"/>
      <c r="O345" s="21"/>
      <c r="P345" s="21">
        <f t="shared" si="89"/>
        <v>0</v>
      </c>
      <c r="Q345" s="21">
        <f t="shared" si="90"/>
        <v>877.91072168986898</v>
      </c>
      <c r="R345" s="21">
        <f t="shared" si="91"/>
        <v>1011.5335127971833</v>
      </c>
      <c r="S345" s="7">
        <f t="shared" si="77"/>
        <v>0</v>
      </c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65" outlineLevel="2">
      <c r="A346" s="18" t="s">
        <v>118</v>
      </c>
      <c r="B346" s="19" t="s">
        <v>101</v>
      </c>
      <c r="C346" s="20">
        <v>5144261.4900000002</v>
      </c>
      <c r="D346" s="20"/>
      <c r="E346" s="20">
        <v>4965434.0634971634</v>
      </c>
      <c r="F346" s="20">
        <v>178827.42650283733</v>
      </c>
      <c r="G346" s="21">
        <f t="shared" si="84"/>
        <v>-4.6566128730773926E-10</v>
      </c>
      <c r="H346" s="21">
        <v>30</v>
      </c>
      <c r="I346" s="21">
        <v>21.003668000000001</v>
      </c>
      <c r="J346" s="22">
        <f t="shared" si="85"/>
        <v>-0.14999999999999999</v>
      </c>
      <c r="K346" s="21">
        <f t="shared" si="86"/>
        <v>1774046.8965894294</v>
      </c>
      <c r="L346" s="21">
        <f t="shared" si="87"/>
        <v>1.1265541826474528</v>
      </c>
      <c r="M346" s="21">
        <f t="shared" si="88"/>
        <v>1998559.9515655548</v>
      </c>
      <c r="N346" s="21"/>
      <c r="O346" s="21"/>
      <c r="P346" s="21">
        <f t="shared" si="89"/>
        <v>0</v>
      </c>
      <c r="Q346" s="21">
        <f t="shared" si="90"/>
        <v>1929084.9970857229</v>
      </c>
      <c r="R346" s="21">
        <f t="shared" si="91"/>
        <v>69474.954479832129</v>
      </c>
      <c r="S346" s="7">
        <f t="shared" si="77"/>
        <v>-1.6007106751203537E-10</v>
      </c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65" outlineLevel="2">
      <c r="A347" s="18" t="s">
        <v>118</v>
      </c>
      <c r="B347" s="19" t="s">
        <v>100</v>
      </c>
      <c r="C347" s="20">
        <v>53645140.949999996</v>
      </c>
      <c r="D347" s="20"/>
      <c r="E347" s="20">
        <v>20410743.697414335</v>
      </c>
      <c r="F347" s="20">
        <v>33234397.252585661</v>
      </c>
      <c r="G347" s="21">
        <f t="shared" si="84"/>
        <v>0</v>
      </c>
      <c r="H347" s="21">
        <v>30</v>
      </c>
      <c r="I347" s="21">
        <v>20.210529000000001</v>
      </c>
      <c r="J347" s="22">
        <f t="shared" si="85"/>
        <v>-0.14999999999999999</v>
      </c>
      <c r="K347" s="21">
        <f t="shared" si="86"/>
        <v>20131039.478802599</v>
      </c>
      <c r="L347" s="21">
        <f t="shared" si="87"/>
        <v>1.1265541826474528</v>
      </c>
      <c r="M347" s="21">
        <f t="shared" si="88"/>
        <v>22678706.725886066</v>
      </c>
      <c r="N347" s="21"/>
      <c r="O347" s="21"/>
      <c r="P347" s="21">
        <f t="shared" si="89"/>
        <v>0</v>
      </c>
      <c r="Q347" s="21">
        <f t="shared" si="90"/>
        <v>8628726.8925683964</v>
      </c>
      <c r="R347" s="21">
        <f t="shared" si="91"/>
        <v>14049979.833317667</v>
      </c>
      <c r="S347" s="7">
        <f t="shared" si="77"/>
        <v>0</v>
      </c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65" outlineLevel="2">
      <c r="A348" s="18" t="s">
        <v>118</v>
      </c>
      <c r="B348" s="19" t="s">
        <v>99</v>
      </c>
      <c r="C348" s="20">
        <v>58442970.75999999</v>
      </c>
      <c r="D348" s="20"/>
      <c r="E348" s="20">
        <v>25279260.097453993</v>
      </c>
      <c r="F348" s="20">
        <v>33163710.662545998</v>
      </c>
      <c r="G348" s="21">
        <f t="shared" si="84"/>
        <v>0</v>
      </c>
      <c r="H348" s="21">
        <v>30</v>
      </c>
      <c r="I348" s="21">
        <v>19.429905000000002</v>
      </c>
      <c r="J348" s="22">
        <f t="shared" si="85"/>
        <v>-0.14999999999999999</v>
      </c>
      <c r="K348" s="21">
        <f t="shared" si="86"/>
        <v>23680330.53225784</v>
      </c>
      <c r="L348" s="21">
        <f t="shared" si="87"/>
        <v>1.1265541826474528</v>
      </c>
      <c r="M348" s="21">
        <f t="shared" si="88"/>
        <v>26677175.407589253</v>
      </c>
      <c r="N348" s="21"/>
      <c r="O348" s="21"/>
      <c r="P348" s="21">
        <f t="shared" si="89"/>
        <v>0</v>
      </c>
      <c r="Q348" s="21">
        <f t="shared" si="90"/>
        <v>11539099.519140394</v>
      </c>
      <c r="R348" s="21">
        <f t="shared" si="91"/>
        <v>15138075.888448861</v>
      </c>
      <c r="S348" s="7">
        <f t="shared" si="77"/>
        <v>0</v>
      </c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65" outlineLevel="1">
      <c r="A349" s="18" t="s">
        <v>135</v>
      </c>
      <c r="B349" s="19"/>
      <c r="C349" s="20">
        <f>SUBTOTAL(9,C339:C348)</f>
        <v>273676085.30000001</v>
      </c>
      <c r="D349" s="20">
        <f>SUBTOTAL(9,D339:D348)</f>
        <v>0</v>
      </c>
      <c r="E349" s="20">
        <f>SUBTOTAL(9,E339:E348)</f>
        <v>51398066.817548454</v>
      </c>
      <c r="F349" s="20">
        <f>SUBTOTAL(9,F339:F348)</f>
        <v>222278018.48245156</v>
      </c>
      <c r="G349" s="21">
        <f t="shared" si="84"/>
        <v>0</v>
      </c>
      <c r="H349" s="21"/>
      <c r="I349" s="21"/>
      <c r="J349" s="22"/>
      <c r="K349" s="21">
        <f>SUBTOTAL(9,K339:K348)</f>
        <v>72689413.026950538</v>
      </c>
      <c r="L349" s="21">
        <v>1.1265541826474528</v>
      </c>
      <c r="M349" s="21">
        <f>SUBTOTAL(9,M339:M348)</f>
        <v>81888562.27969937</v>
      </c>
      <c r="N349" s="21">
        <v>81888562.279699355</v>
      </c>
      <c r="O349" s="21">
        <f>+N349-M349</f>
        <v>0</v>
      </c>
      <c r="P349" s="21">
        <f>SUBTOTAL(9,P339:P348)</f>
        <v>0</v>
      </c>
      <c r="Q349" s="21">
        <f>SUBTOTAL(9,Q339:Q348)</f>
        <v>22141672.137536138</v>
      </c>
      <c r="R349" s="21">
        <f>SUBTOTAL(9,R339:R348)</f>
        <v>59746890.142163232</v>
      </c>
      <c r="S349" s="7">
        <f t="shared" si="77"/>
        <v>0</v>
      </c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65" outlineLevel="2">
      <c r="A350" s="18" t="s">
        <v>119</v>
      </c>
      <c r="B350" s="19" t="s">
        <v>111</v>
      </c>
      <c r="C350" s="20">
        <f>70678675.08+658973.65</f>
        <v>71337648.730000004</v>
      </c>
      <c r="D350" s="20"/>
      <c r="E350" s="20"/>
      <c r="F350" s="20">
        <v>71337648.730000004</v>
      </c>
      <c r="G350" s="21">
        <f t="shared" si="84"/>
        <v>0</v>
      </c>
      <c r="H350" s="21">
        <v>70</v>
      </c>
      <c r="I350" s="21">
        <v>69.527488000000005</v>
      </c>
      <c r="J350" s="22">
        <v>-0.40000000000000002</v>
      </c>
      <c r="K350" s="21">
        <f t="shared" si="92" ref="K350:K381">+C350*(1-I350/H350)*(1-J350)</f>
        <v>674157.90153418947</v>
      </c>
      <c r="L350" s="21">
        <f t="shared" si="93" ref="L350:L381">$L$431</f>
        <v>1.1326612632280115</v>
      </c>
      <c r="M350" s="21">
        <f t="shared" si="94" ref="M350:M381">IF((C350*(1-J350)-K350*L350)&lt;0,C350*(1-J350),K350*L350)</f>
        <v>763592.54036686046</v>
      </c>
      <c r="N350" s="21"/>
      <c r="O350" s="21"/>
      <c r="P350" s="21">
        <f t="shared" si="95" ref="P350:P381">+D350/$C350*$M350</f>
        <v>0</v>
      </c>
      <c r="Q350" s="21">
        <f t="shared" si="96" ref="Q350:Q381">+E350/$C350*$M350</f>
        <v>0</v>
      </c>
      <c r="R350" s="21">
        <f t="shared" si="97" ref="R350:R381">+F350/$C350*$M350</f>
        <v>763592.54036686046</v>
      </c>
      <c r="S350" s="7">
        <f t="shared" si="77"/>
        <v>0</v>
      </c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65" outlineLevel="2">
      <c r="A351" s="18" t="s">
        <v>119</v>
      </c>
      <c r="B351" s="19" t="s">
        <v>110</v>
      </c>
      <c r="C351" s="20">
        <v>133418393.41</v>
      </c>
      <c r="D351" s="20"/>
      <c r="E351" s="20"/>
      <c r="F351" s="20">
        <v>133418393.41</v>
      </c>
      <c r="G351" s="21">
        <f t="shared" si="84"/>
        <v>0</v>
      </c>
      <c r="H351" s="21">
        <v>70</v>
      </c>
      <c r="I351" s="21">
        <v>68.584007</v>
      </c>
      <c r="J351" s="22">
        <v>-0.40000000000000002</v>
      </c>
      <c r="K351" s="21">
        <f t="shared" si="92"/>
        <v>3778390.2227961216</v>
      </c>
      <c r="L351" s="21">
        <f t="shared" si="93"/>
        <v>1.1326612632280115</v>
      </c>
      <c r="M351" s="21">
        <f t="shared" si="94"/>
        <v>4279636.2427206226</v>
      </c>
      <c r="N351" s="21"/>
      <c r="O351" s="21"/>
      <c r="P351" s="21">
        <f t="shared" si="95"/>
        <v>0</v>
      </c>
      <c r="Q351" s="21">
        <f t="shared" si="96"/>
        <v>0</v>
      </c>
      <c r="R351" s="21">
        <f t="shared" si="97"/>
        <v>4279636.2427206226</v>
      </c>
      <c r="S351" s="7">
        <f t="shared" si="77"/>
        <v>0</v>
      </c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65" outlineLevel="2">
      <c r="A352" s="18" t="s">
        <v>119</v>
      </c>
      <c r="B352" s="19" t="s">
        <v>109</v>
      </c>
      <c r="C352" s="20">
        <v>58026968.219999999</v>
      </c>
      <c r="D352" s="20"/>
      <c r="E352" s="20"/>
      <c r="F352" s="20">
        <v>58026968.219999999</v>
      </c>
      <c r="G352" s="21">
        <f t="shared" si="84"/>
        <v>0</v>
      </c>
      <c r="H352" s="21">
        <v>70</v>
      </c>
      <c r="I352" s="21">
        <v>67.643344999999997</v>
      </c>
      <c r="J352" s="22">
        <v>-0.40000000000000002</v>
      </c>
      <c r="K352" s="21">
        <f t="shared" si="92"/>
        <v>2734990.8958100853</v>
      </c>
      <c r="L352" s="21">
        <f t="shared" si="93"/>
        <v>1.1326612632280115</v>
      </c>
      <c r="M352" s="21">
        <f t="shared" si="94"/>
        <v>3097818.242965362</v>
      </c>
      <c r="N352" s="21"/>
      <c r="O352" s="21"/>
      <c r="P352" s="21">
        <f t="shared" si="95"/>
        <v>0</v>
      </c>
      <c r="Q352" s="21">
        <f t="shared" si="96"/>
        <v>0</v>
      </c>
      <c r="R352" s="21">
        <f t="shared" si="97"/>
        <v>3097818.242965362</v>
      </c>
      <c r="S352" s="7">
        <f t="shared" si="77"/>
        <v>0</v>
      </c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65" outlineLevel="2">
      <c r="A353" s="18" t="s">
        <v>119</v>
      </c>
      <c r="B353" s="19" t="s">
        <v>108</v>
      </c>
      <c r="C353" s="20">
        <v>53250386.289999999</v>
      </c>
      <c r="D353" s="20"/>
      <c r="E353" s="20"/>
      <c r="F353" s="20">
        <v>53250386.289999999</v>
      </c>
      <c r="G353" s="21">
        <f t="shared" si="84"/>
        <v>0</v>
      </c>
      <c r="H353" s="21">
        <v>70</v>
      </c>
      <c r="I353" s="21">
        <v>66.705117000000001</v>
      </c>
      <c r="J353" s="22">
        <v>-0.40000000000000002</v>
      </c>
      <c r="K353" s="21">
        <f t="shared" si="92"/>
        <v>3509075.8506070785</v>
      </c>
      <c r="L353" s="21">
        <f t="shared" si="93"/>
        <v>1.1326612632280115</v>
      </c>
      <c r="M353" s="21">
        <f t="shared" si="94"/>
        <v>3974594.2857115227</v>
      </c>
      <c r="N353" s="21"/>
      <c r="O353" s="21"/>
      <c r="P353" s="21">
        <f t="shared" si="95"/>
        <v>0</v>
      </c>
      <c r="Q353" s="21">
        <f t="shared" si="96"/>
        <v>0</v>
      </c>
      <c r="R353" s="21">
        <f t="shared" si="97"/>
        <v>3974594.2857115227</v>
      </c>
      <c r="S353" s="7">
        <f t="shared" si="77"/>
        <v>0</v>
      </c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65" outlineLevel="2">
      <c r="A354" s="18" t="s">
        <v>119</v>
      </c>
      <c r="B354" s="19" t="s">
        <v>107</v>
      </c>
      <c r="C354" s="20">
        <v>58285661.520000003</v>
      </c>
      <c r="D354" s="20"/>
      <c r="E354" s="20"/>
      <c r="F354" s="20">
        <v>58285661.520000003</v>
      </c>
      <c r="G354" s="21">
        <f t="shared" si="84"/>
        <v>0</v>
      </c>
      <c r="H354" s="21">
        <v>70</v>
      </c>
      <c r="I354" s="21">
        <v>65.770180999999994</v>
      </c>
      <c r="J354" s="22">
        <v>-0.40000000000000002</v>
      </c>
      <c r="K354" s="21">
        <f t="shared" si="92"/>
        <v>4930755.9704973055</v>
      </c>
      <c r="L354" s="21">
        <f t="shared" si="93"/>
        <v>1.1326612632280115</v>
      </c>
      <c r="M354" s="21">
        <f t="shared" si="94"/>
        <v>5584876.2862125384</v>
      </c>
      <c r="N354" s="21"/>
      <c r="O354" s="21"/>
      <c r="P354" s="21">
        <f t="shared" si="95"/>
        <v>0</v>
      </c>
      <c r="Q354" s="21">
        <f t="shared" si="96"/>
        <v>0</v>
      </c>
      <c r="R354" s="21">
        <f t="shared" si="97"/>
        <v>5584876.2862125384</v>
      </c>
      <c r="S354" s="7">
        <f t="shared" si="77"/>
        <v>0</v>
      </c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65" outlineLevel="2">
      <c r="A355" s="18" t="s">
        <v>119</v>
      </c>
      <c r="B355" s="19" t="s">
        <v>106</v>
      </c>
      <c r="C355" s="20">
        <v>28478076.350000001</v>
      </c>
      <c r="D355" s="20"/>
      <c r="E355" s="20"/>
      <c r="F355" s="20">
        <v>28478076.350000001</v>
      </c>
      <c r="G355" s="21">
        <f t="shared" si="84"/>
        <v>0</v>
      </c>
      <c r="H355" s="21">
        <v>70</v>
      </c>
      <c r="I355" s="21">
        <v>64.837871000000007</v>
      </c>
      <c r="J355" s="22">
        <v>-0.40000000000000002</v>
      </c>
      <c r="K355" s="21">
        <f t="shared" si="92"/>
        <v>2940150.0758109787</v>
      </c>
      <c r="L355" s="21">
        <f t="shared" si="93"/>
        <v>1.1326612632280115</v>
      </c>
      <c r="M355" s="21">
        <f t="shared" si="94"/>
        <v>3330194.0989479967</v>
      </c>
      <c r="N355" s="21"/>
      <c r="O355" s="21"/>
      <c r="P355" s="21">
        <f t="shared" si="95"/>
        <v>0</v>
      </c>
      <c r="Q355" s="21">
        <f t="shared" si="96"/>
        <v>0</v>
      </c>
      <c r="R355" s="21">
        <f t="shared" si="97"/>
        <v>3330194.0989479967</v>
      </c>
      <c r="S355" s="7">
        <f t="shared" si="77"/>
        <v>0</v>
      </c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65" outlineLevel="2">
      <c r="A356" s="18" t="s">
        <v>119</v>
      </c>
      <c r="B356" s="19" t="s">
        <v>105</v>
      </c>
      <c r="C356" s="20">
        <v>25216919.469999999</v>
      </c>
      <c r="D356" s="20"/>
      <c r="E356" s="20"/>
      <c r="F356" s="20">
        <v>25216919.469999999</v>
      </c>
      <c r="G356" s="21">
        <f t="shared" si="84"/>
        <v>0</v>
      </c>
      <c r="H356" s="21">
        <v>70</v>
      </c>
      <c r="I356" s="21">
        <v>63.908850999999999</v>
      </c>
      <c r="J356" s="22">
        <v>-0.40000000000000002</v>
      </c>
      <c r="K356" s="21">
        <f t="shared" si="92"/>
        <v>3072000.2762554195</v>
      </c>
      <c r="L356" s="21">
        <f t="shared" si="93"/>
        <v>1.1326612632280115</v>
      </c>
      <c r="M356" s="21">
        <f t="shared" si="94"/>
        <v>3479535.7135402639</v>
      </c>
      <c r="N356" s="21"/>
      <c r="O356" s="21"/>
      <c r="P356" s="21">
        <f t="shared" si="95"/>
        <v>0</v>
      </c>
      <c r="Q356" s="21">
        <f t="shared" si="96"/>
        <v>0</v>
      </c>
      <c r="R356" s="21">
        <f t="shared" si="97"/>
        <v>3479535.7135402639</v>
      </c>
      <c r="S356" s="7">
        <f t="shared" si="77"/>
        <v>0</v>
      </c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65" outlineLevel="2">
      <c r="A357" s="18" t="s">
        <v>119</v>
      </c>
      <c r="B357" s="19" t="s">
        <v>104</v>
      </c>
      <c r="C357" s="20">
        <v>128029440.26000001</v>
      </c>
      <c r="D357" s="20"/>
      <c r="E357" s="20"/>
      <c r="F357" s="20">
        <v>128029440.26000001</v>
      </c>
      <c r="G357" s="21">
        <f t="shared" si="84"/>
        <v>0</v>
      </c>
      <c r="H357" s="21">
        <v>70</v>
      </c>
      <c r="I357" s="21">
        <v>62.982939000000002</v>
      </c>
      <c r="J357" s="22">
        <v>-0.40000000000000002</v>
      </c>
      <c r="K357" s="21">
        <f t="shared" si="92"/>
        <v>17967807.842005502</v>
      </c>
      <c r="L357" s="21">
        <f t="shared" si="93"/>
        <v>1.1326612632280115</v>
      </c>
      <c r="M357" s="21">
        <f t="shared" si="94"/>
        <v>20351439.927764125</v>
      </c>
      <c r="N357" s="21"/>
      <c r="O357" s="21"/>
      <c r="P357" s="21">
        <f t="shared" si="95"/>
        <v>0</v>
      </c>
      <c r="Q357" s="21">
        <f t="shared" si="96"/>
        <v>0</v>
      </c>
      <c r="R357" s="21">
        <f t="shared" si="97"/>
        <v>20351439.927764125</v>
      </c>
      <c r="S357" s="7">
        <f t="shared" si="77"/>
        <v>0</v>
      </c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65" outlineLevel="2">
      <c r="A358" s="18" t="s">
        <v>119</v>
      </c>
      <c r="B358" s="19" t="s">
        <v>103</v>
      </c>
      <c r="C358" s="20">
        <v>180084232.94999999</v>
      </c>
      <c r="D358" s="20"/>
      <c r="E358" s="20"/>
      <c r="F358" s="20">
        <v>180084232.94999999</v>
      </c>
      <c r="G358" s="21">
        <f t="shared" si="84"/>
        <v>0</v>
      </c>
      <c r="H358" s="21">
        <v>70</v>
      </c>
      <c r="I358" s="21">
        <v>62.060254999999998</v>
      </c>
      <c r="J358" s="22">
        <v>-0.40000000000000002</v>
      </c>
      <c r="K358" s="21">
        <f t="shared" si="92"/>
        <v>28596457.762871962</v>
      </c>
      <c r="L358" s="21">
        <f t="shared" si="93"/>
        <v>1.1326612632280115</v>
      </c>
      <c r="M358" s="21">
        <f t="shared" si="94"/>
        <v>32390099.973541033</v>
      </c>
      <c r="N358" s="21"/>
      <c r="O358" s="21"/>
      <c r="P358" s="21">
        <f t="shared" si="95"/>
        <v>0</v>
      </c>
      <c r="Q358" s="21">
        <f t="shared" si="96"/>
        <v>0</v>
      </c>
      <c r="R358" s="21">
        <f t="shared" si="97"/>
        <v>32390099.973541033</v>
      </c>
      <c r="S358" s="7">
        <f t="shared" si="77"/>
        <v>0</v>
      </c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65" outlineLevel="2">
      <c r="A359" s="18" t="s">
        <v>119</v>
      </c>
      <c r="B359" s="19" t="s">
        <v>102</v>
      </c>
      <c r="C359" s="20">
        <v>63572878.979999997</v>
      </c>
      <c r="D359" s="20"/>
      <c r="E359" s="20"/>
      <c r="F359" s="20">
        <v>63572878.979999997</v>
      </c>
      <c r="G359" s="21">
        <f t="shared" si="84"/>
        <v>0</v>
      </c>
      <c r="H359" s="21">
        <v>70</v>
      </c>
      <c r="I359" s="21">
        <v>61.141221999999999</v>
      </c>
      <c r="J359" s="22">
        <v>-0.40000000000000002</v>
      </c>
      <c r="K359" s="21">
        <f t="shared" si="92"/>
        <v>11263560.434093723</v>
      </c>
      <c r="L359" s="21">
        <f t="shared" si="93"/>
        <v>1.1326612632280115</v>
      </c>
      <c r="M359" s="21">
        <f t="shared" si="94"/>
        <v>12757798.589725647</v>
      </c>
      <c r="N359" s="21"/>
      <c r="O359" s="21"/>
      <c r="P359" s="21">
        <f t="shared" si="95"/>
        <v>0</v>
      </c>
      <c r="Q359" s="21">
        <f t="shared" si="96"/>
        <v>0</v>
      </c>
      <c r="R359" s="21">
        <f t="shared" si="97"/>
        <v>12757798.589725647</v>
      </c>
      <c r="S359" s="7">
        <f t="shared" si="77"/>
        <v>0</v>
      </c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65" outlineLevel="2">
      <c r="A360" s="18" t="s">
        <v>119</v>
      </c>
      <c r="B360" s="19" t="s">
        <v>101</v>
      </c>
      <c r="C360" s="20">
        <v>126801946.27</v>
      </c>
      <c r="D360" s="20"/>
      <c r="E360" s="20"/>
      <c r="F360" s="20">
        <v>126801946.27</v>
      </c>
      <c r="G360" s="21">
        <f t="shared" si="84"/>
        <v>0</v>
      </c>
      <c r="H360" s="21">
        <v>70</v>
      </c>
      <c r="I360" s="21">
        <v>60.225316999999997</v>
      </c>
      <c r="J360" s="22">
        <v>-0.40000000000000002</v>
      </c>
      <c r="K360" s="21">
        <f t="shared" si="92"/>
        <v>24788976.571445659</v>
      </c>
      <c r="L360" s="21">
        <f t="shared" si="93"/>
        <v>1.1326612632280115</v>
      </c>
      <c r="M360" s="21">
        <f t="shared" si="94"/>
        <v>28077513.517543223</v>
      </c>
      <c r="N360" s="21"/>
      <c r="O360" s="21"/>
      <c r="P360" s="21">
        <f t="shared" si="95"/>
        <v>0</v>
      </c>
      <c r="Q360" s="21">
        <f t="shared" si="96"/>
        <v>0</v>
      </c>
      <c r="R360" s="21">
        <f t="shared" si="97"/>
        <v>28077513.517543223</v>
      </c>
      <c r="S360" s="7">
        <f t="shared" si="77"/>
        <v>0</v>
      </c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65" outlineLevel="2">
      <c r="A361" s="18" t="s">
        <v>119</v>
      </c>
      <c r="B361" s="19" t="s">
        <v>100</v>
      </c>
      <c r="C361" s="20">
        <v>84230644.280000001</v>
      </c>
      <c r="D361" s="20"/>
      <c r="E361" s="20"/>
      <c r="F361" s="20">
        <v>84230644.280000001</v>
      </c>
      <c r="G361" s="21">
        <f t="shared" si="84"/>
        <v>0</v>
      </c>
      <c r="H361" s="21">
        <v>70</v>
      </c>
      <c r="I361" s="21">
        <v>59.313661000000003</v>
      </c>
      <c r="J361" s="22">
        <v>-0.40000000000000002</v>
      </c>
      <c r="K361" s="21">
        <f t="shared" si="92"/>
        <v>18002344.379289813</v>
      </c>
      <c r="L361" s="21">
        <f t="shared" si="93"/>
        <v>1.1326612632280115</v>
      </c>
      <c r="M361" s="21">
        <f t="shared" si="94"/>
        <v>20390558.125712093</v>
      </c>
      <c r="N361" s="21"/>
      <c r="O361" s="21"/>
      <c r="P361" s="21">
        <f t="shared" si="95"/>
        <v>0</v>
      </c>
      <c r="Q361" s="21">
        <f t="shared" si="96"/>
        <v>0</v>
      </c>
      <c r="R361" s="21">
        <f t="shared" si="97"/>
        <v>20390558.125712093</v>
      </c>
      <c r="S361" s="7">
        <f t="shared" si="77"/>
        <v>0</v>
      </c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65" outlineLevel="2">
      <c r="A362" s="18" t="s">
        <v>119</v>
      </c>
      <c r="B362" s="19" t="s">
        <v>99</v>
      </c>
      <c r="C362" s="20">
        <v>22946259.050000001</v>
      </c>
      <c r="D362" s="20"/>
      <c r="E362" s="20"/>
      <c r="F362" s="20">
        <v>22946259.050000001</v>
      </c>
      <c r="G362" s="21">
        <f t="shared" si="84"/>
        <v>0</v>
      </c>
      <c r="H362" s="21">
        <v>70</v>
      </c>
      <c r="I362" s="21">
        <v>58.405355999999998</v>
      </c>
      <c r="J362" s="22">
        <v>-0.40000000000000002</v>
      </c>
      <c r="K362" s="21">
        <f t="shared" si="92"/>
        <v>5321074.0963305663</v>
      </c>
      <c r="L362" s="21">
        <f t="shared" si="93"/>
        <v>1.1326612632280115</v>
      </c>
      <c r="M362" s="21">
        <f t="shared" si="94"/>
        <v>6026974.5076796291</v>
      </c>
      <c r="N362" s="21"/>
      <c r="O362" s="21"/>
      <c r="P362" s="21">
        <f t="shared" si="95"/>
        <v>0</v>
      </c>
      <c r="Q362" s="21">
        <f t="shared" si="96"/>
        <v>0</v>
      </c>
      <c r="R362" s="21">
        <f t="shared" si="97"/>
        <v>6026974.5076796291</v>
      </c>
      <c r="S362" s="7">
        <f t="shared" si="77"/>
        <v>0</v>
      </c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65" outlineLevel="2">
      <c r="A363" s="18" t="s">
        <v>119</v>
      </c>
      <c r="B363" s="19" t="s">
        <v>98</v>
      </c>
      <c r="C363" s="20">
        <v>7987856.8700000001</v>
      </c>
      <c r="D363" s="20"/>
      <c r="E363" s="20"/>
      <c r="F363" s="20">
        <v>7987856.8700000001</v>
      </c>
      <c r="G363" s="21">
        <f t="shared" si="84"/>
        <v>0</v>
      </c>
      <c r="H363" s="21">
        <v>70</v>
      </c>
      <c r="I363" s="21">
        <v>57.501229000000002</v>
      </c>
      <c r="J363" s="22">
        <v>-0.40000000000000002</v>
      </c>
      <c r="K363" s="21">
        <f t="shared" si="92"/>
        <v>1996767.8759781348</v>
      </c>
      <c r="L363" s="21">
        <f t="shared" si="93"/>
        <v>1.1326612632280115</v>
      </c>
      <c r="M363" s="21">
        <f t="shared" si="94"/>
        <v>2261661.6247785077</v>
      </c>
      <c r="N363" s="21"/>
      <c r="O363" s="21"/>
      <c r="P363" s="21">
        <f t="shared" si="95"/>
        <v>0</v>
      </c>
      <c r="Q363" s="21">
        <f t="shared" si="96"/>
        <v>0</v>
      </c>
      <c r="R363" s="21">
        <f t="shared" si="97"/>
        <v>2261661.6247785077</v>
      </c>
      <c r="S363" s="7">
        <f t="shared" si="77"/>
        <v>0</v>
      </c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65" outlineLevel="2">
      <c r="A364" s="18" t="s">
        <v>119</v>
      </c>
      <c r="B364" s="19" t="s">
        <v>97</v>
      </c>
      <c r="C364" s="20">
        <v>21978354.48</v>
      </c>
      <c r="D364" s="20"/>
      <c r="E364" s="20"/>
      <c r="F364" s="20">
        <v>21978354.48</v>
      </c>
      <c r="G364" s="21">
        <f t="shared" si="84"/>
        <v>0</v>
      </c>
      <c r="H364" s="21">
        <v>70</v>
      </c>
      <c r="I364" s="21">
        <v>56.601033999999999</v>
      </c>
      <c r="J364" s="22">
        <v>-0.40000000000000002</v>
      </c>
      <c r="K364" s="21">
        <f t="shared" si="92"/>
        <v>5889744.4882693524</v>
      </c>
      <c r="L364" s="21">
        <f t="shared" si="93"/>
        <v>1.1326612632280115</v>
      </c>
      <c r="M364" s="21">
        <f t="shared" si="94"/>
        <v>6671085.4321733834</v>
      </c>
      <c r="N364" s="21"/>
      <c r="O364" s="21"/>
      <c r="P364" s="21">
        <f t="shared" si="95"/>
        <v>0</v>
      </c>
      <c r="Q364" s="21">
        <f t="shared" si="96"/>
        <v>0</v>
      </c>
      <c r="R364" s="21">
        <f t="shared" si="97"/>
        <v>6671085.4321733834</v>
      </c>
      <c r="S364" s="7">
        <f t="shared" si="77"/>
        <v>0</v>
      </c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65" outlineLevel="2">
      <c r="A365" s="18" t="s">
        <v>119</v>
      </c>
      <c r="B365" s="19" t="s">
        <v>96</v>
      </c>
      <c r="C365" s="20">
        <v>40144352.460000001</v>
      </c>
      <c r="D365" s="20"/>
      <c r="E365" s="20"/>
      <c r="F365" s="20">
        <v>40144352.460000001</v>
      </c>
      <c r="G365" s="21">
        <f t="shared" si="84"/>
        <v>0</v>
      </c>
      <c r="H365" s="21">
        <v>70</v>
      </c>
      <c r="I365" s="21">
        <v>55.704892999999998</v>
      </c>
      <c r="J365" s="22">
        <v>-0.40000000000000002</v>
      </c>
      <c r="K365" s="21">
        <f t="shared" si="92"/>
        <v>11477356.277228268</v>
      </c>
      <c r="L365" s="21">
        <f t="shared" si="93"/>
        <v>1.1326612632280115</v>
      </c>
      <c r="M365" s="21">
        <f t="shared" si="94"/>
        <v>12999956.859483318</v>
      </c>
      <c r="N365" s="21"/>
      <c r="O365" s="21"/>
      <c r="P365" s="21">
        <f t="shared" si="95"/>
        <v>0</v>
      </c>
      <c r="Q365" s="21">
        <f t="shared" si="96"/>
        <v>0</v>
      </c>
      <c r="R365" s="21">
        <f t="shared" si="97"/>
        <v>12999956.859483318</v>
      </c>
      <c r="S365" s="7">
        <f t="shared" si="77"/>
        <v>0</v>
      </c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65" outlineLevel="2">
      <c r="A366" s="18" t="s">
        <v>119</v>
      </c>
      <c r="B366" s="19" t="s">
        <v>95</v>
      </c>
      <c r="C366" s="20">
        <v>17962600.52</v>
      </c>
      <c r="D366" s="20"/>
      <c r="E366" s="20"/>
      <c r="F366" s="20">
        <v>17962600.52</v>
      </c>
      <c r="G366" s="21">
        <f t="shared" si="84"/>
        <v>0</v>
      </c>
      <c r="H366" s="21">
        <v>70</v>
      </c>
      <c r="I366" s="21">
        <v>54.813330000000001</v>
      </c>
      <c r="J366" s="22">
        <v>-0.40000000000000002</v>
      </c>
      <c r="K366" s="21">
        <f t="shared" si="92"/>
        <v>5455841.7287813686</v>
      </c>
      <c r="L366" s="21">
        <f t="shared" si="93"/>
        <v>1.1326612632280115</v>
      </c>
      <c r="M366" s="21">
        <f t="shared" si="94"/>
        <v>6179620.5844936036</v>
      </c>
      <c r="N366" s="21"/>
      <c r="O366" s="21"/>
      <c r="P366" s="21">
        <f t="shared" si="95"/>
        <v>0</v>
      </c>
      <c r="Q366" s="21">
        <f t="shared" si="96"/>
        <v>0</v>
      </c>
      <c r="R366" s="21">
        <f t="shared" si="97"/>
        <v>6179620.5844936036</v>
      </c>
      <c r="S366" s="7">
        <f t="shared" si="77"/>
        <v>0</v>
      </c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65" outlineLevel="2">
      <c r="A367" s="18" t="s">
        <v>119</v>
      </c>
      <c r="B367" s="19" t="s">
        <v>94</v>
      </c>
      <c r="C367" s="20">
        <v>10626513.119999999</v>
      </c>
      <c r="D367" s="20"/>
      <c r="E367" s="20"/>
      <c r="F367" s="20">
        <v>10626513.119999999</v>
      </c>
      <c r="G367" s="21">
        <f t="shared" si="84"/>
        <v>0</v>
      </c>
      <c r="H367" s="21">
        <v>70</v>
      </c>
      <c r="I367" s="21">
        <v>53.925643000000001</v>
      </c>
      <c r="J367" s="22">
        <v>-0.40000000000000002</v>
      </c>
      <c r="K367" s="21">
        <f t="shared" si="92"/>
        <v>3416287.3111212756</v>
      </c>
      <c r="L367" s="21">
        <f t="shared" si="93"/>
        <v>1.1326612632280115</v>
      </c>
      <c r="M367" s="21">
        <f t="shared" si="94"/>
        <v>3869496.3013644507</v>
      </c>
      <c r="N367" s="21"/>
      <c r="O367" s="21"/>
      <c r="P367" s="21">
        <f t="shared" si="95"/>
        <v>0</v>
      </c>
      <c r="Q367" s="21">
        <f t="shared" si="96"/>
        <v>0</v>
      </c>
      <c r="R367" s="21">
        <f t="shared" si="97"/>
        <v>3869496.3013644507</v>
      </c>
      <c r="S367" s="7">
        <f t="shared" si="77"/>
        <v>0</v>
      </c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65" outlineLevel="2">
      <c r="A368" s="18" t="s">
        <v>119</v>
      </c>
      <c r="B368" s="19" t="s">
        <v>93</v>
      </c>
      <c r="C368" s="20">
        <v>10752263.449999999</v>
      </c>
      <c r="D368" s="20"/>
      <c r="E368" s="20"/>
      <c r="F368" s="20">
        <v>10752263.449999999</v>
      </c>
      <c r="G368" s="21">
        <f t="shared" si="84"/>
        <v>0</v>
      </c>
      <c r="H368" s="21">
        <v>70</v>
      </c>
      <c r="I368" s="21">
        <v>53.043236</v>
      </c>
      <c r="J368" s="22">
        <v>-0.40000000000000002</v>
      </c>
      <c r="K368" s="21">
        <f t="shared" si="92"/>
        <v>3646471.8757495149</v>
      </c>
      <c r="L368" s="21">
        <f t="shared" si="93"/>
        <v>1.1326612632280115</v>
      </c>
      <c r="M368" s="21">
        <f t="shared" si="94"/>
        <v>4130217.4411118622</v>
      </c>
      <c r="N368" s="21"/>
      <c r="O368" s="21"/>
      <c r="P368" s="21">
        <f t="shared" si="95"/>
        <v>0</v>
      </c>
      <c r="Q368" s="21">
        <f t="shared" si="96"/>
        <v>0</v>
      </c>
      <c r="R368" s="21">
        <f t="shared" si="97"/>
        <v>4130217.4411118622</v>
      </c>
      <c r="S368" s="7">
        <f t="shared" si="77"/>
        <v>0</v>
      </c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65" outlineLevel="2">
      <c r="A369" s="18" t="s">
        <v>119</v>
      </c>
      <c r="B369" s="19" t="s">
        <v>92</v>
      </c>
      <c r="C369" s="20">
        <v>41818468.100000001</v>
      </c>
      <c r="D369" s="20"/>
      <c r="E369" s="20"/>
      <c r="F369" s="20">
        <v>41818468.100000001</v>
      </c>
      <c r="G369" s="21">
        <f t="shared" si="84"/>
        <v>0</v>
      </c>
      <c r="H369" s="21">
        <v>70</v>
      </c>
      <c r="I369" s="21">
        <v>52.164921999999997</v>
      </c>
      <c r="J369" s="22">
        <v>-0.40000000000000002</v>
      </c>
      <c r="K369" s="21">
        <f t="shared" si="92"/>
        <v>14916712.808080239</v>
      </c>
      <c r="L369" s="21">
        <f t="shared" si="93"/>
        <v>1.1326612632280115</v>
      </c>
      <c r="M369" s="21">
        <f t="shared" si="94"/>
        <v>16895582.772409622</v>
      </c>
      <c r="N369" s="21"/>
      <c r="O369" s="21"/>
      <c r="P369" s="21">
        <f t="shared" si="95"/>
        <v>0</v>
      </c>
      <c r="Q369" s="21">
        <f t="shared" si="96"/>
        <v>0</v>
      </c>
      <c r="R369" s="21">
        <f t="shared" si="97"/>
        <v>16895582.772409622</v>
      </c>
      <c r="S369" s="7">
        <f t="shared" si="77"/>
        <v>0</v>
      </c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65" outlineLevel="2">
      <c r="A370" s="18" t="s">
        <v>119</v>
      </c>
      <c r="B370" s="19" t="s">
        <v>91</v>
      </c>
      <c r="C370" s="20">
        <v>33294202.02</v>
      </c>
      <c r="D370" s="20"/>
      <c r="E370" s="20"/>
      <c r="F370" s="20">
        <v>33294202.02</v>
      </c>
      <c r="G370" s="21">
        <f t="shared" si="84"/>
        <v>0</v>
      </c>
      <c r="H370" s="21">
        <v>70</v>
      </c>
      <c r="I370" s="21">
        <v>51.291725999999997</v>
      </c>
      <c r="J370" s="22">
        <v>-0.40000000000000002</v>
      </c>
      <c r="K370" s="21">
        <f t="shared" si="92"/>
        <v>12457541.080030272</v>
      </c>
      <c r="L370" s="21">
        <f t="shared" si="93"/>
        <v>1.1326612632280115</v>
      </c>
      <c r="M370" s="21">
        <f t="shared" si="94"/>
        <v>14110174.216421934</v>
      </c>
      <c r="N370" s="21"/>
      <c r="O370" s="21"/>
      <c r="P370" s="21">
        <f t="shared" si="95"/>
        <v>0</v>
      </c>
      <c r="Q370" s="21">
        <f t="shared" si="96"/>
        <v>0</v>
      </c>
      <c r="R370" s="21">
        <f t="shared" si="97"/>
        <v>14110174.216421934</v>
      </c>
      <c r="S370" s="7">
        <f t="shared" si="77"/>
        <v>0</v>
      </c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65" outlineLevel="2">
      <c r="A371" s="18" t="s">
        <v>119</v>
      </c>
      <c r="B371" s="19" t="s">
        <v>90</v>
      </c>
      <c r="C371" s="20">
        <v>2280195.1699999999</v>
      </c>
      <c r="D371" s="20"/>
      <c r="E371" s="20"/>
      <c r="F371" s="20">
        <v>2280195.1699999999</v>
      </c>
      <c r="G371" s="21">
        <f t="shared" si="84"/>
        <v>0</v>
      </c>
      <c r="H371" s="21">
        <v>70</v>
      </c>
      <c r="I371" s="21">
        <v>50.423304000000002</v>
      </c>
      <c r="J371" s="22">
        <v>-0.40000000000000002</v>
      </c>
      <c r="K371" s="21">
        <f t="shared" si="92"/>
        <v>892773.75327516615</v>
      </c>
      <c r="L371" s="21">
        <f t="shared" si="93"/>
        <v>1.1326612632280115</v>
      </c>
      <c r="M371" s="21">
        <f t="shared" si="94"/>
        <v>1011210.2471614628</v>
      </c>
      <c r="N371" s="21"/>
      <c r="O371" s="21"/>
      <c r="P371" s="21">
        <f t="shared" si="95"/>
        <v>0</v>
      </c>
      <c r="Q371" s="21">
        <f t="shared" si="96"/>
        <v>0</v>
      </c>
      <c r="R371" s="21">
        <f t="shared" si="97"/>
        <v>1011210.2471614628</v>
      </c>
      <c r="S371" s="7">
        <f t="shared" si="77"/>
        <v>0</v>
      </c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65" outlineLevel="2">
      <c r="A372" s="18" t="s">
        <v>119</v>
      </c>
      <c r="B372" s="19" t="s">
        <v>89</v>
      </c>
      <c r="C372" s="20">
        <v>2381265.29</v>
      </c>
      <c r="D372" s="20"/>
      <c r="E372" s="20"/>
      <c r="F372" s="20">
        <v>2381265.29</v>
      </c>
      <c r="G372" s="21">
        <f t="shared" si="84"/>
        <v>0</v>
      </c>
      <c r="H372" s="21">
        <v>70</v>
      </c>
      <c r="I372" s="21">
        <v>49.559773999999997</v>
      </c>
      <c r="J372" s="22">
        <v>-0.40000000000000002</v>
      </c>
      <c r="K372" s="21">
        <f t="shared" si="92"/>
        <v>973472.01387111074</v>
      </c>
      <c r="L372" s="21">
        <f t="shared" si="93"/>
        <v>1.1326612632280115</v>
      </c>
      <c r="M372" s="21">
        <f t="shared" si="94"/>
        <v>1102614.0409483686</v>
      </c>
      <c r="N372" s="21"/>
      <c r="O372" s="21"/>
      <c r="P372" s="21">
        <f t="shared" si="95"/>
        <v>0</v>
      </c>
      <c r="Q372" s="21">
        <f t="shared" si="96"/>
        <v>0</v>
      </c>
      <c r="R372" s="21">
        <f t="shared" si="97"/>
        <v>1102614.0409483686</v>
      </c>
      <c r="S372" s="7">
        <f t="shared" si="77"/>
        <v>0</v>
      </c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65" outlineLevel="2">
      <c r="A373" s="18" t="s">
        <v>119</v>
      </c>
      <c r="B373" s="19" t="s">
        <v>88</v>
      </c>
      <c r="C373" s="20">
        <v>1915860.3600000001</v>
      </c>
      <c r="D373" s="20"/>
      <c r="E373" s="20"/>
      <c r="F373" s="20">
        <v>1915860.3600000001</v>
      </c>
      <c r="G373" s="21">
        <f t="shared" si="84"/>
        <v>0</v>
      </c>
      <c r="H373" s="21">
        <v>70</v>
      </c>
      <c r="I373" s="21">
        <v>48.701752999999997</v>
      </c>
      <c r="J373" s="22">
        <v>-0.40000000000000002</v>
      </c>
      <c r="K373" s="21">
        <f t="shared" si="92"/>
        <v>816089.34329577861</v>
      </c>
      <c r="L373" s="21">
        <f t="shared" si="93"/>
        <v>1.1326612632280115</v>
      </c>
      <c r="M373" s="21">
        <f t="shared" si="94"/>
        <v>924352.78648431494</v>
      </c>
      <c r="N373" s="21"/>
      <c r="O373" s="21"/>
      <c r="P373" s="21">
        <f t="shared" si="95"/>
        <v>0</v>
      </c>
      <c r="Q373" s="21">
        <f t="shared" si="96"/>
        <v>0</v>
      </c>
      <c r="R373" s="21">
        <f t="shared" si="97"/>
        <v>924352.78648431494</v>
      </c>
      <c r="S373" s="7">
        <f t="shared" si="77"/>
        <v>0</v>
      </c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65" outlineLevel="2">
      <c r="A374" s="18" t="s">
        <v>119</v>
      </c>
      <c r="B374" s="19" t="s">
        <v>87</v>
      </c>
      <c r="C374" s="20">
        <v>5305552.8099999996</v>
      </c>
      <c r="D374" s="20"/>
      <c r="E374" s="20"/>
      <c r="F374" s="20">
        <v>5305552.8099999996</v>
      </c>
      <c r="G374" s="21">
        <f t="shared" si="84"/>
        <v>0</v>
      </c>
      <c r="H374" s="21">
        <v>70</v>
      </c>
      <c r="I374" s="21">
        <v>47.848326</v>
      </c>
      <c r="J374" s="22">
        <v>-0.40000000000000002</v>
      </c>
      <c r="K374" s="21">
        <f t="shared" si="92"/>
        <v>2350537.5247380785</v>
      </c>
      <c r="L374" s="21">
        <f t="shared" si="93"/>
        <v>1.1326612632280115</v>
      </c>
      <c r="M374" s="21">
        <f t="shared" si="94"/>
        <v>2662362.8020346751</v>
      </c>
      <c r="N374" s="21"/>
      <c r="O374" s="21"/>
      <c r="P374" s="21">
        <f t="shared" si="95"/>
        <v>0</v>
      </c>
      <c r="Q374" s="21">
        <f t="shared" si="96"/>
        <v>0</v>
      </c>
      <c r="R374" s="21">
        <f t="shared" si="97"/>
        <v>2662362.8020346751</v>
      </c>
      <c r="S374" s="7">
        <f t="shared" si="98" ref="S374:S437">+M374-P374-Q374-R374</f>
        <v>0</v>
      </c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65" outlineLevel="2">
      <c r="A375" s="18" t="s">
        <v>119</v>
      </c>
      <c r="B375" s="19" t="s">
        <v>86</v>
      </c>
      <c r="C375" s="20">
        <v>363682.76000000001</v>
      </c>
      <c r="D375" s="20"/>
      <c r="E375" s="20"/>
      <c r="F375" s="20">
        <v>363682.76000000001</v>
      </c>
      <c r="G375" s="21">
        <f t="shared" si="84"/>
        <v>0</v>
      </c>
      <c r="H375" s="21">
        <v>70</v>
      </c>
      <c r="I375" s="21">
        <v>47.001193999999998</v>
      </c>
      <c r="J375" s="22">
        <v>-0.40000000000000002</v>
      </c>
      <c r="K375" s="21">
        <f t="shared" si="92"/>
        <v>167285.3848556912</v>
      </c>
      <c r="L375" s="21">
        <f t="shared" si="93"/>
        <v>1.1326612632280115</v>
      </c>
      <c r="M375" s="21">
        <f t="shared" si="94"/>
        <v>189477.67533023126</v>
      </c>
      <c r="N375" s="21"/>
      <c r="O375" s="21"/>
      <c r="P375" s="21">
        <f t="shared" si="95"/>
        <v>0</v>
      </c>
      <c r="Q375" s="21">
        <f t="shared" si="96"/>
        <v>0</v>
      </c>
      <c r="R375" s="21">
        <f t="shared" si="97"/>
        <v>189477.67533023126</v>
      </c>
      <c r="S375" s="7">
        <f t="shared" si="98"/>
        <v>0</v>
      </c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65" outlineLevel="2">
      <c r="A376" s="18" t="s">
        <v>119</v>
      </c>
      <c r="B376" s="19" t="s">
        <v>85</v>
      </c>
      <c r="C376" s="20">
        <v>1018072.79</v>
      </c>
      <c r="D376" s="20"/>
      <c r="E376" s="20"/>
      <c r="F376" s="20">
        <v>1018072.79</v>
      </c>
      <c r="G376" s="21">
        <f t="shared" si="84"/>
        <v>0</v>
      </c>
      <c r="H376" s="21">
        <v>70</v>
      </c>
      <c r="I376" s="21">
        <v>46.158864999999999</v>
      </c>
      <c r="J376" s="22">
        <v>-0.40000000000000002</v>
      </c>
      <c r="K376" s="21">
        <f t="shared" si="92"/>
        <v>485440.21652433294</v>
      </c>
      <c r="L376" s="21">
        <f t="shared" si="93"/>
        <v>1.1326612632280115</v>
      </c>
      <c r="M376" s="21">
        <f t="shared" si="94"/>
        <v>549839.32887013035</v>
      </c>
      <c r="N376" s="21"/>
      <c r="O376" s="21"/>
      <c r="P376" s="21">
        <f t="shared" si="95"/>
        <v>0</v>
      </c>
      <c r="Q376" s="21">
        <f t="shared" si="96"/>
        <v>0</v>
      </c>
      <c r="R376" s="21">
        <f t="shared" si="97"/>
        <v>549839.32887013035</v>
      </c>
      <c r="S376" s="7">
        <f t="shared" si="98"/>
        <v>0</v>
      </c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65" outlineLevel="2">
      <c r="A377" s="18" t="s">
        <v>119</v>
      </c>
      <c r="B377" s="19" t="s">
        <v>84</v>
      </c>
      <c r="C377" s="20">
        <v>1266997.8899999999</v>
      </c>
      <c r="D377" s="20"/>
      <c r="E377" s="20"/>
      <c r="F377" s="20">
        <v>1266997.8899999999</v>
      </c>
      <c r="G377" s="21">
        <f t="shared" si="84"/>
        <v>0</v>
      </c>
      <c r="H377" s="21">
        <v>70</v>
      </c>
      <c r="I377" s="21">
        <v>45.322547</v>
      </c>
      <c r="J377" s="22">
        <v>-0.40000000000000002</v>
      </c>
      <c r="K377" s="21">
        <f t="shared" si="92"/>
        <v>625325.61763148336</v>
      </c>
      <c r="L377" s="21">
        <f t="shared" si="93"/>
        <v>1.1326612632280115</v>
      </c>
      <c r="M377" s="21">
        <f t="shared" si="94"/>
        <v>708282.10399531247</v>
      </c>
      <c r="N377" s="21"/>
      <c r="O377" s="21"/>
      <c r="P377" s="21">
        <f t="shared" si="95"/>
        <v>0</v>
      </c>
      <c r="Q377" s="21">
        <f t="shared" si="96"/>
        <v>0</v>
      </c>
      <c r="R377" s="21">
        <f t="shared" si="97"/>
        <v>708282.10399531247</v>
      </c>
      <c r="S377" s="7">
        <f t="shared" si="98"/>
        <v>0</v>
      </c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65" outlineLevel="2">
      <c r="A378" s="18" t="s">
        <v>119</v>
      </c>
      <c r="B378" s="19" t="s">
        <v>83</v>
      </c>
      <c r="C378" s="20">
        <v>1859688.5700000001</v>
      </c>
      <c r="D378" s="20"/>
      <c r="E378" s="20"/>
      <c r="F378" s="20">
        <v>1859688.5700000001</v>
      </c>
      <c r="G378" s="21">
        <f t="shared" si="84"/>
        <v>0</v>
      </c>
      <c r="H378" s="21">
        <v>70</v>
      </c>
      <c r="I378" s="21">
        <v>44.491784000000003</v>
      </c>
      <c r="J378" s="22">
        <v>-0.40000000000000002</v>
      </c>
      <c r="K378" s="21">
        <f t="shared" si="92"/>
        <v>948746.75472582225</v>
      </c>
      <c r="L378" s="21">
        <f t="shared" si="93"/>
        <v>1.1326612632280115</v>
      </c>
      <c r="M378" s="21">
        <f t="shared" si="94"/>
        <v>1074608.6976912262</v>
      </c>
      <c r="N378" s="21"/>
      <c r="O378" s="21"/>
      <c r="P378" s="21">
        <f t="shared" si="95"/>
        <v>0</v>
      </c>
      <c r="Q378" s="21">
        <f t="shared" si="96"/>
        <v>0</v>
      </c>
      <c r="R378" s="21">
        <f t="shared" si="97"/>
        <v>1074608.6976912262</v>
      </c>
      <c r="S378" s="7">
        <f t="shared" si="98"/>
        <v>0</v>
      </c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65" outlineLevel="2">
      <c r="A379" s="18" t="s">
        <v>119</v>
      </c>
      <c r="B379" s="19" t="s">
        <v>82</v>
      </c>
      <c r="C379" s="20">
        <v>1212023.6799999999</v>
      </c>
      <c r="D379" s="20"/>
      <c r="E379" s="20"/>
      <c r="F379" s="20">
        <v>1212023.6799999999</v>
      </c>
      <c r="G379" s="21">
        <f t="shared" si="84"/>
        <v>0</v>
      </c>
      <c r="H379" s="21">
        <v>70</v>
      </c>
      <c r="I379" s="21">
        <v>43.666685999999999</v>
      </c>
      <c r="J379" s="22">
        <v>-0.40000000000000002</v>
      </c>
      <c r="K379" s="21">
        <f t="shared" si="92"/>
        <v>638332.00281751039</v>
      </c>
      <c r="L379" s="21">
        <f t="shared" si="93"/>
        <v>1.1326612632280115</v>
      </c>
      <c r="M379" s="21">
        <f t="shared" si="94"/>
        <v>723013.93267014797</v>
      </c>
      <c r="N379" s="21"/>
      <c r="O379" s="21"/>
      <c r="P379" s="21">
        <f t="shared" si="95"/>
        <v>0</v>
      </c>
      <c r="Q379" s="21">
        <f t="shared" si="96"/>
        <v>0</v>
      </c>
      <c r="R379" s="21">
        <f t="shared" si="97"/>
        <v>723013.93267014797</v>
      </c>
      <c r="S379" s="7">
        <f t="shared" si="98"/>
        <v>0</v>
      </c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65" outlineLevel="2">
      <c r="A380" s="18" t="s">
        <v>119</v>
      </c>
      <c r="B380" s="19" t="s">
        <v>81</v>
      </c>
      <c r="C380" s="20">
        <v>1422233.79</v>
      </c>
      <c r="D380" s="20"/>
      <c r="E380" s="20"/>
      <c r="F380" s="20">
        <v>1422233.79</v>
      </c>
      <c r="G380" s="21">
        <f t="shared" si="84"/>
        <v>0</v>
      </c>
      <c r="H380" s="21">
        <v>70</v>
      </c>
      <c r="I380" s="21">
        <v>42.847949999999997</v>
      </c>
      <c r="J380" s="22">
        <v>-0.40000000000000002</v>
      </c>
      <c r="K380" s="21">
        <f t="shared" si="92"/>
        <v>772331.2595553901</v>
      </c>
      <c r="L380" s="21">
        <f t="shared" si="93"/>
        <v>1.1326612632280115</v>
      </c>
      <c r="M380" s="21">
        <f t="shared" si="94"/>
        <v>874789.70007848938</v>
      </c>
      <c r="N380" s="21"/>
      <c r="O380" s="21"/>
      <c r="P380" s="21">
        <f t="shared" si="95"/>
        <v>0</v>
      </c>
      <c r="Q380" s="21">
        <f t="shared" si="96"/>
        <v>0</v>
      </c>
      <c r="R380" s="21">
        <f t="shared" si="97"/>
        <v>874789.70007848938</v>
      </c>
      <c r="S380" s="7">
        <f t="shared" si="98"/>
        <v>0</v>
      </c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65" outlineLevel="2">
      <c r="A381" s="18" t="s">
        <v>119</v>
      </c>
      <c r="B381" s="19" t="s">
        <v>80</v>
      </c>
      <c r="C381" s="20">
        <v>1114647.6200000001</v>
      </c>
      <c r="D381" s="20"/>
      <c r="E381" s="20"/>
      <c r="F381" s="20">
        <v>1114647.6200000001</v>
      </c>
      <c r="G381" s="21">
        <f t="shared" si="84"/>
        <v>0</v>
      </c>
      <c r="H381" s="21">
        <v>70</v>
      </c>
      <c r="I381" s="21">
        <v>42.034464999999997</v>
      </c>
      <c r="J381" s="22">
        <v>-0.40000000000000002</v>
      </c>
      <c r="K381" s="21">
        <f t="shared" si="92"/>
        <v>623434.34059553407</v>
      </c>
      <c r="L381" s="21">
        <f t="shared" si="93"/>
        <v>1.1326612632280115</v>
      </c>
      <c r="M381" s="21">
        <f t="shared" si="94"/>
        <v>706139.92775866005</v>
      </c>
      <c r="N381" s="21"/>
      <c r="O381" s="21"/>
      <c r="P381" s="21">
        <f t="shared" si="95"/>
        <v>0</v>
      </c>
      <c r="Q381" s="21">
        <f t="shared" si="96"/>
        <v>0</v>
      </c>
      <c r="R381" s="21">
        <f t="shared" si="97"/>
        <v>706139.92775866005</v>
      </c>
      <c r="S381" s="7">
        <f t="shared" si="98"/>
        <v>0</v>
      </c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65" outlineLevel="2">
      <c r="A382" s="18" t="s">
        <v>119</v>
      </c>
      <c r="B382" s="19" t="s">
        <v>79</v>
      </c>
      <c r="C382" s="20">
        <v>1624604.28</v>
      </c>
      <c r="D382" s="20"/>
      <c r="E382" s="20"/>
      <c r="F382" s="20">
        <v>1624604.28</v>
      </c>
      <c r="G382" s="21">
        <f t="shared" si="84"/>
        <v>0</v>
      </c>
      <c r="H382" s="21">
        <v>70</v>
      </c>
      <c r="I382" s="21">
        <v>41.228197999999999</v>
      </c>
      <c r="J382" s="22">
        <v>-0.40000000000000002</v>
      </c>
      <c r="K382" s="21">
        <f t="shared" si="99" ref="K382:K413">+C382*(1-I382/H382)*(1-J382)</f>
        <v>934855.85345025116</v>
      </c>
      <c r="L382" s="21">
        <f t="shared" si="100" ref="L382:L413">$L$431</f>
        <v>1.1326612632280115</v>
      </c>
      <c r="M382" s="21">
        <f t="shared" si="101" ref="M382:M413">IF((C382*(1-J382)-K382*L382)&lt;0,C382*(1-J382),K382*L382)</f>
        <v>1058875.0119050623</v>
      </c>
      <c r="N382" s="21"/>
      <c r="O382" s="21"/>
      <c r="P382" s="21">
        <f t="shared" si="102" ref="P382:P413">+D382/$C382*$M382</f>
        <v>0</v>
      </c>
      <c r="Q382" s="21">
        <f t="shared" si="103" ref="Q382:Q413">+E382/$C382*$M382</f>
        <v>0</v>
      </c>
      <c r="R382" s="21">
        <f t="shared" si="104" ref="R382:R413">+F382/$C382*$M382</f>
        <v>1058875.0119050623</v>
      </c>
      <c r="S382" s="7">
        <f t="shared" si="98"/>
        <v>0</v>
      </c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65" outlineLevel="2">
      <c r="A383" s="18" t="s">
        <v>119</v>
      </c>
      <c r="B383" s="19" t="s">
        <v>78</v>
      </c>
      <c r="C383" s="20">
        <v>6726411.7400000002</v>
      </c>
      <c r="D383" s="20"/>
      <c r="E383" s="20"/>
      <c r="F383" s="20">
        <v>6726411.7400000002</v>
      </c>
      <c r="G383" s="21">
        <f t="shared" si="84"/>
        <v>0</v>
      </c>
      <c r="H383" s="21">
        <v>70</v>
      </c>
      <c r="I383" s="21">
        <v>40.427365999999999</v>
      </c>
      <c r="J383" s="22">
        <v>-0.40000000000000002</v>
      </c>
      <c r="K383" s="21">
        <f t="shared" si="99"/>
        <v>3978354.2504064632</v>
      </c>
      <c r="L383" s="21">
        <f t="shared" si="100"/>
        <v>1.1326612632280115</v>
      </c>
      <c r="M383" s="21">
        <f t="shared" si="101"/>
        <v>4506127.7508339137</v>
      </c>
      <c r="N383" s="21"/>
      <c r="O383" s="21"/>
      <c r="P383" s="21">
        <f t="shared" si="102"/>
        <v>0</v>
      </c>
      <c r="Q383" s="21">
        <f t="shared" si="103"/>
        <v>0</v>
      </c>
      <c r="R383" s="21">
        <f t="shared" si="104"/>
        <v>4506127.7508339137</v>
      </c>
      <c r="S383" s="7">
        <f t="shared" si="98"/>
        <v>0</v>
      </c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65" outlineLevel="2">
      <c r="A384" s="18" t="s">
        <v>119</v>
      </c>
      <c r="B384" s="19" t="s">
        <v>77</v>
      </c>
      <c r="C384" s="20">
        <v>3178243.0600000001</v>
      </c>
      <c r="D384" s="20"/>
      <c r="E384" s="20"/>
      <c r="F384" s="20">
        <v>3178243.0600000001</v>
      </c>
      <c r="G384" s="21">
        <f t="shared" si="84"/>
        <v>0</v>
      </c>
      <c r="H384" s="21">
        <v>70</v>
      </c>
      <c r="I384" s="21">
        <v>39.633356999999997</v>
      </c>
      <c r="J384" s="22">
        <v>-0.40000000000000002</v>
      </c>
      <c r="K384" s="21">
        <f t="shared" si="99"/>
        <v>1930251.4474049516</v>
      </c>
      <c r="L384" s="21">
        <f t="shared" si="100"/>
        <v>1.1326612632280115</v>
      </c>
      <c r="M384" s="21">
        <f t="shared" si="101"/>
        <v>2186321.0427653901</v>
      </c>
      <c r="N384" s="21"/>
      <c r="O384" s="21"/>
      <c r="P384" s="21">
        <f t="shared" si="102"/>
        <v>0</v>
      </c>
      <c r="Q384" s="21">
        <f t="shared" si="103"/>
        <v>0</v>
      </c>
      <c r="R384" s="21">
        <f t="shared" si="104"/>
        <v>2186321.0427653901</v>
      </c>
      <c r="S384" s="7">
        <f t="shared" si="98"/>
        <v>0</v>
      </c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65" outlineLevel="2">
      <c r="A385" s="18" t="s">
        <v>119</v>
      </c>
      <c r="B385" s="19" t="s">
        <v>76</v>
      </c>
      <c r="C385" s="20">
        <v>6086918.5599999996</v>
      </c>
      <c r="D385" s="20"/>
      <c r="E385" s="20"/>
      <c r="F385" s="20">
        <v>6086918.5599999996</v>
      </c>
      <c r="G385" s="21"/>
      <c r="H385" s="21">
        <v>70</v>
      </c>
      <c r="I385" s="21">
        <v>38.845613999999998</v>
      </c>
      <c r="J385" s="22">
        <v>-0.40000000000000002</v>
      </c>
      <c r="K385" s="21">
        <f t="shared" si="99"/>
        <v>3792684.2073760829</v>
      </c>
      <c r="L385" s="21">
        <f t="shared" si="100"/>
        <v>1.1326612632280115</v>
      </c>
      <c r="M385" s="21">
        <f t="shared" si="101"/>
        <v>4295826.4853515234</v>
      </c>
      <c r="N385" s="21"/>
      <c r="O385" s="21"/>
      <c r="P385" s="21">
        <f t="shared" si="102"/>
        <v>0</v>
      </c>
      <c r="Q385" s="21">
        <f t="shared" si="103"/>
        <v>0</v>
      </c>
      <c r="R385" s="21">
        <f t="shared" si="104"/>
        <v>4295826.4853515234</v>
      </c>
      <c r="S385" s="7">
        <f t="shared" si="98"/>
        <v>0</v>
      </c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65" outlineLevel="2">
      <c r="A386" s="18" t="s">
        <v>119</v>
      </c>
      <c r="B386" s="19" t="s">
        <v>75</v>
      </c>
      <c r="C386" s="20">
        <v>7825840.04</v>
      </c>
      <c r="D386" s="20"/>
      <c r="E386" s="20"/>
      <c r="F386" s="20">
        <v>7825840.04</v>
      </c>
      <c r="G386" s="21"/>
      <c r="H386" s="21">
        <v>70</v>
      </c>
      <c r="I386" s="21">
        <v>38.064236999999999</v>
      </c>
      <c r="J386" s="22">
        <v>-0.40000000000000002</v>
      </c>
      <c r="K386" s="21">
        <f t="shared" si="99"/>
        <v>4998483.4558670102</v>
      </c>
      <c r="L386" s="21">
        <f t="shared" si="100"/>
        <v>1.1326612632280115</v>
      </c>
      <c r="M386" s="21">
        <f t="shared" si="101"/>
        <v>5661588.5853466447</v>
      </c>
      <c r="N386" s="21"/>
      <c r="O386" s="21"/>
      <c r="P386" s="21">
        <f t="shared" si="102"/>
        <v>0</v>
      </c>
      <c r="Q386" s="21">
        <f t="shared" si="103"/>
        <v>0</v>
      </c>
      <c r="R386" s="21">
        <f t="shared" si="104"/>
        <v>5661588.5853466447</v>
      </c>
      <c r="S386" s="7">
        <f t="shared" si="98"/>
        <v>0</v>
      </c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65" outlineLevel="2">
      <c r="A387" s="18" t="s">
        <v>119</v>
      </c>
      <c r="B387" s="19" t="s">
        <v>74</v>
      </c>
      <c r="C387" s="20">
        <v>41706934.640000001</v>
      </c>
      <c r="D387" s="20"/>
      <c r="E387" s="20"/>
      <c r="F387" s="20">
        <v>41706934.640000001</v>
      </c>
      <c r="G387" s="21"/>
      <c r="H387" s="21">
        <v>70</v>
      </c>
      <c r="I387" s="21">
        <v>37.290022999999998</v>
      </c>
      <c r="J387" s="22">
        <v>-0.40000000000000002</v>
      </c>
      <c r="K387" s="21">
        <f t="shared" si="99"/>
        <v>27284657.456298068</v>
      </c>
      <c r="L387" s="21">
        <f t="shared" si="100"/>
        <v>1.1326612632280115</v>
      </c>
      <c r="M387" s="21">
        <f t="shared" si="101"/>
        <v>30904274.581194155</v>
      </c>
      <c r="N387" s="21"/>
      <c r="O387" s="21"/>
      <c r="P387" s="21">
        <f t="shared" si="102"/>
        <v>0</v>
      </c>
      <c r="Q387" s="21">
        <f t="shared" si="103"/>
        <v>0</v>
      </c>
      <c r="R387" s="21">
        <f t="shared" si="104"/>
        <v>30904274.581194155</v>
      </c>
      <c r="S387" s="7">
        <f t="shared" si="98"/>
        <v>0</v>
      </c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65" outlineLevel="2">
      <c r="A388" s="18" t="s">
        <v>119</v>
      </c>
      <c r="B388" s="19" t="s">
        <v>73</v>
      </c>
      <c r="C388" s="20">
        <v>9123582.5600000005</v>
      </c>
      <c r="D388" s="20"/>
      <c r="E388" s="20"/>
      <c r="F388" s="20">
        <v>9123582.5600000005</v>
      </c>
      <c r="G388" s="21"/>
      <c r="H388" s="21">
        <v>70</v>
      </c>
      <c r="I388" s="21">
        <v>36.521666000000003</v>
      </c>
      <c r="J388" s="22">
        <v>-0.40000000000000002</v>
      </c>
      <c r="K388" s="21">
        <f t="shared" si="99"/>
        <v>6108846.8844050989</v>
      </c>
      <c r="L388" s="21">
        <f t="shared" si="100"/>
        <v>1.1326612632280115</v>
      </c>
      <c r="M388" s="21">
        <f t="shared" si="101"/>
        <v>6919254.2289567813</v>
      </c>
      <c r="N388" s="21"/>
      <c r="O388" s="21"/>
      <c r="P388" s="21">
        <f t="shared" si="102"/>
        <v>0</v>
      </c>
      <c r="Q388" s="21">
        <f t="shared" si="103"/>
        <v>0</v>
      </c>
      <c r="R388" s="21">
        <f t="shared" si="104"/>
        <v>6919254.2289567813</v>
      </c>
      <c r="S388" s="7">
        <f t="shared" si="98"/>
        <v>0</v>
      </c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65" outlineLevel="2">
      <c r="A389" s="18" t="s">
        <v>119</v>
      </c>
      <c r="B389" s="19" t="s">
        <v>72</v>
      </c>
      <c r="C389" s="20">
        <v>11432807.59</v>
      </c>
      <c r="D389" s="20"/>
      <c r="E389" s="20"/>
      <c r="F389" s="20">
        <v>11432807.59</v>
      </c>
      <c r="G389" s="21"/>
      <c r="H389" s="21">
        <v>70</v>
      </c>
      <c r="I389" s="21">
        <v>35.761429</v>
      </c>
      <c r="J389" s="22">
        <v>-0.40000000000000002</v>
      </c>
      <c r="K389" s="21">
        <f t="shared" si="99"/>
        <v>7828859.8879910773</v>
      </c>
      <c r="L389" s="21">
        <f t="shared" si="100"/>
        <v>1.1326612632280115</v>
      </c>
      <c r="M389" s="21">
        <f t="shared" si="101"/>
        <v>8867446.3303670827</v>
      </c>
      <c r="N389" s="21"/>
      <c r="O389" s="21"/>
      <c r="P389" s="21">
        <f t="shared" si="102"/>
        <v>0</v>
      </c>
      <c r="Q389" s="21">
        <f t="shared" si="103"/>
        <v>0</v>
      </c>
      <c r="R389" s="21">
        <f t="shared" si="104"/>
        <v>8867446.3303670827</v>
      </c>
      <c r="S389" s="7">
        <f t="shared" si="98"/>
        <v>0</v>
      </c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65" outlineLevel="2">
      <c r="A390" s="18" t="s">
        <v>119</v>
      </c>
      <c r="B390" s="19" t="s">
        <v>71</v>
      </c>
      <c r="C390" s="20">
        <v>13367122.93</v>
      </c>
      <c r="D390" s="20"/>
      <c r="E390" s="20"/>
      <c r="F390" s="20">
        <v>13367122.93</v>
      </c>
      <c r="G390" s="21"/>
      <c r="H390" s="21">
        <v>70</v>
      </c>
      <c r="I390" s="21">
        <v>35.007252999999999</v>
      </c>
      <c r="J390" s="22">
        <v>-0.40000000000000002</v>
      </c>
      <c r="K390" s="21">
        <f t="shared" si="99"/>
        <v>9355047.0161477737</v>
      </c>
      <c r="L390" s="21">
        <f t="shared" si="100"/>
        <v>1.1326612632280115</v>
      </c>
      <c r="M390" s="21">
        <f t="shared" si="101"/>
        <v>10596099.370867377</v>
      </c>
      <c r="N390" s="21"/>
      <c r="O390" s="21"/>
      <c r="P390" s="21">
        <f t="shared" si="102"/>
        <v>0</v>
      </c>
      <c r="Q390" s="21">
        <f t="shared" si="103"/>
        <v>0</v>
      </c>
      <c r="R390" s="21">
        <f t="shared" si="104"/>
        <v>10596099.370867377</v>
      </c>
      <c r="S390" s="7">
        <f t="shared" si="98"/>
        <v>0</v>
      </c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65" outlineLevel="2">
      <c r="A391" s="18" t="s">
        <v>119</v>
      </c>
      <c r="B391" s="19" t="s">
        <v>70</v>
      </c>
      <c r="C391" s="20">
        <v>7721170.4900000002</v>
      </c>
      <c r="D391" s="20"/>
      <c r="E391" s="20"/>
      <c r="F391" s="20">
        <v>7721170.4900000002</v>
      </c>
      <c r="G391" s="21"/>
      <c r="H391" s="21">
        <v>70</v>
      </c>
      <c r="I391" s="21">
        <v>34.260731999999997</v>
      </c>
      <c r="J391" s="22">
        <v>-0.40000000000000002</v>
      </c>
      <c r="K391" s="21">
        <f t="shared" si="99"/>
        <v>5518979.6283160271</v>
      </c>
      <c r="L391" s="21">
        <f t="shared" si="100"/>
        <v>1.1326612632280115</v>
      </c>
      <c r="M391" s="21">
        <f t="shared" si="101"/>
        <v>6251134.437538093</v>
      </c>
      <c r="N391" s="21"/>
      <c r="O391" s="21"/>
      <c r="P391" s="21">
        <f t="shared" si="102"/>
        <v>0</v>
      </c>
      <c r="Q391" s="21">
        <f t="shared" si="103"/>
        <v>0</v>
      </c>
      <c r="R391" s="21">
        <f t="shared" si="104"/>
        <v>6251134.437538093</v>
      </c>
      <c r="S391" s="7">
        <f t="shared" si="98"/>
        <v>0</v>
      </c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65" outlineLevel="2">
      <c r="A392" s="18" t="s">
        <v>119</v>
      </c>
      <c r="B392" s="19" t="s">
        <v>69</v>
      </c>
      <c r="C392" s="20">
        <v>2131714.5600000001</v>
      </c>
      <c r="D392" s="20"/>
      <c r="E392" s="20"/>
      <c r="F392" s="20">
        <v>2131714.5600000001</v>
      </c>
      <c r="G392" s="21"/>
      <c r="H392" s="21">
        <v>70</v>
      </c>
      <c r="I392" s="21">
        <v>33.521234999999997</v>
      </c>
      <c r="J392" s="22">
        <v>-0.40000000000000002</v>
      </c>
      <c r="K392" s="21">
        <f t="shared" si="99"/>
        <v>1555246.2896263681</v>
      </c>
      <c r="L392" s="21">
        <f t="shared" si="100"/>
        <v>1.1326612632280115</v>
      </c>
      <c r="M392" s="21">
        <f t="shared" si="101"/>
        <v>1761567.2270388799</v>
      </c>
      <c r="N392" s="21"/>
      <c r="O392" s="21"/>
      <c r="P392" s="21">
        <f t="shared" si="102"/>
        <v>0</v>
      </c>
      <c r="Q392" s="21">
        <f t="shared" si="103"/>
        <v>0</v>
      </c>
      <c r="R392" s="21">
        <f t="shared" si="104"/>
        <v>1761567.2270388799</v>
      </c>
      <c r="S392" s="7">
        <f t="shared" si="98"/>
        <v>0</v>
      </c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65" outlineLevel="2">
      <c r="A393" s="18" t="s">
        <v>119</v>
      </c>
      <c r="B393" s="19" t="s">
        <v>68</v>
      </c>
      <c r="C393" s="20">
        <v>2541367.6800000002</v>
      </c>
      <c r="D393" s="20"/>
      <c r="E393" s="20"/>
      <c r="F393" s="20">
        <v>2541367.6800000002</v>
      </c>
      <c r="G393" s="21"/>
      <c r="H393" s="21">
        <v>70</v>
      </c>
      <c r="I393" s="21">
        <v>32.788888999999998</v>
      </c>
      <c r="J393" s="22">
        <v>-0.40000000000000002</v>
      </c>
      <c r="K393" s="21">
        <f t="shared" si="99"/>
        <v>1891342.2966458495</v>
      </c>
      <c r="L393" s="21">
        <f t="shared" si="100"/>
        <v>1.1326612632280115</v>
      </c>
      <c r="M393" s="21">
        <f t="shared" si="101"/>
        <v>2142250.1549154562</v>
      </c>
      <c r="N393" s="21"/>
      <c r="O393" s="21"/>
      <c r="P393" s="21">
        <f t="shared" si="102"/>
        <v>0</v>
      </c>
      <c r="Q393" s="21">
        <f t="shared" si="103"/>
        <v>0</v>
      </c>
      <c r="R393" s="21">
        <f t="shared" si="104"/>
        <v>2142250.1549154562</v>
      </c>
      <c r="S393" s="7">
        <f t="shared" si="98"/>
        <v>0</v>
      </c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65" outlineLevel="2">
      <c r="A394" s="18" t="s">
        <v>119</v>
      </c>
      <c r="B394" s="19" t="s">
        <v>67</v>
      </c>
      <c r="C394" s="20">
        <v>4164712.6899999999</v>
      </c>
      <c r="D394" s="20"/>
      <c r="E394" s="20"/>
      <c r="F394" s="20">
        <v>4164712.6899999999</v>
      </c>
      <c r="G394" s="21"/>
      <c r="H394" s="21">
        <v>70</v>
      </c>
      <c r="I394" s="21">
        <v>32.064618000000003</v>
      </c>
      <c r="J394" s="22">
        <v>-0.40000000000000002</v>
      </c>
      <c r="K394" s="21">
        <f t="shared" si="99"/>
        <v>3159799.3363079508</v>
      </c>
      <c r="L394" s="21">
        <f t="shared" si="100"/>
        <v>1.1326612632280115</v>
      </c>
      <c r="M394" s="21">
        <f t="shared" si="101"/>
        <v>3578982.307809596</v>
      </c>
      <c r="N394" s="21"/>
      <c r="O394" s="21"/>
      <c r="P394" s="21">
        <f t="shared" si="102"/>
        <v>0</v>
      </c>
      <c r="Q394" s="21">
        <f t="shared" si="103"/>
        <v>0</v>
      </c>
      <c r="R394" s="21">
        <f t="shared" si="104"/>
        <v>3578982.307809596</v>
      </c>
      <c r="S394" s="7">
        <f t="shared" si="98"/>
        <v>0</v>
      </c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65" outlineLevel="2">
      <c r="A395" s="18" t="s">
        <v>119</v>
      </c>
      <c r="B395" s="19" t="s">
        <v>66</v>
      </c>
      <c r="C395" s="20">
        <v>12551313.77</v>
      </c>
      <c r="D395" s="20"/>
      <c r="E395" s="20"/>
      <c r="F395" s="20">
        <v>12551313.77</v>
      </c>
      <c r="G395" s="21"/>
      <c r="H395" s="21">
        <v>70</v>
      </c>
      <c r="I395" s="21">
        <v>31.346958999999998</v>
      </c>
      <c r="J395" s="22">
        <v>-0.40000000000000002</v>
      </c>
      <c r="K395" s="21">
        <f t="shared" si="99"/>
        <v>9702928.9151134901</v>
      </c>
      <c r="L395" s="21">
        <f t="shared" si="100"/>
        <v>1.1326612632280115</v>
      </c>
      <c r="M395" s="21">
        <f t="shared" si="101"/>
        <v>10990131.722004045</v>
      </c>
      <c r="N395" s="21"/>
      <c r="O395" s="21"/>
      <c r="P395" s="21">
        <f t="shared" si="102"/>
        <v>0</v>
      </c>
      <c r="Q395" s="21">
        <f t="shared" si="103"/>
        <v>0</v>
      </c>
      <c r="R395" s="21">
        <f t="shared" si="104"/>
        <v>10990131.722004045</v>
      </c>
      <c r="S395" s="7">
        <f t="shared" si="98"/>
        <v>0</v>
      </c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65" outlineLevel="2">
      <c r="A396" s="18" t="s">
        <v>119</v>
      </c>
      <c r="B396" s="19" t="s">
        <v>65</v>
      </c>
      <c r="C396" s="20">
        <v>8088064.7400000002</v>
      </c>
      <c r="D396" s="20"/>
      <c r="E396" s="20"/>
      <c r="F396" s="20">
        <v>8088064.7400000002</v>
      </c>
      <c r="G396" s="21"/>
      <c r="H396" s="21">
        <v>70</v>
      </c>
      <c r="I396" s="21">
        <v>30.638513</v>
      </c>
      <c r="J396" s="22">
        <v>-0.40000000000000002</v>
      </c>
      <c r="K396" s="21">
        <f t="shared" si="99"/>
        <v>6367165.1023733672</v>
      </c>
      <c r="L396" s="21">
        <f t="shared" si="100"/>
        <v>1.1326612632280115</v>
      </c>
      <c r="M396" s="21">
        <f t="shared" si="101"/>
        <v>7211841.2680355292</v>
      </c>
      <c r="N396" s="21"/>
      <c r="O396" s="21"/>
      <c r="P396" s="21">
        <f t="shared" si="102"/>
        <v>0</v>
      </c>
      <c r="Q396" s="21">
        <f t="shared" si="103"/>
        <v>0</v>
      </c>
      <c r="R396" s="21">
        <f t="shared" si="104"/>
        <v>7211841.2680355292</v>
      </c>
      <c r="S396" s="7">
        <f t="shared" si="98"/>
        <v>0</v>
      </c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65" outlineLevel="2">
      <c r="A397" s="18" t="s">
        <v>119</v>
      </c>
      <c r="B397" s="19" t="s">
        <v>64</v>
      </c>
      <c r="C397" s="20">
        <v>4384822.1900000004</v>
      </c>
      <c r="D397" s="20"/>
      <c r="E397" s="20"/>
      <c r="F397" s="20">
        <v>4384822.1900000004</v>
      </c>
      <c r="G397" s="21"/>
      <c r="H397" s="21">
        <v>70</v>
      </c>
      <c r="I397" s="21">
        <v>29.936980999999999</v>
      </c>
      <c r="J397" s="22">
        <v>-0.40000000000000002</v>
      </c>
      <c r="K397" s="21">
        <f t="shared" si="99"/>
        <v>3513384.2941918327</v>
      </c>
      <c r="L397" s="21">
        <f t="shared" si="100"/>
        <v>1.1326612632280115</v>
      </c>
      <c r="M397" s="21">
        <f t="shared" si="101"/>
        <v>3979474.2928647767</v>
      </c>
      <c r="N397" s="21"/>
      <c r="O397" s="21"/>
      <c r="P397" s="21">
        <f t="shared" si="102"/>
        <v>0</v>
      </c>
      <c r="Q397" s="21">
        <f t="shared" si="103"/>
        <v>0</v>
      </c>
      <c r="R397" s="21">
        <f t="shared" si="104"/>
        <v>3979474.2928647767</v>
      </c>
      <c r="S397" s="7">
        <f t="shared" si="98"/>
        <v>0</v>
      </c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65" outlineLevel="2">
      <c r="A398" s="18" t="s">
        <v>119</v>
      </c>
      <c r="B398" s="19" t="s">
        <v>63</v>
      </c>
      <c r="C398" s="20">
        <v>2322496.52</v>
      </c>
      <c r="D398" s="20"/>
      <c r="E398" s="20"/>
      <c r="F398" s="20">
        <v>2322496.52</v>
      </c>
      <c r="G398" s="21"/>
      <c r="H398" s="21">
        <v>70</v>
      </c>
      <c r="I398" s="21">
        <v>29.244208</v>
      </c>
      <c r="J398" s="22">
        <v>-0.40000000000000002</v>
      </c>
      <c r="K398" s="21">
        <f t="shared" si="99"/>
        <v>1893103.7017968767</v>
      </c>
      <c r="L398" s="21">
        <f t="shared" si="100"/>
        <v>1.1326612632280115</v>
      </c>
      <c r="M398" s="21">
        <f t="shared" si="101"/>
        <v>2144245.2302988754</v>
      </c>
      <c r="N398" s="21"/>
      <c r="O398" s="21"/>
      <c r="P398" s="21">
        <f t="shared" si="102"/>
        <v>0</v>
      </c>
      <c r="Q398" s="21">
        <f t="shared" si="103"/>
        <v>0</v>
      </c>
      <c r="R398" s="21">
        <f t="shared" si="104"/>
        <v>2144245.2302988754</v>
      </c>
      <c r="S398" s="7">
        <f t="shared" si="98"/>
        <v>0</v>
      </c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65" outlineLevel="2">
      <c r="A399" s="18" t="s">
        <v>119</v>
      </c>
      <c r="B399" s="19" t="s">
        <v>62</v>
      </c>
      <c r="C399" s="20">
        <v>7130824.5599999996</v>
      </c>
      <c r="D399" s="20"/>
      <c r="E399" s="20"/>
      <c r="F399" s="20">
        <v>7130824.5599999996</v>
      </c>
      <c r="G399" s="21"/>
      <c r="H399" s="21">
        <v>70</v>
      </c>
      <c r="I399" s="21">
        <v>28.559524</v>
      </c>
      <c r="J399" s="22">
        <v>-0.40000000000000002</v>
      </c>
      <c r="K399" s="21">
        <f t="shared" si="99"/>
        <v>5910095.2807778111</v>
      </c>
      <c r="L399" s="21">
        <f t="shared" si="100"/>
        <v>1.1326612632280115</v>
      </c>
      <c r="M399" s="21">
        <f t="shared" si="101"/>
        <v>6694135.9865237046</v>
      </c>
      <c r="N399" s="21"/>
      <c r="O399" s="21"/>
      <c r="P399" s="21">
        <f t="shared" si="102"/>
        <v>0</v>
      </c>
      <c r="Q399" s="21">
        <f t="shared" si="103"/>
        <v>0</v>
      </c>
      <c r="R399" s="21">
        <f t="shared" si="104"/>
        <v>6694135.9865237046</v>
      </c>
      <c r="S399" s="7">
        <f t="shared" si="98"/>
        <v>0</v>
      </c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65" outlineLevel="2">
      <c r="A400" s="18" t="s">
        <v>119</v>
      </c>
      <c r="B400" s="19" t="s">
        <v>61</v>
      </c>
      <c r="C400" s="20">
        <v>6706147.96</v>
      </c>
      <c r="D400" s="20"/>
      <c r="E400" s="20"/>
      <c r="F400" s="20">
        <v>6706147.96</v>
      </c>
      <c r="G400" s="21"/>
      <c r="H400" s="21">
        <v>70</v>
      </c>
      <c r="I400" s="21">
        <v>27.883115</v>
      </c>
      <c r="J400" s="22">
        <v>-0.40000000000000002</v>
      </c>
      <c r="K400" s="21">
        <f t="shared" si="99"/>
        <v>5648841.2484860914</v>
      </c>
      <c r="L400" s="21">
        <f t="shared" si="100"/>
        <v>1.1326612632280115</v>
      </c>
      <c r="M400" s="21">
        <f t="shared" si="101"/>
        <v>6398223.6642847536</v>
      </c>
      <c r="N400" s="21"/>
      <c r="O400" s="21"/>
      <c r="P400" s="21">
        <f t="shared" si="102"/>
        <v>0</v>
      </c>
      <c r="Q400" s="21">
        <f t="shared" si="103"/>
        <v>0</v>
      </c>
      <c r="R400" s="21">
        <f t="shared" si="104"/>
        <v>6398223.6642847536</v>
      </c>
      <c r="S400" s="7">
        <f t="shared" si="98"/>
        <v>0</v>
      </c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65" outlineLevel="2">
      <c r="A401" s="18" t="s">
        <v>119</v>
      </c>
      <c r="B401" s="19" t="s">
        <v>60</v>
      </c>
      <c r="C401" s="20">
        <v>5370578.7999999998</v>
      </c>
      <c r="D401" s="20"/>
      <c r="E401" s="20"/>
      <c r="F401" s="20">
        <v>5370578.7999999998</v>
      </c>
      <c r="G401" s="21"/>
      <c r="H401" s="21">
        <v>70</v>
      </c>
      <c r="I401" s="21">
        <v>27.216076000000001</v>
      </c>
      <c r="J401" s="22">
        <v>-0.40000000000000002</v>
      </c>
      <c r="K401" s="21">
        <f t="shared" si="99"/>
        <v>4595488.7043042229</v>
      </c>
      <c r="L401" s="21">
        <f t="shared" si="100"/>
        <v>1.1326612632280115</v>
      </c>
      <c r="M401" s="21">
        <f t="shared" si="101"/>
        <v>5205132.0409672791</v>
      </c>
      <c r="N401" s="21"/>
      <c r="O401" s="21"/>
      <c r="P401" s="21">
        <f t="shared" si="102"/>
        <v>0</v>
      </c>
      <c r="Q401" s="21">
        <f t="shared" si="103"/>
        <v>0</v>
      </c>
      <c r="R401" s="21">
        <f t="shared" si="104"/>
        <v>5205132.0409672791</v>
      </c>
      <c r="S401" s="7">
        <f t="shared" si="98"/>
        <v>0</v>
      </c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65" outlineLevel="2">
      <c r="A402" s="18" t="s">
        <v>119</v>
      </c>
      <c r="B402" s="19" t="s">
        <v>59</v>
      </c>
      <c r="C402" s="20">
        <v>6087949.4100000001</v>
      </c>
      <c r="D402" s="20"/>
      <c r="E402" s="20"/>
      <c r="F402" s="20">
        <v>6087949.4100000001</v>
      </c>
      <c r="G402" s="21"/>
      <c r="H402" s="21">
        <v>70</v>
      </c>
      <c r="I402" s="21">
        <v>26.556806999999999</v>
      </c>
      <c r="J402" s="22">
        <v>-0.40000000000000002</v>
      </c>
      <c r="K402" s="21">
        <f t="shared" si="99"/>
        <v>5289599.2238573227</v>
      </c>
      <c r="L402" s="21">
        <f t="shared" si="100"/>
        <v>1.1326612632280115</v>
      </c>
      <c r="M402" s="21">
        <f t="shared" si="101"/>
        <v>5991324.1388641447</v>
      </c>
      <c r="N402" s="21"/>
      <c r="O402" s="21"/>
      <c r="P402" s="21">
        <f t="shared" si="102"/>
        <v>0</v>
      </c>
      <c r="Q402" s="21">
        <f t="shared" si="103"/>
        <v>0</v>
      </c>
      <c r="R402" s="21">
        <f t="shared" si="104"/>
        <v>5991324.1388641447</v>
      </c>
      <c r="S402" s="7">
        <f t="shared" si="98"/>
        <v>0</v>
      </c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65" outlineLevel="2">
      <c r="A403" s="18" t="s">
        <v>119</v>
      </c>
      <c r="B403" s="19" t="s">
        <v>58</v>
      </c>
      <c r="C403" s="20">
        <v>2310062</v>
      </c>
      <c r="D403" s="20"/>
      <c r="E403" s="20"/>
      <c r="F403" s="20">
        <v>2310062</v>
      </c>
      <c r="G403" s="21"/>
      <c r="H403" s="21">
        <v>70</v>
      </c>
      <c r="I403" s="21">
        <v>25.908290000000001</v>
      </c>
      <c r="J403" s="22">
        <v>-0.40000000000000002</v>
      </c>
      <c r="K403" s="21">
        <f t="shared" si="99"/>
        <v>2037091.6757203999</v>
      </c>
      <c r="L403" s="21">
        <f t="shared" si="100"/>
        <v>1.1326612632280115</v>
      </c>
      <c r="M403" s="21">
        <f t="shared" si="101"/>
        <v>2307334.8307327349</v>
      </c>
      <c r="N403" s="21"/>
      <c r="O403" s="21"/>
      <c r="P403" s="21">
        <f t="shared" si="102"/>
        <v>0</v>
      </c>
      <c r="Q403" s="21">
        <f t="shared" si="103"/>
        <v>0</v>
      </c>
      <c r="R403" s="21">
        <f t="shared" si="104"/>
        <v>2307334.8307327349</v>
      </c>
      <c r="S403" s="7">
        <f t="shared" si="98"/>
        <v>0</v>
      </c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65" outlineLevel="2">
      <c r="A404" s="18" t="s">
        <v>119</v>
      </c>
      <c r="B404" s="19" t="s">
        <v>57</v>
      </c>
      <c r="C404" s="20">
        <v>1825187.96</v>
      </c>
      <c r="D404" s="20"/>
      <c r="E404" s="20"/>
      <c r="F404" s="20">
        <v>1825187.96</v>
      </c>
      <c r="G404" s="21"/>
      <c r="H404" s="21">
        <v>70</v>
      </c>
      <c r="I404" s="21">
        <v>25.267986000000001</v>
      </c>
      <c r="J404" s="22">
        <v>-0.40000000000000002</v>
      </c>
      <c r="K404" s="21">
        <f t="shared" si="99"/>
        <v>1632886.6675870286</v>
      </c>
      <c r="L404" s="21">
        <f t="shared" si="100"/>
        <v>1.1326612632280115</v>
      </c>
      <c r="M404" s="21">
        <f t="shared" si="101"/>
        <v>1849507.4756173019</v>
      </c>
      <c r="N404" s="21"/>
      <c r="O404" s="21"/>
      <c r="P404" s="21">
        <f t="shared" si="102"/>
        <v>0</v>
      </c>
      <c r="Q404" s="21">
        <f t="shared" si="103"/>
        <v>0</v>
      </c>
      <c r="R404" s="21">
        <f t="shared" si="104"/>
        <v>1849507.4756173019</v>
      </c>
      <c r="S404" s="7">
        <f t="shared" si="98"/>
        <v>0</v>
      </c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65" outlineLevel="2">
      <c r="A405" s="18" t="s">
        <v>119</v>
      </c>
      <c r="B405" s="19" t="s">
        <v>56</v>
      </c>
      <c r="C405" s="20">
        <v>2571066.3300000001</v>
      </c>
      <c r="D405" s="20"/>
      <c r="E405" s="20"/>
      <c r="F405" s="20">
        <v>2571066.3300000001</v>
      </c>
      <c r="G405" s="21"/>
      <c r="H405" s="21">
        <v>70</v>
      </c>
      <c r="I405" s="21">
        <v>24.638002</v>
      </c>
      <c r="J405" s="22">
        <v>-0.40000000000000002</v>
      </c>
      <c r="K405" s="21">
        <f t="shared" si="99"/>
        <v>2332574.1143865469</v>
      </c>
      <c r="L405" s="21">
        <f t="shared" si="100"/>
        <v>1.1326612632280115</v>
      </c>
      <c r="M405" s="21">
        <f t="shared" si="101"/>
        <v>2642016.3429740267</v>
      </c>
      <c r="N405" s="21"/>
      <c r="O405" s="21"/>
      <c r="P405" s="21">
        <f t="shared" si="102"/>
        <v>0</v>
      </c>
      <c r="Q405" s="21">
        <f t="shared" si="103"/>
        <v>0</v>
      </c>
      <c r="R405" s="21">
        <f t="shared" si="104"/>
        <v>2642016.3429740267</v>
      </c>
      <c r="S405" s="7">
        <f t="shared" si="98"/>
        <v>0</v>
      </c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65" outlineLevel="2">
      <c r="A406" s="18" t="s">
        <v>119</v>
      </c>
      <c r="B406" s="19" t="s">
        <v>55</v>
      </c>
      <c r="C406" s="20">
        <v>889072.93999999994</v>
      </c>
      <c r="D406" s="20"/>
      <c r="E406" s="20"/>
      <c r="F406" s="20">
        <v>889072.93999999994</v>
      </c>
      <c r="G406" s="21"/>
      <c r="H406" s="21">
        <v>70</v>
      </c>
      <c r="I406" s="21">
        <v>24.017636</v>
      </c>
      <c r="J406" s="22">
        <v>-0.40000000000000002</v>
      </c>
      <c r="K406" s="21">
        <f t="shared" si="99"/>
        <v>817633.51099260314</v>
      </c>
      <c r="L406" s="21">
        <f t="shared" si="100"/>
        <v>1.1326612632280115</v>
      </c>
      <c r="M406" s="21">
        <f t="shared" si="101"/>
        <v>926101.80541843618</v>
      </c>
      <c r="N406" s="21"/>
      <c r="O406" s="21"/>
      <c r="P406" s="21">
        <f t="shared" si="102"/>
        <v>0</v>
      </c>
      <c r="Q406" s="21">
        <f t="shared" si="103"/>
        <v>0</v>
      </c>
      <c r="R406" s="21">
        <f t="shared" si="104"/>
        <v>926101.80541843618</v>
      </c>
      <c r="S406" s="7">
        <f t="shared" si="98"/>
        <v>0</v>
      </c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65" outlineLevel="2">
      <c r="A407" s="18" t="s">
        <v>119</v>
      </c>
      <c r="B407" s="19" t="s">
        <v>54</v>
      </c>
      <c r="C407" s="20">
        <v>3211121.8100000001</v>
      </c>
      <c r="D407" s="20"/>
      <c r="E407" s="20"/>
      <c r="F407" s="20">
        <v>3211121.8100000001</v>
      </c>
      <c r="G407" s="21"/>
      <c r="H407" s="21">
        <v>70</v>
      </c>
      <c r="I407" s="21">
        <v>23.407122999999999</v>
      </c>
      <c r="J407" s="22">
        <v>-0.40000000000000002</v>
      </c>
      <c r="K407" s="21">
        <f t="shared" si="99"/>
        <v>2992308.0705069476</v>
      </c>
      <c r="L407" s="21">
        <f t="shared" si="100"/>
        <v>1.1326612632280115</v>
      </c>
      <c r="M407" s="21">
        <f t="shared" si="101"/>
        <v>3389271.4391077729</v>
      </c>
      <c r="N407" s="21"/>
      <c r="O407" s="21"/>
      <c r="P407" s="21">
        <f t="shared" si="102"/>
        <v>0</v>
      </c>
      <c r="Q407" s="21">
        <f t="shared" si="103"/>
        <v>0</v>
      </c>
      <c r="R407" s="21">
        <f t="shared" si="104"/>
        <v>3389271.4391077729</v>
      </c>
      <c r="S407" s="7">
        <f t="shared" si="98"/>
        <v>0</v>
      </c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65" outlineLevel="2">
      <c r="A408" s="18" t="s">
        <v>119</v>
      </c>
      <c r="B408" s="19" t="s">
        <v>53</v>
      </c>
      <c r="C408" s="20">
        <v>2552635.73</v>
      </c>
      <c r="D408" s="20"/>
      <c r="E408" s="20"/>
      <c r="F408" s="20">
        <v>2552635.73</v>
      </c>
      <c r="G408" s="21"/>
      <c r="H408" s="21">
        <v>70</v>
      </c>
      <c r="I408" s="21">
        <v>22.807694999999999</v>
      </c>
      <c r="J408" s="22">
        <v>-0.40000000000000002</v>
      </c>
      <c r="K408" s="21">
        <f t="shared" si="99"/>
        <v>2409295.2784811528</v>
      </c>
      <c r="L408" s="21">
        <f t="shared" si="100"/>
        <v>1.1326612632280115</v>
      </c>
      <c r="M408" s="21">
        <f t="shared" si="101"/>
        <v>2728915.4336137464</v>
      </c>
      <c r="N408" s="21"/>
      <c r="O408" s="21"/>
      <c r="P408" s="21">
        <f t="shared" si="102"/>
        <v>0</v>
      </c>
      <c r="Q408" s="21">
        <f t="shared" si="103"/>
        <v>0</v>
      </c>
      <c r="R408" s="21">
        <f t="shared" si="104"/>
        <v>2728915.4336137464</v>
      </c>
      <c r="S408" s="7">
        <f t="shared" si="98"/>
        <v>0</v>
      </c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65" outlineLevel="2">
      <c r="A409" s="18" t="s">
        <v>119</v>
      </c>
      <c r="B409" s="19" t="s">
        <v>52</v>
      </c>
      <c r="C409" s="20">
        <v>4931104.5099999998</v>
      </c>
      <c r="D409" s="20"/>
      <c r="E409" s="20"/>
      <c r="F409" s="20">
        <v>4931104.5099999998</v>
      </c>
      <c r="G409" s="21"/>
      <c r="H409" s="21">
        <v>70</v>
      </c>
      <c r="I409" s="21">
        <v>22.217631000000001</v>
      </c>
      <c r="J409" s="22">
        <v>-0.40000000000000002</v>
      </c>
      <c r="K409" s="21">
        <f t="shared" si="99"/>
        <v>4712397.1054876829</v>
      </c>
      <c r="L409" s="21">
        <f t="shared" si="100"/>
        <v>1.1326612632280115</v>
      </c>
      <c r="M409" s="21">
        <f t="shared" si="101"/>
        <v>5337549.6583337039</v>
      </c>
      <c r="N409" s="21"/>
      <c r="O409" s="21"/>
      <c r="P409" s="21">
        <f t="shared" si="102"/>
        <v>0</v>
      </c>
      <c r="Q409" s="21">
        <f t="shared" si="103"/>
        <v>0</v>
      </c>
      <c r="R409" s="21">
        <f t="shared" si="104"/>
        <v>5337549.6583337039</v>
      </c>
      <c r="S409" s="7">
        <f t="shared" si="98"/>
        <v>0</v>
      </c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65" outlineLevel="2">
      <c r="A410" s="18" t="s">
        <v>119</v>
      </c>
      <c r="B410" s="19" t="s">
        <v>51</v>
      </c>
      <c r="C410" s="20">
        <v>2411192.8500000001</v>
      </c>
      <c r="D410" s="20"/>
      <c r="E410" s="20"/>
      <c r="F410" s="20">
        <v>2411192.8500000001</v>
      </c>
      <c r="G410" s="21"/>
      <c r="H410" s="21">
        <v>70</v>
      </c>
      <c r="I410" s="21">
        <v>21.640125000000001</v>
      </c>
      <c r="J410" s="22">
        <v>-0.40000000000000002</v>
      </c>
      <c r="K410" s="21">
        <f t="shared" si="99"/>
        <v>2332099.6965378746</v>
      </c>
      <c r="L410" s="21">
        <f t="shared" si="100"/>
        <v>1.1326612632280115</v>
      </c>
      <c r="M410" s="21">
        <f t="shared" si="101"/>
        <v>2641478.9882542514</v>
      </c>
      <c r="N410" s="21"/>
      <c r="O410" s="21"/>
      <c r="P410" s="21">
        <f t="shared" si="102"/>
        <v>0</v>
      </c>
      <c r="Q410" s="21">
        <f t="shared" si="103"/>
        <v>0</v>
      </c>
      <c r="R410" s="21">
        <f t="shared" si="104"/>
        <v>2641478.9882542514</v>
      </c>
      <c r="S410" s="7">
        <f t="shared" si="98"/>
        <v>0</v>
      </c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65" outlineLevel="2">
      <c r="A411" s="18" t="s">
        <v>119</v>
      </c>
      <c r="B411" s="19" t="s">
        <v>50</v>
      </c>
      <c r="C411" s="20">
        <v>451290.63</v>
      </c>
      <c r="D411" s="20"/>
      <c r="E411" s="20"/>
      <c r="F411" s="20">
        <v>451290.63</v>
      </c>
      <c r="G411" s="21"/>
      <c r="H411" s="21">
        <v>70</v>
      </c>
      <c r="I411" s="21">
        <v>21.072489000000001</v>
      </c>
      <c r="J411" s="22">
        <v>-0.40000000000000002</v>
      </c>
      <c r="K411" s="21">
        <f t="shared" si="99"/>
        <v>441610.5452704386</v>
      </c>
      <c r="L411" s="21">
        <f t="shared" si="100"/>
        <v>1.1326612632280115</v>
      </c>
      <c r="M411" s="21">
        <f t="shared" si="101"/>
        <v>500195.15806082595</v>
      </c>
      <c r="N411" s="21"/>
      <c r="O411" s="21"/>
      <c r="P411" s="21">
        <f t="shared" si="102"/>
        <v>0</v>
      </c>
      <c r="Q411" s="21">
        <f t="shared" si="103"/>
        <v>0</v>
      </c>
      <c r="R411" s="21">
        <f t="shared" si="104"/>
        <v>500195.15806082595</v>
      </c>
      <c r="S411" s="7">
        <f t="shared" si="98"/>
        <v>0</v>
      </c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65" outlineLevel="2">
      <c r="A412" s="18" t="s">
        <v>119</v>
      </c>
      <c r="B412" s="19" t="s">
        <v>49</v>
      </c>
      <c r="C412" s="20">
        <v>104242.74000000001</v>
      </c>
      <c r="D412" s="20"/>
      <c r="E412" s="20"/>
      <c r="F412" s="20">
        <v>104242.74000000001</v>
      </c>
      <c r="G412" s="21"/>
      <c r="H412" s="21">
        <v>70</v>
      </c>
      <c r="I412" s="21">
        <v>20.516893</v>
      </c>
      <c r="J412" s="22">
        <v>-0.40000000000000002</v>
      </c>
      <c r="K412" s="21">
        <f t="shared" si="99"/>
        <v>103165.09314786361</v>
      </c>
      <c r="L412" s="21">
        <f t="shared" si="100"/>
        <v>1.1326612632280115</v>
      </c>
      <c r="M412" s="21">
        <f t="shared" si="101"/>
        <v>116851.10472589466</v>
      </c>
      <c r="N412" s="21"/>
      <c r="O412" s="21"/>
      <c r="P412" s="21">
        <f t="shared" si="102"/>
        <v>0</v>
      </c>
      <c r="Q412" s="21">
        <f t="shared" si="103"/>
        <v>0</v>
      </c>
      <c r="R412" s="21">
        <f t="shared" si="104"/>
        <v>116851.10472589466</v>
      </c>
      <c r="S412" s="7">
        <f t="shared" si="98"/>
        <v>0</v>
      </c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65" outlineLevel="2">
      <c r="A413" s="18" t="s">
        <v>119</v>
      </c>
      <c r="B413" s="19" t="s">
        <v>48</v>
      </c>
      <c r="C413" s="20">
        <v>227071.53</v>
      </c>
      <c r="D413" s="20"/>
      <c r="E413" s="20"/>
      <c r="F413" s="20">
        <v>227071.53</v>
      </c>
      <c r="G413" s="21"/>
      <c r="H413" s="21">
        <v>70</v>
      </c>
      <c r="I413" s="21">
        <v>19.972591000000001</v>
      </c>
      <c r="J413" s="22">
        <v>-0.40000000000000002</v>
      </c>
      <c r="K413" s="21">
        <f t="shared" si="99"/>
        <v>227196.00607131538</v>
      </c>
      <c r="L413" s="21">
        <f t="shared" si="100"/>
        <v>1.1326612632280115</v>
      </c>
      <c r="M413" s="21">
        <f t="shared" si="101"/>
        <v>257336.11523709504</v>
      </c>
      <c r="N413" s="21"/>
      <c r="O413" s="21"/>
      <c r="P413" s="21">
        <f t="shared" si="102"/>
        <v>0</v>
      </c>
      <c r="Q413" s="21">
        <f t="shared" si="103"/>
        <v>0</v>
      </c>
      <c r="R413" s="21">
        <f t="shared" si="104"/>
        <v>257336.11523709504</v>
      </c>
      <c r="S413" s="7">
        <f t="shared" si="98"/>
        <v>0</v>
      </c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65" outlineLevel="2">
      <c r="A414" s="18" t="s">
        <v>119</v>
      </c>
      <c r="B414" s="19" t="s">
        <v>47</v>
      </c>
      <c r="C414" s="20">
        <v>550661.56000000006</v>
      </c>
      <c r="D414" s="20"/>
      <c r="E414" s="20"/>
      <c r="F414" s="20">
        <v>550661.56000000006</v>
      </c>
      <c r="G414" s="21"/>
      <c r="H414" s="21">
        <v>70</v>
      </c>
      <c r="I414" s="21">
        <v>19.439785000000001</v>
      </c>
      <c r="J414" s="22">
        <v>-0.40000000000000002</v>
      </c>
      <c r="K414" s="21">
        <f t="shared" si="105" ref="K414:K430">+C414*(1-I414/H414)*(1-J414)</f>
        <v>556831.33731670794</v>
      </c>
      <c r="L414" s="21">
        <f t="shared" si="106" ref="L414:L430">$L$431</f>
        <v>1.1326612632280115</v>
      </c>
      <c r="M414" s="21">
        <f t="shared" si="107" ref="M414:M430">IF((C414*(1-J414)-K414*L414)&lt;0,C414*(1-J414),K414*L414)</f>
        <v>630701.28593008546</v>
      </c>
      <c r="N414" s="21"/>
      <c r="O414" s="21"/>
      <c r="P414" s="21">
        <f t="shared" si="108" ref="P414:P430">+D414/$C414*$M414</f>
        <v>0</v>
      </c>
      <c r="Q414" s="21">
        <f t="shared" si="109" ref="Q414:Q430">+E414/$C414*$M414</f>
        <v>0</v>
      </c>
      <c r="R414" s="21">
        <f t="shared" si="110" ref="R414:R430">+F414/$C414*$M414</f>
        <v>630701.28593008546</v>
      </c>
      <c r="S414" s="7">
        <f t="shared" si="98"/>
        <v>0</v>
      </c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65" outlineLevel="2">
      <c r="A415" s="18" t="s">
        <v>119</v>
      </c>
      <c r="B415" s="19" t="s">
        <v>46</v>
      </c>
      <c r="C415" s="20">
        <v>441323.96000000002</v>
      </c>
      <c r="D415" s="20"/>
      <c r="E415" s="20"/>
      <c r="F415" s="20">
        <v>441323.96000000002</v>
      </c>
      <c r="G415" s="21"/>
      <c r="H415" s="21">
        <v>70</v>
      </c>
      <c r="I415" s="21">
        <v>18.919592999999999</v>
      </c>
      <c r="J415" s="22">
        <v>-0.40000000000000002</v>
      </c>
      <c r="K415" s="21">
        <f t="shared" si="105"/>
        <v>450860.1499130344</v>
      </c>
      <c r="L415" s="21">
        <f t="shared" si="106"/>
        <v>1.1326612632280115</v>
      </c>
      <c r="M415" s="21">
        <f t="shared" si="107"/>
        <v>510671.82693966822</v>
      </c>
      <c r="N415" s="21"/>
      <c r="O415" s="21"/>
      <c r="P415" s="21">
        <f t="shared" si="108"/>
        <v>0</v>
      </c>
      <c r="Q415" s="21">
        <f t="shared" si="109"/>
        <v>0</v>
      </c>
      <c r="R415" s="21">
        <f t="shared" si="110"/>
        <v>510671.82693966822</v>
      </c>
      <c r="S415" s="7">
        <f t="shared" si="98"/>
        <v>0</v>
      </c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65" outlineLevel="2">
      <c r="A416" s="18" t="s">
        <v>119</v>
      </c>
      <c r="B416" s="19" t="s">
        <v>45</v>
      </c>
      <c r="C416" s="20">
        <v>347022.21999999997</v>
      </c>
      <c r="D416" s="20"/>
      <c r="E416" s="20"/>
      <c r="F416" s="20">
        <v>347022.21999999997</v>
      </c>
      <c r="G416" s="21"/>
      <c r="H416" s="21">
        <v>70</v>
      </c>
      <c r="I416" s="21">
        <v>18.410366</v>
      </c>
      <c r="J416" s="22">
        <v>-0.40000000000000002</v>
      </c>
      <c r="K416" s="21">
        <f t="shared" si="105"/>
        <v>358054.98639334954</v>
      </c>
      <c r="L416" s="21">
        <f t="shared" si="106"/>
        <v>1.1326612632280115</v>
      </c>
      <c r="M416" s="21">
        <f t="shared" si="107"/>
        <v>405555.01319337974</v>
      </c>
      <c r="N416" s="21"/>
      <c r="O416" s="21"/>
      <c r="P416" s="21">
        <f t="shared" si="108"/>
        <v>0</v>
      </c>
      <c r="Q416" s="21">
        <f t="shared" si="109"/>
        <v>0</v>
      </c>
      <c r="R416" s="21">
        <f t="shared" si="110"/>
        <v>405555.01319337974</v>
      </c>
      <c r="S416" s="7">
        <f t="shared" si="98"/>
        <v>0</v>
      </c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65" outlineLevel="2">
      <c r="A417" s="18" t="s">
        <v>119</v>
      </c>
      <c r="B417" s="19" t="s">
        <v>44</v>
      </c>
      <c r="C417" s="20">
        <v>772151.71999999997</v>
      </c>
      <c r="D417" s="20"/>
      <c r="E417" s="20"/>
      <c r="F417" s="20">
        <v>772151.71999999997</v>
      </c>
      <c r="G417" s="21"/>
      <c r="H417" s="21">
        <v>70</v>
      </c>
      <c r="I417" s="21">
        <v>17.914876</v>
      </c>
      <c r="J417" s="22">
        <v>-0.40000000000000002</v>
      </c>
      <c r="K417" s="21">
        <f t="shared" si="105"/>
        <v>804352.36166026548</v>
      </c>
      <c r="L417" s="21">
        <f t="shared" si="106"/>
        <v>1.1326612632280115</v>
      </c>
      <c r="M417" s="21">
        <f t="shared" si="107"/>
        <v>911058.76203855069</v>
      </c>
      <c r="N417" s="21"/>
      <c r="O417" s="21"/>
      <c r="P417" s="21">
        <f t="shared" si="108"/>
        <v>0</v>
      </c>
      <c r="Q417" s="21">
        <f t="shared" si="109"/>
        <v>0</v>
      </c>
      <c r="R417" s="21">
        <f t="shared" si="110"/>
        <v>911058.76203855069</v>
      </c>
      <c r="S417" s="7">
        <f t="shared" si="98"/>
        <v>0</v>
      </c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65" outlineLevel="2">
      <c r="A418" s="18" t="s">
        <v>119</v>
      </c>
      <c r="B418" s="19" t="s">
        <v>43</v>
      </c>
      <c r="C418" s="20">
        <v>101003.57000000001</v>
      </c>
      <c r="D418" s="20"/>
      <c r="E418" s="20"/>
      <c r="F418" s="20">
        <v>101003.57000000001</v>
      </c>
      <c r="G418" s="21"/>
      <c r="H418" s="21">
        <v>70</v>
      </c>
      <c r="I418" s="21">
        <v>17.430693000000002</v>
      </c>
      <c r="J418" s="22">
        <v>-0.40000000000000002</v>
      </c>
      <c r="K418" s="21">
        <f t="shared" si="105"/>
        <v>106193.7535885198</v>
      </c>
      <c r="L418" s="21">
        <f t="shared" si="106"/>
        <v>1.1326612632280115</v>
      </c>
      <c r="M418" s="21">
        <f t="shared" si="107"/>
        <v>120281.55108649703</v>
      </c>
      <c r="N418" s="21"/>
      <c r="O418" s="21"/>
      <c r="P418" s="21">
        <f t="shared" si="108"/>
        <v>0</v>
      </c>
      <c r="Q418" s="21">
        <f t="shared" si="109"/>
        <v>0</v>
      </c>
      <c r="R418" s="21">
        <f t="shared" si="110"/>
        <v>120281.55108649703</v>
      </c>
      <c r="S418" s="7">
        <f t="shared" si="98"/>
        <v>0</v>
      </c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65" outlineLevel="2">
      <c r="A419" s="18" t="s">
        <v>119</v>
      </c>
      <c r="B419" s="19" t="s">
        <v>42</v>
      </c>
      <c r="C419" s="20">
        <v>337204.34000000003</v>
      </c>
      <c r="D419" s="20"/>
      <c r="E419" s="20"/>
      <c r="F419" s="20">
        <v>337204.34000000003</v>
      </c>
      <c r="G419" s="21"/>
      <c r="H419" s="21">
        <v>70</v>
      </c>
      <c r="I419" s="21">
        <v>16.959499000000001</v>
      </c>
      <c r="J419" s="22">
        <v>-0.40000000000000002</v>
      </c>
      <c r="K419" s="21">
        <f t="shared" si="105"/>
        <v>357709.74265948677</v>
      </c>
      <c r="L419" s="21">
        <f t="shared" si="106"/>
        <v>1.1326612632280115</v>
      </c>
      <c r="M419" s="21">
        <f t="shared" si="107"/>
        <v>405163.9689896612</v>
      </c>
      <c r="N419" s="21"/>
      <c r="O419" s="21"/>
      <c r="P419" s="21">
        <f t="shared" si="108"/>
        <v>0</v>
      </c>
      <c r="Q419" s="21">
        <f t="shared" si="109"/>
        <v>0</v>
      </c>
      <c r="R419" s="21">
        <f t="shared" si="110"/>
        <v>405163.9689896612</v>
      </c>
      <c r="S419" s="7">
        <f t="shared" si="98"/>
        <v>0</v>
      </c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65" outlineLevel="2">
      <c r="A420" s="18" t="s">
        <v>119</v>
      </c>
      <c r="B420" s="19" t="s">
        <v>41</v>
      </c>
      <c r="C420" s="20">
        <v>9663.8400000000001</v>
      </c>
      <c r="D420" s="20"/>
      <c r="E420" s="20"/>
      <c r="F420" s="20">
        <v>9663.8400000000001</v>
      </c>
      <c r="G420" s="21"/>
      <c r="H420" s="21">
        <v>70</v>
      </c>
      <c r="I420" s="21">
        <v>16.500605</v>
      </c>
      <c r="J420" s="22">
        <v>-0.40000000000000002</v>
      </c>
      <c r="K420" s="21">
        <f t="shared" si="105"/>
        <v>10340.191867535999</v>
      </c>
      <c r="L420" s="21">
        <f t="shared" si="106"/>
        <v>1.1326612632280115</v>
      </c>
      <c r="M420" s="21">
        <f t="shared" si="107"/>
        <v>11711.934782703336</v>
      </c>
      <c r="N420" s="21"/>
      <c r="O420" s="21"/>
      <c r="P420" s="21">
        <f t="shared" si="108"/>
        <v>0</v>
      </c>
      <c r="Q420" s="21">
        <f t="shared" si="109"/>
        <v>0</v>
      </c>
      <c r="R420" s="21">
        <f t="shared" si="110"/>
        <v>11711.934782703336</v>
      </c>
      <c r="S420" s="7">
        <f t="shared" si="98"/>
        <v>0</v>
      </c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65" outlineLevel="2">
      <c r="A421" s="18" t="s">
        <v>119</v>
      </c>
      <c r="B421" s="19" t="s">
        <v>40</v>
      </c>
      <c r="C421" s="20">
        <v>56679.459999999999</v>
      </c>
      <c r="D421" s="20"/>
      <c r="E421" s="20"/>
      <c r="F421" s="20">
        <v>56679.459999999999</v>
      </c>
      <c r="G421" s="21"/>
      <c r="H421" s="21">
        <v>70</v>
      </c>
      <c r="I421" s="21">
        <v>16.054024999999999</v>
      </c>
      <c r="J421" s="22">
        <v>-0.40000000000000002</v>
      </c>
      <c r="K421" s="21">
        <f t="shared" si="105"/>
        <v>61152.574643469998</v>
      </c>
      <c r="L421" s="21">
        <f t="shared" si="106"/>
        <v>1.1326612632280115</v>
      </c>
      <c r="M421" s="21">
        <f t="shared" si="107"/>
        <v>69265.152445317988</v>
      </c>
      <c r="N421" s="21"/>
      <c r="O421" s="21"/>
      <c r="P421" s="21">
        <f t="shared" si="108"/>
        <v>0</v>
      </c>
      <c r="Q421" s="21">
        <f t="shared" si="109"/>
        <v>0</v>
      </c>
      <c r="R421" s="21">
        <f t="shared" si="110"/>
        <v>69265.152445317988</v>
      </c>
      <c r="S421" s="7">
        <f t="shared" si="98"/>
        <v>0</v>
      </c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65" outlineLevel="2">
      <c r="A422" s="18" t="s">
        <v>119</v>
      </c>
      <c r="B422" s="19" t="s">
        <v>39</v>
      </c>
      <c r="C422" s="20">
        <v>43733.300000000003</v>
      </c>
      <c r="D422" s="20"/>
      <c r="E422" s="20"/>
      <c r="F422" s="20">
        <v>43733.300000000003</v>
      </c>
      <c r="G422" s="21"/>
      <c r="H422" s="21">
        <v>70</v>
      </c>
      <c r="I422" s="21">
        <v>15.620354000000001</v>
      </c>
      <c r="J422" s="22">
        <v>-0.40000000000000002</v>
      </c>
      <c r="K422" s="21">
        <f t="shared" si="105"/>
        <v>47564.027448236004</v>
      </c>
      <c r="L422" s="21">
        <f t="shared" si="106"/>
        <v>1.1326612632280115</v>
      </c>
      <c r="M422" s="21">
        <f t="shared" si="107"/>
        <v>53873.931413730803</v>
      </c>
      <c r="N422" s="21"/>
      <c r="O422" s="21"/>
      <c r="P422" s="21">
        <f t="shared" si="108"/>
        <v>0</v>
      </c>
      <c r="Q422" s="21">
        <f t="shared" si="109"/>
        <v>0</v>
      </c>
      <c r="R422" s="21">
        <f t="shared" si="110"/>
        <v>53873.931413730803</v>
      </c>
      <c r="S422" s="7">
        <f t="shared" si="98"/>
        <v>0</v>
      </c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65" outlineLevel="2">
      <c r="A423" s="18" t="s">
        <v>119</v>
      </c>
      <c r="B423" s="19" t="s">
        <v>38</v>
      </c>
      <c r="C423" s="20">
        <v>3486.1799999999998</v>
      </c>
      <c r="D423" s="20"/>
      <c r="E423" s="20"/>
      <c r="F423" s="20">
        <v>3486.1799999999998</v>
      </c>
      <c r="G423" s="21"/>
      <c r="H423" s="21">
        <v>70</v>
      </c>
      <c r="I423" s="21">
        <v>15.198487</v>
      </c>
      <c r="J423" s="22">
        <v>-0.40000000000000002</v>
      </c>
      <c r="K423" s="21">
        <f t="shared" si="105"/>
        <v>3820.9587718068001</v>
      </c>
      <c r="L423" s="21">
        <f t="shared" si="106"/>
        <v>1.1326612632280115</v>
      </c>
      <c r="M423" s="21">
        <f t="shared" si="107"/>
        <v>4327.8519892168415</v>
      </c>
      <c r="N423" s="21"/>
      <c r="O423" s="21"/>
      <c r="P423" s="21">
        <f t="shared" si="108"/>
        <v>0</v>
      </c>
      <c r="Q423" s="21">
        <f t="shared" si="109"/>
        <v>0</v>
      </c>
      <c r="R423" s="21">
        <f t="shared" si="110"/>
        <v>4327.8519892168415</v>
      </c>
      <c r="S423" s="7">
        <f t="shared" si="98"/>
        <v>0</v>
      </c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65" outlineLevel="2">
      <c r="A424" s="18" t="s">
        <v>119</v>
      </c>
      <c r="B424" s="19" t="s">
        <v>37</v>
      </c>
      <c r="C424" s="20">
        <v>2842.5799999999999</v>
      </c>
      <c r="D424" s="20"/>
      <c r="E424" s="20"/>
      <c r="F424" s="20">
        <v>2842.5799999999999</v>
      </c>
      <c r="G424" s="21"/>
      <c r="H424" s="21">
        <v>70</v>
      </c>
      <c r="I424" s="21">
        <v>14.789628</v>
      </c>
      <c r="J424" s="22">
        <v>-0.40000000000000002</v>
      </c>
      <c r="K424" s="21">
        <f t="shared" si="105"/>
        <v>3138.7979847951997</v>
      </c>
      <c r="L424" s="21">
        <f t="shared" si="106"/>
        <v>1.1326612632280115</v>
      </c>
      <c r="M424" s="21">
        <f t="shared" si="107"/>
        <v>3555.1948904756678</v>
      </c>
      <c r="N424" s="21"/>
      <c r="O424" s="21"/>
      <c r="P424" s="21">
        <f t="shared" si="108"/>
        <v>0</v>
      </c>
      <c r="Q424" s="21">
        <f t="shared" si="109"/>
        <v>0</v>
      </c>
      <c r="R424" s="21">
        <f t="shared" si="110"/>
        <v>3555.1948904756678</v>
      </c>
      <c r="S424" s="7">
        <f t="shared" si="98"/>
        <v>0</v>
      </c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65" outlineLevel="2">
      <c r="A425" s="18" t="s">
        <v>119</v>
      </c>
      <c r="B425" s="19" t="s">
        <v>32</v>
      </c>
      <c r="C425" s="20">
        <v>30655.900000000001</v>
      </c>
      <c r="D425" s="20"/>
      <c r="E425" s="20"/>
      <c r="F425" s="20">
        <v>30655.900000000001</v>
      </c>
      <c r="G425" s="21"/>
      <c r="H425" s="21">
        <v>70</v>
      </c>
      <c r="I425" s="21">
        <v>12.92164</v>
      </c>
      <c r="J425" s="22">
        <v>-0.40000000000000002</v>
      </c>
      <c r="K425" s="21">
        <f t="shared" si="105"/>
        <v>34995.769926479996</v>
      </c>
      <c r="L425" s="21">
        <f t="shared" si="106"/>
        <v>1.1326612632280115</v>
      </c>
      <c r="M425" s="21">
        <f t="shared" si="107"/>
        <v>39638.352972563691</v>
      </c>
      <c r="N425" s="21"/>
      <c r="O425" s="21"/>
      <c r="P425" s="21">
        <f t="shared" si="108"/>
        <v>0</v>
      </c>
      <c r="Q425" s="21">
        <f t="shared" si="109"/>
        <v>0</v>
      </c>
      <c r="R425" s="21">
        <f t="shared" si="110"/>
        <v>39638.352972563691</v>
      </c>
      <c r="S425" s="7">
        <f t="shared" si="98"/>
        <v>0</v>
      </c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65" outlineLevel="2">
      <c r="A426" s="18" t="s">
        <v>119</v>
      </c>
      <c r="B426" s="19" t="s">
        <v>31</v>
      </c>
      <c r="C426" s="20">
        <v>317636.97999999998</v>
      </c>
      <c r="D426" s="20"/>
      <c r="E426" s="20"/>
      <c r="F426" s="20">
        <v>317636.97999999998</v>
      </c>
      <c r="G426" s="21"/>
      <c r="H426" s="21">
        <v>70</v>
      </c>
      <c r="I426" s="21">
        <v>12.58211</v>
      </c>
      <c r="J426" s="22">
        <v>-0.40000000000000002</v>
      </c>
      <c r="K426" s="21">
        <f t="shared" si="105"/>
        <v>364760.90355144395</v>
      </c>
      <c r="L426" s="21">
        <f t="shared" si="106"/>
        <v>1.1326612632280115</v>
      </c>
      <c r="M426" s="21">
        <f t="shared" si="107"/>
        <v>413150.54579276935</v>
      </c>
      <c r="N426" s="21"/>
      <c r="O426" s="21"/>
      <c r="P426" s="21">
        <f t="shared" si="108"/>
        <v>0</v>
      </c>
      <c r="Q426" s="21">
        <f t="shared" si="109"/>
        <v>0</v>
      </c>
      <c r="R426" s="21">
        <f t="shared" si="110"/>
        <v>413150.54579276935</v>
      </c>
      <c r="S426" s="7">
        <f t="shared" si="98"/>
        <v>0</v>
      </c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65" outlineLevel="2">
      <c r="A427" s="18" t="s">
        <v>119</v>
      </c>
      <c r="B427" s="19" t="s">
        <v>30</v>
      </c>
      <c r="C427" s="20">
        <v>1511.46</v>
      </c>
      <c r="D427" s="20"/>
      <c r="E427" s="20"/>
      <c r="F427" s="20">
        <v>1511.46</v>
      </c>
      <c r="G427" s="21"/>
      <c r="H427" s="21">
        <v>70</v>
      </c>
      <c r="I427" s="21">
        <v>12.252076000000001</v>
      </c>
      <c r="J427" s="22">
        <v>-0.40000000000000002</v>
      </c>
      <c r="K427" s="21">
        <f t="shared" si="105"/>
        <v>1745.6735441807998</v>
      </c>
      <c r="L427" s="21">
        <f t="shared" si="106"/>
        <v>1.1326612632280115</v>
      </c>
      <c r="M427" s="21">
        <f t="shared" si="107"/>
        <v>1977.2568017355447</v>
      </c>
      <c r="N427" s="21"/>
      <c r="O427" s="21"/>
      <c r="P427" s="21">
        <f t="shared" si="108"/>
        <v>0</v>
      </c>
      <c r="Q427" s="21">
        <f t="shared" si="109"/>
        <v>0</v>
      </c>
      <c r="R427" s="21">
        <f t="shared" si="110"/>
        <v>1977.2568017355447</v>
      </c>
      <c r="S427" s="7">
        <f t="shared" si="98"/>
        <v>0</v>
      </c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3.95" customHeight="1" outlineLevel="2">
      <c r="A428" s="18" t="s">
        <v>119</v>
      </c>
      <c r="B428" s="19" t="s">
        <v>29</v>
      </c>
      <c r="C428" s="20">
        <v>85966.710000000006</v>
      </c>
      <c r="D428" s="20"/>
      <c r="E428" s="20"/>
      <c r="F428" s="20">
        <v>85966.710000000006</v>
      </c>
      <c r="G428" s="21"/>
      <c r="H428" s="21">
        <v>70</v>
      </c>
      <c r="I428" s="21">
        <v>11.932740000000001</v>
      </c>
      <c r="J428" s="22">
        <v>-0.40000000000000002</v>
      </c>
      <c r="K428" s="21">
        <f t="shared" si="105"/>
        <v>99837.026018292003</v>
      </c>
      <c r="L428" s="21">
        <f t="shared" si="106"/>
        <v>1.1326612632280115</v>
      </c>
      <c r="M428" s="21">
        <f t="shared" si="107"/>
        <v>113081.53200680648</v>
      </c>
      <c r="N428" s="21"/>
      <c r="O428" s="21"/>
      <c r="P428" s="21">
        <f t="shared" si="108"/>
        <v>0</v>
      </c>
      <c r="Q428" s="21">
        <f t="shared" si="109"/>
        <v>0</v>
      </c>
      <c r="R428" s="21">
        <f t="shared" si="110"/>
        <v>113081.53200680648</v>
      </c>
      <c r="S428" s="7">
        <f t="shared" si="98"/>
        <v>0</v>
      </c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65" outlineLevel="2">
      <c r="A429" s="18" t="s">
        <v>119</v>
      </c>
      <c r="B429" s="19" t="s">
        <v>24</v>
      </c>
      <c r="C429" s="20">
        <v>2161.6799999999998</v>
      </c>
      <c r="D429" s="20"/>
      <c r="E429" s="20"/>
      <c r="F429" s="20">
        <v>2161.6799999999998</v>
      </c>
      <c r="G429" s="21"/>
      <c r="H429" s="21">
        <v>70</v>
      </c>
      <c r="I429" s="21">
        <v>9.928191</v>
      </c>
      <c r="J429" s="22">
        <v>-0.40000000000000002</v>
      </c>
      <c r="K429" s="21">
        <f t="shared" si="105"/>
        <v>2597.1205615823997</v>
      </c>
      <c r="L429" s="21">
        <f t="shared" si="106"/>
        <v>1.1326612632280115</v>
      </c>
      <c r="M429" s="21">
        <f t="shared" si="107"/>
        <v>2941.6578560373637</v>
      </c>
      <c r="N429" s="21"/>
      <c r="O429" s="21"/>
      <c r="P429" s="21">
        <f t="shared" si="108"/>
        <v>0</v>
      </c>
      <c r="Q429" s="21">
        <f t="shared" si="109"/>
        <v>0</v>
      </c>
      <c r="R429" s="21">
        <f t="shared" si="110"/>
        <v>2941.6578560373637</v>
      </c>
      <c r="S429" s="7">
        <f t="shared" si="98"/>
        <v>0</v>
      </c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65" outlineLevel="2">
      <c r="A430" s="18" t="s">
        <v>119</v>
      </c>
      <c r="B430" s="19" t="s">
        <v>23</v>
      </c>
      <c r="C430" s="20">
        <v>1528.1300000000001</v>
      </c>
      <c r="D430" s="20"/>
      <c r="E430" s="20"/>
      <c r="F430" s="20">
        <v>1528.1300000000001</v>
      </c>
      <c r="G430" s="21"/>
      <c r="H430" s="21">
        <v>70</v>
      </c>
      <c r="I430" s="21">
        <v>9.6675620000000002</v>
      </c>
      <c r="J430" s="22">
        <v>-0.40000000000000002</v>
      </c>
      <c r="K430" s="21">
        <f t="shared" si="105"/>
        <v>1843.9161696188</v>
      </c>
      <c r="L430" s="21">
        <f t="shared" si="106"/>
        <v>1.1326612632280115</v>
      </c>
      <c r="M430" s="21">
        <f t="shared" si="107"/>
        <v>2088.5324179669865</v>
      </c>
      <c r="N430" s="21"/>
      <c r="O430" s="21"/>
      <c r="P430" s="21">
        <f t="shared" si="108"/>
        <v>0</v>
      </c>
      <c r="Q430" s="21">
        <f t="shared" si="109"/>
        <v>0</v>
      </c>
      <c r="R430" s="21">
        <f t="shared" si="110"/>
        <v>2088.5324179669865</v>
      </c>
      <c r="S430" s="7">
        <f t="shared" si="98"/>
        <v>0</v>
      </c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65" outlineLevel="1">
      <c r="A431" s="18" t="s">
        <v>136</v>
      </c>
      <c r="B431" s="19"/>
      <c r="C431" s="20">
        <f>SUBTOTAL(9,C350:C430)</f>
        <v>1433247198.9199996</v>
      </c>
      <c r="D431" s="20">
        <f>SUBTOTAL(9,D350:D430)</f>
        <v>0</v>
      </c>
      <c r="E431" s="20">
        <f>SUBTOTAL(9,E350:E430)</f>
        <v>0</v>
      </c>
      <c r="F431" s="20">
        <f>SUBTOTAL(9,F350:F430)</f>
        <v>1433247198.9199996</v>
      </c>
      <c r="G431" s="21"/>
      <c r="H431" s="21"/>
      <c r="I431" s="21"/>
      <c r="J431" s="22"/>
      <c r="K431" s="21">
        <f>SUBTOTAL(9,K350:K430)</f>
        <v>340692305.47382545</v>
      </c>
      <c r="L431" s="21">
        <v>1.1326612632280115</v>
      </c>
      <c r="M431" s="21">
        <f>SUBTOTAL(9,M350:M430)</f>
        <v>385888977.09004652</v>
      </c>
      <c r="N431" s="23">
        <v>385888977.09004664</v>
      </c>
      <c r="O431" s="23">
        <f>+N431-M431</f>
        <v>0</v>
      </c>
      <c r="P431" s="21">
        <f>SUBTOTAL(9,P350:P430)</f>
        <v>0</v>
      </c>
      <c r="Q431" s="21">
        <f>SUBTOTAL(9,Q350:Q430)</f>
        <v>0</v>
      </c>
      <c r="R431" s="21">
        <f>SUBTOTAL(9,R350:R430)</f>
        <v>385888977.09004652</v>
      </c>
      <c r="S431" s="7">
        <f t="shared" si="98"/>
        <v>0</v>
      </c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65" outlineLevel="2">
      <c r="A432" s="18" t="s">
        <v>120</v>
      </c>
      <c r="B432" s="19" t="s">
        <v>111</v>
      </c>
      <c r="C432" s="20">
        <f>348385792.28+1828935.13</f>
        <v>350214727.40999997</v>
      </c>
      <c r="D432" s="20"/>
      <c r="E432" s="20"/>
      <c r="F432" s="20">
        <v>350214727.41000003</v>
      </c>
      <c r="G432" s="21"/>
      <c r="H432" s="21">
        <v>55</v>
      </c>
      <c r="I432" s="21">
        <v>54.587964999999997</v>
      </c>
      <c r="J432" s="22">
        <v>-0.75</v>
      </c>
      <c r="K432" s="21">
        <f t="shared" si="111" ref="K432:K463">+C432*(1-I432/H432)*(1-J432)</f>
        <v>4591386.7111757677</v>
      </c>
      <c r="L432" s="21">
        <f t="shared" si="112" ref="L432:L463">$L$523</f>
        <v>1.1255797613869447</v>
      </c>
      <c r="M432" s="21">
        <f t="shared" si="113" ref="M432:M463">IF((C432*(1-J432)-K432*L432)&lt;0,C432*(1-J432),K432*L432)</f>
        <v>5167971.958800409</v>
      </c>
      <c r="N432" s="21"/>
      <c r="O432" s="21"/>
      <c r="P432" s="21">
        <f t="shared" si="114" ref="P432:P463">+D432/$C432*$M432</f>
        <v>0</v>
      </c>
      <c r="Q432" s="21">
        <f t="shared" si="115" ref="Q432:Q463">+E432/$C432*$M432</f>
        <v>0</v>
      </c>
      <c r="R432" s="21">
        <f t="shared" si="116" ref="R432:R463">+F432/$C432*$M432</f>
        <v>5167971.9588004099</v>
      </c>
      <c r="S432" s="7">
        <f t="shared" si="98"/>
        <v>0</v>
      </c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65" outlineLevel="2">
      <c r="A433" s="18" t="s">
        <v>120</v>
      </c>
      <c r="B433" s="19" t="s">
        <v>110</v>
      </c>
      <c r="C433" s="20">
        <v>246674435.08000001</v>
      </c>
      <c r="D433" s="20"/>
      <c r="E433" s="20"/>
      <c r="F433" s="20">
        <v>246674435.08000001</v>
      </c>
      <c r="G433" s="21"/>
      <c r="H433" s="21">
        <v>55</v>
      </c>
      <c r="I433" s="21">
        <v>53.766975000000002</v>
      </c>
      <c r="J433" s="22">
        <v>-0.75</v>
      </c>
      <c r="K433" s="21">
        <f t="shared" si="111"/>
        <v>9677682.8054618686</v>
      </c>
      <c r="L433" s="21">
        <f t="shared" si="112"/>
        <v>1.1255797613869447</v>
      </c>
      <c r="M433" s="21">
        <f t="shared" si="113"/>
        <v>10893003.902950307</v>
      </c>
      <c r="N433" s="21"/>
      <c r="O433" s="21"/>
      <c r="P433" s="21">
        <f t="shared" si="114"/>
        <v>0</v>
      </c>
      <c r="Q433" s="21">
        <f t="shared" si="115"/>
        <v>0</v>
      </c>
      <c r="R433" s="21">
        <f t="shared" si="116"/>
        <v>10893003.902950307</v>
      </c>
      <c r="S433" s="7">
        <f t="shared" si="98"/>
        <v>0</v>
      </c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65" outlineLevel="2">
      <c r="A434" s="18" t="s">
        <v>120</v>
      </c>
      <c r="B434" s="19" t="s">
        <v>109</v>
      </c>
      <c r="C434" s="20">
        <v>289128375.05000001</v>
      </c>
      <c r="D434" s="20"/>
      <c r="E434" s="20"/>
      <c r="F434" s="20">
        <v>289128375.05000001</v>
      </c>
      <c r="G434" s="21"/>
      <c r="H434" s="21">
        <v>55</v>
      </c>
      <c r="I434" s="21">
        <v>52.950091999999998</v>
      </c>
      <c r="J434" s="22">
        <v>-0.75</v>
      </c>
      <c r="K434" s="21">
        <f t="shared" si="111"/>
        <v>18858209.014972579</v>
      </c>
      <c r="L434" s="21">
        <f t="shared" si="112"/>
        <v>1.1255797613869447</v>
      </c>
      <c r="M434" s="21">
        <f t="shared" si="113"/>
        <v>21226418.403257966</v>
      </c>
      <c r="N434" s="21"/>
      <c r="O434" s="21"/>
      <c r="P434" s="21">
        <f t="shared" si="114"/>
        <v>0</v>
      </c>
      <c r="Q434" s="21">
        <f t="shared" si="115"/>
        <v>0</v>
      </c>
      <c r="R434" s="21">
        <f t="shared" si="116"/>
        <v>21226418.403257966</v>
      </c>
      <c r="S434" s="7">
        <f t="shared" si="98"/>
        <v>0</v>
      </c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65" outlineLevel="2">
      <c r="A435" s="18" t="s">
        <v>120</v>
      </c>
      <c r="B435" s="19" t="s">
        <v>108</v>
      </c>
      <c r="C435" s="20">
        <v>264846829.75</v>
      </c>
      <c r="D435" s="20"/>
      <c r="E435" s="20"/>
      <c r="F435" s="20">
        <v>264846829.75</v>
      </c>
      <c r="G435" s="21"/>
      <c r="H435" s="21">
        <v>55</v>
      </c>
      <c r="I435" s="21">
        <v>52.137321</v>
      </c>
      <c r="J435" s="22">
        <v>-0.75</v>
      </c>
      <c r="K435" s="21">
        <f t="shared" si="111"/>
        <v>24123637.291787732</v>
      </c>
      <c r="L435" s="21">
        <f t="shared" si="112"/>
        <v>1.1255797613869447</v>
      </c>
      <c r="M435" s="21">
        <f t="shared" si="113"/>
        <v>27153077.906675637</v>
      </c>
      <c r="N435" s="21"/>
      <c r="O435" s="21"/>
      <c r="P435" s="21">
        <f t="shared" si="114"/>
        <v>0</v>
      </c>
      <c r="Q435" s="21">
        <f t="shared" si="115"/>
        <v>0</v>
      </c>
      <c r="R435" s="21">
        <f t="shared" si="116"/>
        <v>27153077.906675637</v>
      </c>
      <c r="S435" s="7">
        <f t="shared" si="98"/>
        <v>0</v>
      </c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65" outlineLevel="2">
      <c r="A436" s="18" t="s">
        <v>120</v>
      </c>
      <c r="B436" s="19" t="s">
        <v>107</v>
      </c>
      <c r="C436" s="20">
        <v>199191625.80000001</v>
      </c>
      <c r="D436" s="20"/>
      <c r="E436" s="20"/>
      <c r="F436" s="20">
        <v>199191625.80000001</v>
      </c>
      <c r="G436" s="20"/>
      <c r="H436" s="21">
        <v>55</v>
      </c>
      <c r="I436" s="21">
        <v>51.328674999999997</v>
      </c>
      <c r="J436" s="22">
        <v>-0.75</v>
      </c>
      <c r="K436" s="21">
        <f t="shared" si="111"/>
        <v>23268547.132415</v>
      </c>
      <c r="L436" s="21">
        <f t="shared" si="112"/>
        <v>1.1255797613869447</v>
      </c>
      <c r="M436" s="21">
        <f t="shared" si="113"/>
        <v>26190605.729124554</v>
      </c>
      <c r="N436" s="21"/>
      <c r="O436" s="21"/>
      <c r="P436" s="21">
        <f t="shared" si="114"/>
        <v>0</v>
      </c>
      <c r="Q436" s="21">
        <f t="shared" si="115"/>
        <v>0</v>
      </c>
      <c r="R436" s="21">
        <f t="shared" si="116"/>
        <v>26190605.729124554</v>
      </c>
      <c r="S436" s="7">
        <f t="shared" si="98"/>
        <v>0</v>
      </c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65" outlineLevel="2">
      <c r="A437" s="18" t="s">
        <v>120</v>
      </c>
      <c r="B437" s="19" t="s">
        <v>106</v>
      </c>
      <c r="C437" s="20">
        <v>199772481.78999999</v>
      </c>
      <c r="D437" s="20"/>
      <c r="E437" s="20"/>
      <c r="F437" s="20">
        <v>199772481.78999999</v>
      </c>
      <c r="G437" s="21"/>
      <c r="H437" s="21">
        <v>55</v>
      </c>
      <c r="I437" s="21">
        <v>50.524169999999998</v>
      </c>
      <c r="J437" s="22">
        <v>-0.75</v>
      </c>
      <c r="K437" s="21">
        <f t="shared" si="111"/>
        <v>28450153.046322517</v>
      </c>
      <c r="L437" s="21">
        <f t="shared" si="112"/>
        <v>1.1255797613869447</v>
      </c>
      <c r="M437" s="21">
        <f t="shared" si="113"/>
        <v>32022916.477301758</v>
      </c>
      <c r="N437" s="21"/>
      <c r="O437" s="21"/>
      <c r="P437" s="21">
        <f t="shared" si="114"/>
        <v>0</v>
      </c>
      <c r="Q437" s="21">
        <f t="shared" si="115"/>
        <v>0</v>
      </c>
      <c r="R437" s="21">
        <f t="shared" si="116"/>
        <v>32022916.477301758</v>
      </c>
      <c r="S437" s="7">
        <f t="shared" si="98"/>
        <v>0</v>
      </c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65" outlineLevel="2">
      <c r="A438" s="18" t="s">
        <v>120</v>
      </c>
      <c r="B438" s="19" t="s">
        <v>105</v>
      </c>
      <c r="C438" s="20">
        <v>94349377.989999995</v>
      </c>
      <c r="D438" s="20"/>
      <c r="E438" s="20"/>
      <c r="F438" s="20">
        <v>94349377.989999995</v>
      </c>
      <c r="G438" s="21"/>
      <c r="H438" s="21">
        <v>55</v>
      </c>
      <c r="I438" s="21">
        <v>49.724181000000002</v>
      </c>
      <c r="J438" s="22">
        <v>-0.75</v>
      </c>
      <c r="K438" s="21">
        <f t="shared" si="111"/>
        <v>15838144.033021651</v>
      </c>
      <c r="L438" s="21">
        <f t="shared" si="112"/>
        <v>1.1255797613869447</v>
      </c>
      <c r="M438" s="21">
        <f t="shared" si="113"/>
        <v>17827094.381500572</v>
      </c>
      <c r="N438" s="21"/>
      <c r="O438" s="21"/>
      <c r="P438" s="21">
        <f t="shared" si="114"/>
        <v>0</v>
      </c>
      <c r="Q438" s="21">
        <f t="shared" si="115"/>
        <v>0</v>
      </c>
      <c r="R438" s="21">
        <f t="shared" si="116"/>
        <v>17827094.381500572</v>
      </c>
      <c r="S438" s="7">
        <f t="shared" si="117" ref="S438:S501">+M438-P438-Q438-R438</f>
        <v>0</v>
      </c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65" outlineLevel="2">
      <c r="A439" s="18" t="s">
        <v>120</v>
      </c>
      <c r="B439" s="19" t="s">
        <v>104</v>
      </c>
      <c r="C439" s="20">
        <v>115122601.36</v>
      </c>
      <c r="D439" s="20"/>
      <c r="E439" s="20"/>
      <c r="F439" s="20">
        <v>115122601.36</v>
      </c>
      <c r="G439" s="21"/>
      <c r="H439" s="21">
        <v>55</v>
      </c>
      <c r="I439" s="21">
        <v>48.928370000000001</v>
      </c>
      <c r="J439" s="22">
        <v>-0.75</v>
      </c>
      <c r="K439" s="21">
        <f t="shared" si="111"/>
        <v>22240331.275763262</v>
      </c>
      <c r="L439" s="21">
        <f t="shared" si="112"/>
        <v>1.1255797613869447</v>
      </c>
      <c r="M439" s="21">
        <f t="shared" si="113"/>
        <v>25033266.770540215</v>
      </c>
      <c r="N439" s="21"/>
      <c r="O439" s="21"/>
      <c r="P439" s="21">
        <f t="shared" si="114"/>
        <v>0</v>
      </c>
      <c r="Q439" s="21">
        <f t="shared" si="115"/>
        <v>0</v>
      </c>
      <c r="R439" s="21">
        <f t="shared" si="116"/>
        <v>25033266.770540215</v>
      </c>
      <c r="S439" s="7">
        <f t="shared" si="117"/>
        <v>0</v>
      </c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65" outlineLevel="2">
      <c r="A440" s="18" t="s">
        <v>120</v>
      </c>
      <c r="B440" s="19" t="s">
        <v>103</v>
      </c>
      <c r="C440" s="20">
        <v>83162345.049999997</v>
      </c>
      <c r="D440" s="20"/>
      <c r="E440" s="20"/>
      <c r="F440" s="20">
        <v>83162345.049999997</v>
      </c>
      <c r="G440" s="21"/>
      <c r="H440" s="21">
        <v>55</v>
      </c>
      <c r="I440" s="21">
        <v>48.136744</v>
      </c>
      <c r="J440" s="22">
        <v>-0.75</v>
      </c>
      <c r="K440" s="21">
        <f t="shared" si="111"/>
        <v>18160687.479406271</v>
      </c>
      <c r="L440" s="21">
        <f t="shared" si="112"/>
        <v>1.1255797613869447</v>
      </c>
      <c r="M440" s="21">
        <f t="shared" si="113"/>
        <v>20441302.279692985</v>
      </c>
      <c r="N440" s="21"/>
      <c r="O440" s="21"/>
      <c r="P440" s="21">
        <f t="shared" si="114"/>
        <v>0</v>
      </c>
      <c r="Q440" s="21">
        <f t="shared" si="115"/>
        <v>0</v>
      </c>
      <c r="R440" s="21">
        <f t="shared" si="116"/>
        <v>20441302.279692985</v>
      </c>
      <c r="S440" s="7">
        <f t="shared" si="117"/>
        <v>0</v>
      </c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65" outlineLevel="2">
      <c r="A441" s="18" t="s">
        <v>120</v>
      </c>
      <c r="B441" s="19" t="s">
        <v>102</v>
      </c>
      <c r="C441" s="20">
        <v>51452654.82</v>
      </c>
      <c r="D441" s="20"/>
      <c r="E441" s="20"/>
      <c r="F441" s="20">
        <v>51452654.82</v>
      </c>
      <c r="G441" s="21"/>
      <c r="H441" s="21">
        <v>55</v>
      </c>
      <c r="I441" s="21">
        <v>47.349316999999999</v>
      </c>
      <c r="J441" s="22">
        <v>-0.75</v>
      </c>
      <c r="K441" s="21">
        <f t="shared" si="111"/>
        <v>12525162.094334982</v>
      </c>
      <c r="L441" s="21">
        <f t="shared" si="112"/>
        <v>1.1255797613869447</v>
      </c>
      <c r="M441" s="21">
        <f t="shared" si="113"/>
        <v>14098068.961474374</v>
      </c>
      <c r="N441" s="21"/>
      <c r="O441" s="21"/>
      <c r="P441" s="21">
        <f t="shared" si="114"/>
        <v>0</v>
      </c>
      <c r="Q441" s="21">
        <f t="shared" si="115"/>
        <v>0</v>
      </c>
      <c r="R441" s="21">
        <f t="shared" si="116"/>
        <v>14098068.961474374</v>
      </c>
      <c r="S441" s="7">
        <f t="shared" si="117"/>
        <v>0</v>
      </c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65" outlineLevel="2">
      <c r="A442" s="18" t="s">
        <v>120</v>
      </c>
      <c r="B442" s="19" t="s">
        <v>101</v>
      </c>
      <c r="C442" s="20">
        <v>38778246.5</v>
      </c>
      <c r="D442" s="20"/>
      <c r="E442" s="20"/>
      <c r="F442" s="20">
        <v>38778246.5</v>
      </c>
      <c r="G442" s="21"/>
      <c r="H442" s="21">
        <v>55</v>
      </c>
      <c r="I442" s="21">
        <v>46.566093000000002</v>
      </c>
      <c r="J442" s="22">
        <v>-0.75</v>
      </c>
      <c r="K442" s="21">
        <f t="shared" si="111"/>
        <v>10406203.964675127</v>
      </c>
      <c r="L442" s="21">
        <f t="shared" si="112"/>
        <v>1.1255797613869447</v>
      </c>
      <c r="M442" s="21">
        <f t="shared" si="113"/>
        <v>11713012.575502908</v>
      </c>
      <c r="N442" s="21"/>
      <c r="O442" s="21"/>
      <c r="P442" s="21">
        <f t="shared" si="114"/>
        <v>0</v>
      </c>
      <c r="Q442" s="21">
        <f t="shared" si="115"/>
        <v>0</v>
      </c>
      <c r="R442" s="21">
        <f t="shared" si="116"/>
        <v>11713012.575502908</v>
      </c>
      <c r="S442" s="7">
        <f t="shared" si="117"/>
        <v>0</v>
      </c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65" outlineLevel="2">
      <c r="A443" s="18" t="s">
        <v>120</v>
      </c>
      <c r="B443" s="19" t="s">
        <v>100</v>
      </c>
      <c r="C443" s="20">
        <v>66401316.549999997</v>
      </c>
      <c r="D443" s="20"/>
      <c r="E443" s="20"/>
      <c r="F443" s="20">
        <v>66401316.549999997</v>
      </c>
      <c r="G443" s="21"/>
      <c r="H443" s="21">
        <v>55</v>
      </c>
      <c r="I443" s="21">
        <v>45.787289000000001</v>
      </c>
      <c r="J443" s="22">
        <v>-0.75</v>
      </c>
      <c r="K443" s="21">
        <f t="shared" si="111"/>
        <v>19464331.708012126</v>
      </c>
      <c r="L443" s="21">
        <f t="shared" si="112"/>
        <v>1.1255797613869447</v>
      </c>
      <c r="M443" s="21">
        <f t="shared" si="113"/>
        <v>21908657.83946063</v>
      </c>
      <c r="N443" s="21"/>
      <c r="O443" s="21"/>
      <c r="P443" s="21">
        <f t="shared" si="114"/>
        <v>0</v>
      </c>
      <c r="Q443" s="21">
        <f t="shared" si="115"/>
        <v>0</v>
      </c>
      <c r="R443" s="21">
        <f t="shared" si="116"/>
        <v>21908657.83946063</v>
      </c>
      <c r="S443" s="7">
        <f t="shared" si="117"/>
        <v>0</v>
      </c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65" outlineLevel="2">
      <c r="A444" s="18" t="s">
        <v>120</v>
      </c>
      <c r="B444" s="19" t="s">
        <v>99</v>
      </c>
      <c r="C444" s="20">
        <v>48880396.299999997</v>
      </c>
      <c r="D444" s="20"/>
      <c r="E444" s="20"/>
      <c r="F444" s="20">
        <v>48880396.299999997</v>
      </c>
      <c r="G444" s="21"/>
      <c r="H444" s="21">
        <v>55</v>
      </c>
      <c r="I444" s="21">
        <v>45.012915999999997</v>
      </c>
      <c r="J444" s="22">
        <v>-0.75</v>
      </c>
      <c r="K444" s="21">
        <f t="shared" si="111"/>
        <v>15532765.302771475</v>
      </c>
      <c r="L444" s="21">
        <f t="shared" si="112"/>
        <v>1.1255797613869447</v>
      </c>
      <c r="M444" s="21">
        <f t="shared" si="113"/>
        <v>17483366.263172932</v>
      </c>
      <c r="N444" s="21"/>
      <c r="O444" s="21"/>
      <c r="P444" s="21">
        <f t="shared" si="114"/>
        <v>0</v>
      </c>
      <c r="Q444" s="21">
        <f t="shared" si="115"/>
        <v>0</v>
      </c>
      <c r="R444" s="21">
        <f t="shared" si="116"/>
        <v>17483366.263172932</v>
      </c>
      <c r="S444" s="7">
        <f t="shared" si="117"/>
        <v>0</v>
      </c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65" outlineLevel="2">
      <c r="A445" s="18" t="s">
        <v>120</v>
      </c>
      <c r="B445" s="19" t="s">
        <v>98</v>
      </c>
      <c r="C445" s="20">
        <v>89198778.790000007</v>
      </c>
      <c r="D445" s="20"/>
      <c r="E445" s="20"/>
      <c r="F445" s="20">
        <v>89198778.790000007</v>
      </c>
      <c r="G445" s="21"/>
      <c r="H445" s="21">
        <v>55</v>
      </c>
      <c r="I445" s="21">
        <v>44.242801999999998</v>
      </c>
      <c r="J445" s="22">
        <v>-0.75</v>
      </c>
      <c r="K445" s="21">
        <f t="shared" si="111"/>
        <v>30530465.789161883</v>
      </c>
      <c r="L445" s="21">
        <f t="shared" si="112"/>
        <v>1.1255797613869447</v>
      </c>
      <c r="M445" s="21">
        <f t="shared" si="113"/>
        <v>34364474.397997111</v>
      </c>
      <c r="N445" s="21"/>
      <c r="O445" s="21"/>
      <c r="P445" s="21">
        <f t="shared" si="114"/>
        <v>0</v>
      </c>
      <c r="Q445" s="21">
        <f t="shared" si="115"/>
        <v>0</v>
      </c>
      <c r="R445" s="21">
        <f t="shared" si="116"/>
        <v>34364474.397997111</v>
      </c>
      <c r="S445" s="7">
        <f t="shared" si="117"/>
        <v>0</v>
      </c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65" outlineLevel="2">
      <c r="A446" s="18" t="s">
        <v>120</v>
      </c>
      <c r="B446" s="19" t="s">
        <v>97</v>
      </c>
      <c r="C446" s="20">
        <v>60264927.149999999</v>
      </c>
      <c r="D446" s="20"/>
      <c r="E446" s="20"/>
      <c r="F446" s="20">
        <v>60264927.149999999</v>
      </c>
      <c r="G446" s="21"/>
      <c r="H446" s="21">
        <v>55</v>
      </c>
      <c r="I446" s="21">
        <v>43.476956999999999</v>
      </c>
      <c r="J446" s="22">
        <v>-0.75</v>
      </c>
      <c r="K446" s="21">
        <f t="shared" si="111"/>
        <v>22095670.129951008</v>
      </c>
      <c r="L446" s="21">
        <f t="shared" si="112"/>
        <v>1.1255797613869447</v>
      </c>
      <c r="M446" s="21">
        <f t="shared" si="113"/>
        <v>24870439.112554897</v>
      </c>
      <c r="N446" s="21"/>
      <c r="O446" s="21"/>
      <c r="P446" s="21">
        <f t="shared" si="114"/>
        <v>0</v>
      </c>
      <c r="Q446" s="21">
        <f t="shared" si="115"/>
        <v>0</v>
      </c>
      <c r="R446" s="21">
        <f t="shared" si="116"/>
        <v>24870439.112554897</v>
      </c>
      <c r="S446" s="7">
        <f t="shared" si="117"/>
        <v>0</v>
      </c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65" outlineLevel="2">
      <c r="A447" s="18" t="s">
        <v>120</v>
      </c>
      <c r="B447" s="19" t="s">
        <v>96</v>
      </c>
      <c r="C447" s="20">
        <v>69578075.909999996</v>
      </c>
      <c r="D447" s="20"/>
      <c r="E447" s="20"/>
      <c r="F447" s="20">
        <v>69578075.909999996</v>
      </c>
      <c r="G447" s="21"/>
      <c r="H447" s="21">
        <v>55</v>
      </c>
      <c r="I447" s="21">
        <v>42.715392999999999</v>
      </c>
      <c r="J447" s="22">
        <v>-0.75</v>
      </c>
      <c r="K447" s="21">
        <f t="shared" si="111"/>
        <v>27196251.039061919</v>
      </c>
      <c r="L447" s="21">
        <f t="shared" si="112"/>
        <v>1.1255797613869447</v>
      </c>
      <c r="M447" s="21">
        <f t="shared" si="113"/>
        <v>30611549.755166762</v>
      </c>
      <c r="N447" s="21"/>
      <c r="O447" s="21"/>
      <c r="P447" s="21">
        <f t="shared" si="114"/>
        <v>0</v>
      </c>
      <c r="Q447" s="21">
        <f t="shared" si="115"/>
        <v>0</v>
      </c>
      <c r="R447" s="21">
        <f t="shared" si="116"/>
        <v>30611549.755166762</v>
      </c>
      <c r="S447" s="7">
        <f t="shared" si="117"/>
        <v>0</v>
      </c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65" outlineLevel="2">
      <c r="A448" s="18" t="s">
        <v>120</v>
      </c>
      <c r="B448" s="19" t="s">
        <v>95</v>
      </c>
      <c r="C448" s="20">
        <v>61447735.289999999</v>
      </c>
      <c r="D448" s="20"/>
      <c r="E448" s="20"/>
      <c r="F448" s="20">
        <v>61447735.289999999</v>
      </c>
      <c r="G448" s="21"/>
      <c r="H448" s="21">
        <v>55</v>
      </c>
      <c r="I448" s="21">
        <v>41.958131000000002</v>
      </c>
      <c r="J448" s="22">
        <v>-0.75</v>
      </c>
      <c r="K448" s="21">
        <f t="shared" si="111"/>
        <v>25498878.172690894</v>
      </c>
      <c r="L448" s="21">
        <f t="shared" si="112"/>
        <v>1.1255797613869447</v>
      </c>
      <c r="M448" s="21">
        <f t="shared" si="113"/>
        <v>28701021.20925219</v>
      </c>
      <c r="N448" s="21"/>
      <c r="O448" s="21"/>
      <c r="P448" s="21">
        <f t="shared" si="114"/>
        <v>0</v>
      </c>
      <c r="Q448" s="21">
        <f t="shared" si="115"/>
        <v>0</v>
      </c>
      <c r="R448" s="21">
        <f t="shared" si="116"/>
        <v>28701021.20925219</v>
      </c>
      <c r="S448" s="7">
        <f t="shared" si="117"/>
        <v>0</v>
      </c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65" outlineLevel="2">
      <c r="A449" s="18" t="s">
        <v>120</v>
      </c>
      <c r="B449" s="19" t="s">
        <v>94</v>
      </c>
      <c r="C449" s="20">
        <v>60402395.939999998</v>
      </c>
      <c r="D449" s="20"/>
      <c r="E449" s="20"/>
      <c r="F449" s="20">
        <v>60402395.939999998</v>
      </c>
      <c r="G449" s="21"/>
      <c r="H449" s="21">
        <v>55</v>
      </c>
      <c r="I449" s="21">
        <v>41.205634000000003</v>
      </c>
      <c r="J449" s="22">
        <v>-0.75</v>
      </c>
      <c r="K449" s="21">
        <f t="shared" si="111"/>
        <v>26511314.991422348</v>
      </c>
      <c r="L449" s="21">
        <f t="shared" si="112"/>
        <v>1.1255797613869447</v>
      </c>
      <c r="M449" s="21">
        <f t="shared" si="113"/>
        <v>29840599.602099296</v>
      </c>
      <c r="N449" s="21"/>
      <c r="O449" s="21"/>
      <c r="P449" s="21">
        <f t="shared" si="114"/>
        <v>0</v>
      </c>
      <c r="Q449" s="21">
        <f t="shared" si="115"/>
        <v>0</v>
      </c>
      <c r="R449" s="21">
        <f t="shared" si="116"/>
        <v>29840599.602099296</v>
      </c>
      <c r="S449" s="7">
        <f t="shared" si="117"/>
        <v>0</v>
      </c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65" outlineLevel="2">
      <c r="A450" s="18" t="s">
        <v>120</v>
      </c>
      <c r="B450" s="19" t="s">
        <v>93</v>
      </c>
      <c r="C450" s="20">
        <v>31736616.440000001</v>
      </c>
      <c r="D450" s="20"/>
      <c r="E450" s="20"/>
      <c r="F450" s="20">
        <v>31736616.440000001</v>
      </c>
      <c r="G450" s="21"/>
      <c r="H450" s="21">
        <v>55</v>
      </c>
      <c r="I450" s="21">
        <v>40.457611</v>
      </c>
      <c r="J450" s="22">
        <v>-0.75</v>
      </c>
      <c r="K450" s="21">
        <f t="shared" si="111"/>
        <v>14684925.239545116</v>
      </c>
      <c r="L450" s="21">
        <f t="shared" si="112"/>
        <v>1.1255797613869447</v>
      </c>
      <c r="M450" s="21">
        <f t="shared" si="113"/>
        <v>16529054.647112314</v>
      </c>
      <c r="N450" s="21"/>
      <c r="O450" s="21"/>
      <c r="P450" s="21">
        <f t="shared" si="114"/>
        <v>0</v>
      </c>
      <c r="Q450" s="21">
        <f t="shared" si="115"/>
        <v>0</v>
      </c>
      <c r="R450" s="21">
        <f t="shared" si="116"/>
        <v>16529054.647112314</v>
      </c>
      <c r="S450" s="7">
        <f t="shared" si="117"/>
        <v>0</v>
      </c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65" outlineLevel="2">
      <c r="A451" s="18" t="s">
        <v>120</v>
      </c>
      <c r="B451" s="19" t="s">
        <v>92</v>
      </c>
      <c r="C451" s="20">
        <v>24927270.010000002</v>
      </c>
      <c r="D451" s="20"/>
      <c r="E451" s="20"/>
      <c r="F451" s="20">
        <v>24927270.010000002</v>
      </c>
      <c r="G451" s="21"/>
      <c r="H451" s="21">
        <v>55</v>
      </c>
      <c r="I451" s="21">
        <v>39.714162000000002</v>
      </c>
      <c r="J451" s="22">
        <v>-0.75</v>
      </c>
      <c r="K451" s="21">
        <f t="shared" si="111"/>
        <v>12123815.809481038</v>
      </c>
      <c r="L451" s="21">
        <f t="shared" si="112"/>
        <v>1.1255797613869447</v>
      </c>
      <c r="M451" s="21">
        <f t="shared" si="113"/>
        <v>13646321.705934934</v>
      </c>
      <c r="N451" s="21"/>
      <c r="O451" s="21"/>
      <c r="P451" s="21">
        <f t="shared" si="114"/>
        <v>0</v>
      </c>
      <c r="Q451" s="21">
        <f t="shared" si="115"/>
        <v>0</v>
      </c>
      <c r="R451" s="21">
        <f t="shared" si="116"/>
        <v>13646321.705934934</v>
      </c>
      <c r="S451" s="7">
        <f t="shared" si="117"/>
        <v>0</v>
      </c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65" outlineLevel="2">
      <c r="A452" s="18" t="s">
        <v>120</v>
      </c>
      <c r="B452" s="19" t="s">
        <v>91</v>
      </c>
      <c r="C452" s="20">
        <v>27554876.210000001</v>
      </c>
      <c r="D452" s="20"/>
      <c r="E452" s="20"/>
      <c r="F452" s="20">
        <v>27554876.210000001</v>
      </c>
      <c r="G452" s="21"/>
      <c r="H452" s="21">
        <v>55</v>
      </c>
      <c r="I452" s="21">
        <v>38.975423999999997</v>
      </c>
      <c r="J452" s="22">
        <v>-0.75</v>
      </c>
      <c r="K452" s="21">
        <f t="shared" si="111"/>
        <v>14049483.890837086</v>
      </c>
      <c r="L452" s="21">
        <f t="shared" si="112"/>
        <v>1.1255797613869447</v>
      </c>
      <c r="M452" s="21">
        <f t="shared" si="113"/>
        <v>15813814.725458132</v>
      </c>
      <c r="N452" s="21"/>
      <c r="O452" s="21"/>
      <c r="P452" s="21">
        <f t="shared" si="114"/>
        <v>0</v>
      </c>
      <c r="Q452" s="21">
        <f t="shared" si="115"/>
        <v>0</v>
      </c>
      <c r="R452" s="21">
        <f t="shared" si="116"/>
        <v>15813814.725458132</v>
      </c>
      <c r="S452" s="7">
        <f t="shared" si="117"/>
        <v>0</v>
      </c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65" outlineLevel="2">
      <c r="A453" s="18" t="s">
        <v>120</v>
      </c>
      <c r="B453" s="19" t="s">
        <v>90</v>
      </c>
      <c r="C453" s="20">
        <v>4178319.0699999998</v>
      </c>
      <c r="D453" s="20"/>
      <c r="E453" s="20"/>
      <c r="F453" s="20">
        <v>4178319.0699999998</v>
      </c>
      <c r="G453" s="21"/>
      <c r="H453" s="21">
        <v>55</v>
      </c>
      <c r="I453" s="21">
        <v>38.241536000000004</v>
      </c>
      <c r="J453" s="22">
        <v>-0.75</v>
      </c>
      <c r="K453" s="21">
        <f t="shared" si="111"/>
        <v>2227979.400026178</v>
      </c>
      <c r="L453" s="21">
        <f t="shared" si="112"/>
        <v>1.1255797613869447</v>
      </c>
      <c r="M453" s="21">
        <f t="shared" si="113"/>
        <v>2507768.5214564935</v>
      </c>
      <c r="N453" s="21"/>
      <c r="O453" s="21"/>
      <c r="P453" s="21">
        <f t="shared" si="114"/>
        <v>0</v>
      </c>
      <c r="Q453" s="21">
        <f t="shared" si="115"/>
        <v>0</v>
      </c>
      <c r="R453" s="21">
        <f t="shared" si="116"/>
        <v>2507768.5214564935</v>
      </c>
      <c r="S453" s="7">
        <f t="shared" si="117"/>
        <v>0</v>
      </c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65" outlineLevel="2">
      <c r="A454" s="18" t="s">
        <v>120</v>
      </c>
      <c r="B454" s="19" t="s">
        <v>89</v>
      </c>
      <c r="C454" s="20">
        <v>4973428.7000000002</v>
      </c>
      <c r="D454" s="20"/>
      <c r="E454" s="20"/>
      <c r="F454" s="20">
        <v>4973428.7000000002</v>
      </c>
      <c r="G454" s="21"/>
      <c r="H454" s="21">
        <v>55</v>
      </c>
      <c r="I454" s="21">
        <v>37.512889000000001</v>
      </c>
      <c r="J454" s="22">
        <v>-0.75</v>
      </c>
      <c r="K454" s="21">
        <f t="shared" si="111"/>
        <v>2767255.9004199998</v>
      </c>
      <c r="L454" s="21">
        <f t="shared" si="112"/>
        <v>1.1255797613869447</v>
      </c>
      <c r="M454" s="21">
        <f t="shared" si="113"/>
        <v>3114767.2360913581</v>
      </c>
      <c r="N454" s="21"/>
      <c r="O454" s="21"/>
      <c r="P454" s="21">
        <f t="shared" si="114"/>
        <v>0</v>
      </c>
      <c r="Q454" s="21">
        <f t="shared" si="115"/>
        <v>0</v>
      </c>
      <c r="R454" s="21">
        <f t="shared" si="116"/>
        <v>3114767.2360913581</v>
      </c>
      <c r="S454" s="7">
        <f t="shared" si="117"/>
        <v>0</v>
      </c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65" outlineLevel="2">
      <c r="A455" s="18" t="s">
        <v>120</v>
      </c>
      <c r="B455" s="19" t="s">
        <v>88</v>
      </c>
      <c r="C455" s="20">
        <v>3293225.4900000002</v>
      </c>
      <c r="D455" s="20"/>
      <c r="E455" s="20"/>
      <c r="F455" s="20">
        <v>3293225.4900000002</v>
      </c>
      <c r="G455" s="21"/>
      <c r="H455" s="21">
        <v>55</v>
      </c>
      <c r="I455" s="21">
        <v>36.789670999999998</v>
      </c>
      <c r="J455" s="22">
        <v>-0.75</v>
      </c>
      <c r="K455" s="21">
        <f t="shared" si="111"/>
        <v>1908159.2614027429</v>
      </c>
      <c r="L455" s="21">
        <f t="shared" si="112"/>
        <v>1.1255797613869447</v>
      </c>
      <c r="M455" s="21">
        <f t="shared" si="113"/>
        <v>2147785.446137988</v>
      </c>
      <c r="N455" s="21"/>
      <c r="O455" s="21"/>
      <c r="P455" s="21">
        <f t="shared" si="114"/>
        <v>0</v>
      </c>
      <c r="Q455" s="21">
        <f t="shared" si="115"/>
        <v>0</v>
      </c>
      <c r="R455" s="21">
        <f t="shared" si="116"/>
        <v>2147785.446137988</v>
      </c>
      <c r="S455" s="7">
        <f t="shared" si="117"/>
        <v>0</v>
      </c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65" outlineLevel="2">
      <c r="A456" s="18" t="s">
        <v>120</v>
      </c>
      <c r="B456" s="19" t="s">
        <v>87</v>
      </c>
      <c r="C456" s="20">
        <v>8705859.4600000009</v>
      </c>
      <c r="D456" s="20"/>
      <c r="E456" s="20"/>
      <c r="F456" s="20">
        <v>8705859.4600000009</v>
      </c>
      <c r="G456" s="21"/>
      <c r="H456" s="21">
        <v>55</v>
      </c>
      <c r="I456" s="21">
        <v>36.071823999999999</v>
      </c>
      <c r="J456" s="22">
        <v>-0.75</v>
      </c>
      <c r="K456" s="21">
        <f t="shared" si="111"/>
        <v>5243192.1846864307</v>
      </c>
      <c r="L456" s="21">
        <f t="shared" si="112"/>
        <v>1.1255797613869447</v>
      </c>
      <c r="M456" s="21">
        <f t="shared" si="113"/>
        <v>5901631.0081452457</v>
      </c>
      <c r="N456" s="21"/>
      <c r="O456" s="21"/>
      <c r="P456" s="21">
        <f t="shared" si="114"/>
        <v>0</v>
      </c>
      <c r="Q456" s="21">
        <f t="shared" si="115"/>
        <v>0</v>
      </c>
      <c r="R456" s="21">
        <f t="shared" si="116"/>
        <v>5901631.0081452457</v>
      </c>
      <c r="S456" s="7">
        <f t="shared" si="117"/>
        <v>0</v>
      </c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65" outlineLevel="2">
      <c r="A457" s="18" t="s">
        <v>120</v>
      </c>
      <c r="B457" s="19" t="s">
        <v>86</v>
      </c>
      <c r="C457" s="20">
        <v>3311506.6400000001</v>
      </c>
      <c r="D457" s="20"/>
      <c r="E457" s="20"/>
      <c r="F457" s="20">
        <v>3311506.6400000001</v>
      </c>
      <c r="G457" s="21"/>
      <c r="H457" s="21">
        <v>55</v>
      </c>
      <c r="I457" s="21">
        <v>35.359518999999999</v>
      </c>
      <c r="J457" s="22">
        <v>-0.75</v>
      </c>
      <c r="K457" s="21">
        <f t="shared" si="111"/>
        <v>2069441.2850457132</v>
      </c>
      <c r="L457" s="21">
        <f t="shared" si="112"/>
        <v>1.1255797613869447</v>
      </c>
      <c r="M457" s="21">
        <f t="shared" si="113"/>
        <v>2329321.2278260463</v>
      </c>
      <c r="N457" s="21"/>
      <c r="O457" s="21"/>
      <c r="P457" s="21">
        <f t="shared" si="114"/>
        <v>0</v>
      </c>
      <c r="Q457" s="21">
        <f t="shared" si="115"/>
        <v>0</v>
      </c>
      <c r="R457" s="21">
        <f t="shared" si="116"/>
        <v>2329321.2278260463</v>
      </c>
      <c r="S457" s="7">
        <f t="shared" si="117"/>
        <v>0</v>
      </c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65" outlineLevel="2">
      <c r="A458" s="18" t="s">
        <v>120</v>
      </c>
      <c r="B458" s="19" t="s">
        <v>85</v>
      </c>
      <c r="C458" s="20">
        <v>2909671.5899999999</v>
      </c>
      <c r="D458" s="20"/>
      <c r="E458" s="20"/>
      <c r="F458" s="20">
        <v>2909671.5899999999</v>
      </c>
      <c r="G458" s="21"/>
      <c r="H458" s="21">
        <v>55</v>
      </c>
      <c r="I458" s="21">
        <v>34.652923999999999</v>
      </c>
      <c r="J458" s="22">
        <v>-0.75</v>
      </c>
      <c r="K458" s="21">
        <f t="shared" si="111"/>
        <v>1883741.6492608902</v>
      </c>
      <c r="L458" s="21">
        <f t="shared" si="112"/>
        <v>1.1255797613869447</v>
      </c>
      <c r="M458" s="21">
        <f t="shared" si="113"/>
        <v>2120301.4760897225</v>
      </c>
      <c r="N458" s="21"/>
      <c r="O458" s="21"/>
      <c r="P458" s="21">
        <f t="shared" si="114"/>
        <v>0</v>
      </c>
      <c r="Q458" s="21">
        <f t="shared" si="115"/>
        <v>0</v>
      </c>
      <c r="R458" s="21">
        <f t="shared" si="116"/>
        <v>2120301.4760897225</v>
      </c>
      <c r="S458" s="7">
        <f t="shared" si="117"/>
        <v>0</v>
      </c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65" outlineLevel="2">
      <c r="A459" s="18" t="s">
        <v>120</v>
      </c>
      <c r="B459" s="19" t="s">
        <v>84</v>
      </c>
      <c r="C459" s="20">
        <v>5661728.7800000003</v>
      </c>
      <c r="D459" s="20"/>
      <c r="E459" s="20"/>
      <c r="F459" s="20">
        <v>5661728.7800000003</v>
      </c>
      <c r="G459" s="21"/>
      <c r="H459" s="21">
        <v>55</v>
      </c>
      <c r="I459" s="21">
        <v>33.952213999999998</v>
      </c>
      <c r="J459" s="22">
        <v>-0.75</v>
      </c>
      <c r="K459" s="21">
        <f t="shared" si="111"/>
        <v>3791672.6830016715</v>
      </c>
      <c r="L459" s="21">
        <f t="shared" si="112"/>
        <v>1.1255797613869447</v>
      </c>
      <c r="M459" s="21">
        <f t="shared" si="113"/>
        <v>4267830.0337904179</v>
      </c>
      <c r="N459" s="21"/>
      <c r="O459" s="21"/>
      <c r="P459" s="21">
        <f t="shared" si="114"/>
        <v>0</v>
      </c>
      <c r="Q459" s="21">
        <f t="shared" si="115"/>
        <v>0</v>
      </c>
      <c r="R459" s="21">
        <f t="shared" si="116"/>
        <v>4267830.0337904179</v>
      </c>
      <c r="S459" s="7">
        <f t="shared" si="117"/>
        <v>0</v>
      </c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65" outlineLevel="2">
      <c r="A460" s="18" t="s">
        <v>120</v>
      </c>
      <c r="B460" s="19" t="s">
        <v>83</v>
      </c>
      <c r="C460" s="20">
        <v>3144648.0099999998</v>
      </c>
      <c r="D460" s="20"/>
      <c r="E460" s="20"/>
      <c r="F460" s="20">
        <v>3144648.0099999998</v>
      </c>
      <c r="G460" s="21"/>
      <c r="H460" s="21">
        <v>55</v>
      </c>
      <c r="I460" s="21">
        <v>33.258116999999999</v>
      </c>
      <c r="J460" s="22">
        <v>-0.75</v>
      </c>
      <c r="K460" s="21">
        <f t="shared" si="111"/>
        <v>2175427.1989419083</v>
      </c>
      <c r="L460" s="21">
        <f t="shared" si="112"/>
        <v>1.1255797613869447</v>
      </c>
      <c r="M460" s="21">
        <f t="shared" si="113"/>
        <v>2448616.8274997026</v>
      </c>
      <c r="N460" s="21"/>
      <c r="O460" s="21"/>
      <c r="P460" s="21">
        <f t="shared" si="114"/>
        <v>0</v>
      </c>
      <c r="Q460" s="21">
        <f t="shared" si="115"/>
        <v>0</v>
      </c>
      <c r="R460" s="21">
        <f t="shared" si="116"/>
        <v>2448616.8274997026</v>
      </c>
      <c r="S460" s="7">
        <f t="shared" si="117"/>
        <v>0</v>
      </c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65" outlineLevel="2">
      <c r="A461" s="18" t="s">
        <v>120</v>
      </c>
      <c r="B461" s="19" t="s">
        <v>82</v>
      </c>
      <c r="C461" s="20">
        <v>9339651.7599999998</v>
      </c>
      <c r="D461" s="20"/>
      <c r="E461" s="20"/>
      <c r="F461" s="20">
        <v>9339651.7599999998</v>
      </c>
      <c r="G461" s="21"/>
      <c r="H461" s="21">
        <v>55</v>
      </c>
      <c r="I461" s="21">
        <v>32.570296999999997</v>
      </c>
      <c r="J461" s="22">
        <v>-0.75</v>
      </c>
      <c r="K461" s="21">
        <f t="shared" si="111"/>
        <v>6665451.3895526882</v>
      </c>
      <c r="L461" s="21">
        <f t="shared" si="112"/>
        <v>1.1255797613869447</v>
      </c>
      <c r="M461" s="21">
        <f t="shared" si="113"/>
        <v>7502497.1845889939</v>
      </c>
      <c r="N461" s="21"/>
      <c r="O461" s="21"/>
      <c r="P461" s="21">
        <f t="shared" si="114"/>
        <v>0</v>
      </c>
      <c r="Q461" s="21">
        <f t="shared" si="115"/>
        <v>0</v>
      </c>
      <c r="R461" s="21">
        <f t="shared" si="116"/>
        <v>7502497.1845889939</v>
      </c>
      <c r="S461" s="7">
        <f t="shared" si="117"/>
        <v>0</v>
      </c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65" outlineLevel="2">
      <c r="A462" s="18" t="s">
        <v>120</v>
      </c>
      <c r="B462" s="19" t="s">
        <v>81</v>
      </c>
      <c r="C462" s="20">
        <v>16116178.550000001</v>
      </c>
      <c r="D462" s="20"/>
      <c r="E462" s="20"/>
      <c r="F462" s="20">
        <v>16116178.550000001</v>
      </c>
      <c r="G462" s="21"/>
      <c r="H462" s="21">
        <v>55</v>
      </c>
      <c r="I462" s="21">
        <v>31.888922999999998</v>
      </c>
      <c r="J462" s="22">
        <v>-0.75</v>
      </c>
      <c r="K462" s="21">
        <f t="shared" si="111"/>
        <v>11851071.381379949</v>
      </c>
      <c r="L462" s="21">
        <f t="shared" si="112"/>
        <v>1.1255797613869447</v>
      </c>
      <c r="M462" s="21">
        <f t="shared" si="113"/>
        <v>13339326.097633293</v>
      </c>
      <c r="N462" s="21"/>
      <c r="O462" s="21"/>
      <c r="P462" s="21">
        <f t="shared" si="114"/>
        <v>0</v>
      </c>
      <c r="Q462" s="21">
        <f t="shared" si="115"/>
        <v>0</v>
      </c>
      <c r="R462" s="21">
        <f t="shared" si="116"/>
        <v>13339326.097633293</v>
      </c>
      <c r="S462" s="7">
        <f t="shared" si="117"/>
        <v>0</v>
      </c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65" outlineLevel="2">
      <c r="A463" s="18" t="s">
        <v>120</v>
      </c>
      <c r="B463" s="19" t="s">
        <v>80</v>
      </c>
      <c r="C463" s="20">
        <v>3267216.21</v>
      </c>
      <c r="D463" s="20"/>
      <c r="E463" s="20"/>
      <c r="F463" s="20">
        <v>3267216.21</v>
      </c>
      <c r="G463" s="21"/>
      <c r="H463" s="21">
        <v>55</v>
      </c>
      <c r="I463" s="21">
        <v>31.214168999999998</v>
      </c>
      <c r="J463" s="22">
        <v>-0.75</v>
      </c>
      <c r="K463" s="21">
        <f t="shared" si="111"/>
        <v>2472700.7649120167</v>
      </c>
      <c r="L463" s="21">
        <f t="shared" si="112"/>
        <v>1.1255797613869447</v>
      </c>
      <c r="M463" s="21">
        <f t="shared" si="113"/>
        <v>2783221.9369509835</v>
      </c>
      <c r="N463" s="21"/>
      <c r="O463" s="21"/>
      <c r="P463" s="21">
        <f t="shared" si="114"/>
        <v>0</v>
      </c>
      <c r="Q463" s="21">
        <f t="shared" si="115"/>
        <v>0</v>
      </c>
      <c r="R463" s="21">
        <f t="shared" si="116"/>
        <v>2783221.9369509835</v>
      </c>
      <c r="S463" s="7">
        <f t="shared" si="117"/>
        <v>0</v>
      </c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65" outlineLevel="2">
      <c r="A464" s="18" t="s">
        <v>120</v>
      </c>
      <c r="B464" s="19" t="s">
        <v>79</v>
      </c>
      <c r="C464" s="20">
        <v>7648354.5899999999</v>
      </c>
      <c r="D464" s="20"/>
      <c r="E464" s="20"/>
      <c r="F464" s="20">
        <v>7648354.5899999999</v>
      </c>
      <c r="G464" s="21"/>
      <c r="H464" s="21">
        <v>55</v>
      </c>
      <c r="I464" s="21">
        <v>30.546201</v>
      </c>
      <c r="J464" s="22">
        <v>-0.75</v>
      </c>
      <c r="K464" s="21">
        <f t="shared" si="118" ref="K464:K495">+C464*(1-I464/H464)*(1-J464)</f>
        <v>5950996.7307823272</v>
      </c>
      <c r="L464" s="21">
        <f t="shared" si="119" ref="L464:L495">$L$523</f>
        <v>1.1255797613869447</v>
      </c>
      <c r="M464" s="21">
        <f t="shared" si="120" ref="M464:M495">IF((C464*(1-J464)-K464*L464)&lt;0,C464*(1-J464),K464*L464)</f>
        <v>6698321.4802484596</v>
      </c>
      <c r="N464" s="21"/>
      <c r="O464" s="21"/>
      <c r="P464" s="21">
        <f t="shared" si="121" ref="P464:P495">+D464/$C464*$M464</f>
        <v>0</v>
      </c>
      <c r="Q464" s="21">
        <f t="shared" si="122" ref="Q464:Q495">+E464/$C464*$M464</f>
        <v>0</v>
      </c>
      <c r="R464" s="21">
        <f t="shared" si="123" ref="R464:R495">+F464/$C464*$M464</f>
        <v>6698321.4802484596</v>
      </c>
      <c r="S464" s="7">
        <f t="shared" si="117"/>
        <v>0</v>
      </c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65" outlineLevel="2">
      <c r="A465" s="18" t="s">
        <v>120</v>
      </c>
      <c r="B465" s="19" t="s">
        <v>78</v>
      </c>
      <c r="C465" s="20">
        <v>6416680.0099999998</v>
      </c>
      <c r="D465" s="20"/>
      <c r="E465" s="20"/>
      <c r="F465" s="20">
        <v>6416680.0099999998</v>
      </c>
      <c r="G465" s="21"/>
      <c r="H465" s="21">
        <v>55</v>
      </c>
      <c r="I465" s="21">
        <v>29.885493</v>
      </c>
      <c r="J465" s="22">
        <v>-0.75</v>
      </c>
      <c r="K465" s="21">
        <f t="shared" si="118"/>
        <v>5127555.8417969793</v>
      </c>
      <c r="L465" s="21">
        <f t="shared" si="119"/>
        <v>1.1255797613869447</v>
      </c>
      <c r="M465" s="21">
        <f t="shared" si="120"/>
        <v>5771473.0809080787</v>
      </c>
      <c r="N465" s="21"/>
      <c r="O465" s="21"/>
      <c r="P465" s="21">
        <f t="shared" si="121"/>
        <v>0</v>
      </c>
      <c r="Q465" s="21">
        <f t="shared" si="122"/>
        <v>0</v>
      </c>
      <c r="R465" s="21">
        <f t="shared" si="123"/>
        <v>5771473.0809080787</v>
      </c>
      <c r="S465" s="7">
        <f t="shared" si="117"/>
        <v>0</v>
      </c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65" outlineLevel="2">
      <c r="A466" s="18" t="s">
        <v>120</v>
      </c>
      <c r="B466" s="19" t="s">
        <v>77</v>
      </c>
      <c r="C466" s="20">
        <v>7768376.1200000001</v>
      </c>
      <c r="D466" s="20"/>
      <c r="E466" s="20"/>
      <c r="F466" s="20">
        <v>7768376.1200000001</v>
      </c>
      <c r="G466" s="21"/>
      <c r="H466" s="21">
        <v>55</v>
      </c>
      <c r="I466" s="21">
        <v>29.232230999999999</v>
      </c>
      <c r="J466" s="22">
        <v>-0.75</v>
      </c>
      <c r="K466" s="21">
        <f t="shared" si="118"/>
        <v>6369163.8616224285</v>
      </c>
      <c r="L466" s="21">
        <f t="shared" si="119"/>
        <v>1.1255797613869447</v>
      </c>
      <c r="M466" s="21">
        <f t="shared" si="120"/>
        <v>7169001.939599324</v>
      </c>
      <c r="N466" s="21"/>
      <c r="O466" s="21"/>
      <c r="P466" s="21">
        <f t="shared" si="121"/>
        <v>0</v>
      </c>
      <c r="Q466" s="21">
        <f t="shared" si="122"/>
        <v>0</v>
      </c>
      <c r="R466" s="21">
        <f t="shared" si="123"/>
        <v>7169001.939599324</v>
      </c>
      <c r="S466" s="7">
        <f t="shared" si="117"/>
        <v>0</v>
      </c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65" outlineLevel="2">
      <c r="A467" s="18" t="s">
        <v>120</v>
      </c>
      <c r="B467" s="19" t="s">
        <v>76</v>
      </c>
      <c r="C467" s="20">
        <v>3776290.77</v>
      </c>
      <c r="D467" s="20"/>
      <c r="E467" s="20"/>
      <c r="F467" s="20">
        <v>3776290.77</v>
      </c>
      <c r="G467" s="21"/>
      <c r="H467" s="21">
        <v>55</v>
      </c>
      <c r="I467" s="21">
        <v>28.586295</v>
      </c>
      <c r="J467" s="22">
        <v>-0.75</v>
      </c>
      <c r="K467" s="21">
        <f t="shared" si="118"/>
        <v>3173730.9670500904</v>
      </c>
      <c r="L467" s="21">
        <f t="shared" si="119"/>
        <v>1.1255797613869447</v>
      </c>
      <c r="M467" s="21">
        <f t="shared" si="120"/>
        <v>3572287.3445985978</v>
      </c>
      <c r="N467" s="21"/>
      <c r="O467" s="21"/>
      <c r="P467" s="21">
        <f t="shared" si="121"/>
        <v>0</v>
      </c>
      <c r="Q467" s="21">
        <f t="shared" si="122"/>
        <v>0</v>
      </c>
      <c r="R467" s="21">
        <f t="shared" si="123"/>
        <v>3572287.3445985978</v>
      </c>
      <c r="S467" s="7">
        <f t="shared" si="117"/>
        <v>0</v>
      </c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65" outlineLevel="2">
      <c r="A468" s="18" t="s">
        <v>120</v>
      </c>
      <c r="B468" s="19" t="s">
        <v>75</v>
      </c>
      <c r="C468" s="20">
        <v>6955074.8499999996</v>
      </c>
      <c r="D468" s="20"/>
      <c r="E468" s="20"/>
      <c r="F468" s="20">
        <v>6955074.8499999996</v>
      </c>
      <c r="G468" s="21"/>
      <c r="H468" s="21">
        <v>55</v>
      </c>
      <c r="I468" s="21">
        <v>27.947834</v>
      </c>
      <c r="J468" s="22">
        <v>-0.75</v>
      </c>
      <c r="K468" s="21">
        <f t="shared" si="118"/>
        <v>5986585.7986017084</v>
      </c>
      <c r="L468" s="21">
        <f t="shared" si="119"/>
        <v>1.1255797613869447</v>
      </c>
      <c r="M468" s="21">
        <f t="shared" si="120"/>
        <v>6738379.8147125831</v>
      </c>
      <c r="N468" s="21"/>
      <c r="O468" s="21"/>
      <c r="P468" s="21">
        <f t="shared" si="121"/>
        <v>0</v>
      </c>
      <c r="Q468" s="21">
        <f t="shared" si="122"/>
        <v>0</v>
      </c>
      <c r="R468" s="21">
        <f t="shared" si="123"/>
        <v>6738379.8147125831</v>
      </c>
      <c r="S468" s="7">
        <f t="shared" si="117"/>
        <v>0</v>
      </c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65" outlineLevel="2">
      <c r="A469" s="18" t="s">
        <v>120</v>
      </c>
      <c r="B469" s="19" t="s">
        <v>74</v>
      </c>
      <c r="C469" s="20">
        <v>6091251.2000000002</v>
      </c>
      <c r="D469" s="20"/>
      <c r="E469" s="20"/>
      <c r="F469" s="20">
        <v>6091251.2000000002</v>
      </c>
      <c r="G469" s="21"/>
      <c r="H469" s="21">
        <v>55</v>
      </c>
      <c r="I469" s="21">
        <v>27.317015000000001</v>
      </c>
      <c r="J469" s="22">
        <v>-0.75</v>
      </c>
      <c r="K469" s="21">
        <f t="shared" si="118"/>
        <v>5365309.5872991998</v>
      </c>
      <c r="L469" s="21">
        <f t="shared" si="119"/>
        <v>1.1255797613869447</v>
      </c>
      <c r="M469" s="21">
        <f t="shared" si="120"/>
        <v>6039083.8850393202</v>
      </c>
      <c r="N469" s="21"/>
      <c r="O469" s="21"/>
      <c r="P469" s="21">
        <f t="shared" si="121"/>
        <v>0</v>
      </c>
      <c r="Q469" s="21">
        <f t="shared" si="122"/>
        <v>0</v>
      </c>
      <c r="R469" s="21">
        <f t="shared" si="123"/>
        <v>6039083.8850393202</v>
      </c>
      <c r="S469" s="7">
        <f t="shared" si="117"/>
        <v>0</v>
      </c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65" outlineLevel="2">
      <c r="A470" s="18" t="s">
        <v>120</v>
      </c>
      <c r="B470" s="19" t="s">
        <v>73</v>
      </c>
      <c r="C470" s="20">
        <v>7470814.46</v>
      </c>
      <c r="D470" s="20"/>
      <c r="E470" s="20"/>
      <c r="F470" s="20">
        <v>7470814.46</v>
      </c>
      <c r="G470" s="21"/>
      <c r="H470" s="21">
        <v>55</v>
      </c>
      <c r="I470" s="21">
        <v>26.693982999999999</v>
      </c>
      <c r="J470" s="22">
        <v>-0.75</v>
      </c>
      <c r="K470" s="21">
        <f t="shared" si="118"/>
        <v>6728559.1261829128</v>
      </c>
      <c r="L470" s="21">
        <f t="shared" si="119"/>
        <v>1.1255797613869447</v>
      </c>
      <c r="M470" s="21">
        <f t="shared" si="120"/>
        <v>7573529.9757269118</v>
      </c>
      <c r="N470" s="21"/>
      <c r="O470" s="21"/>
      <c r="P470" s="21">
        <f t="shared" si="121"/>
        <v>0</v>
      </c>
      <c r="Q470" s="21">
        <f t="shared" si="122"/>
        <v>0</v>
      </c>
      <c r="R470" s="21">
        <f t="shared" si="123"/>
        <v>7573529.9757269118</v>
      </c>
      <c r="S470" s="7">
        <f t="shared" si="117"/>
        <v>0</v>
      </c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65" outlineLevel="2">
      <c r="A471" s="18" t="s">
        <v>120</v>
      </c>
      <c r="B471" s="19" t="s">
        <v>72</v>
      </c>
      <c r="C471" s="20">
        <v>3162353.5699999998</v>
      </c>
      <c r="D471" s="20"/>
      <c r="E471" s="20"/>
      <c r="F471" s="20">
        <v>3162353.5699999998</v>
      </c>
      <c r="G471" s="21"/>
      <c r="H471" s="21">
        <v>55</v>
      </c>
      <c r="I471" s="21">
        <v>26.079536000000001</v>
      </c>
      <c r="J471" s="22">
        <v>-0.75</v>
      </c>
      <c r="K471" s="21">
        <f t="shared" si="118"/>
        <v>2909986.9456145237</v>
      </c>
      <c r="L471" s="21">
        <f t="shared" si="119"/>
        <v>1.1255797613869447</v>
      </c>
      <c r="M471" s="21">
        <f t="shared" si="120"/>
        <v>3275422.4118839195</v>
      </c>
      <c r="N471" s="21"/>
      <c r="O471" s="21"/>
      <c r="P471" s="21">
        <f t="shared" si="121"/>
        <v>0</v>
      </c>
      <c r="Q471" s="21">
        <f t="shared" si="122"/>
        <v>0</v>
      </c>
      <c r="R471" s="21">
        <f t="shared" si="123"/>
        <v>3275422.4118839195</v>
      </c>
      <c r="S471" s="7">
        <f t="shared" si="117"/>
        <v>0</v>
      </c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65" outlineLevel="2">
      <c r="A472" s="18" t="s">
        <v>120</v>
      </c>
      <c r="B472" s="19" t="s">
        <v>71</v>
      </c>
      <c r="C472" s="20">
        <v>10523297.32</v>
      </c>
      <c r="D472" s="20"/>
      <c r="E472" s="20"/>
      <c r="F472" s="20">
        <v>10523297.32</v>
      </c>
      <c r="G472" s="21"/>
      <c r="H472" s="21">
        <v>55</v>
      </c>
      <c r="I472" s="21">
        <v>25.473205</v>
      </c>
      <c r="J472" s="22">
        <v>-0.75</v>
      </c>
      <c r="K472" s="21">
        <f t="shared" si="118"/>
        <v>9886521.3583719339</v>
      </c>
      <c r="L472" s="21">
        <f t="shared" si="119"/>
        <v>1.1255797613869447</v>
      </c>
      <c r="M472" s="21">
        <f t="shared" si="120"/>
        <v>11128068.351503214</v>
      </c>
      <c r="N472" s="21"/>
      <c r="O472" s="21"/>
      <c r="P472" s="21">
        <f t="shared" si="121"/>
        <v>0</v>
      </c>
      <c r="Q472" s="21">
        <f t="shared" si="122"/>
        <v>0</v>
      </c>
      <c r="R472" s="21">
        <f t="shared" si="123"/>
        <v>11128068.351503214</v>
      </c>
      <c r="S472" s="7">
        <f t="shared" si="117"/>
        <v>0</v>
      </c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65" outlineLevel="2">
      <c r="A473" s="18" t="s">
        <v>120</v>
      </c>
      <c r="B473" s="19" t="s">
        <v>70</v>
      </c>
      <c r="C473" s="20">
        <v>5140578.5199999996</v>
      </c>
      <c r="D473" s="20"/>
      <c r="E473" s="20"/>
      <c r="F473" s="20">
        <v>5140578.5199999996</v>
      </c>
      <c r="G473" s="21"/>
      <c r="H473" s="21">
        <v>55</v>
      </c>
      <c r="I473" s="21">
        <v>24.875132000000001</v>
      </c>
      <c r="J473" s="22">
        <v>-0.75</v>
      </c>
      <c r="K473" s="21">
        <f t="shared" si="118"/>
        <v>4927339.752320216</v>
      </c>
      <c r="L473" s="21">
        <f t="shared" si="119"/>
        <v>1.1255797613869447</v>
      </c>
      <c r="M473" s="21">
        <f t="shared" si="120"/>
        <v>5546113.9026889959</v>
      </c>
      <c r="N473" s="21"/>
      <c r="O473" s="21"/>
      <c r="P473" s="21">
        <f t="shared" si="121"/>
        <v>0</v>
      </c>
      <c r="Q473" s="21">
        <f t="shared" si="122"/>
        <v>0</v>
      </c>
      <c r="R473" s="21">
        <f t="shared" si="123"/>
        <v>5546113.9026889959</v>
      </c>
      <c r="S473" s="7">
        <f t="shared" si="117"/>
        <v>0</v>
      </c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65" outlineLevel="2">
      <c r="A474" s="18" t="s">
        <v>120</v>
      </c>
      <c r="B474" s="19" t="s">
        <v>69</v>
      </c>
      <c r="C474" s="20">
        <v>2280688.8999999999</v>
      </c>
      <c r="D474" s="20"/>
      <c r="E474" s="20"/>
      <c r="F474" s="20">
        <v>2280688.8999999999</v>
      </c>
      <c r="G474" s="21"/>
      <c r="H474" s="21">
        <v>55</v>
      </c>
      <c r="I474" s="21">
        <v>24.285450999999998</v>
      </c>
      <c r="J474" s="22">
        <v>-0.75</v>
      </c>
      <c r="K474" s="21">
        <f t="shared" si="118"/>
        <v>2228874.1673165574</v>
      </c>
      <c r="L474" s="21">
        <f t="shared" si="119"/>
        <v>1.1255797613869447</v>
      </c>
      <c r="M474" s="21">
        <f t="shared" si="120"/>
        <v>2508775.6534096957</v>
      </c>
      <c r="N474" s="21"/>
      <c r="O474" s="21"/>
      <c r="P474" s="21">
        <f t="shared" si="121"/>
        <v>0</v>
      </c>
      <c r="Q474" s="21">
        <f t="shared" si="122"/>
        <v>0</v>
      </c>
      <c r="R474" s="21">
        <f t="shared" si="123"/>
        <v>2508775.6534096957</v>
      </c>
      <c r="S474" s="7">
        <f t="shared" si="117"/>
        <v>0</v>
      </c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65" outlineLevel="2">
      <c r="A475" s="18" t="s">
        <v>120</v>
      </c>
      <c r="B475" s="19" t="s">
        <v>68</v>
      </c>
      <c r="C475" s="20">
        <v>2617288.0600000001</v>
      </c>
      <c r="D475" s="20"/>
      <c r="E475" s="20"/>
      <c r="F475" s="20">
        <v>2617288.0600000001</v>
      </c>
      <c r="G475" s="21"/>
      <c r="H475" s="21">
        <v>55</v>
      </c>
      <c r="I475" s="21">
        <v>23.704294000000001</v>
      </c>
      <c r="J475" s="22">
        <v>-0.75</v>
      </c>
      <c r="K475" s="21">
        <f t="shared" si="118"/>
        <v>2606223.3795522391</v>
      </c>
      <c r="L475" s="21">
        <f t="shared" si="119"/>
        <v>1.1255797613869447</v>
      </c>
      <c r="M475" s="21">
        <f t="shared" si="120"/>
        <v>2933512.2896774858</v>
      </c>
      <c r="N475" s="21"/>
      <c r="O475" s="21"/>
      <c r="P475" s="21">
        <f t="shared" si="121"/>
        <v>0</v>
      </c>
      <c r="Q475" s="21">
        <f t="shared" si="122"/>
        <v>0</v>
      </c>
      <c r="R475" s="21">
        <f t="shared" si="123"/>
        <v>2933512.2896774858</v>
      </c>
      <c r="S475" s="7">
        <f t="shared" si="117"/>
        <v>0</v>
      </c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65" outlineLevel="2">
      <c r="A476" s="18" t="s">
        <v>120</v>
      </c>
      <c r="B476" s="19" t="s">
        <v>67</v>
      </c>
      <c r="C476" s="20">
        <v>1717745.98</v>
      </c>
      <c r="D476" s="20"/>
      <c r="E476" s="20"/>
      <c r="F476" s="20">
        <v>1717745.98</v>
      </c>
      <c r="G476" s="21"/>
      <c r="H476" s="21">
        <v>55</v>
      </c>
      <c r="I476" s="21">
        <v>23.132111999999999</v>
      </c>
      <c r="J476" s="22">
        <v>-0.75</v>
      </c>
      <c r="K476" s="21">
        <f t="shared" si="118"/>
        <v>1741757.0705528713</v>
      </c>
      <c r="L476" s="21">
        <f t="shared" si="119"/>
        <v>1.1255797613869447</v>
      </c>
      <c r="M476" s="21">
        <f t="shared" si="120"/>
        <v>1960486.5078669246</v>
      </c>
      <c r="N476" s="21"/>
      <c r="O476" s="21"/>
      <c r="P476" s="21">
        <f t="shared" si="121"/>
        <v>0</v>
      </c>
      <c r="Q476" s="21">
        <f t="shared" si="122"/>
        <v>0</v>
      </c>
      <c r="R476" s="21">
        <f t="shared" si="123"/>
        <v>1960486.5078669246</v>
      </c>
      <c r="S476" s="7">
        <f t="shared" si="117"/>
        <v>0</v>
      </c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65" outlineLevel="2">
      <c r="A477" s="18" t="s">
        <v>120</v>
      </c>
      <c r="B477" s="19" t="s">
        <v>66</v>
      </c>
      <c r="C477" s="20">
        <v>3620577.27</v>
      </c>
      <c r="D477" s="20"/>
      <c r="E477" s="20"/>
      <c r="F477" s="20">
        <v>3620577.27</v>
      </c>
      <c r="G477" s="21"/>
      <c r="H477" s="21">
        <v>55</v>
      </c>
      <c r="I477" s="21">
        <v>22.569030000000001</v>
      </c>
      <c r="J477" s="22">
        <v>-0.75</v>
      </c>
      <c r="K477" s="21">
        <f t="shared" si="118"/>
        <v>3736053.7717380146</v>
      </c>
      <c r="L477" s="21">
        <f t="shared" si="119"/>
        <v>1.1255797613869447</v>
      </c>
      <c r="M477" s="21">
        <f t="shared" si="120"/>
        <v>4205226.5129216695</v>
      </c>
      <c r="N477" s="21"/>
      <c r="O477" s="21"/>
      <c r="P477" s="21">
        <f t="shared" si="121"/>
        <v>0</v>
      </c>
      <c r="Q477" s="21">
        <f t="shared" si="122"/>
        <v>0</v>
      </c>
      <c r="R477" s="21">
        <f t="shared" si="123"/>
        <v>4205226.5129216695</v>
      </c>
      <c r="S477" s="7">
        <f t="shared" si="117"/>
        <v>0</v>
      </c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65" outlineLevel="2">
      <c r="A478" s="18" t="s">
        <v>120</v>
      </c>
      <c r="B478" s="19" t="s">
        <v>65</v>
      </c>
      <c r="C478" s="20">
        <v>2975077.0099999998</v>
      </c>
      <c r="D478" s="20"/>
      <c r="E478" s="20"/>
      <c r="F478" s="20">
        <v>2975077.0099999998</v>
      </c>
      <c r="G478" s="21"/>
      <c r="H478" s="21">
        <v>55</v>
      </c>
      <c r="I478" s="21">
        <v>22.014849999999999</v>
      </c>
      <c r="J478" s="22">
        <v>-0.75</v>
      </c>
      <c r="K478" s="21">
        <f t="shared" si="118"/>
        <v>3122425.1366127753</v>
      </c>
      <c r="L478" s="21">
        <f t="shared" si="119"/>
        <v>1.1255797613869447</v>
      </c>
      <c r="M478" s="21">
        <f t="shared" si="120"/>
        <v>3514538.5402172059</v>
      </c>
      <c r="N478" s="21"/>
      <c r="O478" s="21"/>
      <c r="P478" s="21">
        <f t="shared" si="121"/>
        <v>0</v>
      </c>
      <c r="Q478" s="21">
        <f t="shared" si="122"/>
        <v>0</v>
      </c>
      <c r="R478" s="21">
        <f t="shared" si="123"/>
        <v>3514538.5402172059</v>
      </c>
      <c r="S478" s="7">
        <f t="shared" si="117"/>
        <v>0</v>
      </c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65" outlineLevel="2">
      <c r="A479" s="18" t="s">
        <v>120</v>
      </c>
      <c r="B479" s="19" t="s">
        <v>64</v>
      </c>
      <c r="C479" s="20">
        <v>4000318.5800000001</v>
      </c>
      <c r="D479" s="20"/>
      <c r="E479" s="20"/>
      <c r="F479" s="20">
        <v>4000318.5800000001</v>
      </c>
      <c r="G479" s="21"/>
      <c r="H479" s="21">
        <v>55</v>
      </c>
      <c r="I479" s="21">
        <v>21.469677000000001</v>
      </c>
      <c r="J479" s="22">
        <v>-0.75</v>
      </c>
      <c r="K479" s="21">
        <f t="shared" si="118"/>
        <v>4267835.5392368603</v>
      </c>
      <c r="L479" s="21">
        <f t="shared" si="119"/>
        <v>1.1255797613869447</v>
      </c>
      <c r="M479" s="21">
        <f t="shared" si="120"/>
        <v>4803789.3078929475</v>
      </c>
      <c r="N479" s="21"/>
      <c r="O479" s="21"/>
      <c r="P479" s="21">
        <f t="shared" si="121"/>
        <v>0</v>
      </c>
      <c r="Q479" s="21">
        <f t="shared" si="122"/>
        <v>0</v>
      </c>
      <c r="R479" s="21">
        <f t="shared" si="123"/>
        <v>4803789.3078929475</v>
      </c>
      <c r="S479" s="7">
        <f t="shared" si="117"/>
        <v>0</v>
      </c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65" outlineLevel="2">
      <c r="A480" s="18" t="s">
        <v>120</v>
      </c>
      <c r="B480" s="19" t="s">
        <v>63</v>
      </c>
      <c r="C480" s="20">
        <v>3929408.4300000002</v>
      </c>
      <c r="D480" s="20"/>
      <c r="E480" s="20"/>
      <c r="F480" s="20">
        <v>3929408.4300000002</v>
      </c>
      <c r="G480" s="21"/>
      <c r="H480" s="21">
        <v>55</v>
      </c>
      <c r="I480" s="21">
        <v>20.933610000000002</v>
      </c>
      <c r="J480" s="22">
        <v>-0.75</v>
      </c>
      <c r="K480" s="21">
        <f t="shared" si="118"/>
        <v>4259206.0014530625</v>
      </c>
      <c r="L480" s="21">
        <f t="shared" si="119"/>
        <v>1.1255797613869447</v>
      </c>
      <c r="M480" s="21">
        <f t="shared" si="120"/>
        <v>4794076.0748133808</v>
      </c>
      <c r="N480" s="21"/>
      <c r="O480" s="21"/>
      <c r="P480" s="21">
        <f t="shared" si="121"/>
        <v>0</v>
      </c>
      <c r="Q480" s="21">
        <f t="shared" si="122"/>
        <v>0</v>
      </c>
      <c r="R480" s="21">
        <f t="shared" si="123"/>
        <v>4794076.0748133808</v>
      </c>
      <c r="S480" s="7">
        <f t="shared" si="117"/>
        <v>0</v>
      </c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65" outlineLevel="2">
      <c r="A481" s="18" t="s">
        <v>120</v>
      </c>
      <c r="B481" s="19" t="s">
        <v>62</v>
      </c>
      <c r="C481" s="20">
        <v>3335411.21</v>
      </c>
      <c r="D481" s="20"/>
      <c r="E481" s="20"/>
      <c r="F481" s="20">
        <v>3335411.21</v>
      </c>
      <c r="G481" s="21"/>
      <c r="H481" s="21">
        <v>55</v>
      </c>
      <c r="I481" s="21">
        <v>20.406741</v>
      </c>
      <c r="J481" s="22">
        <v>-0.75</v>
      </c>
      <c r="K481" s="21">
        <f t="shared" si="118"/>
        <v>3671269.1227874258</v>
      </c>
      <c r="L481" s="21">
        <f t="shared" si="119"/>
        <v>1.1255797613869447</v>
      </c>
      <c r="M481" s="21">
        <f t="shared" si="120"/>
        <v>4132306.2232143283</v>
      </c>
      <c r="N481" s="21"/>
      <c r="O481" s="21"/>
      <c r="P481" s="21">
        <f t="shared" si="121"/>
        <v>0</v>
      </c>
      <c r="Q481" s="21">
        <f t="shared" si="122"/>
        <v>0</v>
      </c>
      <c r="R481" s="21">
        <f t="shared" si="123"/>
        <v>4132306.2232143283</v>
      </c>
      <c r="S481" s="7">
        <f t="shared" si="117"/>
        <v>0</v>
      </c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65" outlineLevel="2">
      <c r="A482" s="18" t="s">
        <v>120</v>
      </c>
      <c r="B482" s="19" t="s">
        <v>61</v>
      </c>
      <c r="C482" s="20">
        <v>1577194.01</v>
      </c>
      <c r="D482" s="20"/>
      <c r="E482" s="20"/>
      <c r="F482" s="20">
        <v>1577194.01</v>
      </c>
      <c r="G482" s="21"/>
      <c r="H482" s="21">
        <v>55</v>
      </c>
      <c r="I482" s="21">
        <v>19.889721000000002</v>
      </c>
      <c r="J482" s="22">
        <v>-0.75</v>
      </c>
      <c r="K482" s="21">
        <f t="shared" si="118"/>
        <v>1761954.7822618249</v>
      </c>
      <c r="L482" s="21">
        <f t="shared" si="119"/>
        <v>1.1255797613869447</v>
      </c>
      <c r="M482" s="21">
        <f t="shared" si="120"/>
        <v>1983220.6433928511</v>
      </c>
      <c r="N482" s="21"/>
      <c r="O482" s="21"/>
      <c r="P482" s="21">
        <f t="shared" si="121"/>
        <v>0</v>
      </c>
      <c r="Q482" s="21">
        <f t="shared" si="122"/>
        <v>0</v>
      </c>
      <c r="R482" s="21">
        <f t="shared" si="123"/>
        <v>1983220.6433928511</v>
      </c>
      <c r="S482" s="7">
        <f t="shared" si="117"/>
        <v>0</v>
      </c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65" outlineLevel="2">
      <c r="A483" s="18" t="s">
        <v>120</v>
      </c>
      <c r="B483" s="19" t="s">
        <v>60</v>
      </c>
      <c r="C483" s="20">
        <v>1168384.8899999999</v>
      </c>
      <c r="D483" s="20"/>
      <c r="E483" s="20"/>
      <c r="F483" s="20">
        <v>1168384.8899999999</v>
      </c>
      <c r="G483" s="21"/>
      <c r="H483" s="21">
        <v>55</v>
      </c>
      <c r="I483" s="21">
        <v>19.38203</v>
      </c>
      <c r="J483" s="22">
        <v>-0.75</v>
      </c>
      <c r="K483" s="21">
        <f t="shared" si="118"/>
        <v>1324129.4805605139</v>
      </c>
      <c r="L483" s="21">
        <f t="shared" si="119"/>
        <v>1.1255797613869447</v>
      </c>
      <c r="M483" s="21">
        <f t="shared" si="120"/>
        <v>1490413.3447747224</v>
      </c>
      <c r="N483" s="21"/>
      <c r="O483" s="21"/>
      <c r="P483" s="21">
        <f t="shared" si="121"/>
        <v>0</v>
      </c>
      <c r="Q483" s="21">
        <f t="shared" si="122"/>
        <v>0</v>
      </c>
      <c r="R483" s="21">
        <f t="shared" si="123"/>
        <v>1490413.3447747224</v>
      </c>
      <c r="S483" s="7">
        <f t="shared" si="117"/>
        <v>0</v>
      </c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65" outlineLevel="2">
      <c r="A484" s="18" t="s">
        <v>120</v>
      </c>
      <c r="B484" s="19" t="s">
        <v>59</v>
      </c>
      <c r="C484" s="20">
        <v>1764944.52</v>
      </c>
      <c r="D484" s="20"/>
      <c r="E484" s="20"/>
      <c r="F484" s="20">
        <v>1764944.52</v>
      </c>
      <c r="G484" s="21"/>
      <c r="H484" s="21">
        <v>55</v>
      </c>
      <c r="I484" s="21">
        <v>18.883734</v>
      </c>
      <c r="J484" s="22">
        <v>-0.75</v>
      </c>
      <c r="K484" s="21">
        <f t="shared" si="118"/>
        <v>2028192.9105315283</v>
      </c>
      <c r="L484" s="21">
        <f t="shared" si="119"/>
        <v>1.1255797613869447</v>
      </c>
      <c r="M484" s="21">
        <f t="shared" si="120"/>
        <v>2282892.8922827705</v>
      </c>
      <c r="N484" s="21"/>
      <c r="O484" s="21"/>
      <c r="P484" s="21">
        <f t="shared" si="121"/>
        <v>0</v>
      </c>
      <c r="Q484" s="21">
        <f t="shared" si="122"/>
        <v>0</v>
      </c>
      <c r="R484" s="21">
        <f t="shared" si="123"/>
        <v>2282892.8922827705</v>
      </c>
      <c r="S484" s="7">
        <f t="shared" si="117"/>
        <v>0</v>
      </c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65" outlineLevel="2">
      <c r="A485" s="18" t="s">
        <v>120</v>
      </c>
      <c r="B485" s="19" t="s">
        <v>58</v>
      </c>
      <c r="C485" s="20">
        <v>670426.04000000004</v>
      </c>
      <c r="D485" s="20"/>
      <c r="E485" s="20"/>
      <c r="F485" s="20">
        <v>670426.04000000004</v>
      </c>
      <c r="G485" s="21"/>
      <c r="H485" s="21">
        <v>55</v>
      </c>
      <c r="I485" s="21">
        <v>18.394870000000001</v>
      </c>
      <c r="J485" s="22">
        <v>-0.75</v>
      </c>
      <c r="K485" s="21">
        <f t="shared" si="118"/>
        <v>780851.02930498368</v>
      </c>
      <c r="L485" s="21">
        <f t="shared" si="119"/>
        <v>1.1255797613869447</v>
      </c>
      <c r="M485" s="21">
        <f t="shared" si="120"/>
        <v>878910.11524385365</v>
      </c>
      <c r="N485" s="21"/>
      <c r="O485" s="21"/>
      <c r="P485" s="21">
        <f t="shared" si="121"/>
        <v>0</v>
      </c>
      <c r="Q485" s="21">
        <f t="shared" si="122"/>
        <v>0</v>
      </c>
      <c r="R485" s="21">
        <f t="shared" si="123"/>
        <v>878910.11524385365</v>
      </c>
      <c r="S485" s="7">
        <f t="shared" si="117"/>
        <v>0</v>
      </c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65" outlineLevel="2">
      <c r="A486" s="18" t="s">
        <v>120</v>
      </c>
      <c r="B486" s="19" t="s">
        <v>57</v>
      </c>
      <c r="C486" s="20">
        <v>1297031.98</v>
      </c>
      <c r="D486" s="20"/>
      <c r="E486" s="20"/>
      <c r="F486" s="20">
        <v>1297031.98</v>
      </c>
      <c r="G486" s="21"/>
      <c r="H486" s="21">
        <v>55</v>
      </c>
      <c r="I486" s="21">
        <v>17.915474</v>
      </c>
      <c r="J486" s="22">
        <v>-0.75</v>
      </c>
      <c r="K486" s="21">
        <f t="shared" si="118"/>
        <v>1530448.6967999563</v>
      </c>
      <c r="L486" s="21">
        <f t="shared" si="119"/>
        <v>1.1255797613869447</v>
      </c>
      <c r="M486" s="21">
        <f t="shared" si="120"/>
        <v>1722642.0789590552</v>
      </c>
      <c r="N486" s="21"/>
      <c r="O486" s="21"/>
      <c r="P486" s="21">
        <f t="shared" si="121"/>
        <v>0</v>
      </c>
      <c r="Q486" s="21">
        <f t="shared" si="122"/>
        <v>0</v>
      </c>
      <c r="R486" s="21">
        <f t="shared" si="123"/>
        <v>1722642.0789590552</v>
      </c>
      <c r="S486" s="7">
        <f t="shared" si="117"/>
        <v>0</v>
      </c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65" outlineLevel="2">
      <c r="A487" s="18" t="s">
        <v>120</v>
      </c>
      <c r="B487" s="19" t="s">
        <v>56</v>
      </c>
      <c r="C487" s="20">
        <v>875969.48999999999</v>
      </c>
      <c r="D487" s="20"/>
      <c r="E487" s="20"/>
      <c r="F487" s="20">
        <v>875969.48999999999</v>
      </c>
      <c r="G487" s="21"/>
      <c r="H487" s="21">
        <v>55</v>
      </c>
      <c r="I487" s="21">
        <v>17.445775999999999</v>
      </c>
      <c r="J487" s="22">
        <v>-0.75</v>
      </c>
      <c r="K487" s="21">
        <f t="shared" si="118"/>
        <v>1046702.186874456</v>
      </c>
      <c r="L487" s="21">
        <f t="shared" si="119"/>
        <v>1.1255797613869447</v>
      </c>
      <c r="M487" s="21">
        <f t="shared" si="120"/>
        <v>1178146.7977453433</v>
      </c>
      <c r="N487" s="21"/>
      <c r="O487" s="21"/>
      <c r="P487" s="21">
        <f t="shared" si="121"/>
        <v>0</v>
      </c>
      <c r="Q487" s="21">
        <f t="shared" si="122"/>
        <v>0</v>
      </c>
      <c r="R487" s="21">
        <f t="shared" si="123"/>
        <v>1178146.7977453433</v>
      </c>
      <c r="S487" s="7">
        <f t="shared" si="117"/>
        <v>0</v>
      </c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65" outlineLevel="2">
      <c r="A488" s="18" t="s">
        <v>120</v>
      </c>
      <c r="B488" s="19" t="s">
        <v>55</v>
      </c>
      <c r="C488" s="20">
        <v>925208.28000000003</v>
      </c>
      <c r="D488" s="20"/>
      <c r="E488" s="20"/>
      <c r="F488" s="20">
        <v>925208.28000000003</v>
      </c>
      <c r="G488" s="21"/>
      <c r="H488" s="21">
        <v>55</v>
      </c>
      <c r="I488" s="21">
        <v>16.985724000000001</v>
      </c>
      <c r="J488" s="22">
        <v>-0.75</v>
      </c>
      <c r="K488" s="21">
        <f t="shared" si="118"/>
        <v>1119081.1836083499</v>
      </c>
      <c r="L488" s="21">
        <f t="shared" si="119"/>
        <v>1.1255797613869447</v>
      </c>
      <c r="M488" s="21">
        <f t="shared" si="120"/>
        <v>1259615.131618506</v>
      </c>
      <c r="N488" s="21"/>
      <c r="O488" s="21"/>
      <c r="P488" s="21">
        <f t="shared" si="121"/>
        <v>0</v>
      </c>
      <c r="Q488" s="21">
        <f t="shared" si="122"/>
        <v>0</v>
      </c>
      <c r="R488" s="21">
        <f t="shared" si="123"/>
        <v>1259615.131618506</v>
      </c>
      <c r="S488" s="7">
        <f t="shared" si="117"/>
        <v>0</v>
      </c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65" outlineLevel="2">
      <c r="A489" s="18" t="s">
        <v>120</v>
      </c>
      <c r="B489" s="19" t="s">
        <v>54</v>
      </c>
      <c r="C489" s="20">
        <v>867668.45999999996</v>
      </c>
      <c r="D489" s="20"/>
      <c r="E489" s="20"/>
      <c r="F489" s="20">
        <v>867668.45999999996</v>
      </c>
      <c r="G489" s="21"/>
      <c r="H489" s="21">
        <v>55</v>
      </c>
      <c r="I489" s="21">
        <v>16.535077999999999</v>
      </c>
      <c r="J489" s="22">
        <v>-0.75</v>
      </c>
      <c r="K489" s="21">
        <f t="shared" si="118"/>
        <v>1061925.4429560038</v>
      </c>
      <c r="L489" s="21">
        <f t="shared" si="119"/>
        <v>1.1255797613869447</v>
      </c>
      <c r="M489" s="21">
        <f t="shared" si="120"/>
        <v>1195281.7866931444</v>
      </c>
      <c r="N489" s="21"/>
      <c r="O489" s="21"/>
      <c r="P489" s="21">
        <f t="shared" si="121"/>
        <v>0</v>
      </c>
      <c r="Q489" s="21">
        <f t="shared" si="122"/>
        <v>0</v>
      </c>
      <c r="R489" s="21">
        <f t="shared" si="123"/>
        <v>1195281.7866931444</v>
      </c>
      <c r="S489" s="7">
        <f t="shared" si="117"/>
        <v>0</v>
      </c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65" outlineLevel="2">
      <c r="A490" s="18" t="s">
        <v>120</v>
      </c>
      <c r="B490" s="19" t="s">
        <v>53</v>
      </c>
      <c r="C490" s="20">
        <v>503840.28999999998</v>
      </c>
      <c r="D490" s="20"/>
      <c r="E490" s="20"/>
      <c r="F490" s="20">
        <v>503840.28999999998</v>
      </c>
      <c r="G490" s="21"/>
      <c r="H490" s="21">
        <v>55</v>
      </c>
      <c r="I490" s="21">
        <v>16.093803000000001</v>
      </c>
      <c r="J490" s="22">
        <v>-0.75</v>
      </c>
      <c r="K490" s="21">
        <f t="shared" si="118"/>
        <v>623716.21388609044</v>
      </c>
      <c r="L490" s="21">
        <f t="shared" si="119"/>
        <v>1.1255797613869447</v>
      </c>
      <c r="M490" s="21">
        <f t="shared" si="120"/>
        <v>702042.34719907423</v>
      </c>
      <c r="N490" s="21"/>
      <c r="O490" s="21"/>
      <c r="P490" s="21">
        <f t="shared" si="121"/>
        <v>0</v>
      </c>
      <c r="Q490" s="21">
        <f t="shared" si="122"/>
        <v>0</v>
      </c>
      <c r="R490" s="21">
        <f t="shared" si="123"/>
        <v>702042.34719907423</v>
      </c>
      <c r="S490" s="7">
        <f t="shared" si="117"/>
        <v>0</v>
      </c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65" outlineLevel="2">
      <c r="A491" s="18" t="s">
        <v>120</v>
      </c>
      <c r="B491" s="19" t="s">
        <v>52</v>
      </c>
      <c r="C491" s="20">
        <v>675365.44999999995</v>
      </c>
      <c r="D491" s="20"/>
      <c r="E491" s="20"/>
      <c r="F491" s="20">
        <v>675365.44999999995</v>
      </c>
      <c r="G491" s="21"/>
      <c r="H491" s="21">
        <v>55</v>
      </c>
      <c r="I491" s="21">
        <v>15.661841000000001</v>
      </c>
      <c r="J491" s="22">
        <v>-0.75</v>
      </c>
      <c r="K491" s="21">
        <f t="shared" si="118"/>
        <v>845333.79175657197</v>
      </c>
      <c r="L491" s="21">
        <f t="shared" si="119"/>
        <v>1.1255797613869447</v>
      </c>
      <c r="M491" s="21">
        <f t="shared" si="120"/>
        <v>951490.60761768348</v>
      </c>
      <c r="N491" s="21"/>
      <c r="O491" s="21"/>
      <c r="P491" s="21">
        <f t="shared" si="121"/>
        <v>0</v>
      </c>
      <c r="Q491" s="21">
        <f t="shared" si="122"/>
        <v>0</v>
      </c>
      <c r="R491" s="21">
        <f t="shared" si="123"/>
        <v>951490.60761768348</v>
      </c>
      <c r="S491" s="7">
        <f t="shared" si="117"/>
        <v>0</v>
      </c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65" outlineLevel="2">
      <c r="A492" s="18" t="s">
        <v>120</v>
      </c>
      <c r="B492" s="19" t="s">
        <v>51</v>
      </c>
      <c r="C492" s="20">
        <v>365277.16999999998</v>
      </c>
      <c r="D492" s="20"/>
      <c r="E492" s="20"/>
      <c r="F492" s="20">
        <v>365277.16999999998</v>
      </c>
      <c r="G492" s="21"/>
      <c r="H492" s="21">
        <v>55</v>
      </c>
      <c r="I492" s="21">
        <v>15.239127999999999</v>
      </c>
      <c r="J492" s="22">
        <v>-0.75</v>
      </c>
      <c r="K492" s="21">
        <f t="shared" si="118"/>
        <v>462118.96184657118</v>
      </c>
      <c r="L492" s="21">
        <f t="shared" si="119"/>
        <v>1.1255797613869447</v>
      </c>
      <c r="M492" s="21">
        <f t="shared" si="120"/>
        <v>520151.7508076462</v>
      </c>
      <c r="N492" s="21"/>
      <c r="O492" s="21"/>
      <c r="P492" s="21">
        <f t="shared" si="121"/>
        <v>0</v>
      </c>
      <c r="Q492" s="21">
        <f t="shared" si="122"/>
        <v>0</v>
      </c>
      <c r="R492" s="21">
        <f t="shared" si="123"/>
        <v>520151.7508076462</v>
      </c>
      <c r="S492" s="7">
        <f t="shared" si="117"/>
        <v>0</v>
      </c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65" outlineLevel="2">
      <c r="A493" s="18" t="s">
        <v>120</v>
      </c>
      <c r="B493" s="19" t="s">
        <v>50</v>
      </c>
      <c r="C493" s="20">
        <v>363488.65999999997</v>
      </c>
      <c r="D493" s="20"/>
      <c r="E493" s="20"/>
      <c r="F493" s="20">
        <v>363488.65999999997</v>
      </c>
      <c r="G493" s="21"/>
      <c r="H493" s="21">
        <v>55</v>
      </c>
      <c r="I493" s="21">
        <v>14.825659</v>
      </c>
      <c r="J493" s="22">
        <v>-0.75</v>
      </c>
      <c r="K493" s="21">
        <f t="shared" si="118"/>
        <v>464638.28016050643</v>
      </c>
      <c r="L493" s="21">
        <f t="shared" si="119"/>
        <v>1.1255797613869447</v>
      </c>
      <c r="M493" s="21">
        <f t="shared" si="120"/>
        <v>522987.44451430318</v>
      </c>
      <c r="N493" s="21"/>
      <c r="O493" s="21"/>
      <c r="P493" s="21">
        <f t="shared" si="121"/>
        <v>0</v>
      </c>
      <c r="Q493" s="21">
        <f t="shared" si="122"/>
        <v>0</v>
      </c>
      <c r="R493" s="21">
        <f t="shared" si="123"/>
        <v>522987.44451430318</v>
      </c>
      <c r="S493" s="7">
        <f t="shared" si="117"/>
        <v>0</v>
      </c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65" outlineLevel="2">
      <c r="A494" s="18" t="s">
        <v>120</v>
      </c>
      <c r="B494" s="19" t="s">
        <v>49</v>
      </c>
      <c r="C494" s="20">
        <v>306036.02000000002</v>
      </c>
      <c r="D494" s="20"/>
      <c r="E494" s="20"/>
      <c r="F494" s="20">
        <v>306036.02000000002</v>
      </c>
      <c r="G494" s="21"/>
      <c r="H494" s="21">
        <v>55</v>
      </c>
      <c r="I494" s="21">
        <v>14.42109</v>
      </c>
      <c r="J494" s="22">
        <v>-0.75</v>
      </c>
      <c r="K494" s="21">
        <f t="shared" si="118"/>
        <v>395137.53084712458</v>
      </c>
      <c r="L494" s="21">
        <f t="shared" si="119"/>
        <v>1.1255797613869447</v>
      </c>
      <c r="M494" s="21">
        <f t="shared" si="120"/>
        <v>444758.80768593302</v>
      </c>
      <c r="N494" s="21"/>
      <c r="O494" s="21"/>
      <c r="P494" s="21">
        <f t="shared" si="121"/>
        <v>0</v>
      </c>
      <c r="Q494" s="21">
        <f t="shared" si="122"/>
        <v>0</v>
      </c>
      <c r="R494" s="21">
        <f t="shared" si="123"/>
        <v>444758.80768593302</v>
      </c>
      <c r="S494" s="7">
        <f t="shared" si="117"/>
        <v>0</v>
      </c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65" outlineLevel="2">
      <c r="A495" s="18" t="s">
        <v>120</v>
      </c>
      <c r="B495" s="19" t="s">
        <v>48</v>
      </c>
      <c r="C495" s="20">
        <v>763414.60999999999</v>
      </c>
      <c r="D495" s="20"/>
      <c r="E495" s="20"/>
      <c r="F495" s="20">
        <v>763414.60999999999</v>
      </c>
      <c r="G495" s="21"/>
      <c r="H495" s="21">
        <v>55</v>
      </c>
      <c r="I495" s="21">
        <v>14.025273</v>
      </c>
      <c r="J495" s="22">
        <v>-0.75</v>
      </c>
      <c r="K495" s="21">
        <f t="shared" si="118"/>
        <v>995295.1664905923</v>
      </c>
      <c r="L495" s="21">
        <f t="shared" si="119"/>
        <v>1.1255797613869447</v>
      </c>
      <c r="M495" s="21">
        <f t="shared" si="120"/>
        <v>1120284.0960080603</v>
      </c>
      <c r="N495" s="21"/>
      <c r="O495" s="21"/>
      <c r="P495" s="21">
        <f t="shared" si="121"/>
        <v>0</v>
      </c>
      <c r="Q495" s="21">
        <f t="shared" si="122"/>
        <v>0</v>
      </c>
      <c r="R495" s="21">
        <f t="shared" si="123"/>
        <v>1120284.0960080603</v>
      </c>
      <c r="S495" s="7">
        <f t="shared" si="117"/>
        <v>0</v>
      </c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65" outlineLevel="2">
      <c r="A496" s="18" t="s">
        <v>120</v>
      </c>
      <c r="B496" s="19" t="s">
        <v>47</v>
      </c>
      <c r="C496" s="20">
        <v>222793.47</v>
      </c>
      <c r="D496" s="20"/>
      <c r="E496" s="20"/>
      <c r="F496" s="20">
        <v>222793.47</v>
      </c>
      <c r="G496" s="21"/>
      <c r="H496" s="21">
        <v>55</v>
      </c>
      <c r="I496" s="21">
        <v>13.63804</v>
      </c>
      <c r="J496" s="22">
        <v>-0.75</v>
      </c>
      <c r="K496" s="21">
        <f t="shared" si="124" ref="K496:K522">+C496*(1-I496/H496)*(1-J496)</f>
        <v>293210.10073094728</v>
      </c>
      <c r="L496" s="21">
        <f t="shared" si="125" ref="L496:L522">$L$523</f>
        <v>1.1255797613869447</v>
      </c>
      <c r="M496" s="21">
        <f t="shared" si="126" ref="M496:M522">IF((C496*(1-J496)-K496*L496)&lt;0,C496*(1-J496),K496*L496)</f>
        <v>330031.35521698167</v>
      </c>
      <c r="N496" s="21"/>
      <c r="O496" s="21"/>
      <c r="P496" s="21">
        <f t="shared" si="127" ref="P496:P522">+D496/$C496*$M496</f>
        <v>0</v>
      </c>
      <c r="Q496" s="21">
        <f t="shared" si="128" ref="Q496:Q522">+E496/$C496*$M496</f>
        <v>0</v>
      </c>
      <c r="R496" s="21">
        <f t="shared" si="129" ref="R496:R522">+F496/$C496*$M496</f>
        <v>330031.35521698167</v>
      </c>
      <c r="S496" s="7">
        <f t="shared" si="117"/>
        <v>0</v>
      </c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65" outlineLevel="2">
      <c r="A497" s="18" t="s">
        <v>120</v>
      </c>
      <c r="B497" s="19" t="s">
        <v>46</v>
      </c>
      <c r="C497" s="20">
        <v>511229.78999999998</v>
      </c>
      <c r="D497" s="20"/>
      <c r="E497" s="20"/>
      <c r="F497" s="20">
        <v>511229.78999999998</v>
      </c>
      <c r="G497" s="21"/>
      <c r="H497" s="21">
        <v>55</v>
      </c>
      <c r="I497" s="21">
        <v>13.259199000000001</v>
      </c>
      <c r="J497" s="22">
        <v>-0.75</v>
      </c>
      <c r="K497" s="21">
        <f t="shared" si="124"/>
        <v>678972.66594378417</v>
      </c>
      <c r="L497" s="21">
        <f t="shared" si="125"/>
        <v>1.1255797613869447</v>
      </c>
      <c r="M497" s="21">
        <f t="shared" si="126"/>
        <v>764237.89132126234</v>
      </c>
      <c r="N497" s="21"/>
      <c r="O497" s="21"/>
      <c r="P497" s="21">
        <f t="shared" si="127"/>
        <v>0</v>
      </c>
      <c r="Q497" s="21">
        <f t="shared" si="128"/>
        <v>0</v>
      </c>
      <c r="R497" s="21">
        <f t="shared" si="129"/>
        <v>764237.89132126234</v>
      </c>
      <c r="S497" s="7">
        <f t="shared" si="117"/>
        <v>0</v>
      </c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65" outlineLevel="2">
      <c r="A498" s="18" t="s">
        <v>120</v>
      </c>
      <c r="B498" s="19" t="s">
        <v>45</v>
      </c>
      <c r="C498" s="20">
        <v>1016564.49</v>
      </c>
      <c r="D498" s="20"/>
      <c r="E498" s="20"/>
      <c r="F498" s="20">
        <v>1016564.49</v>
      </c>
      <c r="G498" s="21"/>
      <c r="H498" s="21">
        <v>55</v>
      </c>
      <c r="I498" s="21">
        <v>12.888401</v>
      </c>
      <c r="J498" s="22">
        <v>-0.75</v>
      </c>
      <c r="K498" s="21">
        <f t="shared" si="124"/>
        <v>1362109.5141983479</v>
      </c>
      <c r="L498" s="21">
        <f t="shared" si="125"/>
        <v>1.1255797613869447</v>
      </c>
      <c r="M498" s="21">
        <f t="shared" si="126"/>
        <v>1533162.9019742636</v>
      </c>
      <c r="N498" s="21"/>
      <c r="O498" s="21"/>
      <c r="P498" s="21">
        <f t="shared" si="127"/>
        <v>0</v>
      </c>
      <c r="Q498" s="21">
        <f t="shared" si="128"/>
        <v>0</v>
      </c>
      <c r="R498" s="21">
        <f t="shared" si="129"/>
        <v>1533162.9019742636</v>
      </c>
      <c r="S498" s="7">
        <f t="shared" si="117"/>
        <v>0</v>
      </c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65" outlineLevel="2">
      <c r="A499" s="18" t="s">
        <v>120</v>
      </c>
      <c r="B499" s="19" t="s">
        <v>44</v>
      </c>
      <c r="C499" s="20">
        <v>192370.39999999999</v>
      </c>
      <c r="D499" s="20"/>
      <c r="E499" s="20"/>
      <c r="F499" s="20">
        <v>192370.39999999999</v>
      </c>
      <c r="G499" s="21"/>
      <c r="H499" s="21">
        <v>55</v>
      </c>
      <c r="I499" s="21">
        <v>12.525261</v>
      </c>
      <c r="J499" s="22">
        <v>-0.75</v>
      </c>
      <c r="K499" s="21">
        <f t="shared" si="124"/>
        <v>259982.6259967236</v>
      </c>
      <c r="L499" s="21">
        <f t="shared" si="125"/>
        <v>1.1255797613869447</v>
      </c>
      <c r="M499" s="21">
        <f t="shared" si="126"/>
        <v>292631.18213414343</v>
      </c>
      <c r="N499" s="21"/>
      <c r="O499" s="21"/>
      <c r="P499" s="21">
        <f t="shared" si="127"/>
        <v>0</v>
      </c>
      <c r="Q499" s="21">
        <f t="shared" si="128"/>
        <v>0</v>
      </c>
      <c r="R499" s="21">
        <f t="shared" si="129"/>
        <v>292631.18213414343</v>
      </c>
      <c r="S499" s="7">
        <f t="shared" si="117"/>
        <v>0</v>
      </c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65" outlineLevel="2">
      <c r="A500" s="18" t="s">
        <v>120</v>
      </c>
      <c r="B500" s="19" t="s">
        <v>43</v>
      </c>
      <c r="C500" s="20">
        <v>2154124.9700000002</v>
      </c>
      <c r="D500" s="20"/>
      <c r="E500" s="20"/>
      <c r="F500" s="20">
        <v>2154124.9700000002</v>
      </c>
      <c r="G500" s="21"/>
      <c r="H500" s="21">
        <v>55</v>
      </c>
      <c r="I500" s="21">
        <v>12.169599</v>
      </c>
      <c r="J500" s="22">
        <v>-0.75</v>
      </c>
      <c r="K500" s="21">
        <f t="shared" si="124"/>
        <v>2935610.2449295041</v>
      </c>
      <c r="L500" s="21">
        <f t="shared" si="125"/>
        <v>1.1255797613869447</v>
      </c>
      <c r="M500" s="21">
        <f t="shared" si="126"/>
        <v>3304263.4790128213</v>
      </c>
      <c r="N500" s="21"/>
      <c r="O500" s="21"/>
      <c r="P500" s="21">
        <f t="shared" si="127"/>
        <v>0</v>
      </c>
      <c r="Q500" s="21">
        <f t="shared" si="128"/>
        <v>0</v>
      </c>
      <c r="R500" s="21">
        <f t="shared" si="129"/>
        <v>3304263.4790128213</v>
      </c>
      <c r="S500" s="7">
        <f t="shared" si="117"/>
        <v>0</v>
      </c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65" outlineLevel="2">
      <c r="A501" s="18" t="s">
        <v>120</v>
      </c>
      <c r="B501" s="19" t="s">
        <v>42</v>
      </c>
      <c r="C501" s="20">
        <v>618371.03000000003</v>
      </c>
      <c r="D501" s="20"/>
      <c r="E501" s="20"/>
      <c r="F501" s="20">
        <v>618371.03000000003</v>
      </c>
      <c r="G501" s="21"/>
      <c r="H501" s="21">
        <v>55</v>
      </c>
      <c r="I501" s="21">
        <v>11.821135</v>
      </c>
      <c r="J501" s="22">
        <v>-0.75</v>
      </c>
      <c r="K501" s="21">
        <f t="shared" si="124"/>
        <v>849563.24804530293</v>
      </c>
      <c r="L501" s="21">
        <f t="shared" si="125"/>
        <v>1.1255797613869447</v>
      </c>
      <c r="M501" s="21">
        <f t="shared" si="126"/>
        <v>956251.19801794982</v>
      </c>
      <c r="N501" s="21"/>
      <c r="O501" s="21"/>
      <c r="P501" s="21">
        <f t="shared" si="127"/>
        <v>0</v>
      </c>
      <c r="Q501" s="21">
        <f t="shared" si="128"/>
        <v>0</v>
      </c>
      <c r="R501" s="21">
        <f t="shared" si="129"/>
        <v>956251.19801794982</v>
      </c>
      <c r="S501" s="7">
        <f t="shared" si="117"/>
        <v>0</v>
      </c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65" outlineLevel="2">
      <c r="A502" s="18" t="s">
        <v>120</v>
      </c>
      <c r="B502" s="19" t="s">
        <v>41</v>
      </c>
      <c r="C502" s="20">
        <v>344157.32000000001</v>
      </c>
      <c r="D502" s="20"/>
      <c r="E502" s="20"/>
      <c r="F502" s="20">
        <v>344157.32000000001</v>
      </c>
      <c r="G502" s="21"/>
      <c r="H502" s="21">
        <v>55</v>
      </c>
      <c r="I502" s="21">
        <v>11.479581</v>
      </c>
      <c r="J502" s="22">
        <v>-0.75</v>
      </c>
      <c r="K502" s="21">
        <f t="shared" si="124"/>
        <v>476568.61535554344</v>
      </c>
      <c r="L502" s="21">
        <f t="shared" si="125"/>
        <v>1.1255797613869447</v>
      </c>
      <c r="M502" s="21">
        <f t="shared" si="126"/>
        <v>536415.98835639923</v>
      </c>
      <c r="N502" s="21"/>
      <c r="O502" s="21"/>
      <c r="P502" s="21">
        <f t="shared" si="127"/>
        <v>0</v>
      </c>
      <c r="Q502" s="21">
        <f t="shared" si="128"/>
        <v>0</v>
      </c>
      <c r="R502" s="21">
        <f t="shared" si="129"/>
        <v>536415.98835639923</v>
      </c>
      <c r="S502" s="7">
        <f t="shared" si="130" ref="S502:S565">+M502-P502-Q502-R502</f>
        <v>0</v>
      </c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65" outlineLevel="2">
      <c r="A503" s="18" t="s">
        <v>120</v>
      </c>
      <c r="B503" s="19" t="s">
        <v>40</v>
      </c>
      <c r="C503" s="20">
        <v>308799.38</v>
      </c>
      <c r="D503" s="20"/>
      <c r="E503" s="20"/>
      <c r="F503" s="20">
        <v>308799.38</v>
      </c>
      <c r="G503" s="21"/>
      <c r="H503" s="21">
        <v>55</v>
      </c>
      <c r="I503" s="21">
        <v>11.144645000000001</v>
      </c>
      <c r="J503" s="22">
        <v>-0.75</v>
      </c>
      <c r="K503" s="21">
        <f t="shared" si="124"/>
        <v>430897.93198072404</v>
      </c>
      <c r="L503" s="21">
        <f t="shared" si="125"/>
        <v>1.1255797613869447</v>
      </c>
      <c r="M503" s="21">
        <f t="shared" si="126"/>
        <v>485009.99146099132</v>
      </c>
      <c r="N503" s="21"/>
      <c r="O503" s="21"/>
      <c r="P503" s="21">
        <f t="shared" si="127"/>
        <v>0</v>
      </c>
      <c r="Q503" s="21">
        <f t="shared" si="128"/>
        <v>0</v>
      </c>
      <c r="R503" s="21">
        <f t="shared" si="129"/>
        <v>485009.99146099132</v>
      </c>
      <c r="S503" s="7">
        <f t="shared" si="130"/>
        <v>0</v>
      </c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65" outlineLevel="2">
      <c r="A504" s="18" t="s">
        <v>120</v>
      </c>
      <c r="B504" s="19" t="s">
        <v>39</v>
      </c>
      <c r="C504" s="20">
        <v>682839.77000000002</v>
      </c>
      <c r="D504" s="20"/>
      <c r="E504" s="20"/>
      <c r="F504" s="20">
        <v>682839.77000000002</v>
      </c>
      <c r="G504" s="21"/>
      <c r="H504" s="21">
        <v>55</v>
      </c>
      <c r="I504" s="21">
        <v>10.815121</v>
      </c>
      <c r="J504" s="22">
        <v>-0.75</v>
      </c>
      <c r="K504" s="21">
        <f t="shared" si="124"/>
        <v>959992.49225847644</v>
      </c>
      <c r="L504" s="21">
        <f t="shared" si="125"/>
        <v>1.1255797613869447</v>
      </c>
      <c r="M504" s="21">
        <f t="shared" si="126"/>
        <v>1080548.1203695543</v>
      </c>
      <c r="N504" s="21"/>
      <c r="O504" s="21"/>
      <c r="P504" s="21">
        <f t="shared" si="127"/>
        <v>0</v>
      </c>
      <c r="Q504" s="21">
        <f t="shared" si="128"/>
        <v>0</v>
      </c>
      <c r="R504" s="21">
        <f t="shared" si="129"/>
        <v>1080548.1203695543</v>
      </c>
      <c r="S504" s="7">
        <f t="shared" si="130"/>
        <v>0</v>
      </c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65" outlineLevel="2">
      <c r="A505" s="18" t="s">
        <v>120</v>
      </c>
      <c r="B505" s="19" t="s">
        <v>38</v>
      </c>
      <c r="C505" s="20">
        <v>68895.639999999999</v>
      </c>
      <c r="D505" s="20"/>
      <c r="E505" s="20"/>
      <c r="F505" s="20">
        <v>68895.639999999999</v>
      </c>
      <c r="G505" s="21"/>
      <c r="H505" s="21">
        <v>55</v>
      </c>
      <c r="I505" s="21">
        <v>10.491251999999999</v>
      </c>
      <c r="J505" s="22">
        <v>-0.75</v>
      </c>
      <c r="K505" s="21">
        <f t="shared" si="124"/>
        <v>97569.139788232016</v>
      </c>
      <c r="L505" s="21">
        <f t="shared" si="125"/>
        <v>1.1255797613869447</v>
      </c>
      <c r="M505" s="21">
        <f t="shared" si="126"/>
        <v>109821.84908156765</v>
      </c>
      <c r="N505" s="21"/>
      <c r="O505" s="21"/>
      <c r="P505" s="21">
        <f t="shared" si="127"/>
        <v>0</v>
      </c>
      <c r="Q505" s="21">
        <f t="shared" si="128"/>
        <v>0</v>
      </c>
      <c r="R505" s="21">
        <f t="shared" si="129"/>
        <v>109821.84908156765</v>
      </c>
      <c r="S505" s="7">
        <f t="shared" si="130"/>
        <v>0</v>
      </c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65" outlineLevel="2">
      <c r="A506" s="18" t="s">
        <v>120</v>
      </c>
      <c r="B506" s="19" t="s">
        <v>37</v>
      </c>
      <c r="C506" s="20">
        <v>31664.150000000001</v>
      </c>
      <c r="D506" s="20"/>
      <c r="E506" s="20"/>
      <c r="F506" s="20">
        <v>31664.150000000001</v>
      </c>
      <c r="G506" s="21"/>
      <c r="H506" s="21">
        <v>55</v>
      </c>
      <c r="I506" s="21">
        <v>10.172794</v>
      </c>
      <c r="J506" s="22">
        <v>-0.75</v>
      </c>
      <c r="K506" s="21">
        <f t="shared" si="124"/>
        <v>45163.216472974091</v>
      </c>
      <c r="L506" s="21">
        <f t="shared" si="125"/>
        <v>1.1255797613869447</v>
      </c>
      <c r="M506" s="21">
        <f t="shared" si="126"/>
        <v>50834.802421117107</v>
      </c>
      <c r="N506" s="21"/>
      <c r="O506" s="21"/>
      <c r="P506" s="21">
        <f t="shared" si="127"/>
        <v>0</v>
      </c>
      <c r="Q506" s="21">
        <f t="shared" si="128"/>
        <v>0</v>
      </c>
      <c r="R506" s="21">
        <f t="shared" si="129"/>
        <v>50834.802421117107</v>
      </c>
      <c r="S506" s="7">
        <f t="shared" si="130"/>
        <v>0</v>
      </c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65" outlineLevel="2">
      <c r="A507" s="18" t="s">
        <v>120</v>
      </c>
      <c r="B507" s="19" t="s">
        <v>36</v>
      </c>
      <c r="C507" s="20">
        <v>10211.530000000001</v>
      </c>
      <c r="D507" s="20"/>
      <c r="E507" s="20"/>
      <c r="F507" s="20">
        <v>10211.530000000001</v>
      </c>
      <c r="G507" s="21"/>
      <c r="H507" s="21">
        <v>55</v>
      </c>
      <c r="I507" s="21">
        <v>9.8594329999999992</v>
      </c>
      <c r="J507" s="22">
        <v>-0.75</v>
      </c>
      <c r="K507" s="21">
        <f t="shared" si="124"/>
        <v>14666.726268011682</v>
      </c>
      <c r="L507" s="21">
        <f t="shared" si="125"/>
        <v>1.1255797613869447</v>
      </c>
      <c r="M507" s="21">
        <f t="shared" si="126"/>
        <v>16508.570253076225</v>
      </c>
      <c r="N507" s="21"/>
      <c r="O507" s="21"/>
      <c r="P507" s="21">
        <f t="shared" si="127"/>
        <v>0</v>
      </c>
      <c r="Q507" s="21">
        <f t="shared" si="128"/>
        <v>0</v>
      </c>
      <c r="R507" s="21">
        <f t="shared" si="129"/>
        <v>16508.570253076225</v>
      </c>
      <c r="S507" s="7">
        <f t="shared" si="130"/>
        <v>0</v>
      </c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65" outlineLevel="2">
      <c r="A508" s="18" t="s">
        <v>120</v>
      </c>
      <c r="B508" s="19" t="s">
        <v>35</v>
      </c>
      <c r="C508" s="20">
        <v>7543.3199999999997</v>
      </c>
      <c r="D508" s="20"/>
      <c r="E508" s="20"/>
      <c r="F508" s="20">
        <v>7543.3199999999997</v>
      </c>
      <c r="G508" s="21"/>
      <c r="H508" s="21">
        <v>55</v>
      </c>
      <c r="I508" s="21">
        <v>9.55091</v>
      </c>
      <c r="J508" s="22">
        <v>-0.75</v>
      </c>
      <c r="K508" s="21">
        <f t="shared" si="124"/>
        <v>10908.450941143636</v>
      </c>
      <c r="L508" s="21">
        <f t="shared" si="125"/>
        <v>1.1255797613869447</v>
      </c>
      <c r="M508" s="21">
        <f t="shared" si="126"/>
        <v>12278.331607433645</v>
      </c>
      <c r="N508" s="21"/>
      <c r="O508" s="21"/>
      <c r="P508" s="21">
        <f t="shared" si="127"/>
        <v>0</v>
      </c>
      <c r="Q508" s="21">
        <f t="shared" si="128"/>
        <v>0</v>
      </c>
      <c r="R508" s="21">
        <f t="shared" si="129"/>
        <v>12278.331607433645</v>
      </c>
      <c r="S508" s="7">
        <f t="shared" si="130"/>
        <v>0</v>
      </c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65" outlineLevel="2">
      <c r="A509" s="18" t="s">
        <v>120</v>
      </c>
      <c r="B509" s="19" t="s">
        <v>34</v>
      </c>
      <c r="C509" s="20">
        <v>1724.9200000000001</v>
      </c>
      <c r="D509" s="20"/>
      <c r="E509" s="20"/>
      <c r="F509" s="20">
        <v>1724.9200000000001</v>
      </c>
      <c r="G509" s="21"/>
      <c r="H509" s="21">
        <v>55</v>
      </c>
      <c r="I509" s="21">
        <v>9.2462520000000001</v>
      </c>
      <c r="J509" s="22">
        <v>-0.75</v>
      </c>
      <c r="K509" s="21">
        <f t="shared" si="124"/>
        <v>2511.1403863687274</v>
      </c>
      <c r="L509" s="21">
        <f t="shared" si="125"/>
        <v>1.1255797613869447</v>
      </c>
      <c r="M509" s="21">
        <f t="shared" si="126"/>
        <v>2826.4887968980324</v>
      </c>
      <c r="N509" s="21"/>
      <c r="O509" s="21"/>
      <c r="P509" s="21">
        <f t="shared" si="127"/>
        <v>0</v>
      </c>
      <c r="Q509" s="21">
        <f t="shared" si="128"/>
        <v>0</v>
      </c>
      <c r="R509" s="21">
        <f t="shared" si="129"/>
        <v>2826.4887968980324</v>
      </c>
      <c r="S509" s="7">
        <f t="shared" si="130"/>
        <v>0</v>
      </c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65" outlineLevel="2">
      <c r="A510" s="18" t="s">
        <v>120</v>
      </c>
      <c r="B510" s="19" t="s">
        <v>33</v>
      </c>
      <c r="C510" s="20">
        <v>29931.509999999998</v>
      </c>
      <c r="D510" s="20"/>
      <c r="E510" s="20"/>
      <c r="F510" s="20">
        <v>29931.509999999998</v>
      </c>
      <c r="G510" s="21"/>
      <c r="H510" s="21">
        <v>55</v>
      </c>
      <c r="I510" s="21">
        <v>8.9450249999999993</v>
      </c>
      <c r="J510" s="22">
        <v>-0.75</v>
      </c>
      <c r="K510" s="21">
        <f t="shared" si="124"/>
        <v>43861.202787889772</v>
      </c>
      <c r="L510" s="21">
        <f t="shared" si="125"/>
        <v>1.1255797613869447</v>
      </c>
      <c r="M510" s="21">
        <f t="shared" si="126"/>
        <v>49369.282168137361</v>
      </c>
      <c r="N510" s="21"/>
      <c r="O510" s="21"/>
      <c r="P510" s="21">
        <f t="shared" si="127"/>
        <v>0</v>
      </c>
      <c r="Q510" s="21">
        <f t="shared" si="128"/>
        <v>0</v>
      </c>
      <c r="R510" s="21">
        <f t="shared" si="129"/>
        <v>49369.282168137361</v>
      </c>
      <c r="S510" s="7">
        <f t="shared" si="130"/>
        <v>0</v>
      </c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65" outlineLevel="2">
      <c r="A511" s="18" t="s">
        <v>120</v>
      </c>
      <c r="B511" s="19" t="s">
        <v>32</v>
      </c>
      <c r="C511" s="20">
        <v>20518.139999999999</v>
      </c>
      <c r="D511" s="20"/>
      <c r="E511" s="20"/>
      <c r="F511" s="20">
        <v>20518.139999999999</v>
      </c>
      <c r="G511" s="21"/>
      <c r="H511" s="21">
        <v>55</v>
      </c>
      <c r="I511" s="21">
        <v>8.6476950000000006</v>
      </c>
      <c r="J511" s="22">
        <v>-0.75</v>
      </c>
      <c r="K511" s="21">
        <f t="shared" si="124"/>
        <v>30261.098105404089</v>
      </c>
      <c r="L511" s="21">
        <f t="shared" si="125"/>
        <v>1.1255797613869447</v>
      </c>
      <c r="M511" s="21">
        <f t="shared" si="126"/>
        <v>34061.279584787662</v>
      </c>
      <c r="N511" s="21"/>
      <c r="O511" s="21"/>
      <c r="P511" s="21">
        <f t="shared" si="127"/>
        <v>0</v>
      </c>
      <c r="Q511" s="21">
        <f t="shared" si="128"/>
        <v>0</v>
      </c>
      <c r="R511" s="21">
        <f t="shared" si="129"/>
        <v>34061.279584787662</v>
      </c>
      <c r="S511" s="7">
        <f t="shared" si="130"/>
        <v>0</v>
      </c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65" outlineLevel="2">
      <c r="A512" s="18" t="s">
        <v>120</v>
      </c>
      <c r="B512" s="19" t="s">
        <v>31</v>
      </c>
      <c r="C512" s="20">
        <v>407988.84000000003</v>
      </c>
      <c r="D512" s="20"/>
      <c r="E512" s="20"/>
      <c r="F512" s="20">
        <v>407988.84000000003</v>
      </c>
      <c r="G512" s="21"/>
      <c r="H512" s="21">
        <v>55</v>
      </c>
      <c r="I512" s="21">
        <v>8.3541779999999992</v>
      </c>
      <c r="J512" s="22">
        <v>-0.75</v>
      </c>
      <c r="K512" s="21">
        <f t="shared" si="124"/>
        <v>605531.01663811528</v>
      </c>
      <c r="L512" s="21">
        <f t="shared" si="125"/>
        <v>1.1255797613869447</v>
      </c>
      <c r="M512" s="21">
        <f t="shared" si="126"/>
        <v>681573.45721992385</v>
      </c>
      <c r="N512" s="21"/>
      <c r="O512" s="21"/>
      <c r="P512" s="21">
        <f t="shared" si="127"/>
        <v>0</v>
      </c>
      <c r="Q512" s="21">
        <f t="shared" si="128"/>
        <v>0</v>
      </c>
      <c r="R512" s="21">
        <f t="shared" si="129"/>
        <v>681573.45721992385</v>
      </c>
      <c r="S512" s="7">
        <f t="shared" si="130"/>
        <v>0</v>
      </c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65" outlineLevel="2">
      <c r="A513" s="18" t="s">
        <v>120</v>
      </c>
      <c r="B513" s="19" t="s">
        <v>24</v>
      </c>
      <c r="C513" s="20">
        <v>743.44000000000005</v>
      </c>
      <c r="D513" s="20"/>
      <c r="E513" s="20"/>
      <c r="F513" s="20">
        <v>743.44000000000005</v>
      </c>
      <c r="G513" s="21"/>
      <c r="H513" s="21">
        <v>55</v>
      </c>
      <c r="I513" s="21">
        <v>5.8715359999999999</v>
      </c>
      <c r="J513" s="22">
        <v>-0.75</v>
      </c>
      <c r="K513" s="21">
        <f t="shared" si="124"/>
        <v>1162.129349696</v>
      </c>
      <c r="L513" s="21">
        <f t="shared" si="125"/>
        <v>1.1255797613869447</v>
      </c>
      <c r="M513" s="21">
        <f t="shared" si="126"/>
        <v>1301.02</v>
      </c>
      <c r="N513" s="21"/>
      <c r="O513" s="21"/>
      <c r="P513" s="21">
        <f t="shared" si="127"/>
        <v>0</v>
      </c>
      <c r="Q513" s="21">
        <f t="shared" si="128"/>
        <v>0</v>
      </c>
      <c r="R513" s="21">
        <f t="shared" si="129"/>
        <v>1301.02</v>
      </c>
      <c r="S513" s="7">
        <f t="shared" si="130"/>
        <v>0</v>
      </c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65" outlineLevel="2">
      <c r="A514" s="18" t="s">
        <v>120</v>
      </c>
      <c r="B514" s="19" t="s">
        <v>22</v>
      </c>
      <c r="C514" s="20">
        <v>42675.410000000003</v>
      </c>
      <c r="D514" s="20"/>
      <c r="E514" s="20"/>
      <c r="F514" s="20">
        <v>42675.410000000003</v>
      </c>
      <c r="G514" s="21"/>
      <c r="H514" s="21">
        <v>55</v>
      </c>
      <c r="I514" s="21">
        <v>5.360195</v>
      </c>
      <c r="J514" s="22">
        <v>-0.75</v>
      </c>
      <c r="K514" s="21">
        <f t="shared" si="124"/>
        <v>67403.605522115235</v>
      </c>
      <c r="L514" s="21">
        <f t="shared" si="125"/>
        <v>1.1255797613869447</v>
      </c>
      <c r="M514" s="21">
        <f t="shared" si="126"/>
        <v>74681.967499999999</v>
      </c>
      <c r="N514" s="21"/>
      <c r="O514" s="21"/>
      <c r="P514" s="21">
        <f t="shared" si="127"/>
        <v>0</v>
      </c>
      <c r="Q514" s="21">
        <f t="shared" si="128"/>
        <v>0</v>
      </c>
      <c r="R514" s="21">
        <f t="shared" si="129"/>
        <v>74681.967499999999</v>
      </c>
      <c r="S514" s="7">
        <f t="shared" si="130"/>
        <v>0</v>
      </c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65" outlineLevel="2">
      <c r="A515" s="18" t="s">
        <v>120</v>
      </c>
      <c r="B515" s="19" t="s">
        <v>21</v>
      </c>
      <c r="C515" s="20">
        <v>61587.779999999999</v>
      </c>
      <c r="D515" s="20"/>
      <c r="E515" s="20"/>
      <c r="F515" s="20">
        <v>61587.779999999999</v>
      </c>
      <c r="G515" s="21"/>
      <c r="H515" s="21">
        <v>55</v>
      </c>
      <c r="I515" s="21">
        <v>5.109591</v>
      </c>
      <c r="J515" s="22">
        <v>-0.75</v>
      </c>
      <c r="K515" s="21">
        <f t="shared" si="124"/>
        <v>97765.803341882463</v>
      </c>
      <c r="L515" s="21">
        <f t="shared" si="125"/>
        <v>1.1255797613869447</v>
      </c>
      <c r="M515" s="21">
        <f t="shared" si="126"/>
        <v>107778.61499999999</v>
      </c>
      <c r="N515" s="21"/>
      <c r="O515" s="21"/>
      <c r="P515" s="21">
        <f t="shared" si="127"/>
        <v>0</v>
      </c>
      <c r="Q515" s="21">
        <f t="shared" si="128"/>
        <v>0</v>
      </c>
      <c r="R515" s="21">
        <f t="shared" si="129"/>
        <v>107778.61499999999</v>
      </c>
      <c r="S515" s="7">
        <f t="shared" si="130"/>
        <v>0</v>
      </c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65" outlineLevel="2">
      <c r="A516" s="18" t="s">
        <v>120</v>
      </c>
      <c r="B516" s="19" t="s">
        <v>20</v>
      </c>
      <c r="C516" s="20">
        <v>63651.809999999998</v>
      </c>
      <c r="D516" s="20"/>
      <c r="E516" s="20"/>
      <c r="F516" s="20">
        <v>63651.809999999998</v>
      </c>
      <c r="G516" s="21"/>
      <c r="H516" s="21">
        <v>55</v>
      </c>
      <c r="I516" s="21">
        <v>4.8610369999999996</v>
      </c>
      <c r="J516" s="22">
        <v>-0.75</v>
      </c>
      <c r="K516" s="21">
        <f t="shared" si="124"/>
        <v>101545.68284232369</v>
      </c>
      <c r="L516" s="21">
        <f t="shared" si="125"/>
        <v>1.1255797613869447</v>
      </c>
      <c r="M516" s="21">
        <f t="shared" si="126"/>
        <v>111390.6675</v>
      </c>
      <c r="N516" s="21"/>
      <c r="O516" s="21"/>
      <c r="P516" s="21">
        <f t="shared" si="127"/>
        <v>0</v>
      </c>
      <c r="Q516" s="21">
        <f t="shared" si="128"/>
        <v>0</v>
      </c>
      <c r="R516" s="21">
        <f t="shared" si="129"/>
        <v>111390.6675</v>
      </c>
      <c r="S516" s="7">
        <f t="shared" si="130"/>
        <v>0</v>
      </c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65" outlineLevel="2">
      <c r="A517" s="18" t="s">
        <v>120</v>
      </c>
      <c r="B517" s="19" t="s">
        <v>19</v>
      </c>
      <c r="C517" s="20">
        <v>47940.330000000002</v>
      </c>
      <c r="D517" s="20"/>
      <c r="E517" s="20"/>
      <c r="F517" s="20">
        <v>47940.330000000002</v>
      </c>
      <c r="G517" s="21"/>
      <c r="H517" s="21">
        <v>55</v>
      </c>
      <c r="I517" s="21">
        <v>4.6076259999999998</v>
      </c>
      <c r="J517" s="22">
        <v>-0.75</v>
      </c>
      <c r="K517" s="21">
        <f t="shared" si="124"/>
        <v>76867.223969563362</v>
      </c>
      <c r="L517" s="21">
        <f t="shared" si="125"/>
        <v>1.1255797613869447</v>
      </c>
      <c r="M517" s="21">
        <f t="shared" si="126"/>
        <v>83895.577499999999</v>
      </c>
      <c r="N517" s="21"/>
      <c r="O517" s="21"/>
      <c r="P517" s="21">
        <f t="shared" si="127"/>
        <v>0</v>
      </c>
      <c r="Q517" s="21">
        <f t="shared" si="128"/>
        <v>0</v>
      </c>
      <c r="R517" s="21">
        <f t="shared" si="129"/>
        <v>83895.577499999999</v>
      </c>
      <c r="S517" s="7">
        <f t="shared" si="130"/>
        <v>0</v>
      </c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65" outlineLevel="2">
      <c r="A518" s="18" t="s">
        <v>120</v>
      </c>
      <c r="B518" s="19" t="s">
        <v>18</v>
      </c>
      <c r="C518" s="20">
        <v>105192.67</v>
      </c>
      <c r="D518" s="20"/>
      <c r="E518" s="20"/>
      <c r="F518" s="20">
        <v>105192.67</v>
      </c>
      <c r="G518" s="21"/>
      <c r="H518" s="21">
        <v>55</v>
      </c>
      <c r="I518" s="21">
        <v>4.3497890000000003</v>
      </c>
      <c r="J518" s="22">
        <v>-0.75</v>
      </c>
      <c r="K518" s="21">
        <f t="shared" si="124"/>
        <v>169528.2569003345</v>
      </c>
      <c r="L518" s="21">
        <f t="shared" si="125"/>
        <v>1.1255797613869447</v>
      </c>
      <c r="M518" s="21">
        <f t="shared" si="126"/>
        <v>184087.17249999999</v>
      </c>
      <c r="N518" s="21"/>
      <c r="O518" s="21"/>
      <c r="P518" s="21">
        <f t="shared" si="127"/>
        <v>0</v>
      </c>
      <c r="Q518" s="21">
        <f t="shared" si="128"/>
        <v>0</v>
      </c>
      <c r="R518" s="21">
        <f t="shared" si="129"/>
        <v>184087.17249999999</v>
      </c>
      <c r="S518" s="7">
        <f t="shared" si="130"/>
        <v>0</v>
      </c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65" outlineLevel="2">
      <c r="A519" s="18" t="s">
        <v>120</v>
      </c>
      <c r="B519" s="19" t="s">
        <v>17</v>
      </c>
      <c r="C519" s="20">
        <v>21663.669999999998</v>
      </c>
      <c r="D519" s="20"/>
      <c r="E519" s="20"/>
      <c r="F519" s="20">
        <v>21663.669999999998</v>
      </c>
      <c r="G519" s="21"/>
      <c r="H519" s="21">
        <v>55</v>
      </c>
      <c r="I519" s="21">
        <v>4.0831289999999996</v>
      </c>
      <c r="J519" s="22">
        <v>-0.75</v>
      </c>
      <c r="K519" s="21">
        <f t="shared" si="124"/>
        <v>35096.927433799945</v>
      </c>
      <c r="L519" s="21">
        <f t="shared" si="125"/>
        <v>1.1255797613869447</v>
      </c>
      <c r="M519" s="21">
        <f t="shared" si="126"/>
        <v>37911.422500000001</v>
      </c>
      <c r="N519" s="21"/>
      <c r="O519" s="21"/>
      <c r="P519" s="21">
        <f t="shared" si="127"/>
        <v>0</v>
      </c>
      <c r="Q519" s="21">
        <f t="shared" si="128"/>
        <v>0</v>
      </c>
      <c r="R519" s="21">
        <f t="shared" si="129"/>
        <v>37911.422500000001</v>
      </c>
      <c r="S519" s="7">
        <f t="shared" si="130"/>
        <v>0</v>
      </c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65" outlineLevel="2">
      <c r="A520" s="18" t="s">
        <v>120</v>
      </c>
      <c r="B520" s="19" t="s">
        <v>16</v>
      </c>
      <c r="C520" s="20">
        <v>19127.450000000001</v>
      </c>
      <c r="D520" s="20"/>
      <c r="E520" s="20"/>
      <c r="F520" s="20">
        <v>19127.450000000001</v>
      </c>
      <c r="G520" s="21"/>
      <c r="H520" s="21">
        <v>55</v>
      </c>
      <c r="I520" s="21">
        <v>3.8016220000000001</v>
      </c>
      <c r="J520" s="22">
        <v>-0.75</v>
      </c>
      <c r="K520" s="21">
        <f t="shared" si="124"/>
        <v>31159.367758785003</v>
      </c>
      <c r="L520" s="21">
        <f t="shared" si="125"/>
        <v>1.1255797613869447</v>
      </c>
      <c r="M520" s="21">
        <f t="shared" si="126"/>
        <v>33473.037499999999</v>
      </c>
      <c r="N520" s="21"/>
      <c r="O520" s="21"/>
      <c r="P520" s="21">
        <f t="shared" si="127"/>
        <v>0</v>
      </c>
      <c r="Q520" s="21">
        <f t="shared" si="128"/>
        <v>0</v>
      </c>
      <c r="R520" s="21">
        <f t="shared" si="129"/>
        <v>33473.037499999999</v>
      </c>
      <c r="S520" s="7">
        <f t="shared" si="130"/>
        <v>0</v>
      </c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65" outlineLevel="2">
      <c r="A521" s="18" t="s">
        <v>120</v>
      </c>
      <c r="B521" s="19" t="s">
        <v>13</v>
      </c>
      <c r="C521" s="20">
        <v>4953.8400000000001</v>
      </c>
      <c r="D521" s="20"/>
      <c r="E521" s="20"/>
      <c r="F521" s="20">
        <v>4953.8400000000001</v>
      </c>
      <c r="G521" s="21"/>
      <c r="H521" s="21">
        <v>55</v>
      </c>
      <c r="I521" s="21">
        <v>2.7704569999999999</v>
      </c>
      <c r="J521" s="22">
        <v>-0.75</v>
      </c>
      <c r="K521" s="21">
        <f t="shared" si="124"/>
        <v>8232.5345230265448</v>
      </c>
      <c r="L521" s="21">
        <f t="shared" si="125"/>
        <v>1.1255797613869447</v>
      </c>
      <c r="M521" s="21">
        <f t="shared" si="126"/>
        <v>8669.2200000000012</v>
      </c>
      <c r="N521" s="21"/>
      <c r="O521" s="21"/>
      <c r="P521" s="21">
        <f t="shared" si="127"/>
        <v>0</v>
      </c>
      <c r="Q521" s="21">
        <f t="shared" si="128"/>
        <v>0</v>
      </c>
      <c r="R521" s="21">
        <f t="shared" si="129"/>
        <v>8669.2200000000012</v>
      </c>
      <c r="S521" s="7">
        <f t="shared" si="130"/>
        <v>0</v>
      </c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65" outlineLevel="2">
      <c r="A522" s="18" t="s">
        <v>120</v>
      </c>
      <c r="B522" s="19" t="s">
        <v>12</v>
      </c>
      <c r="C522" s="20">
        <v>8665.7199999999993</v>
      </c>
      <c r="D522" s="20"/>
      <c r="E522" s="20"/>
      <c r="F522" s="20">
        <v>8665.7199999999993</v>
      </c>
      <c r="G522" s="21"/>
      <c r="H522" s="21">
        <v>55</v>
      </c>
      <c r="I522" s="21">
        <v>2.3265340000000001</v>
      </c>
      <c r="J522" s="22">
        <v>-0.75</v>
      </c>
      <c r="K522" s="21">
        <f t="shared" si="124"/>
        <v>14523.520702266544</v>
      </c>
      <c r="L522" s="21">
        <f t="shared" si="125"/>
        <v>1.1255797613869447</v>
      </c>
      <c r="M522" s="21">
        <f t="shared" si="126"/>
        <v>15165.009999999998</v>
      </c>
      <c r="N522" s="21"/>
      <c r="O522" s="21"/>
      <c r="P522" s="21">
        <f t="shared" si="127"/>
        <v>0</v>
      </c>
      <c r="Q522" s="21">
        <f t="shared" si="128"/>
        <v>0</v>
      </c>
      <c r="R522" s="21">
        <f t="shared" si="129"/>
        <v>15165.009999999998</v>
      </c>
      <c r="S522" s="7">
        <f t="shared" si="130"/>
        <v>0</v>
      </c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65" outlineLevel="1">
      <c r="A523" s="18" t="s">
        <v>137</v>
      </c>
      <c r="B523" s="19"/>
      <c r="C523" s="20">
        <f>SUBTOTAL(9,C432:C522)</f>
        <v>2646547290.960001</v>
      </c>
      <c r="D523" s="20">
        <f>SUBTOTAL(9,D432:D522)</f>
        <v>0</v>
      </c>
      <c r="E523" s="20">
        <f>SUBTOTAL(9,E432:E522)</f>
        <v>0</v>
      </c>
      <c r="F523" s="20">
        <f>SUBTOTAL(9,F432:F522)</f>
        <v>2646547290.960001</v>
      </c>
      <c r="G523" s="21"/>
      <c r="H523" s="21"/>
      <c r="I523" s="21"/>
      <c r="J523" s="22"/>
      <c r="K523" s="21">
        <f>SUBTOTAL(9,K432:K522)</f>
        <v>545083724.32085037</v>
      </c>
      <c r="L523" s="21">
        <v>1.1255797613869447</v>
      </c>
      <c r="M523" s="21">
        <f>SUBTOTAL(9,M432:M522)</f>
        <v>613514516.62170482</v>
      </c>
      <c r="N523" s="23">
        <v>613514516.62170458</v>
      </c>
      <c r="O523" s="23">
        <f>+N523-M523</f>
        <v>0</v>
      </c>
      <c r="P523" s="21">
        <f>SUBTOTAL(9,P432:P522)</f>
        <v>0</v>
      </c>
      <c r="Q523" s="21">
        <f>SUBTOTAL(9,Q432:Q522)</f>
        <v>0</v>
      </c>
      <c r="R523" s="21">
        <f>SUBTOTAL(9,R432:R522)</f>
        <v>613514516.62170482</v>
      </c>
      <c r="S523" s="7">
        <f t="shared" si="130"/>
        <v>0</v>
      </c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65" outlineLevel="2">
      <c r="A524" s="9" t="s">
        <v>121</v>
      </c>
      <c r="B524" s="11" t="s">
        <v>111</v>
      </c>
      <c r="C524" s="10">
        <f>199540177.53+873739.87</f>
        <v>200413917.40000001</v>
      </c>
      <c r="F524" s="10">
        <v>200413917.40000001</v>
      </c>
      <c r="G524" s="3"/>
      <c r="H524" s="3">
        <v>50</v>
      </c>
      <c r="I524" s="3">
        <v>49.5</v>
      </c>
      <c r="J524" s="6">
        <v>-0.45000000000000001</v>
      </c>
      <c r="K524" s="3">
        <f t="shared" si="131" ref="K524:K555">+C524*(1-I524/H524)*(1-J524)</f>
        <v>2906001.8023000024</v>
      </c>
      <c r="L524" s="3">
        <f t="shared" si="132" ref="L524:L555">$L$618</f>
        <v>1.0858296482612813</v>
      </c>
      <c r="M524" s="3">
        <f t="shared" si="133" ref="M524:M555">IF((C524*(1-J524)-K524*L524)&lt;0,C524*(1-J524),K524*L524)</f>
        <v>3155422.9148380612</v>
      </c>
      <c r="N524" s="3"/>
      <c r="O524" s="3"/>
      <c r="P524" s="3">
        <f t="shared" si="134" ref="P524:P555">+D524/$C524*$M524</f>
        <v>0</v>
      </c>
      <c r="Q524" s="3">
        <f t="shared" si="135" ref="Q524:Q555">+E524/$C524*$M524</f>
        <v>0</v>
      </c>
      <c r="R524" s="3">
        <f t="shared" si="136" ref="R524:R555">+F524/$C524*$M524</f>
        <v>3155422.9148380612</v>
      </c>
      <c r="S524" s="7">
        <f t="shared" si="130"/>
        <v>0</v>
      </c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65" outlineLevel="2">
      <c r="A525" s="9" t="s">
        <v>121</v>
      </c>
      <c r="B525" s="11" t="s">
        <v>110</v>
      </c>
      <c r="C525" s="10">
        <v>323117448.13</v>
      </c>
      <c r="F525" s="10">
        <v>323117448.13</v>
      </c>
      <c r="G525" s="3"/>
      <c r="H525" s="3">
        <v>50</v>
      </c>
      <c r="I525" s="3">
        <v>48.5</v>
      </c>
      <c r="J525" s="6">
        <v>-0.45000000000000001</v>
      </c>
      <c r="K525" s="3">
        <f t="shared" si="131"/>
        <v>14055608.993655011</v>
      </c>
      <c r="L525" s="3">
        <f t="shared" si="132"/>
        <v>1.0858296482612813</v>
      </c>
      <c r="M525" s="3">
        <f t="shared" si="133"/>
        <v>15261996.969678521</v>
      </c>
      <c r="N525" s="3"/>
      <c r="O525" s="3"/>
      <c r="P525" s="3">
        <f t="shared" si="134"/>
        <v>0</v>
      </c>
      <c r="Q525" s="3">
        <f t="shared" si="135"/>
        <v>0</v>
      </c>
      <c r="R525" s="3">
        <f t="shared" si="136"/>
        <v>15261996.969678521</v>
      </c>
      <c r="S525" s="7">
        <f t="shared" si="130"/>
        <v>0</v>
      </c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65" outlineLevel="2">
      <c r="A526" s="9" t="s">
        <v>121</v>
      </c>
      <c r="B526" s="11" t="s">
        <v>109</v>
      </c>
      <c r="C526" s="10">
        <v>177704484.93000001</v>
      </c>
      <c r="F526" s="10">
        <v>177704484.93000001</v>
      </c>
      <c r="G526" s="3"/>
      <c r="H526" s="3">
        <v>50</v>
      </c>
      <c r="I526" s="3">
        <v>47.5</v>
      </c>
      <c r="J526" s="6">
        <v>-0.45000000000000001</v>
      </c>
      <c r="K526" s="3">
        <f t="shared" si="131"/>
        <v>12883575.157425011</v>
      </c>
      <c r="L526" s="3">
        <f t="shared" si="132"/>
        <v>1.0858296482612813</v>
      </c>
      <c r="M526" s="3">
        <f t="shared" si="133"/>
        <v>13989367.88153458</v>
      </c>
      <c r="N526" s="3"/>
      <c r="O526" s="3"/>
      <c r="P526" s="3">
        <f t="shared" si="134"/>
        <v>0</v>
      </c>
      <c r="Q526" s="3">
        <f t="shared" si="135"/>
        <v>0</v>
      </c>
      <c r="R526" s="3">
        <f t="shared" si="136"/>
        <v>13989367.88153458</v>
      </c>
      <c r="S526" s="7">
        <f t="shared" si="130"/>
        <v>0</v>
      </c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65" outlineLevel="2">
      <c r="A527" s="9" t="s">
        <v>121</v>
      </c>
      <c r="B527" s="11" t="s">
        <v>108</v>
      </c>
      <c r="C527" s="10">
        <v>184659685.28</v>
      </c>
      <c r="F527" s="10">
        <v>184659685.28</v>
      </c>
      <c r="G527" s="3"/>
      <c r="H527" s="3">
        <v>50</v>
      </c>
      <c r="I527" s="3">
        <v>46.5</v>
      </c>
      <c r="J527" s="6">
        <v>-0.45000000000000001</v>
      </c>
      <c r="K527" s="3">
        <f t="shared" si="131"/>
        <v>18742958.055919986</v>
      </c>
      <c r="L527" s="3">
        <f t="shared" si="132"/>
        <v>1.0858296482612813</v>
      </c>
      <c r="M527" s="3">
        <f t="shared" si="133"/>
        <v>20351659.553235546</v>
      </c>
      <c r="N527" s="3"/>
      <c r="O527" s="3"/>
      <c r="P527" s="3">
        <f t="shared" si="134"/>
        <v>0</v>
      </c>
      <c r="Q527" s="3">
        <f t="shared" si="135"/>
        <v>0</v>
      </c>
      <c r="R527" s="3">
        <f t="shared" si="136"/>
        <v>20351659.553235546</v>
      </c>
      <c r="S527" s="7">
        <f t="shared" si="130"/>
        <v>0</v>
      </c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65" outlineLevel="2">
      <c r="A528" s="9" t="s">
        <v>121</v>
      </c>
      <c r="B528" s="11" t="s">
        <v>107</v>
      </c>
      <c r="C528" s="10">
        <v>168197725.80000001</v>
      </c>
      <c r="F528" s="10">
        <v>168197725.80000001</v>
      </c>
      <c r="G528" s="3"/>
      <c r="H528" s="3">
        <v>50</v>
      </c>
      <c r="I528" s="3">
        <v>45.5</v>
      </c>
      <c r="J528" s="6">
        <v>-0.45000000000000001</v>
      </c>
      <c r="K528" s="3">
        <f t="shared" si="131"/>
        <v>21949803.216899991</v>
      </c>
      <c r="L528" s="3">
        <f t="shared" si="132"/>
        <v>1.0858296482612813</v>
      </c>
      <c r="M528" s="3">
        <f t="shared" si="133"/>
        <v>23833747.106410857</v>
      </c>
      <c r="N528" s="3"/>
      <c r="O528" s="3"/>
      <c r="P528" s="3">
        <f t="shared" si="134"/>
        <v>0</v>
      </c>
      <c r="Q528" s="3">
        <f t="shared" si="135"/>
        <v>0</v>
      </c>
      <c r="R528" s="3">
        <f t="shared" si="136"/>
        <v>23833747.106410857</v>
      </c>
      <c r="S528" s="7">
        <f t="shared" si="130"/>
        <v>0</v>
      </c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65" outlineLevel="2">
      <c r="A529" s="9" t="s">
        <v>121</v>
      </c>
      <c r="B529" s="11" t="s">
        <v>106</v>
      </c>
      <c r="C529" s="10">
        <v>140181697.69999999</v>
      </c>
      <c r="F529" s="10">
        <v>140181697.69999999</v>
      </c>
      <c r="G529" s="10"/>
      <c r="H529" s="3">
        <v>50</v>
      </c>
      <c r="I529" s="3">
        <v>44.5</v>
      </c>
      <c r="J529" s="6">
        <v>-0.45000000000000001</v>
      </c>
      <c r="K529" s="3">
        <f t="shared" si="131"/>
        <v>22358980.783149995</v>
      </c>
      <c r="L529" s="3">
        <f t="shared" si="132"/>
        <v>1.0858296482612813</v>
      </c>
      <c r="M529" s="3">
        <f t="shared" si="133"/>
        <v>24278044.239248507</v>
      </c>
      <c r="N529" s="3"/>
      <c r="O529" s="3"/>
      <c r="P529" s="3">
        <f t="shared" si="134"/>
        <v>0</v>
      </c>
      <c r="Q529" s="3">
        <f t="shared" si="135"/>
        <v>0</v>
      </c>
      <c r="R529" s="3">
        <f t="shared" si="136"/>
        <v>24278044.239248507</v>
      </c>
      <c r="S529" s="7">
        <f t="shared" si="130"/>
        <v>0</v>
      </c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65" outlineLevel="2">
      <c r="A530" s="9" t="s">
        <v>121</v>
      </c>
      <c r="B530" s="11" t="s">
        <v>105</v>
      </c>
      <c r="C530" s="10">
        <v>83539193.120000005</v>
      </c>
      <c r="F530" s="10">
        <v>83539193.120000005</v>
      </c>
      <c r="G530" s="3"/>
      <c r="H530" s="3">
        <v>50</v>
      </c>
      <c r="I530" s="3">
        <v>43.5</v>
      </c>
      <c r="J530" s="6">
        <v>-0.45000000000000001</v>
      </c>
      <c r="K530" s="3">
        <f t="shared" si="131"/>
        <v>15747137.903120002</v>
      </c>
      <c r="L530" s="3">
        <f t="shared" si="132"/>
        <v>1.0858296482612813</v>
      </c>
      <c r="M530" s="3">
        <f t="shared" si="133"/>
        <v>17098709.210466683</v>
      </c>
      <c r="N530" s="3"/>
      <c r="O530" s="3"/>
      <c r="P530" s="3">
        <f t="shared" si="134"/>
        <v>0</v>
      </c>
      <c r="Q530" s="3">
        <f t="shared" si="135"/>
        <v>0</v>
      </c>
      <c r="R530" s="3">
        <f t="shared" si="136"/>
        <v>17098709.210466683</v>
      </c>
      <c r="S530" s="7">
        <f t="shared" si="130"/>
        <v>0</v>
      </c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65" outlineLevel="2">
      <c r="A531" s="9" t="s">
        <v>121</v>
      </c>
      <c r="B531" s="11" t="s">
        <v>104</v>
      </c>
      <c r="C531" s="10">
        <v>140326228.91</v>
      </c>
      <c r="F531" s="10">
        <v>140326228.91</v>
      </c>
      <c r="G531" s="3"/>
      <c r="H531" s="3">
        <v>50</v>
      </c>
      <c r="I531" s="3">
        <v>42.5</v>
      </c>
      <c r="J531" s="6">
        <v>-0.45000000000000001</v>
      </c>
      <c r="K531" s="3">
        <f t="shared" si="131"/>
        <v>30520954.787925005</v>
      </c>
      <c r="L531" s="3">
        <f t="shared" si="132"/>
        <v>1.0858296482612813</v>
      </c>
      <c r="M531" s="3">
        <f t="shared" si="133"/>
        <v>33140557.601971075</v>
      </c>
      <c r="N531" s="3"/>
      <c r="O531" s="3"/>
      <c r="P531" s="3">
        <f t="shared" si="134"/>
        <v>0</v>
      </c>
      <c r="Q531" s="3">
        <f t="shared" si="135"/>
        <v>0</v>
      </c>
      <c r="R531" s="3">
        <f t="shared" si="136"/>
        <v>33140557.601971075</v>
      </c>
      <c r="S531" s="7">
        <f t="shared" si="130"/>
        <v>0</v>
      </c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65" outlineLevel="2">
      <c r="A532" s="9" t="s">
        <v>121</v>
      </c>
      <c r="B532" s="11" t="s">
        <v>103</v>
      </c>
      <c r="C532" s="10">
        <v>94420265</v>
      </c>
      <c r="F532" s="10">
        <v>94420265</v>
      </c>
      <c r="G532" s="3"/>
      <c r="H532" s="3">
        <v>50</v>
      </c>
      <c r="I532" s="3">
        <v>41.5</v>
      </c>
      <c r="J532" s="6">
        <v>-0.45000000000000001</v>
      </c>
      <c r="K532" s="3">
        <f t="shared" si="131"/>
        <v>23274595.322500005</v>
      </c>
      <c r="L532" s="3">
        <f t="shared" si="132"/>
        <v>1.0858296482612813</v>
      </c>
      <c r="M532" s="3">
        <f t="shared" si="133"/>
        <v>25272245.652453844</v>
      </c>
      <c r="N532" s="3"/>
      <c r="O532" s="3"/>
      <c r="P532" s="3">
        <f t="shared" si="134"/>
        <v>0</v>
      </c>
      <c r="Q532" s="3">
        <f t="shared" si="135"/>
        <v>0</v>
      </c>
      <c r="R532" s="3">
        <f t="shared" si="136"/>
        <v>25272245.652453844</v>
      </c>
      <c r="S532" s="7">
        <f t="shared" si="130"/>
        <v>0</v>
      </c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65" outlineLevel="2">
      <c r="A533" s="9" t="s">
        <v>121</v>
      </c>
      <c r="B533" s="11" t="s">
        <v>102</v>
      </c>
      <c r="C533" s="10">
        <v>56354025.539999999</v>
      </c>
      <c r="F533" s="10">
        <v>56354025.539999999</v>
      </c>
      <c r="G533" s="3"/>
      <c r="H533" s="3">
        <v>50</v>
      </c>
      <c r="I533" s="3">
        <v>40.5</v>
      </c>
      <c r="J533" s="6">
        <v>-0.45000000000000001</v>
      </c>
      <c r="K533" s="3">
        <f t="shared" si="131"/>
        <v>15525534.036269995</v>
      </c>
      <c r="L533" s="3">
        <f t="shared" si="132"/>
        <v>1.0858296482612813</v>
      </c>
      <c r="M533" s="3">
        <f t="shared" si="133"/>
        <v>16858085.161671598</v>
      </c>
      <c r="N533" s="3"/>
      <c r="O533" s="3"/>
      <c r="P533" s="3">
        <f t="shared" si="134"/>
        <v>0</v>
      </c>
      <c r="Q533" s="3">
        <f t="shared" si="135"/>
        <v>0</v>
      </c>
      <c r="R533" s="3">
        <f t="shared" si="136"/>
        <v>16858085.161671598</v>
      </c>
      <c r="S533" s="7">
        <f t="shared" si="130"/>
        <v>0</v>
      </c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65" outlineLevel="2">
      <c r="A534" s="9" t="s">
        <v>121</v>
      </c>
      <c r="B534" s="11" t="s">
        <v>101</v>
      </c>
      <c r="C534" s="10">
        <v>134350659.25999999</v>
      </c>
      <c r="F534" s="10">
        <v>134350659.25999999</v>
      </c>
      <c r="G534" s="3"/>
      <c r="H534" s="3">
        <v>50</v>
      </c>
      <c r="I534" s="3">
        <v>39.5</v>
      </c>
      <c r="J534" s="6">
        <v>-0.45000000000000001</v>
      </c>
      <c r="K534" s="3">
        <f t="shared" si="131"/>
        <v>40909775.744669989</v>
      </c>
      <c r="L534" s="3">
        <f t="shared" si="132"/>
        <v>1.0858296482612813</v>
      </c>
      <c r="M534" s="3">
        <f t="shared" si="133"/>
        <v>44421047.407282911</v>
      </c>
      <c r="N534" s="3"/>
      <c r="O534" s="3"/>
      <c r="P534" s="3">
        <f t="shared" si="134"/>
        <v>0</v>
      </c>
      <c r="Q534" s="3">
        <f t="shared" si="135"/>
        <v>0</v>
      </c>
      <c r="R534" s="3">
        <f t="shared" si="136"/>
        <v>44421047.407282911</v>
      </c>
      <c r="S534" s="7">
        <f t="shared" si="130"/>
        <v>0</v>
      </c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65" outlineLevel="2">
      <c r="A535" s="9" t="s">
        <v>121</v>
      </c>
      <c r="B535" s="11" t="s">
        <v>100</v>
      </c>
      <c r="C535" s="10">
        <v>114107987.23</v>
      </c>
      <c r="F535" s="10">
        <v>114107987.23</v>
      </c>
      <c r="G535" s="3"/>
      <c r="H535" s="3">
        <v>50</v>
      </c>
      <c r="I535" s="3">
        <v>38.5</v>
      </c>
      <c r="J535" s="6">
        <v>-0.45000000000000001</v>
      </c>
      <c r="K535" s="3">
        <f t="shared" si="131"/>
        <v>38055013.741204999</v>
      </c>
      <c r="L535" s="3">
        <f t="shared" si="132"/>
        <v>1.0858296482612813</v>
      </c>
      <c r="M535" s="3">
        <f t="shared" si="133"/>
        <v>41321262.185190849</v>
      </c>
      <c r="N535" s="3"/>
      <c r="O535" s="3"/>
      <c r="P535" s="3">
        <f t="shared" si="134"/>
        <v>0</v>
      </c>
      <c r="Q535" s="3">
        <f t="shared" si="135"/>
        <v>0</v>
      </c>
      <c r="R535" s="3">
        <f t="shared" si="136"/>
        <v>41321262.185190849</v>
      </c>
      <c r="S535" s="7">
        <f t="shared" si="130"/>
        <v>0</v>
      </c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65" outlineLevel="2">
      <c r="A536" s="9" t="s">
        <v>121</v>
      </c>
      <c r="B536" s="11" t="s">
        <v>99</v>
      </c>
      <c r="C536" s="10">
        <v>42619419.549999997</v>
      </c>
      <c r="F536" s="10">
        <v>42619419.549999997</v>
      </c>
      <c r="G536" s="3"/>
      <c r="H536" s="3">
        <v>50</v>
      </c>
      <c r="I536" s="3">
        <v>37.5</v>
      </c>
      <c r="J536" s="6">
        <v>-0.45000000000000001</v>
      </c>
      <c r="K536" s="3">
        <f t="shared" si="131"/>
        <v>15449539.586874999</v>
      </c>
      <c r="L536" s="3">
        <f t="shared" si="132"/>
        <v>1.0858296482612813</v>
      </c>
      <c r="M536" s="3">
        <f t="shared" si="133"/>
        <v>16775568.135415221</v>
      </c>
      <c r="N536" s="3"/>
      <c r="O536" s="3"/>
      <c r="P536" s="3">
        <f t="shared" si="134"/>
        <v>0</v>
      </c>
      <c r="Q536" s="3">
        <f t="shared" si="135"/>
        <v>0</v>
      </c>
      <c r="R536" s="3">
        <f t="shared" si="136"/>
        <v>16775568.135415221</v>
      </c>
      <c r="S536" s="7">
        <f t="shared" si="130"/>
        <v>0</v>
      </c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65" outlineLevel="2">
      <c r="A537" s="9" t="s">
        <v>121</v>
      </c>
      <c r="B537" s="11" t="s">
        <v>98</v>
      </c>
      <c r="C537" s="10">
        <v>42591436.369999997</v>
      </c>
      <c r="F537" s="10">
        <v>42591436.369999997</v>
      </c>
      <c r="G537" s="3"/>
      <c r="H537" s="3">
        <v>50</v>
      </c>
      <c r="I537" s="3">
        <v>36.5</v>
      </c>
      <c r="J537" s="6">
        <v>-0.45000000000000001</v>
      </c>
      <c r="K537" s="3">
        <f t="shared" si="131"/>
        <v>16674547.338855</v>
      </c>
      <c r="L537" s="3">
        <f t="shared" si="132"/>
        <v>1.0858296482612813</v>
      </c>
      <c r="M537" s="3">
        <f t="shared" si="133"/>
        <v>18105717.871865008</v>
      </c>
      <c r="N537" s="3"/>
      <c r="O537" s="3"/>
      <c r="P537" s="3">
        <f t="shared" si="134"/>
        <v>0</v>
      </c>
      <c r="Q537" s="3">
        <f t="shared" si="135"/>
        <v>0</v>
      </c>
      <c r="R537" s="3">
        <f t="shared" si="136"/>
        <v>18105717.871865008</v>
      </c>
      <c r="S537" s="7">
        <f t="shared" si="130"/>
        <v>0</v>
      </c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65" outlineLevel="2">
      <c r="A538" s="9" t="s">
        <v>121</v>
      </c>
      <c r="B538" s="11" t="s">
        <v>97</v>
      </c>
      <c r="C538" s="10">
        <v>49760458.609999999</v>
      </c>
      <c r="F538" s="10">
        <v>49760458.609999999</v>
      </c>
      <c r="G538" s="3"/>
      <c r="H538" s="3">
        <v>50</v>
      </c>
      <c r="I538" s="3">
        <v>35.5</v>
      </c>
      <c r="J538" s="6">
        <v>-0.45000000000000001</v>
      </c>
      <c r="K538" s="3">
        <f t="shared" si="131"/>
        <v>20924272.845505003</v>
      </c>
      <c r="L538" s="3">
        <f t="shared" si="132"/>
        <v>1.0858296482612813</v>
      </c>
      <c r="M538" s="3">
        <f t="shared" si="133"/>
        <v>22720195.823957775</v>
      </c>
      <c r="N538" s="3"/>
      <c r="O538" s="3"/>
      <c r="P538" s="3">
        <f t="shared" si="134"/>
        <v>0</v>
      </c>
      <c r="Q538" s="3">
        <f t="shared" si="135"/>
        <v>0</v>
      </c>
      <c r="R538" s="3">
        <f t="shared" si="136"/>
        <v>22720195.823957775</v>
      </c>
      <c r="S538" s="7">
        <f t="shared" si="130"/>
        <v>0</v>
      </c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65" outlineLevel="2">
      <c r="A539" s="9" t="s">
        <v>121</v>
      </c>
      <c r="B539" s="11" t="s">
        <v>96</v>
      </c>
      <c r="C539" s="10">
        <v>113738784.81</v>
      </c>
      <c r="F539" s="10">
        <v>113738784.81</v>
      </c>
      <c r="G539" s="3"/>
      <c r="H539" s="3">
        <v>50</v>
      </c>
      <c r="I539" s="3">
        <v>34.5</v>
      </c>
      <c r="J539" s="6">
        <v>-0.45000000000000001</v>
      </c>
      <c r="K539" s="3">
        <f t="shared" si="131"/>
        <v>51125583.77209501</v>
      </c>
      <c r="L539" s="3">
        <f t="shared" si="132"/>
        <v>1.0858296482612813</v>
      </c>
      <c r="M539" s="3">
        <f t="shared" si="133"/>
        <v>55513674.644406594</v>
      </c>
      <c r="N539" s="3"/>
      <c r="O539" s="3"/>
      <c r="P539" s="3">
        <f t="shared" si="134"/>
        <v>0</v>
      </c>
      <c r="Q539" s="3">
        <f t="shared" si="135"/>
        <v>0</v>
      </c>
      <c r="R539" s="3">
        <f t="shared" si="136"/>
        <v>55513674.644406594</v>
      </c>
      <c r="S539" s="7">
        <f t="shared" si="130"/>
        <v>0</v>
      </c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65" outlineLevel="2">
      <c r="A540" s="9" t="s">
        <v>121</v>
      </c>
      <c r="B540" s="11" t="s">
        <v>95</v>
      </c>
      <c r="C540" s="10">
        <v>55273358.039999999</v>
      </c>
      <c r="F540" s="10">
        <v>55273358.039999999</v>
      </c>
      <c r="G540" s="3"/>
      <c r="H540" s="3">
        <v>50</v>
      </c>
      <c r="I540" s="3">
        <v>33.5</v>
      </c>
      <c r="J540" s="6">
        <v>-0.45000000000000001</v>
      </c>
      <c r="K540" s="3">
        <f t="shared" si="131"/>
        <v>26448301.822139993</v>
      </c>
      <c r="L540" s="3">
        <f t="shared" si="132"/>
        <v>1.0858296482612813</v>
      </c>
      <c r="M540" s="3">
        <f t="shared" si="133"/>
        <v>28718350.264642473</v>
      </c>
      <c r="N540" s="3"/>
      <c r="O540" s="3"/>
      <c r="P540" s="3">
        <f t="shared" si="134"/>
        <v>0</v>
      </c>
      <c r="Q540" s="3">
        <f t="shared" si="135"/>
        <v>0</v>
      </c>
      <c r="R540" s="3">
        <f t="shared" si="136"/>
        <v>28718350.264642473</v>
      </c>
      <c r="S540" s="7">
        <f t="shared" si="130"/>
        <v>0</v>
      </c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65" outlineLevel="2">
      <c r="A541" s="9" t="s">
        <v>121</v>
      </c>
      <c r="B541" s="11" t="s">
        <v>94</v>
      </c>
      <c r="C541" s="10">
        <v>63060728.100000001</v>
      </c>
      <c r="F541" s="10">
        <v>63060728.100000001</v>
      </c>
      <c r="G541" s="3"/>
      <c r="H541" s="3">
        <v>50</v>
      </c>
      <c r="I541" s="3">
        <v>32.5</v>
      </c>
      <c r="J541" s="6">
        <v>-0.45000000000000001</v>
      </c>
      <c r="K541" s="3">
        <f t="shared" si="131"/>
        <v>32003319.510749999</v>
      </c>
      <c r="L541" s="3">
        <f t="shared" si="132"/>
        <v>1.0858296482612813</v>
      </c>
      <c r="M541" s="3">
        <f t="shared" si="133"/>
        <v>34750153.16755107</v>
      </c>
      <c r="N541" s="3"/>
      <c r="O541" s="3"/>
      <c r="P541" s="3">
        <f t="shared" si="134"/>
        <v>0</v>
      </c>
      <c r="Q541" s="3">
        <f t="shared" si="135"/>
        <v>0</v>
      </c>
      <c r="R541" s="3">
        <f t="shared" si="136"/>
        <v>34750153.16755107</v>
      </c>
      <c r="S541" s="7">
        <f t="shared" si="130"/>
        <v>0</v>
      </c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65" outlineLevel="2">
      <c r="A542" s="9" t="s">
        <v>121</v>
      </c>
      <c r="B542" s="11" t="s">
        <v>93</v>
      </c>
      <c r="C542" s="10">
        <v>30594009.550000001</v>
      </c>
      <c r="F542" s="10">
        <v>30594009.550000001</v>
      </c>
      <c r="G542" s="3"/>
      <c r="H542" s="3">
        <v>50</v>
      </c>
      <c r="I542" s="3">
        <v>31.5</v>
      </c>
      <c r="J542" s="6">
        <v>-0.45000000000000001</v>
      </c>
      <c r="K542" s="3">
        <f t="shared" si="131"/>
        <v>16413686.123575</v>
      </c>
      <c r="L542" s="3">
        <f t="shared" si="132"/>
        <v>1.0858296482612813</v>
      </c>
      <c r="M542" s="3">
        <f t="shared" si="133"/>
        <v>17822467.030232515</v>
      </c>
      <c r="N542" s="3"/>
      <c r="O542" s="3"/>
      <c r="P542" s="3">
        <f t="shared" si="134"/>
        <v>0</v>
      </c>
      <c r="Q542" s="3">
        <f t="shared" si="135"/>
        <v>0</v>
      </c>
      <c r="R542" s="3">
        <f t="shared" si="136"/>
        <v>17822467.030232515</v>
      </c>
      <c r="S542" s="7">
        <f t="shared" si="130"/>
        <v>0</v>
      </c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65" outlineLevel="2">
      <c r="A543" s="9" t="s">
        <v>121</v>
      </c>
      <c r="B543" s="11" t="s">
        <v>92</v>
      </c>
      <c r="C543" s="10">
        <v>42185979.18</v>
      </c>
      <c r="F543" s="10">
        <v>42185979.18</v>
      </c>
      <c r="G543" s="3"/>
      <c r="H543" s="3">
        <v>50</v>
      </c>
      <c r="I543" s="3">
        <v>30.5</v>
      </c>
      <c r="J543" s="6">
        <v>-0.45000000000000001</v>
      </c>
      <c r="K543" s="3">
        <f t="shared" si="131"/>
        <v>23856171.226289999</v>
      </c>
      <c r="L543" s="3">
        <f t="shared" si="132"/>
        <v>1.0858296482612813</v>
      </c>
      <c r="M543" s="3">
        <f t="shared" si="133"/>
        <v>25903738.011503369</v>
      </c>
      <c r="N543" s="3"/>
      <c r="O543" s="3"/>
      <c r="P543" s="3">
        <f t="shared" si="134"/>
        <v>0</v>
      </c>
      <c r="Q543" s="3">
        <f t="shared" si="135"/>
        <v>0</v>
      </c>
      <c r="R543" s="3">
        <f t="shared" si="136"/>
        <v>25903738.011503369</v>
      </c>
      <c r="S543" s="7">
        <f t="shared" si="130"/>
        <v>0</v>
      </c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65" outlineLevel="2">
      <c r="A544" s="9" t="s">
        <v>121</v>
      </c>
      <c r="B544" s="11" t="s">
        <v>91</v>
      </c>
      <c r="C544" s="10">
        <v>46713441.18</v>
      </c>
      <c r="F544" s="10">
        <v>46713441.18</v>
      </c>
      <c r="G544" s="3"/>
      <c r="H544" s="3">
        <v>50</v>
      </c>
      <c r="I544" s="3">
        <v>29.5</v>
      </c>
      <c r="J544" s="6">
        <v>-0.45000000000000001</v>
      </c>
      <c r="K544" s="3">
        <f t="shared" si="131"/>
        <v>27771140.781509999</v>
      </c>
      <c r="L544" s="3">
        <f t="shared" si="132"/>
        <v>1.0858296482612813</v>
      </c>
      <c r="M544" s="3">
        <f t="shared" si="133"/>
        <v>30154728.026601527</v>
      </c>
      <c r="N544" s="3"/>
      <c r="O544" s="3"/>
      <c r="P544" s="3">
        <f t="shared" si="134"/>
        <v>0</v>
      </c>
      <c r="Q544" s="3">
        <f t="shared" si="135"/>
        <v>0</v>
      </c>
      <c r="R544" s="3">
        <f t="shared" si="136"/>
        <v>30154728.026601527</v>
      </c>
      <c r="S544" s="7">
        <f t="shared" si="130"/>
        <v>0</v>
      </c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65" outlineLevel="2">
      <c r="A545" s="9" t="s">
        <v>121</v>
      </c>
      <c r="B545" s="11" t="s">
        <v>90</v>
      </c>
      <c r="C545" s="10">
        <v>22900772.620000001</v>
      </c>
      <c r="F545" s="10">
        <v>22900772.620000001</v>
      </c>
      <c r="G545" s="3"/>
      <c r="H545" s="3">
        <v>50</v>
      </c>
      <c r="I545" s="3">
        <v>28.5</v>
      </c>
      <c r="J545" s="6">
        <v>-0.45000000000000001</v>
      </c>
      <c r="K545" s="3">
        <f t="shared" si="131"/>
        <v>14278631.728570003</v>
      </c>
      <c r="L545" s="3">
        <f t="shared" si="132"/>
        <v>1.0858296482612813</v>
      </c>
      <c r="M545" s="3">
        <f t="shared" si="133"/>
        <v>15504161.667485537</v>
      </c>
      <c r="N545" s="3"/>
      <c r="O545" s="3"/>
      <c r="P545" s="3">
        <f t="shared" si="134"/>
        <v>0</v>
      </c>
      <c r="Q545" s="3">
        <f t="shared" si="135"/>
        <v>0</v>
      </c>
      <c r="R545" s="3">
        <f t="shared" si="136"/>
        <v>15504161.667485537</v>
      </c>
      <c r="S545" s="7">
        <f t="shared" si="130"/>
        <v>0</v>
      </c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65" outlineLevel="2">
      <c r="A546" s="9" t="s">
        <v>121</v>
      </c>
      <c r="B546" s="11" t="s">
        <v>89</v>
      </c>
      <c r="C546" s="10">
        <v>2616381.4500000002</v>
      </c>
      <c r="F546" s="10">
        <v>2616381.4500000002</v>
      </c>
      <c r="G546" s="3"/>
      <c r="H546" s="3">
        <v>50</v>
      </c>
      <c r="I546" s="3">
        <v>27.5</v>
      </c>
      <c r="J546" s="6">
        <v>-0.45000000000000001</v>
      </c>
      <c r="K546" s="3">
        <f t="shared" si="131"/>
        <v>1707188.896125</v>
      </c>
      <c r="L546" s="3">
        <f t="shared" si="132"/>
        <v>1.0858296482612813</v>
      </c>
      <c r="M546" s="3">
        <f t="shared" si="133"/>
        <v>1853716.3185949738</v>
      </c>
      <c r="N546" s="3"/>
      <c r="O546" s="3"/>
      <c r="P546" s="3">
        <f t="shared" si="134"/>
        <v>0</v>
      </c>
      <c r="Q546" s="3">
        <f t="shared" si="135"/>
        <v>0</v>
      </c>
      <c r="R546" s="3">
        <f t="shared" si="136"/>
        <v>1853716.3185949738</v>
      </c>
      <c r="S546" s="7">
        <f t="shared" si="130"/>
        <v>0</v>
      </c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65" outlineLevel="2">
      <c r="A547" s="9" t="s">
        <v>121</v>
      </c>
      <c r="B547" s="11" t="s">
        <v>88</v>
      </c>
      <c r="C547" s="10">
        <v>4283146.96</v>
      </c>
      <c r="F547" s="10">
        <v>4283146.96</v>
      </c>
      <c r="G547" s="3"/>
      <c r="H547" s="3">
        <v>50</v>
      </c>
      <c r="I547" s="3">
        <v>26.500005000000002</v>
      </c>
      <c r="J547" s="6">
        <v>-0.45000000000000001</v>
      </c>
      <c r="K547" s="3">
        <f t="shared" si="131"/>
        <v>2918964.03218369</v>
      </c>
      <c r="L547" s="3">
        <f t="shared" si="132"/>
        <v>1.0858296482612813</v>
      </c>
      <c r="M547" s="3">
        <f t="shared" si="133"/>
        <v>3169497.6883533476</v>
      </c>
      <c r="N547" s="3"/>
      <c r="O547" s="3"/>
      <c r="P547" s="3">
        <f t="shared" si="134"/>
        <v>0</v>
      </c>
      <c r="Q547" s="3">
        <f t="shared" si="135"/>
        <v>0</v>
      </c>
      <c r="R547" s="3">
        <f t="shared" si="136"/>
        <v>3169497.6883533476</v>
      </c>
      <c r="S547" s="7">
        <f t="shared" si="130"/>
        <v>0</v>
      </c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65" outlineLevel="2">
      <c r="A548" s="9" t="s">
        <v>121</v>
      </c>
      <c r="B548" s="11" t="s">
        <v>87</v>
      </c>
      <c r="C548" s="10">
        <v>11093348.27</v>
      </c>
      <c r="F548" s="10">
        <v>11093348.27</v>
      </c>
      <c r="G548" s="3"/>
      <c r="H548" s="3">
        <v>50</v>
      </c>
      <c r="I548" s="3">
        <v>25.500018000000001</v>
      </c>
      <c r="J548" s="6">
        <v>-0.45000000000000001</v>
      </c>
      <c r="K548" s="3">
        <f t="shared" si="131"/>
        <v>7881818.155107202</v>
      </c>
      <c r="L548" s="3">
        <f t="shared" si="132"/>
        <v>1.0858296482612813</v>
      </c>
      <c r="M548" s="3">
        <f t="shared" si="133"/>
        <v>8558311.8350194339</v>
      </c>
      <c r="N548" s="3"/>
      <c r="O548" s="3"/>
      <c r="P548" s="3">
        <f t="shared" si="134"/>
        <v>0</v>
      </c>
      <c r="Q548" s="3">
        <f t="shared" si="135"/>
        <v>0</v>
      </c>
      <c r="R548" s="3">
        <f t="shared" si="136"/>
        <v>8558311.8350194339</v>
      </c>
      <c r="S548" s="7">
        <f t="shared" si="130"/>
        <v>0</v>
      </c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65" outlineLevel="2">
      <c r="A549" s="9" t="s">
        <v>121</v>
      </c>
      <c r="B549" s="11" t="s">
        <v>86</v>
      </c>
      <c r="C549" s="10">
        <v>1264548.98</v>
      </c>
      <c r="F549" s="10">
        <v>1264548.98</v>
      </c>
      <c r="G549" s="3"/>
      <c r="H549" s="3">
        <v>50</v>
      </c>
      <c r="I549" s="3">
        <v>24.500060999999999</v>
      </c>
      <c r="J549" s="6">
        <v>-0.45000000000000001</v>
      </c>
      <c r="K549" s="3">
        <f t="shared" si="131"/>
        <v>935131.73372285452</v>
      </c>
      <c r="L549" s="3">
        <f t="shared" si="132"/>
        <v>1.0858296482612813</v>
      </c>
      <c r="M549" s="3">
        <f t="shared" si="133"/>
        <v>1015393.7615062492</v>
      </c>
      <c r="N549" s="3"/>
      <c r="O549" s="3"/>
      <c r="P549" s="3">
        <f t="shared" si="134"/>
        <v>0</v>
      </c>
      <c r="Q549" s="3">
        <f t="shared" si="135"/>
        <v>0</v>
      </c>
      <c r="R549" s="3">
        <f t="shared" si="136"/>
        <v>1015393.7615062492</v>
      </c>
      <c r="S549" s="7">
        <f t="shared" si="130"/>
        <v>0</v>
      </c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65" outlineLevel="2">
      <c r="A550" s="9" t="s">
        <v>121</v>
      </c>
      <c r="B550" s="11" t="s">
        <v>85</v>
      </c>
      <c r="C550" s="10">
        <v>919616.93000000005</v>
      </c>
      <c r="F550" s="10">
        <v>919616.93000000005</v>
      </c>
      <c r="G550" s="3"/>
      <c r="H550" s="3">
        <v>50</v>
      </c>
      <c r="I550" s="3">
        <v>23.500176</v>
      </c>
      <c r="J550" s="6">
        <v>-0.45000000000000001</v>
      </c>
      <c r="K550" s="3">
        <f t="shared" si="131"/>
        <v>706720.91698018927</v>
      </c>
      <c r="L550" s="3">
        <f t="shared" si="132"/>
        <v>1.0858296482612813</v>
      </c>
      <c r="M550" s="3">
        <f t="shared" si="133"/>
        <v>767378.52470348903</v>
      </c>
      <c r="N550" s="3"/>
      <c r="O550" s="3"/>
      <c r="P550" s="3">
        <f t="shared" si="134"/>
        <v>0</v>
      </c>
      <c r="Q550" s="3">
        <f t="shared" si="135"/>
        <v>0</v>
      </c>
      <c r="R550" s="3">
        <f t="shared" si="136"/>
        <v>767378.52470348903</v>
      </c>
      <c r="S550" s="7">
        <f t="shared" si="130"/>
        <v>0</v>
      </c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65" outlineLevel="2">
      <c r="A551" s="9" t="s">
        <v>121</v>
      </c>
      <c r="B551" s="11" t="s">
        <v>84</v>
      </c>
      <c r="C551" s="10">
        <v>4885002.7000000002</v>
      </c>
      <c r="F551" s="10">
        <v>4885002.7000000002</v>
      </c>
      <c r="G551" s="3"/>
      <c r="H551" s="3">
        <v>50</v>
      </c>
      <c r="I551" s="3">
        <v>22.500464000000001</v>
      </c>
      <c r="J551" s="6">
        <v>-0.45000000000000001</v>
      </c>
      <c r="K551" s="3">
        <f t="shared" si="131"/>
        <v>3895723.9206536696</v>
      </c>
      <c r="L551" s="3">
        <f t="shared" si="132"/>
        <v>1.0858296482612813</v>
      </c>
      <c r="M551" s="3">
        <f t="shared" si="133"/>
        <v>4230092.5344864335</v>
      </c>
      <c r="N551" s="3"/>
      <c r="O551" s="3"/>
      <c r="P551" s="3">
        <f t="shared" si="134"/>
        <v>0</v>
      </c>
      <c r="Q551" s="3">
        <f t="shared" si="135"/>
        <v>0</v>
      </c>
      <c r="R551" s="3">
        <f t="shared" si="136"/>
        <v>4230092.5344864335</v>
      </c>
      <c r="S551" s="7">
        <f t="shared" si="130"/>
        <v>0</v>
      </c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65" outlineLevel="2">
      <c r="A552" s="9" t="s">
        <v>121</v>
      </c>
      <c r="B552" s="11" t="s">
        <v>83</v>
      </c>
      <c r="C552" s="10">
        <v>1950632.8600000001</v>
      </c>
      <c r="F552" s="10">
        <v>1950632.8600000001</v>
      </c>
      <c r="G552" s="3"/>
      <c r="H552" s="3">
        <v>50</v>
      </c>
      <c r="I552" s="3">
        <v>21.501124000000001</v>
      </c>
      <c r="J552" s="6">
        <v>-0.45000000000000001</v>
      </c>
      <c r="K552" s="3">
        <f t="shared" si="131"/>
        <v>1612134.4759612952</v>
      </c>
      <c r="L552" s="3">
        <f t="shared" si="132"/>
        <v>1.0858296482612813</v>
      </c>
      <c r="M552" s="3">
        <f t="shared" si="133"/>
        <v>1750503.4109829383</v>
      </c>
      <c r="N552" s="3"/>
      <c r="O552" s="3"/>
      <c r="P552" s="3">
        <f t="shared" si="134"/>
        <v>0</v>
      </c>
      <c r="Q552" s="3">
        <f t="shared" si="135"/>
        <v>0</v>
      </c>
      <c r="R552" s="3">
        <f t="shared" si="136"/>
        <v>1750503.4109829383</v>
      </c>
      <c r="S552" s="7">
        <f t="shared" si="130"/>
        <v>0</v>
      </c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65" outlineLevel="2">
      <c r="A553" s="9" t="s">
        <v>121</v>
      </c>
      <c r="B553" s="11" t="s">
        <v>82</v>
      </c>
      <c r="C553" s="10">
        <v>3933895.1200000001</v>
      </c>
      <c r="F553" s="10">
        <v>3933895.1200000001</v>
      </c>
      <c r="G553" s="3"/>
      <c r="H553" s="3">
        <v>50</v>
      </c>
      <c r="I553" s="3">
        <v>20.502535000000002</v>
      </c>
      <c r="J553" s="6">
        <v>-0.45000000000000001</v>
      </c>
      <c r="K553" s="3">
        <f t="shared" si="131"/>
        <v>3365158.0748602529</v>
      </c>
      <c r="L553" s="3">
        <f t="shared" si="132"/>
        <v>1.0858296482612813</v>
      </c>
      <c r="M553" s="3">
        <f t="shared" si="133"/>
        <v>3653988.4087691186</v>
      </c>
      <c r="N553" s="3"/>
      <c r="O553" s="3"/>
      <c r="P553" s="3">
        <f t="shared" si="134"/>
        <v>0</v>
      </c>
      <c r="Q553" s="3">
        <f t="shared" si="135"/>
        <v>0</v>
      </c>
      <c r="R553" s="3">
        <f t="shared" si="136"/>
        <v>3653988.4087691186</v>
      </c>
      <c r="S553" s="7">
        <f t="shared" si="130"/>
        <v>0</v>
      </c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65" outlineLevel="2">
      <c r="A554" s="9" t="s">
        <v>121</v>
      </c>
      <c r="B554" s="11" t="s">
        <v>81</v>
      </c>
      <c r="C554" s="10">
        <v>6918470.1900000004</v>
      </c>
      <c r="F554" s="10">
        <v>6918470.1900000004</v>
      </c>
      <c r="G554" s="3"/>
      <c r="H554" s="3">
        <v>50</v>
      </c>
      <c r="I554" s="3">
        <v>19.505362000000002</v>
      </c>
      <c r="J554" s="6">
        <v>-0.45000000000000001</v>
      </c>
      <c r="K554" s="3">
        <f t="shared" si="131"/>
        <v>6118311.0747773945</v>
      </c>
      <c r="L554" s="3">
        <f t="shared" si="132"/>
        <v>1.0858296482612813</v>
      </c>
      <c r="M554" s="3">
        <f t="shared" si="133"/>
        <v>6643443.5622786395</v>
      </c>
      <c r="N554" s="3"/>
      <c r="O554" s="3"/>
      <c r="P554" s="3">
        <f t="shared" si="134"/>
        <v>0</v>
      </c>
      <c r="Q554" s="3">
        <f t="shared" si="135"/>
        <v>0</v>
      </c>
      <c r="R554" s="3">
        <f t="shared" si="136"/>
        <v>6643443.5622786395</v>
      </c>
      <c r="S554" s="7">
        <f t="shared" si="130"/>
        <v>0</v>
      </c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65" outlineLevel="2">
      <c r="A555" s="9" t="s">
        <v>121</v>
      </c>
      <c r="B555" s="11" t="s">
        <v>80</v>
      </c>
      <c r="C555" s="10">
        <v>5648454.1299999999</v>
      </c>
      <c r="F555" s="10">
        <v>5648454.1299999999</v>
      </c>
      <c r="G555" s="3"/>
      <c r="H555" s="3">
        <v>50</v>
      </c>
      <c r="I555" s="3">
        <v>18.510683</v>
      </c>
      <c r="J555" s="6">
        <v>-0.45000000000000001</v>
      </c>
      <c r="K555" s="3">
        <f t="shared" si="131"/>
        <v>5158112.9171263464</v>
      </c>
      <c r="L555" s="3">
        <f t="shared" si="132"/>
        <v>1.0858296482612813</v>
      </c>
      <c r="M555" s="3">
        <f t="shared" si="133"/>
        <v>5600831.9344952721</v>
      </c>
      <c r="N555" s="3"/>
      <c r="O555" s="3"/>
      <c r="P555" s="3">
        <f t="shared" si="134"/>
        <v>0</v>
      </c>
      <c r="Q555" s="3">
        <f t="shared" si="135"/>
        <v>0</v>
      </c>
      <c r="R555" s="3">
        <f t="shared" si="136"/>
        <v>5600831.9344952721</v>
      </c>
      <c r="S555" s="7">
        <f t="shared" si="130"/>
        <v>0</v>
      </c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65" outlineLevel="2">
      <c r="A556" s="9" t="s">
        <v>121</v>
      </c>
      <c r="B556" s="11" t="s">
        <v>79</v>
      </c>
      <c r="C556" s="10">
        <v>9671389.0999999996</v>
      </c>
      <c r="F556" s="10">
        <v>9671389.0999999996</v>
      </c>
      <c r="G556" s="3"/>
      <c r="H556" s="3">
        <v>50</v>
      </c>
      <c r="I556" s="3">
        <v>17.520144999999999</v>
      </c>
      <c r="J556" s="6">
        <v>-0.45000000000000001</v>
      </c>
      <c r="K556" s="3">
        <f t="shared" si="137" ref="K556:K587">+C556*(1-I556/H556)*(1-J556)</f>
        <v>9109634.1528808344</v>
      </c>
      <c r="L556" s="3">
        <f t="shared" si="138" ref="L556:L587">$L$618</f>
        <v>1.0858296482612813</v>
      </c>
      <c r="M556" s="3">
        <f t="shared" si="139" ref="M556:M587">IF((C556*(1-J556)-K556*L556)&lt;0,C556*(1-J556),K556*L556)</f>
        <v>9891510.8480115514</v>
      </c>
      <c r="N556" s="3"/>
      <c r="O556" s="3"/>
      <c r="P556" s="3">
        <f t="shared" si="140" ref="P556:P587">+D556/$C556*$M556</f>
        <v>0</v>
      </c>
      <c r="Q556" s="3">
        <f t="shared" si="141" ref="Q556:Q587">+E556/$C556*$M556</f>
        <v>0</v>
      </c>
      <c r="R556" s="3">
        <f t="shared" si="142" ref="R556:R587">+F556/$C556*$M556</f>
        <v>9891510.8480115514</v>
      </c>
      <c r="S556" s="7">
        <f t="shared" si="130"/>
        <v>0</v>
      </c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65" outlineLevel="2">
      <c r="A557" s="9" t="s">
        <v>121</v>
      </c>
      <c r="B557" s="11" t="s">
        <v>78</v>
      </c>
      <c r="C557" s="10">
        <v>5393066.0199999996</v>
      </c>
      <c r="F557" s="10">
        <v>5393066.0199999996</v>
      </c>
      <c r="G557" s="3"/>
      <c r="H557" s="3">
        <v>50</v>
      </c>
      <c r="I557" s="3">
        <v>16.536107999999999</v>
      </c>
      <c r="J557" s="6">
        <v>-0.45000000000000001</v>
      </c>
      <c r="K557" s="3">
        <f t="shared" si="137"/>
        <v>5233716.3864223454</v>
      </c>
      <c r="L557" s="3">
        <f t="shared" si="138"/>
        <v>1.0858296482612813</v>
      </c>
      <c r="M557" s="3">
        <f t="shared" si="139"/>
        <v>5682924.4229682796</v>
      </c>
      <c r="N557" s="3"/>
      <c r="O557" s="3"/>
      <c r="P557" s="3">
        <f t="shared" si="140"/>
        <v>0</v>
      </c>
      <c r="Q557" s="3">
        <f t="shared" si="141"/>
        <v>0</v>
      </c>
      <c r="R557" s="3">
        <f t="shared" si="142"/>
        <v>5682924.4229682796</v>
      </c>
      <c r="S557" s="7">
        <f t="shared" si="130"/>
        <v>0</v>
      </c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65" outlineLevel="2">
      <c r="A558" s="9" t="s">
        <v>121</v>
      </c>
      <c r="B558" s="11" t="s">
        <v>77</v>
      </c>
      <c r="C558" s="10">
        <v>6157661.5</v>
      </c>
      <c r="F558" s="10">
        <v>6157661.5</v>
      </c>
      <c r="G558" s="3"/>
      <c r="H558" s="3">
        <v>50</v>
      </c>
      <c r="I558" s="3">
        <v>15.561737000000001</v>
      </c>
      <c r="J558" s="6">
        <v>-0.45000000000000001</v>
      </c>
      <c r="K558" s="3">
        <f t="shared" si="137"/>
        <v>6149715.8198572602</v>
      </c>
      <c r="L558" s="3">
        <f t="shared" si="138"/>
        <v>1.0858296482612813</v>
      </c>
      <c r="M558" s="3">
        <f t="shared" si="139"/>
        <v>6677543.765582446</v>
      </c>
      <c r="N558" s="3"/>
      <c r="O558" s="3"/>
      <c r="P558" s="3">
        <f t="shared" si="140"/>
        <v>0</v>
      </c>
      <c r="Q558" s="3">
        <f t="shared" si="141"/>
        <v>0</v>
      </c>
      <c r="R558" s="3">
        <f t="shared" si="142"/>
        <v>6677543.765582446</v>
      </c>
      <c r="S558" s="7">
        <f t="shared" si="130"/>
        <v>0</v>
      </c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65" outlineLevel="2">
      <c r="A559" s="9" t="s">
        <v>121</v>
      </c>
      <c r="B559" s="11" t="s">
        <v>76</v>
      </c>
      <c r="C559" s="10">
        <v>9881491.7899999991</v>
      </c>
      <c r="F559" s="10">
        <v>9881491.7899999991</v>
      </c>
      <c r="G559" s="3"/>
      <c r="H559" s="3">
        <v>50</v>
      </c>
      <c r="I559" s="3">
        <v>14.601039999999999</v>
      </c>
      <c r="J559" s="6">
        <v>-0.45000000000000001</v>
      </c>
      <c r="K559" s="3">
        <f t="shared" si="137"/>
        <v>10144041.445821613</v>
      </c>
      <c r="L559" s="3">
        <f t="shared" si="138"/>
        <v>1.0858296482612813</v>
      </c>
      <c r="M559" s="3">
        <f t="shared" si="139"/>
        <v>11014700.955064341</v>
      </c>
      <c r="N559" s="3"/>
      <c r="O559" s="3"/>
      <c r="P559" s="3">
        <f t="shared" si="140"/>
        <v>0</v>
      </c>
      <c r="Q559" s="3">
        <f t="shared" si="141"/>
        <v>0</v>
      </c>
      <c r="R559" s="3">
        <f t="shared" si="142"/>
        <v>11014700.955064341</v>
      </c>
      <c r="S559" s="7">
        <f t="shared" si="130"/>
        <v>0</v>
      </c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65" outlineLevel="2">
      <c r="A560" s="9" t="s">
        <v>121</v>
      </c>
      <c r="B560" s="11" t="s">
        <v>75</v>
      </c>
      <c r="C560" s="10">
        <v>9902634.5</v>
      </c>
      <c r="F560" s="10">
        <v>9902634.5</v>
      </c>
      <c r="G560" s="3"/>
      <c r="H560" s="3">
        <v>50</v>
      </c>
      <c r="I560" s="3">
        <v>13.658775</v>
      </c>
      <c r="J560" s="6">
        <v>-0.45000000000000001</v>
      </c>
      <c r="K560" s="3">
        <f t="shared" si="137"/>
        <v>10436342.185260613</v>
      </c>
      <c r="L560" s="3">
        <f t="shared" si="138"/>
        <v>1.0858296482612813</v>
      </c>
      <c r="M560" s="3">
        <f t="shared" si="139"/>
        <v>11332089.764155902</v>
      </c>
      <c r="N560" s="3"/>
      <c r="O560" s="3"/>
      <c r="P560" s="3">
        <f t="shared" si="140"/>
        <v>0</v>
      </c>
      <c r="Q560" s="3">
        <f t="shared" si="141"/>
        <v>0</v>
      </c>
      <c r="R560" s="3">
        <f t="shared" si="142"/>
        <v>11332089.764155902</v>
      </c>
      <c r="S560" s="7">
        <f t="shared" si="130"/>
        <v>0</v>
      </c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65" outlineLevel="2">
      <c r="A561" s="9" t="s">
        <v>121</v>
      </c>
      <c r="B561" s="11" t="s">
        <v>74</v>
      </c>
      <c r="C561" s="10">
        <v>43648671.280000001</v>
      </c>
      <c r="F561" s="10">
        <v>43648671.280000001</v>
      </c>
      <c r="G561" s="3"/>
      <c r="H561" s="3">
        <v>50</v>
      </c>
      <c r="I561" s="3">
        <v>12.740252999999999</v>
      </c>
      <c r="J561" s="6">
        <v>-0.45000000000000001</v>
      </c>
      <c r="K561" s="3">
        <f t="shared" si="137"/>
        <v>47163815.014590017</v>
      </c>
      <c r="L561" s="3">
        <f t="shared" si="138"/>
        <v>1.0858296482612813</v>
      </c>
      <c r="M561" s="3">
        <f t="shared" si="139"/>
        <v>51211868.667952411</v>
      </c>
      <c r="N561" s="3"/>
      <c r="O561" s="3"/>
      <c r="P561" s="3">
        <f t="shared" si="140"/>
        <v>0</v>
      </c>
      <c r="Q561" s="3">
        <f t="shared" si="141"/>
        <v>0</v>
      </c>
      <c r="R561" s="3">
        <f t="shared" si="142"/>
        <v>51211868.667952411</v>
      </c>
      <c r="S561" s="7">
        <f t="shared" si="130"/>
        <v>0</v>
      </c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65" outlineLevel="2">
      <c r="A562" s="9" t="s">
        <v>121</v>
      </c>
      <c r="B562" s="11" t="s">
        <v>73</v>
      </c>
      <c r="C562" s="10">
        <v>14021139.76</v>
      </c>
      <c r="F562" s="10">
        <v>14021139.76</v>
      </c>
      <c r="G562" s="3"/>
      <c r="H562" s="3">
        <v>50</v>
      </c>
      <c r="I562" s="3">
        <v>11.851028</v>
      </c>
      <c r="J562" s="6">
        <v>-0.45000000000000001</v>
      </c>
      <c r="K562" s="3">
        <f t="shared" si="137"/>
        <v>15511869.975257477</v>
      </c>
      <c r="L562" s="3">
        <f t="shared" si="138"/>
        <v>1.0858296482612813</v>
      </c>
      <c r="M562" s="3">
        <f t="shared" si="139"/>
        <v>16843248.319108557</v>
      </c>
      <c r="N562" s="3"/>
      <c r="O562" s="3"/>
      <c r="P562" s="3">
        <f t="shared" si="140"/>
        <v>0</v>
      </c>
      <c r="Q562" s="3">
        <f t="shared" si="141"/>
        <v>0</v>
      </c>
      <c r="R562" s="3">
        <f t="shared" si="142"/>
        <v>16843248.319108557</v>
      </c>
      <c r="S562" s="7">
        <f t="shared" si="130"/>
        <v>0</v>
      </c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65" outlineLevel="2">
      <c r="A563" s="9" t="s">
        <v>121</v>
      </c>
      <c r="B563" s="11" t="s">
        <v>72</v>
      </c>
      <c r="C563" s="10">
        <v>10234073.699999999</v>
      </c>
      <c r="F563" s="10">
        <v>10234073.699999999</v>
      </c>
      <c r="G563" s="3"/>
      <c r="H563" s="3">
        <v>50</v>
      </c>
      <c r="I563" s="3">
        <v>10.996522000000001</v>
      </c>
      <c r="J563" s="6">
        <v>-0.45000000000000001</v>
      </c>
      <c r="K563" s="3">
        <f t="shared" si="137"/>
        <v>11575769.583841529</v>
      </c>
      <c r="L563" s="3">
        <f t="shared" si="138"/>
        <v>1.0858296482612813</v>
      </c>
      <c r="M563" s="3">
        <f t="shared" si="139"/>
        <v>12569313.815576285</v>
      </c>
      <c r="N563" s="3"/>
      <c r="O563" s="3"/>
      <c r="P563" s="3">
        <f t="shared" si="140"/>
        <v>0</v>
      </c>
      <c r="Q563" s="3">
        <f t="shared" si="141"/>
        <v>0</v>
      </c>
      <c r="R563" s="3">
        <f t="shared" si="142"/>
        <v>12569313.815576285</v>
      </c>
      <c r="S563" s="7">
        <f t="shared" si="130"/>
        <v>0</v>
      </c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65" outlineLevel="2">
      <c r="A564" s="9" t="s">
        <v>121</v>
      </c>
      <c r="B564" s="11" t="s">
        <v>71</v>
      </c>
      <c r="C564" s="10">
        <v>17465429.620000001</v>
      </c>
      <c r="F564" s="10">
        <v>17465429.620000001</v>
      </c>
      <c r="G564" s="3"/>
      <c r="H564" s="3">
        <v>50</v>
      </c>
      <c r="I564" s="3">
        <v>10.181645</v>
      </c>
      <c r="J564" s="6">
        <v>-0.45000000000000001</v>
      </c>
      <c r="K564" s="3">
        <f t="shared" si="137"/>
        <v>20167895.628263578</v>
      </c>
      <c r="L564" s="3">
        <f t="shared" si="138"/>
        <v>1.0858296482612813</v>
      </c>
      <c r="M564" s="3">
        <f t="shared" si="139"/>
        <v>21898899.016207673</v>
      </c>
      <c r="N564" s="3"/>
      <c r="O564" s="3"/>
      <c r="P564" s="3">
        <f t="shared" si="140"/>
        <v>0</v>
      </c>
      <c r="Q564" s="3">
        <f t="shared" si="141"/>
        <v>0</v>
      </c>
      <c r="R564" s="3">
        <f t="shared" si="142"/>
        <v>21898899.016207673</v>
      </c>
      <c r="S564" s="7">
        <f t="shared" si="130"/>
        <v>0</v>
      </c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65" outlineLevel="2">
      <c r="A565" s="9" t="s">
        <v>121</v>
      </c>
      <c r="B565" s="11" t="s">
        <v>70</v>
      </c>
      <c r="C565" s="10">
        <v>5238729.6399999997</v>
      </c>
      <c r="F565" s="10">
        <v>5238729.6399999997</v>
      </c>
      <c r="G565" s="3"/>
      <c r="H565" s="3">
        <v>50</v>
      </c>
      <c r="I565" s="3">
        <v>9.4104589999999995</v>
      </c>
      <c r="J565" s="6">
        <v>-0.45000000000000001</v>
      </c>
      <c r="K565" s="3">
        <f t="shared" si="137"/>
        <v>6166491.3138101613</v>
      </c>
      <c r="L565" s="3">
        <f t="shared" si="138"/>
        <v>1.0858296482612813</v>
      </c>
      <c r="M565" s="3">
        <f t="shared" si="139"/>
        <v>6695759.0942807337</v>
      </c>
      <c r="N565" s="3"/>
      <c r="O565" s="3"/>
      <c r="P565" s="3">
        <f t="shared" si="140"/>
        <v>0</v>
      </c>
      <c r="Q565" s="3">
        <f t="shared" si="141"/>
        <v>0</v>
      </c>
      <c r="R565" s="3">
        <f t="shared" si="142"/>
        <v>6695759.0942807337</v>
      </c>
      <c r="S565" s="7">
        <f t="shared" si="130"/>
        <v>0</v>
      </c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65" outlineLevel="2">
      <c r="A566" s="9" t="s">
        <v>121</v>
      </c>
      <c r="B566" s="11" t="s">
        <v>69</v>
      </c>
      <c r="C566" s="10">
        <v>3985757.1499999999</v>
      </c>
      <c r="F566" s="10">
        <v>3985757.1499999999</v>
      </c>
      <c r="G566" s="3"/>
      <c r="H566" s="3">
        <v>50</v>
      </c>
      <c r="I566" s="3">
        <v>8.6859400000000004</v>
      </c>
      <c r="J566" s="6">
        <v>-0.45000000000000001</v>
      </c>
      <c r="K566" s="3">
        <f t="shared" si="137"/>
        <v>4775366.4911753405</v>
      </c>
      <c r="L566" s="3">
        <f t="shared" si="138"/>
        <v>1.0858296482612813</v>
      </c>
      <c r="M566" s="3">
        <f t="shared" si="139"/>
        <v>5185234.5174316289</v>
      </c>
      <c r="N566" s="3"/>
      <c r="O566" s="3"/>
      <c r="P566" s="3">
        <f t="shared" si="140"/>
        <v>0</v>
      </c>
      <c r="Q566" s="3">
        <f t="shared" si="141"/>
        <v>0</v>
      </c>
      <c r="R566" s="3">
        <f t="shared" si="142"/>
        <v>5185234.5174316289</v>
      </c>
      <c r="S566" s="7">
        <f t="shared" si="143" ref="S566:S629">+M566-P566-Q566-R566</f>
        <v>0</v>
      </c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65" outlineLevel="2">
      <c r="A567" s="9" t="s">
        <v>121</v>
      </c>
      <c r="B567" s="11" t="s">
        <v>68</v>
      </c>
      <c r="C567" s="10">
        <v>4190746.3399999999</v>
      </c>
      <c r="F567" s="10">
        <v>4190746.3399999999</v>
      </c>
      <c r="G567" s="3"/>
      <c r="H567" s="3">
        <v>50</v>
      </c>
      <c r="I567" s="3">
        <v>8.0098579999999995</v>
      </c>
      <c r="J567" s="6">
        <v>-0.45000000000000001</v>
      </c>
      <c r="K567" s="3">
        <f t="shared" si="137"/>
        <v>5103130.9831748279</v>
      </c>
      <c r="L567" s="3">
        <f t="shared" si="138"/>
        <v>1.0858296482612813</v>
      </c>
      <c r="M567" s="3">
        <f t="shared" si="139"/>
        <v>5541130.9204919701</v>
      </c>
      <c r="N567" s="3"/>
      <c r="O567" s="3"/>
      <c r="P567" s="3">
        <f t="shared" si="140"/>
        <v>0</v>
      </c>
      <c r="Q567" s="3">
        <f t="shared" si="141"/>
        <v>0</v>
      </c>
      <c r="R567" s="3">
        <f t="shared" si="142"/>
        <v>5541130.9204919701</v>
      </c>
      <c r="S567" s="7">
        <f t="shared" si="143"/>
        <v>0</v>
      </c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65" outlineLevel="2">
      <c r="A568" s="9" t="s">
        <v>121</v>
      </c>
      <c r="B568" s="11" t="s">
        <v>67</v>
      </c>
      <c r="C568" s="10">
        <v>3751126.8599999999</v>
      </c>
      <c r="F568" s="10">
        <v>3751126.8599999999</v>
      </c>
      <c r="G568" s="3"/>
      <c r="H568" s="3">
        <v>50</v>
      </c>
      <c r="I568" s="3">
        <v>7.3827879999999997</v>
      </c>
      <c r="J568" s="6">
        <v>-0.45000000000000001</v>
      </c>
      <c r="K568" s="3">
        <f t="shared" si="137"/>
        <v>4636014.4903139146</v>
      </c>
      <c r="L568" s="3">
        <f t="shared" si="138"/>
        <v>1.0858296482612813</v>
      </c>
      <c r="M568" s="3">
        <f t="shared" si="139"/>
        <v>5033921.9833517605</v>
      </c>
      <c r="N568" s="3"/>
      <c r="O568" s="3"/>
      <c r="P568" s="3">
        <f t="shared" si="140"/>
        <v>0</v>
      </c>
      <c r="Q568" s="3">
        <f t="shared" si="141"/>
        <v>0</v>
      </c>
      <c r="R568" s="3">
        <f t="shared" si="142"/>
        <v>5033921.9833517605</v>
      </c>
      <c r="S568" s="7">
        <f t="shared" si="143"/>
        <v>0</v>
      </c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65" outlineLevel="2">
      <c r="A569" s="9" t="s">
        <v>121</v>
      </c>
      <c r="B569" s="11" t="s">
        <v>66</v>
      </c>
      <c r="C569" s="10">
        <v>7330848.0999999996</v>
      </c>
      <c r="F569" s="10">
        <v>7330848.0999999996</v>
      </c>
      <c r="G569" s="3"/>
      <c r="H569" s="3">
        <v>50</v>
      </c>
      <c r="I569" s="3">
        <v>6.8042069999999999</v>
      </c>
      <c r="J569" s="6">
        <v>-0.45000000000000001</v>
      </c>
      <c r="K569" s="3">
        <f t="shared" si="137"/>
        <v>9183192.1142192539</v>
      </c>
      <c r="L569" s="3">
        <f t="shared" si="138"/>
        <v>1.0858296482612813</v>
      </c>
      <c r="M569" s="3">
        <f t="shared" si="139"/>
        <v>9971382.2632984649</v>
      </c>
      <c r="N569" s="3"/>
      <c r="O569" s="3"/>
      <c r="P569" s="3">
        <f t="shared" si="140"/>
        <v>0</v>
      </c>
      <c r="Q569" s="3">
        <f t="shared" si="141"/>
        <v>0</v>
      </c>
      <c r="R569" s="3">
        <f t="shared" si="142"/>
        <v>9971382.2632984649</v>
      </c>
      <c r="S569" s="7">
        <f t="shared" si="143"/>
        <v>0</v>
      </c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65" outlineLevel="2">
      <c r="A570" s="9" t="s">
        <v>121</v>
      </c>
      <c r="B570" s="11" t="s">
        <v>65</v>
      </c>
      <c r="C570" s="10">
        <v>6519902.29</v>
      </c>
      <c r="F570" s="10">
        <v>6519902.29</v>
      </c>
      <c r="G570" s="3"/>
      <c r="H570" s="3">
        <v>50</v>
      </c>
      <c r="I570" s="3">
        <v>6.2726670000000002</v>
      </c>
      <c r="J570" s="6">
        <v>-0.45000000000000001</v>
      </c>
      <c r="K570" s="3">
        <f t="shared" si="137"/>
        <v>8267840.2183064837</v>
      </c>
      <c r="L570" s="3">
        <f t="shared" si="138"/>
        <v>1.0858296482612813</v>
      </c>
      <c r="M570" s="3">
        <f t="shared" si="139"/>
        <v>8977466.0361242034</v>
      </c>
      <c r="N570" s="3"/>
      <c r="O570" s="3"/>
      <c r="P570" s="3">
        <f t="shared" si="140"/>
        <v>0</v>
      </c>
      <c r="Q570" s="3">
        <f t="shared" si="141"/>
        <v>0</v>
      </c>
      <c r="R570" s="3">
        <f t="shared" si="142"/>
        <v>8977466.0361242034</v>
      </c>
      <c r="S570" s="7">
        <f t="shared" si="143"/>
        <v>0</v>
      </c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65" outlineLevel="2">
      <c r="A571" s="9" t="s">
        <v>121</v>
      </c>
      <c r="B571" s="11" t="s">
        <v>64</v>
      </c>
      <c r="C571" s="10">
        <v>4431412.4400000004</v>
      </c>
      <c r="F571" s="10">
        <v>4431412.4400000004</v>
      </c>
      <c r="G571" s="3"/>
      <c r="H571" s="3">
        <v>50</v>
      </c>
      <c r="I571" s="3">
        <v>5.7860079999999998</v>
      </c>
      <c r="J571" s="6">
        <v>-0.45000000000000001</v>
      </c>
      <c r="K571" s="3">
        <f t="shared" si="137"/>
        <v>5681982.5909549547</v>
      </c>
      <c r="L571" s="3">
        <f t="shared" si="138"/>
        <v>1.0858296482612813</v>
      </c>
      <c r="M571" s="3">
        <f t="shared" si="139"/>
        <v>6169665.1581633417</v>
      </c>
      <c r="N571" s="3"/>
      <c r="O571" s="3"/>
      <c r="P571" s="3">
        <f t="shared" si="140"/>
        <v>0</v>
      </c>
      <c r="Q571" s="3">
        <f t="shared" si="141"/>
        <v>0</v>
      </c>
      <c r="R571" s="3">
        <f t="shared" si="142"/>
        <v>6169665.1581633417</v>
      </c>
      <c r="S571" s="7">
        <f t="shared" si="143"/>
        <v>0</v>
      </c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65" outlineLevel="2">
      <c r="A572" s="9" t="s">
        <v>121</v>
      </c>
      <c r="B572" s="11" t="s">
        <v>63</v>
      </c>
      <c r="C572" s="10">
        <v>3951379.48</v>
      </c>
      <c r="F572" s="10">
        <v>3951379.48</v>
      </c>
      <c r="G572" s="3"/>
      <c r="H572" s="3">
        <v>50</v>
      </c>
      <c r="I572" s="3">
        <v>5.3415609999999996</v>
      </c>
      <c r="J572" s="6">
        <v>-0.45000000000000001</v>
      </c>
      <c r="K572" s="3">
        <f t="shared" si="137"/>
        <v>5117410.7447295198</v>
      </c>
      <c r="L572" s="3">
        <f t="shared" si="138"/>
        <v>1.0858296482612813</v>
      </c>
      <c r="M572" s="3">
        <f t="shared" si="139"/>
        <v>5556636.308958156</v>
      </c>
      <c r="N572" s="3"/>
      <c r="O572" s="3"/>
      <c r="P572" s="3">
        <f t="shared" si="140"/>
        <v>0</v>
      </c>
      <c r="Q572" s="3">
        <f t="shared" si="141"/>
        <v>0</v>
      </c>
      <c r="R572" s="3">
        <f t="shared" si="142"/>
        <v>5556636.308958156</v>
      </c>
      <c r="S572" s="7">
        <f t="shared" si="143"/>
        <v>0</v>
      </c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65" outlineLevel="2">
      <c r="A573" s="9" t="s">
        <v>121</v>
      </c>
      <c r="B573" s="11" t="s">
        <v>62</v>
      </c>
      <c r="C573" s="10">
        <v>5134055.2400000002</v>
      </c>
      <c r="F573" s="10">
        <v>5134055.2400000002</v>
      </c>
      <c r="G573" s="3"/>
      <c r="H573" s="3">
        <v>50</v>
      </c>
      <c r="I573" s="3">
        <v>4.9363510000000002</v>
      </c>
      <c r="J573" s="6">
        <v>-0.45000000000000001</v>
      </c>
      <c r="K573" s="3">
        <f t="shared" si="137"/>
        <v>6709418.6351771513</v>
      </c>
      <c r="L573" s="3">
        <f t="shared" si="138"/>
        <v>1.0858296482612813</v>
      </c>
      <c r="M573" s="3">
        <f t="shared" si="139"/>
        <v>7285285.6766720917</v>
      </c>
      <c r="N573" s="3"/>
      <c r="O573" s="3"/>
      <c r="P573" s="3">
        <f t="shared" si="140"/>
        <v>0</v>
      </c>
      <c r="Q573" s="3">
        <f t="shared" si="141"/>
        <v>0</v>
      </c>
      <c r="R573" s="3">
        <f t="shared" si="142"/>
        <v>7285285.6766720917</v>
      </c>
      <c r="S573" s="7">
        <f t="shared" si="143"/>
        <v>0</v>
      </c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65" outlineLevel="2">
      <c r="A574" s="9" t="s">
        <v>121</v>
      </c>
      <c r="B574" s="11" t="s">
        <v>61</v>
      </c>
      <c r="C574" s="10">
        <v>5110267.7199999997</v>
      </c>
      <c r="F574" s="10">
        <v>5110267.7199999997</v>
      </c>
      <c r="G574" s="3"/>
      <c r="H574" s="3">
        <v>50</v>
      </c>
      <c r="I574" s="3">
        <v>4.5672499999999996</v>
      </c>
      <c r="J574" s="6">
        <v>-0.45000000000000001</v>
      </c>
      <c r="K574" s="3">
        <f t="shared" si="137"/>
        <v>6733031.9569190703</v>
      </c>
      <c r="L574" s="3">
        <f t="shared" si="138"/>
        <v>1.0858296482612813</v>
      </c>
      <c r="M574" s="3">
        <f t="shared" si="139"/>
        <v>7310925.7215134008</v>
      </c>
      <c r="N574" s="3"/>
      <c r="O574" s="3"/>
      <c r="P574" s="3">
        <f t="shared" si="140"/>
        <v>0</v>
      </c>
      <c r="Q574" s="3">
        <f t="shared" si="141"/>
        <v>0</v>
      </c>
      <c r="R574" s="3">
        <f t="shared" si="142"/>
        <v>7310925.7215134008</v>
      </c>
      <c r="S574" s="7">
        <f t="shared" si="143"/>
        <v>0</v>
      </c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65" outlineLevel="2">
      <c r="A575" s="9" t="s">
        <v>121</v>
      </c>
      <c r="B575" s="11" t="s">
        <v>60</v>
      </c>
      <c r="C575" s="10">
        <v>4458777.6100000003</v>
      </c>
      <c r="F575" s="10">
        <v>4458777.6100000003</v>
      </c>
      <c r="G575" s="3"/>
      <c r="H575" s="3">
        <v>50</v>
      </c>
      <c r="I575" s="3">
        <v>4.231128</v>
      </c>
      <c r="J575" s="6">
        <v>-0.45000000000000001</v>
      </c>
      <c r="K575" s="3">
        <f t="shared" si="137"/>
        <v>5918123.429548122</v>
      </c>
      <c r="L575" s="3">
        <f t="shared" si="138"/>
        <v>1.0858296482612813</v>
      </c>
      <c r="M575" s="3">
        <f t="shared" si="139"/>
        <v>6426073.8818730852</v>
      </c>
      <c r="N575" s="3"/>
      <c r="O575" s="3"/>
      <c r="P575" s="3">
        <f t="shared" si="140"/>
        <v>0</v>
      </c>
      <c r="Q575" s="3">
        <f t="shared" si="141"/>
        <v>0</v>
      </c>
      <c r="R575" s="3">
        <f t="shared" si="142"/>
        <v>6426073.8818730852</v>
      </c>
      <c r="S575" s="7">
        <f t="shared" si="143"/>
        <v>0</v>
      </c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65" outlineLevel="2">
      <c r="A576" s="9" t="s">
        <v>121</v>
      </c>
      <c r="B576" s="11" t="s">
        <v>59</v>
      </c>
      <c r="C576" s="10">
        <v>3422528.9900000002</v>
      </c>
      <c r="F576" s="10">
        <v>3422528.9900000002</v>
      </c>
      <c r="G576" s="3"/>
      <c r="H576" s="3">
        <v>50</v>
      </c>
      <c r="I576" s="3">
        <v>3.9249320000000001</v>
      </c>
      <c r="J576" s="6">
        <v>-0.45000000000000001</v>
      </c>
      <c r="K576" s="3">
        <f t="shared" si="137"/>
        <v>4573104.422440418</v>
      </c>
      <c r="L576" s="3">
        <f t="shared" si="138"/>
        <v>1.0858296482612813</v>
      </c>
      <c r="M576" s="3">
        <f t="shared" si="139"/>
        <v>4962667.0355000002</v>
      </c>
      <c r="N576" s="3"/>
      <c r="O576" s="3"/>
      <c r="P576" s="3">
        <f t="shared" si="140"/>
        <v>0</v>
      </c>
      <c r="Q576" s="3">
        <f t="shared" si="141"/>
        <v>0</v>
      </c>
      <c r="R576" s="3">
        <f t="shared" si="142"/>
        <v>4962667.0355000002</v>
      </c>
      <c r="S576" s="7">
        <f t="shared" si="143"/>
        <v>0</v>
      </c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65" outlineLevel="2">
      <c r="A577" s="9" t="s">
        <v>121</v>
      </c>
      <c r="B577" s="11" t="s">
        <v>58</v>
      </c>
      <c r="C577" s="10">
        <v>913745.32999999996</v>
      </c>
      <c r="F577" s="10">
        <v>913745.32999999996</v>
      </c>
      <c r="G577" s="3"/>
      <c r="H577" s="3">
        <v>50</v>
      </c>
      <c r="I577" s="3">
        <v>3.6457630000000001</v>
      </c>
      <c r="J577" s="6">
        <v>-0.45000000000000001</v>
      </c>
      <c r="K577" s="3">
        <f t="shared" si="137"/>
        <v>1228323.059949433</v>
      </c>
      <c r="L577" s="3">
        <f t="shared" si="138"/>
        <v>1.0858296482612813</v>
      </c>
      <c r="M577" s="3">
        <f t="shared" si="139"/>
        <v>1324930.7285</v>
      </c>
      <c r="N577" s="3"/>
      <c r="O577" s="3"/>
      <c r="P577" s="3">
        <f t="shared" si="140"/>
        <v>0</v>
      </c>
      <c r="Q577" s="3">
        <f t="shared" si="141"/>
        <v>0</v>
      </c>
      <c r="R577" s="3">
        <f t="shared" si="142"/>
        <v>1324930.7285</v>
      </c>
      <c r="S577" s="7">
        <f t="shared" si="143"/>
        <v>0</v>
      </c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65" outlineLevel="2">
      <c r="A578" s="9" t="s">
        <v>121</v>
      </c>
      <c r="B578" s="11" t="s">
        <v>57</v>
      </c>
      <c r="C578" s="10">
        <v>1568592.6599999999</v>
      </c>
      <c r="F578" s="10">
        <v>1568592.6599999999</v>
      </c>
      <c r="G578" s="3"/>
      <c r="H578" s="3">
        <v>50</v>
      </c>
      <c r="I578" s="3">
        <v>3.3909159999999998</v>
      </c>
      <c r="J578" s="6">
        <v>-0.45000000000000001</v>
      </c>
      <c r="K578" s="3">
        <f t="shared" si="137"/>
        <v>2120209.3444999796</v>
      </c>
      <c r="L578" s="3">
        <f t="shared" si="138"/>
        <v>1.0858296482612813</v>
      </c>
      <c r="M578" s="3">
        <f t="shared" si="139"/>
        <v>2274459.3569999998</v>
      </c>
      <c r="N578" s="3"/>
      <c r="O578" s="3"/>
      <c r="P578" s="3">
        <f t="shared" si="140"/>
        <v>0</v>
      </c>
      <c r="Q578" s="3">
        <f t="shared" si="141"/>
        <v>0</v>
      </c>
      <c r="R578" s="3">
        <f t="shared" si="142"/>
        <v>2274459.3569999998</v>
      </c>
      <c r="S578" s="7">
        <f t="shared" si="143"/>
        <v>0</v>
      </c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65" outlineLevel="2">
      <c r="A579" s="9" t="s">
        <v>121</v>
      </c>
      <c r="B579" s="11" t="s">
        <v>56</v>
      </c>
      <c r="C579" s="10">
        <v>4648858.6900000004</v>
      </c>
      <c r="F579" s="10">
        <v>4648858.6900000004</v>
      </c>
      <c r="G579" s="3"/>
      <c r="H579" s="3">
        <v>50</v>
      </c>
      <c r="I579" s="3">
        <v>3.1579030000000001</v>
      </c>
      <c r="J579" s="6">
        <v>-0.45000000000000001</v>
      </c>
      <c r="K579" s="3">
        <f t="shared" si="137"/>
        <v>6315106.4011919145</v>
      </c>
      <c r="L579" s="3">
        <f t="shared" si="138"/>
        <v>1.0858296482612813</v>
      </c>
      <c r="M579" s="3">
        <f t="shared" si="139"/>
        <v>6740845.1005000006</v>
      </c>
      <c r="N579" s="3"/>
      <c r="O579" s="3"/>
      <c r="P579" s="3">
        <f t="shared" si="140"/>
        <v>0</v>
      </c>
      <c r="Q579" s="3">
        <f t="shared" si="141"/>
        <v>0</v>
      </c>
      <c r="R579" s="3">
        <f t="shared" si="142"/>
        <v>6740845.1005000006</v>
      </c>
      <c r="S579" s="7">
        <f t="shared" si="143"/>
        <v>0</v>
      </c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65" outlineLevel="2">
      <c r="A580" s="9" t="s">
        <v>121</v>
      </c>
      <c r="B580" s="11" t="s">
        <v>55</v>
      </c>
      <c r="C580" s="10">
        <v>6878146.8300000001</v>
      </c>
      <c r="F580" s="10">
        <v>6878146.8300000001</v>
      </c>
      <c r="G580" s="3"/>
      <c r="H580" s="3">
        <v>50</v>
      </c>
      <c r="I580" s="3">
        <v>2.944455</v>
      </c>
      <c r="J580" s="6">
        <v>-0.45000000000000001</v>
      </c>
      <c r="K580" s="3">
        <f t="shared" si="137"/>
        <v>9385993.4825944975</v>
      </c>
      <c r="L580" s="3">
        <f t="shared" si="138"/>
        <v>1.0858296482612813</v>
      </c>
      <c r="M580" s="3">
        <f t="shared" si="139"/>
        <v>9973312.9035</v>
      </c>
      <c r="N580" s="3"/>
      <c r="O580" s="3"/>
      <c r="P580" s="3">
        <f t="shared" si="140"/>
        <v>0</v>
      </c>
      <c r="Q580" s="3">
        <f t="shared" si="141"/>
        <v>0</v>
      </c>
      <c r="R580" s="3">
        <f t="shared" si="142"/>
        <v>9973312.9035</v>
      </c>
      <c r="S580" s="7">
        <f t="shared" si="143"/>
        <v>0</v>
      </c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65" outlineLevel="2">
      <c r="A581" s="9" t="s">
        <v>121</v>
      </c>
      <c r="B581" s="11" t="s">
        <v>54</v>
      </c>
      <c r="C581" s="10">
        <v>6484198.4000000004</v>
      </c>
      <c r="F581" s="10">
        <v>6484198.4000000004</v>
      </c>
      <c r="G581" s="3"/>
      <c r="H581" s="3">
        <v>50</v>
      </c>
      <c r="I581" s="3">
        <v>2.748523</v>
      </c>
      <c r="J581" s="6">
        <v>-0.45000000000000001</v>
      </c>
      <c r="K581" s="3">
        <f t="shared" si="137"/>
        <v>8885250.5952700675</v>
      </c>
      <c r="L581" s="3">
        <f t="shared" si="138"/>
        <v>1.0858296482612813</v>
      </c>
      <c r="M581" s="3">
        <f t="shared" si="139"/>
        <v>9402087.6799999997</v>
      </c>
      <c r="N581" s="3"/>
      <c r="O581" s="3"/>
      <c r="P581" s="3">
        <f t="shared" si="140"/>
        <v>0</v>
      </c>
      <c r="Q581" s="3">
        <f t="shared" si="141"/>
        <v>0</v>
      </c>
      <c r="R581" s="3">
        <f t="shared" si="142"/>
        <v>9402087.6799999997</v>
      </c>
      <c r="S581" s="7">
        <f t="shared" si="143"/>
        <v>0</v>
      </c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65" outlineLevel="2">
      <c r="A582" s="9" t="s">
        <v>121</v>
      </c>
      <c r="B582" s="11" t="s">
        <v>53</v>
      </c>
      <c r="C582" s="10">
        <v>1249497.75</v>
      </c>
      <c r="F582" s="10">
        <v>1249497.75</v>
      </c>
      <c r="G582" s="3"/>
      <c r="H582" s="3">
        <v>50</v>
      </c>
      <c r="I582" s="3">
        <v>2.5682749999999999</v>
      </c>
      <c r="J582" s="6">
        <v>-0.45000000000000001</v>
      </c>
      <c r="K582" s="3">
        <f t="shared" si="137"/>
        <v>1718709.1763174438</v>
      </c>
      <c r="L582" s="3">
        <f t="shared" si="138"/>
        <v>1.0858296482612813</v>
      </c>
      <c r="M582" s="3">
        <f t="shared" si="139"/>
        <v>1811771.7375000001</v>
      </c>
      <c r="N582" s="3"/>
      <c r="O582" s="3"/>
      <c r="P582" s="3">
        <f t="shared" si="140"/>
        <v>0</v>
      </c>
      <c r="Q582" s="3">
        <f t="shared" si="141"/>
        <v>0</v>
      </c>
      <c r="R582" s="3">
        <f t="shared" si="142"/>
        <v>1811771.7375000001</v>
      </c>
      <c r="S582" s="7">
        <f t="shared" si="143"/>
        <v>0</v>
      </c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65" outlineLevel="2">
      <c r="A583" s="9" t="s">
        <v>121</v>
      </c>
      <c r="B583" s="11" t="s">
        <v>52</v>
      </c>
      <c r="C583" s="10">
        <v>3576651.3500000001</v>
      </c>
      <c r="F583" s="10">
        <v>3576651.3500000001</v>
      </c>
      <c r="G583" s="3"/>
      <c r="H583" s="3">
        <v>50</v>
      </c>
      <c r="I583" s="3">
        <v>2.4020779999999999</v>
      </c>
      <c r="J583" s="6">
        <v>-0.45000000000000001</v>
      </c>
      <c r="K583" s="3">
        <f t="shared" si="137"/>
        <v>4936993.9873763463</v>
      </c>
      <c r="L583" s="3">
        <f t="shared" si="138"/>
        <v>1.0858296482612813</v>
      </c>
      <c r="M583" s="3">
        <f t="shared" si="139"/>
        <v>5186144.4574999996</v>
      </c>
      <c r="N583" s="3"/>
      <c r="O583" s="3"/>
      <c r="P583" s="3">
        <f t="shared" si="140"/>
        <v>0</v>
      </c>
      <c r="Q583" s="3">
        <f t="shared" si="141"/>
        <v>0</v>
      </c>
      <c r="R583" s="3">
        <f t="shared" si="142"/>
        <v>5186144.4574999996</v>
      </c>
      <c r="S583" s="7">
        <f t="shared" si="143"/>
        <v>0</v>
      </c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65" outlineLevel="2">
      <c r="A584" s="9" t="s">
        <v>121</v>
      </c>
      <c r="B584" s="11" t="s">
        <v>51</v>
      </c>
      <c r="C584" s="10">
        <v>1700728.3799999999</v>
      </c>
      <c r="F584" s="10">
        <v>1700728.3799999999</v>
      </c>
      <c r="G584" s="3"/>
      <c r="H584" s="3">
        <v>50</v>
      </c>
      <c r="I584" s="3">
        <v>2.2484709999999999</v>
      </c>
      <c r="J584" s="6">
        <v>-0.45000000000000001</v>
      </c>
      <c r="K584" s="3">
        <f t="shared" si="137"/>
        <v>2355159.0362020973</v>
      </c>
      <c r="L584" s="3">
        <f t="shared" si="138"/>
        <v>1.0858296482612813</v>
      </c>
      <c r="M584" s="3">
        <f t="shared" si="139"/>
        <v>2466056.1509999996</v>
      </c>
      <c r="N584" s="3"/>
      <c r="O584" s="3"/>
      <c r="P584" s="3">
        <f t="shared" si="140"/>
        <v>0</v>
      </c>
      <c r="Q584" s="3">
        <f t="shared" si="141"/>
        <v>0</v>
      </c>
      <c r="R584" s="3">
        <f t="shared" si="142"/>
        <v>2466056.1509999996</v>
      </c>
      <c r="S584" s="7">
        <f t="shared" si="143"/>
        <v>0</v>
      </c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65" outlineLevel="2">
      <c r="A585" s="9" t="s">
        <v>121</v>
      </c>
      <c r="B585" s="11" t="s">
        <v>50</v>
      </c>
      <c r="C585" s="10">
        <v>957133.75</v>
      </c>
      <c r="F585" s="10">
        <v>957133.75</v>
      </c>
      <c r="G585" s="3"/>
      <c r="H585" s="3">
        <v>50</v>
      </c>
      <c r="I585" s="3">
        <v>2.1061640000000001</v>
      </c>
      <c r="J585" s="6">
        <v>-0.45000000000000001</v>
      </c>
      <c r="K585" s="3">
        <f t="shared" si="137"/>
        <v>1329383.3987243851</v>
      </c>
      <c r="L585" s="3">
        <f t="shared" si="138"/>
        <v>1.0858296482612813</v>
      </c>
      <c r="M585" s="3">
        <f t="shared" si="139"/>
        <v>1387843.9375</v>
      </c>
      <c r="N585" s="3"/>
      <c r="O585" s="3"/>
      <c r="P585" s="3">
        <f t="shared" si="140"/>
        <v>0</v>
      </c>
      <c r="Q585" s="3">
        <f t="shared" si="141"/>
        <v>0</v>
      </c>
      <c r="R585" s="3">
        <f t="shared" si="142"/>
        <v>1387843.9375</v>
      </c>
      <c r="S585" s="7">
        <f t="shared" si="143"/>
        <v>0</v>
      </c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65" outlineLevel="2">
      <c r="A586" s="9" t="s">
        <v>121</v>
      </c>
      <c r="B586" s="11" t="s">
        <v>49</v>
      </c>
      <c r="C586" s="10">
        <v>857363.46999999997</v>
      </c>
      <c r="F586" s="10">
        <v>857363.46999999997</v>
      </c>
      <c r="G586" s="3"/>
      <c r="H586" s="3">
        <v>50</v>
      </c>
      <c r="I586" s="3">
        <v>1.9740169999999999</v>
      </c>
      <c r="J586" s="6">
        <v>-0.45000000000000001</v>
      </c>
      <c r="K586" s="3">
        <f t="shared" si="137"/>
        <v>1194095.9796161891</v>
      </c>
      <c r="L586" s="3">
        <f t="shared" si="138"/>
        <v>1.0858296482612813</v>
      </c>
      <c r="M586" s="3">
        <f t="shared" si="139"/>
        <v>1243177.0314999998</v>
      </c>
      <c r="N586" s="3"/>
      <c r="O586" s="3"/>
      <c r="P586" s="3">
        <f t="shared" si="140"/>
        <v>0</v>
      </c>
      <c r="Q586" s="3">
        <f t="shared" si="141"/>
        <v>0</v>
      </c>
      <c r="R586" s="3">
        <f t="shared" si="142"/>
        <v>1243177.0314999998</v>
      </c>
      <c r="S586" s="7">
        <f t="shared" si="143"/>
        <v>0</v>
      </c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65" outlineLevel="2">
      <c r="A587" s="9" t="s">
        <v>121</v>
      </c>
      <c r="B587" s="11" t="s">
        <v>48</v>
      </c>
      <c r="C587" s="10">
        <v>1019731.07</v>
      </c>
      <c r="F587" s="10">
        <v>1019731.07</v>
      </c>
      <c r="G587" s="3"/>
      <c r="H587" s="3">
        <v>50</v>
      </c>
      <c r="I587" s="3">
        <v>1.8510169999999999</v>
      </c>
      <c r="J587" s="6">
        <v>-0.45000000000000001</v>
      </c>
      <c r="K587" s="3">
        <f t="shared" si="137"/>
        <v>1423871.4046660524</v>
      </c>
      <c r="L587" s="3">
        <f t="shared" si="138"/>
        <v>1.0858296482612813</v>
      </c>
      <c r="M587" s="3">
        <f t="shared" si="139"/>
        <v>1478610.0514999998</v>
      </c>
      <c r="N587" s="3"/>
      <c r="O587" s="3"/>
      <c r="P587" s="3">
        <f t="shared" si="140"/>
        <v>0</v>
      </c>
      <c r="Q587" s="3">
        <f t="shared" si="141"/>
        <v>0</v>
      </c>
      <c r="R587" s="3">
        <f t="shared" si="142"/>
        <v>1478610.0514999998</v>
      </c>
      <c r="S587" s="7">
        <f t="shared" si="143"/>
        <v>0</v>
      </c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65" outlineLevel="2">
      <c r="A588" s="9" t="s">
        <v>121</v>
      </c>
      <c r="B588" s="11" t="s">
        <v>47</v>
      </c>
      <c r="C588" s="10">
        <v>1214297.3200000001</v>
      </c>
      <c r="F588" s="10">
        <v>1214297.3200000001</v>
      </c>
      <c r="G588" s="3"/>
      <c r="H588" s="3">
        <v>50</v>
      </c>
      <c r="I588" s="3">
        <v>1.7362800000000001</v>
      </c>
      <c r="J588" s="6">
        <v>-0.45000000000000001</v>
      </c>
      <c r="K588" s="3">
        <f t="shared" si="144" ref="K588:K617">+C588*(1-I588/H588)*(1-J588)</f>
        <v>1699588.6696276816</v>
      </c>
      <c r="L588" s="3">
        <f t="shared" si="145" ref="L588:L617">$L$618</f>
        <v>1.0858296482612813</v>
      </c>
      <c r="M588" s="3">
        <f t="shared" si="146" ref="M588:M617">IF((C588*(1-J588)-K588*L588)&lt;0,C588*(1-J588),K588*L588)</f>
        <v>1760731.1140000001</v>
      </c>
      <c r="N588" s="3"/>
      <c r="O588" s="3"/>
      <c r="P588" s="3">
        <f t="shared" si="147" ref="P588:P617">+D588/$C588*$M588</f>
        <v>0</v>
      </c>
      <c r="Q588" s="3">
        <f t="shared" si="148" ref="Q588:Q617">+E588/$C588*$M588</f>
        <v>0</v>
      </c>
      <c r="R588" s="3">
        <f t="shared" si="149" ref="R588:R617">+F588/$C588*$M588</f>
        <v>1760731.1140000001</v>
      </c>
      <c r="S588" s="7">
        <f t="shared" si="143"/>
        <v>0</v>
      </c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65" outlineLevel="2">
      <c r="A589" s="9" t="s">
        <v>121</v>
      </c>
      <c r="B589" s="11" t="s">
        <v>46</v>
      </c>
      <c r="C589" s="10">
        <v>1319139.5500000001</v>
      </c>
      <c r="F589" s="10">
        <v>1319139.5500000001</v>
      </c>
      <c r="G589" s="3"/>
      <c r="H589" s="3">
        <v>50</v>
      </c>
      <c r="I589" s="3">
        <v>1.629006</v>
      </c>
      <c r="J589" s="6">
        <v>-0.45000000000000001</v>
      </c>
      <c r="K589" s="3">
        <f t="shared" si="144"/>
        <v>1850434.6464881683</v>
      </c>
      <c r="L589" s="3">
        <f t="shared" si="145"/>
        <v>1.0858296482612813</v>
      </c>
      <c r="M589" s="3">
        <f t="shared" si="146"/>
        <v>1912752.3474999999</v>
      </c>
      <c r="N589" s="3"/>
      <c r="O589" s="3"/>
      <c r="P589" s="3">
        <f t="shared" si="147"/>
        <v>0</v>
      </c>
      <c r="Q589" s="3">
        <f t="shared" si="148"/>
        <v>0</v>
      </c>
      <c r="R589" s="3">
        <f t="shared" si="149"/>
        <v>1912752.3474999999</v>
      </c>
      <c r="S589" s="7">
        <f t="shared" si="143"/>
        <v>0</v>
      </c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65" outlineLevel="2">
      <c r="A590" s="9" t="s">
        <v>121</v>
      </c>
      <c r="B590" s="11" t="s">
        <v>45</v>
      </c>
      <c r="C590" s="10">
        <v>1748515.0800000001</v>
      </c>
      <c r="F590" s="10">
        <v>1748515.0800000001</v>
      </c>
      <c r="G590" s="3"/>
      <c r="H590" s="3">
        <v>50</v>
      </c>
      <c r="I590" s="3">
        <v>1.5285169999999999</v>
      </c>
      <c r="J590" s="6">
        <v>-0.45000000000000001</v>
      </c>
      <c r="K590" s="3">
        <f t="shared" si="144"/>
        <v>2457840.4502884452</v>
      </c>
      <c r="L590" s="3">
        <f t="shared" si="145"/>
        <v>1.0858296482612813</v>
      </c>
      <c r="M590" s="3">
        <f t="shared" si="146"/>
        <v>2535346.8659999999</v>
      </c>
      <c r="N590" s="3"/>
      <c r="O590" s="3"/>
      <c r="P590" s="3">
        <f t="shared" si="147"/>
        <v>0</v>
      </c>
      <c r="Q590" s="3">
        <f t="shared" si="148"/>
        <v>0</v>
      </c>
      <c r="R590" s="3">
        <f t="shared" si="149"/>
        <v>2535346.8659999999</v>
      </c>
      <c r="S590" s="7">
        <f t="shared" si="143"/>
        <v>0</v>
      </c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65" outlineLevel="2">
      <c r="A591" s="9" t="s">
        <v>121</v>
      </c>
      <c r="B591" s="11" t="s">
        <v>44</v>
      </c>
      <c r="C591" s="10">
        <v>265267.37</v>
      </c>
      <c r="F591" s="10">
        <v>265267.37</v>
      </c>
      <c r="G591" s="3"/>
      <c r="H591" s="3">
        <v>50</v>
      </c>
      <c r="I591" s="3">
        <v>1.4343239999999999</v>
      </c>
      <c r="J591" s="6">
        <v>-0.45000000000000001</v>
      </c>
      <c r="K591" s="3">
        <f t="shared" si="144"/>
        <v>373603.78519897145</v>
      </c>
      <c r="L591" s="3">
        <f t="shared" si="145"/>
        <v>1.0858296482612813</v>
      </c>
      <c r="M591" s="3">
        <f t="shared" si="146"/>
        <v>384637.68649999995</v>
      </c>
      <c r="N591" s="3"/>
      <c r="O591" s="3"/>
      <c r="P591" s="3">
        <f t="shared" si="147"/>
        <v>0</v>
      </c>
      <c r="Q591" s="3">
        <f t="shared" si="148"/>
        <v>0</v>
      </c>
      <c r="R591" s="3">
        <f t="shared" si="149"/>
        <v>384637.68649999995</v>
      </c>
      <c r="S591" s="7">
        <f t="shared" si="143"/>
        <v>0</v>
      </c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65" outlineLevel="2">
      <c r="A592" s="9" t="s">
        <v>121</v>
      </c>
      <c r="B592" s="11" t="s">
        <v>43</v>
      </c>
      <c r="C592" s="10">
        <v>3558004.0600000001</v>
      </c>
      <c r="F592" s="10">
        <v>3558004.0600000001</v>
      </c>
      <c r="G592" s="3"/>
      <c r="H592" s="3">
        <v>50</v>
      </c>
      <c r="I592" s="3">
        <v>1.3457250000000001</v>
      </c>
      <c r="J592" s="6">
        <v>-0.45000000000000001</v>
      </c>
      <c r="K592" s="3">
        <f t="shared" si="144"/>
        <v>5020251.1316043381</v>
      </c>
      <c r="L592" s="3">
        <f t="shared" si="145"/>
        <v>1.0858296482612813</v>
      </c>
      <c r="M592" s="3">
        <f t="shared" si="146"/>
        <v>5159105.8870000001</v>
      </c>
      <c r="N592" s="3"/>
      <c r="O592" s="3"/>
      <c r="P592" s="3">
        <f t="shared" si="147"/>
        <v>0</v>
      </c>
      <c r="Q592" s="3">
        <f t="shared" si="148"/>
        <v>0</v>
      </c>
      <c r="R592" s="3">
        <f t="shared" si="149"/>
        <v>5159105.8870000001</v>
      </c>
      <c r="S592" s="7">
        <f t="shared" si="143"/>
        <v>0</v>
      </c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65" outlineLevel="2">
      <c r="A593" s="9" t="s">
        <v>121</v>
      </c>
      <c r="B593" s="11" t="s">
        <v>42</v>
      </c>
      <c r="C593" s="10">
        <v>795696.81999999995</v>
      </c>
      <c r="F593" s="10">
        <v>795696.81999999995</v>
      </c>
      <c r="G593" s="3"/>
      <c r="H593" s="3">
        <v>50</v>
      </c>
      <c r="I593" s="3">
        <v>1.2622</v>
      </c>
      <c r="J593" s="6">
        <v>-0.45000000000000001</v>
      </c>
      <c r="K593" s="3">
        <f t="shared" si="144"/>
        <v>1124634.8617400839</v>
      </c>
      <c r="L593" s="3">
        <f t="shared" si="145"/>
        <v>1.0858296482612813</v>
      </c>
      <c r="M593" s="3">
        <f t="shared" si="146"/>
        <v>1153760.389</v>
      </c>
      <c r="N593" s="3"/>
      <c r="O593" s="3"/>
      <c r="P593" s="3">
        <f t="shared" si="147"/>
        <v>0</v>
      </c>
      <c r="Q593" s="3">
        <f t="shared" si="148"/>
        <v>0</v>
      </c>
      <c r="R593" s="3">
        <f t="shared" si="149"/>
        <v>1153760.389</v>
      </c>
      <c r="S593" s="7">
        <f t="shared" si="143"/>
        <v>0</v>
      </c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65" outlineLevel="2">
      <c r="A594" s="9" t="s">
        <v>121</v>
      </c>
      <c r="B594" s="11" t="s">
        <v>41</v>
      </c>
      <c r="C594" s="10">
        <v>389459.95000000001</v>
      </c>
      <c r="F594" s="10">
        <v>389459.95000000001</v>
      </c>
      <c r="G594" s="3"/>
      <c r="H594" s="3">
        <v>50</v>
      </c>
      <c r="I594" s="3">
        <v>1.1834899999999999</v>
      </c>
      <c r="J594" s="6">
        <v>-0.45000000000000001</v>
      </c>
      <c r="K594" s="3">
        <f t="shared" si="144"/>
        <v>551350.19076946052</v>
      </c>
      <c r="L594" s="3">
        <f t="shared" si="145"/>
        <v>1.0858296482612813</v>
      </c>
      <c r="M594" s="3">
        <f t="shared" si="146"/>
        <v>564716.92749999999</v>
      </c>
      <c r="N594" s="3"/>
      <c r="O594" s="3"/>
      <c r="P594" s="3">
        <f t="shared" si="147"/>
        <v>0</v>
      </c>
      <c r="Q594" s="3">
        <f t="shared" si="148"/>
        <v>0</v>
      </c>
      <c r="R594" s="3">
        <f t="shared" si="149"/>
        <v>564716.92749999999</v>
      </c>
      <c r="S594" s="7">
        <f t="shared" si="143"/>
        <v>0</v>
      </c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65" outlineLevel="2">
      <c r="A595" s="9" t="s">
        <v>121</v>
      </c>
      <c r="B595" s="11" t="s">
        <v>40</v>
      </c>
      <c r="C595" s="10">
        <v>201529.63000000001</v>
      </c>
      <c r="F595" s="10">
        <v>201529.63000000001</v>
      </c>
      <c r="G595" s="3"/>
      <c r="H595" s="3">
        <v>50</v>
      </c>
      <c r="I595" s="3">
        <v>1.1076459999999999</v>
      </c>
      <c r="J595" s="6">
        <v>-0.45000000000000001</v>
      </c>
      <c r="K595" s="3">
        <f t="shared" si="144"/>
        <v>285744.48233202158</v>
      </c>
      <c r="L595" s="3">
        <f t="shared" si="145"/>
        <v>1.0858296482612813</v>
      </c>
      <c r="M595" s="3">
        <f t="shared" si="146"/>
        <v>292217.96350000001</v>
      </c>
      <c r="N595" s="3"/>
      <c r="O595" s="3"/>
      <c r="P595" s="3">
        <f t="shared" si="147"/>
        <v>0</v>
      </c>
      <c r="Q595" s="3">
        <f t="shared" si="148"/>
        <v>0</v>
      </c>
      <c r="R595" s="3">
        <f t="shared" si="149"/>
        <v>292217.96350000001</v>
      </c>
      <c r="S595" s="7">
        <f t="shared" si="143"/>
        <v>0</v>
      </c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65" outlineLevel="2">
      <c r="A596" s="9" t="s">
        <v>121</v>
      </c>
      <c r="B596" s="11" t="s">
        <v>39</v>
      </c>
      <c r="C596" s="10">
        <v>606013.18000000005</v>
      </c>
      <c r="F596" s="10">
        <v>606013.18000000005</v>
      </c>
      <c r="G596" s="3"/>
      <c r="H596" s="3">
        <v>50</v>
      </c>
      <c r="I596" s="3">
        <v>1.0329950000000001</v>
      </c>
      <c r="J596" s="6">
        <v>-0.45000000000000001</v>
      </c>
      <c r="K596" s="3">
        <f t="shared" si="144"/>
        <v>860564.86203865113</v>
      </c>
      <c r="L596" s="3">
        <f t="shared" si="145"/>
        <v>1.0858296482612813</v>
      </c>
      <c r="M596" s="3">
        <f t="shared" si="146"/>
        <v>878719.11100000003</v>
      </c>
      <c r="N596" s="3"/>
      <c r="O596" s="3"/>
      <c r="P596" s="3">
        <f t="shared" si="147"/>
        <v>0</v>
      </c>
      <c r="Q596" s="3">
        <f t="shared" si="148"/>
        <v>0</v>
      </c>
      <c r="R596" s="3">
        <f t="shared" si="149"/>
        <v>878719.11100000003</v>
      </c>
      <c r="S596" s="7">
        <f t="shared" si="143"/>
        <v>0</v>
      </c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65" outlineLevel="2">
      <c r="A597" s="9" t="s">
        <v>121</v>
      </c>
      <c r="B597" s="11" t="s">
        <v>38</v>
      </c>
      <c r="C597" s="10">
        <v>76849.809999999998</v>
      </c>
      <c r="F597" s="10">
        <v>76849.809999999998</v>
      </c>
      <c r="G597" s="3"/>
      <c r="H597" s="3">
        <v>50</v>
      </c>
      <c r="I597" s="3">
        <v>0.95833299999999999</v>
      </c>
      <c r="J597" s="6">
        <v>-0.45000000000000001</v>
      </c>
      <c r="K597" s="3">
        <f t="shared" si="144"/>
        <v>109296.44093996483</v>
      </c>
      <c r="L597" s="3">
        <f t="shared" si="145"/>
        <v>1.0858296482612813</v>
      </c>
      <c r="M597" s="3">
        <f t="shared" si="146"/>
        <v>111432.2245</v>
      </c>
      <c r="N597" s="3"/>
      <c r="O597" s="3"/>
      <c r="P597" s="3">
        <f t="shared" si="147"/>
        <v>0</v>
      </c>
      <c r="Q597" s="3">
        <f t="shared" si="148"/>
        <v>0</v>
      </c>
      <c r="R597" s="3">
        <f t="shared" si="149"/>
        <v>111432.2245</v>
      </c>
      <c r="S597" s="7">
        <f t="shared" si="143"/>
        <v>0</v>
      </c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65" outlineLevel="2">
      <c r="A598" s="9" t="s">
        <v>121</v>
      </c>
      <c r="B598" s="11" t="s">
        <v>37</v>
      </c>
      <c r="C598" s="10">
        <v>72343.860000000001</v>
      </c>
      <c r="F598" s="10">
        <v>72343.860000000001</v>
      </c>
      <c r="G598" s="3"/>
      <c r="H598" s="3">
        <v>50</v>
      </c>
      <c r="I598" s="3">
        <v>0.875</v>
      </c>
      <c r="J598" s="6">
        <v>-0.45000000000000001</v>
      </c>
      <c r="K598" s="3">
        <f t="shared" si="144"/>
        <v>103062.87155249999</v>
      </c>
      <c r="L598" s="3">
        <f t="shared" si="145"/>
        <v>1.0858296482612813</v>
      </c>
      <c r="M598" s="3">
        <f t="shared" si="146"/>
        <v>104898.59699999999</v>
      </c>
      <c r="N598" s="3"/>
      <c r="O598" s="3"/>
      <c r="P598" s="3">
        <f t="shared" si="147"/>
        <v>0</v>
      </c>
      <c r="Q598" s="3">
        <f t="shared" si="148"/>
        <v>0</v>
      </c>
      <c r="R598" s="3">
        <f t="shared" si="149"/>
        <v>104898.59699999999</v>
      </c>
      <c r="S598" s="7">
        <f t="shared" si="143"/>
        <v>0</v>
      </c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65" outlineLevel="2">
      <c r="A599" s="9" t="s">
        <v>121</v>
      </c>
      <c r="B599" s="11" t="s">
        <v>36</v>
      </c>
      <c r="C599" s="10">
        <v>364.56</v>
      </c>
      <c r="F599" s="10">
        <v>364.56</v>
      </c>
      <c r="G599" s="3"/>
      <c r="H599" s="3">
        <v>50</v>
      </c>
      <c r="I599" s="3">
        <v>0.78571400000000002</v>
      </c>
      <c r="J599" s="6">
        <v>-0.45000000000000001</v>
      </c>
      <c r="K599" s="3">
        <f t="shared" si="144"/>
        <v>520.30524302063998</v>
      </c>
      <c r="L599" s="3">
        <f t="shared" si="145"/>
        <v>1.0858296482612813</v>
      </c>
      <c r="M599" s="3">
        <f t="shared" si="146"/>
        <v>528.61199999999997</v>
      </c>
      <c r="N599" s="3"/>
      <c r="O599" s="3"/>
      <c r="P599" s="3">
        <f t="shared" si="147"/>
        <v>0</v>
      </c>
      <c r="Q599" s="3">
        <f t="shared" si="148"/>
        <v>0</v>
      </c>
      <c r="R599" s="3">
        <f t="shared" si="149"/>
        <v>528.61199999999997</v>
      </c>
      <c r="S599" s="7">
        <f t="shared" si="143"/>
        <v>0</v>
      </c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65" outlineLevel="2">
      <c r="A600" s="9" t="s">
        <v>121</v>
      </c>
      <c r="B600" s="11" t="s">
        <v>35</v>
      </c>
      <c r="C600" s="10">
        <v>615.61000000000001</v>
      </c>
      <c r="F600" s="10">
        <v>615.61000000000001</v>
      </c>
      <c r="G600" s="3"/>
      <c r="H600" s="3">
        <v>50</v>
      </c>
      <c r="I600" s="3">
        <v>0.5</v>
      </c>
      <c r="J600" s="6">
        <v>-0.45000000000000001</v>
      </c>
      <c r="K600" s="3">
        <f t="shared" si="144"/>
        <v>883.70815499999992</v>
      </c>
      <c r="L600" s="3">
        <f t="shared" si="145"/>
        <v>1.0858296482612813</v>
      </c>
      <c r="M600" s="3">
        <f t="shared" si="146"/>
        <v>892.6345</v>
      </c>
      <c r="N600" s="3"/>
      <c r="O600" s="3"/>
      <c r="P600" s="3">
        <f t="shared" si="147"/>
        <v>0</v>
      </c>
      <c r="Q600" s="3">
        <f t="shared" si="148"/>
        <v>0</v>
      </c>
      <c r="R600" s="3">
        <f t="shared" si="149"/>
        <v>892.6345</v>
      </c>
      <c r="S600" s="7">
        <f t="shared" si="143"/>
        <v>0</v>
      </c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65" outlineLevel="2">
      <c r="A601" s="9" t="s">
        <v>121</v>
      </c>
      <c r="B601" s="11" t="s">
        <v>34</v>
      </c>
      <c r="C601" s="10">
        <v>6210.96</v>
      </c>
      <c r="F601" s="10">
        <v>6210.96</v>
      </c>
      <c r="G601" s="3"/>
      <c r="H601" s="3">
        <v>50</v>
      </c>
      <c r="I601" s="3">
        <v>0</v>
      </c>
      <c r="J601" s="6">
        <v>-0.45000000000000001</v>
      </c>
      <c r="K601" s="3">
        <f t="shared" si="144"/>
        <v>9005.8919999999998</v>
      </c>
      <c r="L601" s="3">
        <f t="shared" si="145"/>
        <v>1.0858296482612813</v>
      </c>
      <c r="M601" s="3">
        <f t="shared" si="146"/>
        <v>9005.8919999999998</v>
      </c>
      <c r="N601" s="3"/>
      <c r="O601" s="3"/>
      <c r="P601" s="3">
        <f t="shared" si="147"/>
        <v>0</v>
      </c>
      <c r="Q601" s="3">
        <f t="shared" si="148"/>
        <v>0</v>
      </c>
      <c r="R601" s="3">
        <f t="shared" si="149"/>
        <v>9005.8919999999998</v>
      </c>
      <c r="S601" s="7">
        <f t="shared" si="143"/>
        <v>0</v>
      </c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65" outlineLevel="2">
      <c r="A602" s="9" t="s">
        <v>121</v>
      </c>
      <c r="B602" s="11" t="s">
        <v>33</v>
      </c>
      <c r="C602" s="10">
        <v>14657.09</v>
      </c>
      <c r="F602" s="10">
        <v>14657.09</v>
      </c>
      <c r="G602" s="3"/>
      <c r="H602" s="3">
        <v>50</v>
      </c>
      <c r="I602" s="3">
        <v>0</v>
      </c>
      <c r="J602" s="6">
        <v>-0.45000000000000001</v>
      </c>
      <c r="K602" s="3">
        <f t="shared" si="144"/>
        <v>21252.780500000001</v>
      </c>
      <c r="L602" s="3">
        <f t="shared" si="145"/>
        <v>1.0858296482612813</v>
      </c>
      <c r="M602" s="3">
        <f t="shared" si="146"/>
        <v>21252.780500000001</v>
      </c>
      <c r="N602" s="3"/>
      <c r="O602" s="3"/>
      <c r="P602" s="3">
        <f t="shared" si="147"/>
        <v>0</v>
      </c>
      <c r="Q602" s="3">
        <f t="shared" si="148"/>
        <v>0</v>
      </c>
      <c r="R602" s="3">
        <f t="shared" si="149"/>
        <v>21252.780500000001</v>
      </c>
      <c r="S602" s="7">
        <f t="shared" si="143"/>
        <v>0</v>
      </c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65" outlineLevel="2">
      <c r="A603" s="9" t="s">
        <v>121</v>
      </c>
      <c r="B603" s="11" t="s">
        <v>32</v>
      </c>
      <c r="C603" s="10">
        <v>29749.049999999999</v>
      </c>
      <c r="F603" s="10">
        <v>29749.049999999999</v>
      </c>
      <c r="G603" s="3"/>
      <c r="H603" s="3">
        <v>50</v>
      </c>
      <c r="I603" s="3">
        <v>0</v>
      </c>
      <c r="J603" s="6">
        <v>-0.45000000000000001</v>
      </c>
      <c r="K603" s="3">
        <f t="shared" si="144"/>
        <v>43136.122499999998</v>
      </c>
      <c r="L603" s="3">
        <f t="shared" si="145"/>
        <v>1.0858296482612813</v>
      </c>
      <c r="M603" s="3">
        <f t="shared" si="146"/>
        <v>43136.122499999998</v>
      </c>
      <c r="N603" s="3"/>
      <c r="O603" s="3"/>
      <c r="P603" s="3">
        <f t="shared" si="147"/>
        <v>0</v>
      </c>
      <c r="Q603" s="3">
        <f t="shared" si="148"/>
        <v>0</v>
      </c>
      <c r="R603" s="3">
        <f t="shared" si="149"/>
        <v>43136.122499999998</v>
      </c>
      <c r="S603" s="7">
        <f t="shared" si="143"/>
        <v>0</v>
      </c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65" outlineLevel="2">
      <c r="A604" s="9" t="s">
        <v>121</v>
      </c>
      <c r="B604" s="11">
        <v>1941</v>
      </c>
      <c r="C604" s="10">
        <v>1695040.71</v>
      </c>
      <c r="F604" s="10">
        <v>1695040.71</v>
      </c>
      <c r="G604" s="3"/>
      <c r="H604" s="3">
        <v>50</v>
      </c>
      <c r="I604" s="3">
        <v>0</v>
      </c>
      <c r="J604" s="6">
        <v>-0.45000000000000001</v>
      </c>
      <c r="K604" s="3">
        <f t="shared" si="144"/>
        <v>2457809.0294999997</v>
      </c>
      <c r="L604" s="3">
        <f t="shared" si="145"/>
        <v>1.0858296482612813</v>
      </c>
      <c r="M604" s="3">
        <f t="shared" si="146"/>
        <v>2457809.0294999997</v>
      </c>
      <c r="N604" s="3"/>
      <c r="O604" s="3"/>
      <c r="P604" s="3">
        <f t="shared" si="147"/>
        <v>0</v>
      </c>
      <c r="Q604" s="3">
        <f t="shared" si="148"/>
        <v>0</v>
      </c>
      <c r="R604" s="3">
        <f t="shared" si="149"/>
        <v>2457809.0294999997</v>
      </c>
      <c r="S604" s="7">
        <f t="shared" si="143"/>
        <v>0</v>
      </c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65" outlineLevel="2">
      <c r="A605" s="9" t="s">
        <v>121</v>
      </c>
      <c r="B605" s="11">
        <v>1939</v>
      </c>
      <c r="C605" s="10">
        <v>47923.389999999999</v>
      </c>
      <c r="F605" s="10">
        <v>47923.389999999999</v>
      </c>
      <c r="G605" s="3"/>
      <c r="H605" s="3">
        <v>50</v>
      </c>
      <c r="I605" s="3">
        <v>0</v>
      </c>
      <c r="J605" s="6">
        <v>-0.45000000000000001</v>
      </c>
      <c r="K605" s="3">
        <f t="shared" si="144"/>
        <v>69488.915500000003</v>
      </c>
      <c r="L605" s="3">
        <f t="shared" si="145"/>
        <v>1.0858296482612813</v>
      </c>
      <c r="M605" s="3">
        <f t="shared" si="146"/>
        <v>69488.915500000003</v>
      </c>
      <c r="N605" s="3"/>
      <c r="O605" s="3"/>
      <c r="P605" s="3">
        <f t="shared" si="147"/>
        <v>0</v>
      </c>
      <c r="Q605" s="3">
        <f t="shared" si="148"/>
        <v>0</v>
      </c>
      <c r="R605" s="3">
        <f t="shared" si="149"/>
        <v>69488.915500000003</v>
      </c>
      <c r="S605" s="7">
        <f t="shared" si="143"/>
        <v>0</v>
      </c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65" outlineLevel="2">
      <c r="A606" s="9" t="s">
        <v>121</v>
      </c>
      <c r="B606" s="11">
        <v>1932</v>
      </c>
      <c r="C606" s="10">
        <v>7031.0200000000004</v>
      </c>
      <c r="F606" s="10">
        <v>7031.0200000000004</v>
      </c>
      <c r="G606" s="3"/>
      <c r="H606" s="3">
        <v>50</v>
      </c>
      <c r="I606" s="3">
        <v>0</v>
      </c>
      <c r="J606" s="6">
        <v>-0.45000000000000001</v>
      </c>
      <c r="K606" s="3">
        <f t="shared" si="144"/>
        <v>10194.979000000001</v>
      </c>
      <c r="L606" s="3">
        <f t="shared" si="145"/>
        <v>1.0858296482612813</v>
      </c>
      <c r="M606" s="3">
        <f t="shared" si="146"/>
        <v>10194.979000000001</v>
      </c>
      <c r="N606" s="3"/>
      <c r="O606" s="3"/>
      <c r="P606" s="3">
        <f t="shared" si="147"/>
        <v>0</v>
      </c>
      <c r="Q606" s="3">
        <f t="shared" si="148"/>
        <v>0</v>
      </c>
      <c r="R606" s="3">
        <f t="shared" si="149"/>
        <v>10194.979000000001</v>
      </c>
      <c r="S606" s="7">
        <f t="shared" si="143"/>
        <v>0</v>
      </c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65" outlineLevel="2">
      <c r="A607" s="9" t="s">
        <v>121</v>
      </c>
      <c r="B607" s="11">
        <v>1931</v>
      </c>
      <c r="C607" s="10">
        <v>439.02999999999997</v>
      </c>
      <c r="F607" s="10">
        <v>439.02999999999997</v>
      </c>
      <c r="G607" s="3"/>
      <c r="H607" s="3">
        <v>50</v>
      </c>
      <c r="I607" s="3">
        <v>0</v>
      </c>
      <c r="J607" s="6">
        <v>-0.45000000000000001</v>
      </c>
      <c r="K607" s="3">
        <f t="shared" si="144"/>
        <v>636.59349999999995</v>
      </c>
      <c r="L607" s="3">
        <f t="shared" si="145"/>
        <v>1.0858296482612813</v>
      </c>
      <c r="M607" s="3">
        <f t="shared" si="146"/>
        <v>636.59349999999995</v>
      </c>
      <c r="N607" s="3"/>
      <c r="O607" s="3"/>
      <c r="P607" s="3">
        <f t="shared" si="147"/>
        <v>0</v>
      </c>
      <c r="Q607" s="3">
        <f t="shared" si="148"/>
        <v>0</v>
      </c>
      <c r="R607" s="3">
        <f t="shared" si="149"/>
        <v>636.59349999999995</v>
      </c>
      <c r="S607" s="7">
        <f t="shared" si="143"/>
        <v>0</v>
      </c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65" outlineLevel="2">
      <c r="A608" s="9" t="s">
        <v>121</v>
      </c>
      <c r="B608" s="11">
        <v>1930</v>
      </c>
      <c r="C608" s="10">
        <v>116064.07000000001</v>
      </c>
      <c r="F608" s="10">
        <v>116064.07000000001</v>
      </c>
      <c r="G608" s="3"/>
      <c r="H608" s="3">
        <v>50</v>
      </c>
      <c r="I608" s="3">
        <v>0</v>
      </c>
      <c r="J608" s="6">
        <v>-0.45000000000000001</v>
      </c>
      <c r="K608" s="3">
        <f t="shared" si="144"/>
        <v>168292.90150000001</v>
      </c>
      <c r="L608" s="3">
        <f t="shared" si="145"/>
        <v>1.0858296482612813</v>
      </c>
      <c r="M608" s="3">
        <f t="shared" si="146"/>
        <v>168292.90150000001</v>
      </c>
      <c r="N608" s="3"/>
      <c r="O608" s="3"/>
      <c r="P608" s="3">
        <f t="shared" si="147"/>
        <v>0</v>
      </c>
      <c r="Q608" s="3">
        <f t="shared" si="148"/>
        <v>0</v>
      </c>
      <c r="R608" s="3">
        <f t="shared" si="149"/>
        <v>168292.90150000001</v>
      </c>
      <c r="S608" s="7">
        <f t="shared" si="143"/>
        <v>0</v>
      </c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65" outlineLevel="2">
      <c r="A609" s="9" t="s">
        <v>121</v>
      </c>
      <c r="B609" s="11">
        <v>1929</v>
      </c>
      <c r="C609" s="10">
        <v>216152.98000000001</v>
      </c>
      <c r="F609" s="10">
        <v>216152.98000000001</v>
      </c>
      <c r="G609" s="3"/>
      <c r="H609" s="3">
        <v>50</v>
      </c>
      <c r="I609" s="3">
        <v>0</v>
      </c>
      <c r="J609" s="6">
        <v>-0.45000000000000001</v>
      </c>
      <c r="K609" s="3">
        <f t="shared" si="144"/>
        <v>313421.821</v>
      </c>
      <c r="L609" s="3">
        <f t="shared" si="145"/>
        <v>1.0858296482612813</v>
      </c>
      <c r="M609" s="3">
        <f t="shared" si="146"/>
        <v>313421.821</v>
      </c>
      <c r="N609" s="3"/>
      <c r="O609" s="3"/>
      <c r="P609" s="3">
        <f t="shared" si="147"/>
        <v>0</v>
      </c>
      <c r="Q609" s="3">
        <f t="shared" si="148"/>
        <v>0</v>
      </c>
      <c r="R609" s="3">
        <f t="shared" si="149"/>
        <v>313421.821</v>
      </c>
      <c r="S609" s="7">
        <f t="shared" si="143"/>
        <v>0</v>
      </c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65" outlineLevel="2">
      <c r="A610" s="9" t="s">
        <v>121</v>
      </c>
      <c r="B610" s="11">
        <v>1928</v>
      </c>
      <c r="C610" s="10">
        <v>201849.37</v>
      </c>
      <c r="F610" s="10">
        <v>201849.37</v>
      </c>
      <c r="G610" s="3"/>
      <c r="H610" s="3">
        <v>50</v>
      </c>
      <c r="I610" s="3">
        <v>0</v>
      </c>
      <c r="J610" s="6">
        <v>-0.45000000000000001</v>
      </c>
      <c r="K610" s="3">
        <f t="shared" si="144"/>
        <v>292681.58649999998</v>
      </c>
      <c r="L610" s="3">
        <f t="shared" si="145"/>
        <v>1.0858296482612813</v>
      </c>
      <c r="M610" s="3">
        <f t="shared" si="146"/>
        <v>292681.58649999998</v>
      </c>
      <c r="N610" s="3"/>
      <c r="O610" s="3"/>
      <c r="P610" s="3">
        <f t="shared" si="147"/>
        <v>0</v>
      </c>
      <c r="Q610" s="3">
        <f t="shared" si="148"/>
        <v>0</v>
      </c>
      <c r="R610" s="3">
        <f t="shared" si="149"/>
        <v>292681.58649999998</v>
      </c>
      <c r="S610" s="7">
        <f t="shared" si="143"/>
        <v>0</v>
      </c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65" outlineLevel="2">
      <c r="A611" s="9" t="s">
        <v>121</v>
      </c>
      <c r="B611" s="11">
        <v>1927</v>
      </c>
      <c r="C611" s="10">
        <v>91391.080000000002</v>
      </c>
      <c r="F611" s="10">
        <v>91391.080000000002</v>
      </c>
      <c r="G611" s="3"/>
      <c r="H611" s="3">
        <v>50</v>
      </c>
      <c r="I611" s="3">
        <v>0</v>
      </c>
      <c r="J611" s="6">
        <v>-0.45000000000000001</v>
      </c>
      <c r="K611" s="3">
        <f t="shared" si="144"/>
        <v>132517.06599999999</v>
      </c>
      <c r="L611" s="3">
        <f t="shared" si="145"/>
        <v>1.0858296482612813</v>
      </c>
      <c r="M611" s="3">
        <f t="shared" si="146"/>
        <v>132517.06599999999</v>
      </c>
      <c r="N611" s="3"/>
      <c r="O611" s="3"/>
      <c r="P611" s="3">
        <f t="shared" si="147"/>
        <v>0</v>
      </c>
      <c r="Q611" s="3">
        <f t="shared" si="148"/>
        <v>0</v>
      </c>
      <c r="R611" s="3">
        <f t="shared" si="149"/>
        <v>132517.06599999999</v>
      </c>
      <c r="S611" s="7">
        <f t="shared" si="143"/>
        <v>0</v>
      </c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65" outlineLevel="2">
      <c r="A612" s="9" t="s">
        <v>121</v>
      </c>
      <c r="B612" s="11">
        <v>1926</v>
      </c>
      <c r="C612" s="10">
        <v>190915.10000000001</v>
      </c>
      <c r="F612" s="10">
        <v>190915.10000000001</v>
      </c>
      <c r="G612" s="3"/>
      <c r="H612" s="3">
        <v>50</v>
      </c>
      <c r="I612" s="3">
        <v>0</v>
      </c>
      <c r="J612" s="6">
        <v>-0.45000000000000001</v>
      </c>
      <c r="K612" s="3">
        <f t="shared" si="144"/>
        <v>276826.89500000002</v>
      </c>
      <c r="L612" s="3">
        <f t="shared" si="145"/>
        <v>1.0858296482612813</v>
      </c>
      <c r="M612" s="3">
        <f t="shared" si="146"/>
        <v>276826.89500000002</v>
      </c>
      <c r="N612" s="3"/>
      <c r="O612" s="3"/>
      <c r="P612" s="3">
        <f t="shared" si="147"/>
        <v>0</v>
      </c>
      <c r="Q612" s="3">
        <f t="shared" si="148"/>
        <v>0</v>
      </c>
      <c r="R612" s="3">
        <f t="shared" si="149"/>
        <v>276826.89500000002</v>
      </c>
      <c r="S612" s="7">
        <f t="shared" si="143"/>
        <v>0</v>
      </c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65" outlineLevel="2">
      <c r="A613" s="9" t="s">
        <v>121</v>
      </c>
      <c r="B613" s="11">
        <v>1925</v>
      </c>
      <c r="C613" s="10">
        <v>35516.330000000002</v>
      </c>
      <c r="F613" s="10">
        <v>35516.330000000002</v>
      </c>
      <c r="G613" s="3"/>
      <c r="H613" s="3">
        <v>50</v>
      </c>
      <c r="I613" s="3">
        <v>0</v>
      </c>
      <c r="J613" s="6">
        <v>-0.45000000000000001</v>
      </c>
      <c r="K613" s="3">
        <f t="shared" si="144"/>
        <v>51498.678500000002</v>
      </c>
      <c r="L613" s="3">
        <f t="shared" si="145"/>
        <v>1.0858296482612813</v>
      </c>
      <c r="M613" s="3">
        <f t="shared" si="146"/>
        <v>51498.678500000002</v>
      </c>
      <c r="N613" s="3"/>
      <c r="O613" s="3"/>
      <c r="P613" s="3">
        <f t="shared" si="147"/>
        <v>0</v>
      </c>
      <c r="Q613" s="3">
        <f t="shared" si="148"/>
        <v>0</v>
      </c>
      <c r="R613" s="3">
        <f t="shared" si="149"/>
        <v>51498.678500000002</v>
      </c>
      <c r="S613" s="7">
        <f t="shared" si="143"/>
        <v>0</v>
      </c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65" outlineLevel="2">
      <c r="A614" s="9" t="s">
        <v>121</v>
      </c>
      <c r="B614" s="11">
        <v>1924</v>
      </c>
      <c r="C614" s="10">
        <v>89776.029999999999</v>
      </c>
      <c r="F614" s="10">
        <v>89776.029999999999</v>
      </c>
      <c r="G614" s="3"/>
      <c r="H614" s="3">
        <v>50</v>
      </c>
      <c r="I614" s="3">
        <v>0</v>
      </c>
      <c r="J614" s="6">
        <v>-0.45000000000000001</v>
      </c>
      <c r="K614" s="3">
        <f t="shared" si="144"/>
        <v>130175.2435</v>
      </c>
      <c r="L614" s="3">
        <f t="shared" si="145"/>
        <v>1.0858296482612813</v>
      </c>
      <c r="M614" s="3">
        <f t="shared" si="146"/>
        <v>130175.2435</v>
      </c>
      <c r="N614" s="3"/>
      <c r="O614" s="3"/>
      <c r="P614" s="3">
        <f t="shared" si="147"/>
        <v>0</v>
      </c>
      <c r="Q614" s="3">
        <f t="shared" si="148"/>
        <v>0</v>
      </c>
      <c r="R614" s="3">
        <f t="shared" si="149"/>
        <v>130175.2435</v>
      </c>
      <c r="S614" s="7">
        <f t="shared" si="143"/>
        <v>0</v>
      </c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65" outlineLevel="2">
      <c r="A615" s="9" t="s">
        <v>121</v>
      </c>
      <c r="B615" s="11">
        <v>1922</v>
      </c>
      <c r="C615" s="10">
        <v>7735.6599999999999</v>
      </c>
      <c r="F615" s="10">
        <v>7735.6599999999999</v>
      </c>
      <c r="G615" s="3"/>
      <c r="H615" s="3">
        <v>50</v>
      </c>
      <c r="I615" s="3">
        <v>0</v>
      </c>
      <c r="J615" s="6">
        <v>-0.45000000000000001</v>
      </c>
      <c r="K615" s="3">
        <f t="shared" si="144"/>
        <v>11216.707</v>
      </c>
      <c r="L615" s="3">
        <f t="shared" si="145"/>
        <v>1.0858296482612813</v>
      </c>
      <c r="M615" s="3">
        <f t="shared" si="146"/>
        <v>11216.707</v>
      </c>
      <c r="N615" s="3"/>
      <c r="O615" s="3"/>
      <c r="P615" s="3">
        <f t="shared" si="147"/>
        <v>0</v>
      </c>
      <c r="Q615" s="3">
        <f t="shared" si="148"/>
        <v>0</v>
      </c>
      <c r="R615" s="3">
        <f t="shared" si="149"/>
        <v>11216.707</v>
      </c>
      <c r="S615" s="7">
        <f t="shared" si="143"/>
        <v>0</v>
      </c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65" outlineLevel="2">
      <c r="A616" s="9" t="s">
        <v>121</v>
      </c>
      <c r="B616" s="11">
        <v>1921</v>
      </c>
      <c r="C616" s="10">
        <v>45919.480000000003</v>
      </c>
      <c r="F616" s="10">
        <v>45919.480000000003</v>
      </c>
      <c r="G616" s="3"/>
      <c r="H616" s="3">
        <v>50</v>
      </c>
      <c r="I616" s="3">
        <v>0</v>
      </c>
      <c r="J616" s="6">
        <v>-0.45000000000000001</v>
      </c>
      <c r="K616" s="3">
        <f t="shared" si="144"/>
        <v>66583.245999999999</v>
      </c>
      <c r="L616" s="3">
        <f t="shared" si="145"/>
        <v>1.0858296482612813</v>
      </c>
      <c r="M616" s="3">
        <f t="shared" si="146"/>
        <v>66583.245999999999</v>
      </c>
      <c r="N616" s="3"/>
      <c r="O616" s="3"/>
      <c r="P616" s="3">
        <f t="shared" si="147"/>
        <v>0</v>
      </c>
      <c r="Q616" s="3">
        <f t="shared" si="148"/>
        <v>0</v>
      </c>
      <c r="R616" s="3">
        <f t="shared" si="149"/>
        <v>66583.245999999999</v>
      </c>
      <c r="S616" s="7">
        <f t="shared" si="143"/>
        <v>0</v>
      </c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65" outlineLevel="2">
      <c r="A617" s="9" t="s">
        <v>121</v>
      </c>
      <c r="B617" s="11">
        <v>1920</v>
      </c>
      <c r="C617" s="10">
        <v>48314.300000000003</v>
      </c>
      <c r="F617" s="10">
        <v>48314.300000000003</v>
      </c>
      <c r="G617" s="3"/>
      <c r="H617" s="3">
        <v>50</v>
      </c>
      <c r="I617" s="3">
        <v>0</v>
      </c>
      <c r="J617" s="6">
        <v>-0.45000000000000001</v>
      </c>
      <c r="K617" s="3">
        <f t="shared" si="144"/>
        <v>70055.735000000001</v>
      </c>
      <c r="L617" s="3">
        <f t="shared" si="145"/>
        <v>1.0858296482612813</v>
      </c>
      <c r="M617" s="3">
        <f t="shared" si="146"/>
        <v>70055.735000000001</v>
      </c>
      <c r="N617" s="3"/>
      <c r="O617" s="3"/>
      <c r="P617" s="3">
        <f t="shared" si="147"/>
        <v>0</v>
      </c>
      <c r="Q617" s="3">
        <f t="shared" si="148"/>
        <v>0</v>
      </c>
      <c r="R617" s="3">
        <f t="shared" si="149"/>
        <v>70055.735000000001</v>
      </c>
      <c r="S617" s="7">
        <f t="shared" si="143"/>
        <v>0</v>
      </c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65" outlineLevel="1">
      <c r="A618" s="9" t="s">
        <v>138</v>
      </c>
      <c r="B618" s="11"/>
      <c r="C618" s="10">
        <f>SUBTOTAL(9,C524:C617)</f>
        <v>2597173723.1599994</v>
      </c>
      <c r="D618" s="10">
        <f>SUBTOTAL(9,D524:D617)</f>
        <v>0</v>
      </c>
      <c r="E618" s="10">
        <f>SUBTOTAL(9,E524:E617)</f>
        <v>0</v>
      </c>
      <c r="F618" s="10">
        <f>SUBTOTAL(9,F524:F617)</f>
        <v>2597173723.1599994</v>
      </c>
      <c r="G618" s="3"/>
      <c r="J618" s="6"/>
      <c r="K618" s="3">
        <f>SUBTOTAL(9,K524:K617)</f>
        <v>803987972.52655411</v>
      </c>
      <c r="L618" s="3">
        <v>1.0858296482612813</v>
      </c>
      <c r="M618" s="3">
        <f>SUBTOTAL(9,M524:M617)</f>
        <v>870706080.36762023</v>
      </c>
      <c r="N618" s="1">
        <v>870706080.36762047</v>
      </c>
      <c r="O618" s="1">
        <f>+N618-M618</f>
        <v>0</v>
      </c>
      <c r="P618" s="3">
        <f>SUBTOTAL(9,P524:P617)</f>
        <v>0</v>
      </c>
      <c r="Q618" s="3">
        <f>SUBTOTAL(9,Q524:Q617)</f>
        <v>0</v>
      </c>
      <c r="R618" s="3">
        <f>SUBTOTAL(9,R524:R617)</f>
        <v>870706080.36762023</v>
      </c>
      <c r="S618" s="7">
        <f t="shared" si="143"/>
        <v>0</v>
      </c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65" outlineLevel="2">
      <c r="A619" s="9" t="s">
        <v>122</v>
      </c>
      <c r="B619" s="11">
        <v>2021</v>
      </c>
      <c r="C619" s="10">
        <v>2160969.98</v>
      </c>
      <c r="F619" s="10">
        <v>2160969.98</v>
      </c>
      <c r="G619" s="3"/>
      <c r="H619" s="3">
        <v>60</v>
      </c>
      <c r="I619" s="3">
        <v>58.524571999999999</v>
      </c>
      <c r="J619" s="6">
        <v>-0.10000000000000001</v>
      </c>
      <c r="K619" s="3">
        <f t="shared" si="150" ref="K619:K661">+C619*(1-I619/H619)*(1-J619)</f>
        <v>58453.186286943019</v>
      </c>
      <c r="L619" s="3">
        <f t="shared" si="151" ref="L619:L661">$L$662</f>
        <v>1.0420035699854935</v>
      </c>
      <c r="M619" s="3">
        <f t="shared" si="152" ref="M619:M661">IF((C619*(1-J619)-K619*L619)&lt;0,C619*(1-J619),K619*L619)</f>
        <v>60908.428788021716</v>
      </c>
      <c r="N619" s="3"/>
      <c r="O619" s="3"/>
      <c r="P619" s="3">
        <f t="shared" si="153" ref="P619:P661">+D619/$C619*$M619</f>
        <v>0</v>
      </c>
      <c r="Q619" s="3">
        <f t="shared" si="154" ref="Q619:Q661">+E619/$C619*$M619</f>
        <v>0</v>
      </c>
      <c r="R619" s="3">
        <f t="shared" si="155" ref="R619:R661">+F619/$C619*$M619</f>
        <v>60908.428788021716</v>
      </c>
      <c r="S619" s="7">
        <f t="shared" si="143"/>
        <v>0</v>
      </c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65" outlineLevel="2">
      <c r="A620" s="9" t="s">
        <v>122</v>
      </c>
      <c r="B620" s="11">
        <v>2020</v>
      </c>
      <c r="C620" s="10">
        <v>4407340.79</v>
      </c>
      <c r="F620" s="10">
        <v>4407340.79</v>
      </c>
      <c r="G620" s="3"/>
      <c r="H620" s="3">
        <v>60</v>
      </c>
      <c r="I620" s="3">
        <v>57.543491000000003</v>
      </c>
      <c r="J620" s="6">
        <v>-0.10000000000000001</v>
      </c>
      <c r="K620" s="3">
        <f t="shared" si="150"/>
        <v>198488.99247287188</v>
      </c>
      <c r="L620" s="3">
        <f t="shared" si="151"/>
        <v>1.0420035699854935</v>
      </c>
      <c r="M620" s="3">
        <f t="shared" si="152"/>
        <v>206826.23875955623</v>
      </c>
      <c r="N620" s="3"/>
      <c r="O620" s="3"/>
      <c r="P620" s="3">
        <f t="shared" si="153"/>
        <v>0</v>
      </c>
      <c r="Q620" s="3">
        <f t="shared" si="154"/>
        <v>0</v>
      </c>
      <c r="R620" s="3">
        <f t="shared" si="155"/>
        <v>206826.23875955623</v>
      </c>
      <c r="S620" s="7">
        <f t="shared" si="143"/>
        <v>0</v>
      </c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65" outlineLevel="2">
      <c r="A621" s="9" t="s">
        <v>122</v>
      </c>
      <c r="B621" s="11">
        <v>2019</v>
      </c>
      <c r="C621" s="10">
        <v>5973466.7699999996</v>
      </c>
      <c r="F621" s="10">
        <v>5973466.7699999996</v>
      </c>
      <c r="G621" s="3"/>
      <c r="H621" s="3">
        <v>60</v>
      </c>
      <c r="I621" s="3">
        <v>56.564810999999999</v>
      </c>
      <c r="J621" s="6">
        <v>-0.10000000000000001</v>
      </c>
      <c r="K621" s="3">
        <f t="shared" si="150"/>
        <v>376199.76790310792</v>
      </c>
      <c r="L621" s="3">
        <f t="shared" si="151"/>
        <v>1.0420035699854935</v>
      </c>
      <c r="M621" s="3">
        <f t="shared" si="152"/>
        <v>392001.50118275249</v>
      </c>
      <c r="N621" s="3"/>
      <c r="O621" s="3"/>
      <c r="P621" s="3">
        <f t="shared" si="153"/>
        <v>0</v>
      </c>
      <c r="Q621" s="3">
        <f t="shared" si="154"/>
        <v>0</v>
      </c>
      <c r="R621" s="3">
        <f t="shared" si="155"/>
        <v>392001.50118275249</v>
      </c>
      <c r="S621" s="7">
        <f t="shared" si="143"/>
        <v>0</v>
      </c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65" outlineLevel="2">
      <c r="A622" s="9" t="s">
        <v>122</v>
      </c>
      <c r="B622" s="11">
        <v>2018</v>
      </c>
      <c r="C622" s="10">
        <v>61161.900000000001</v>
      </c>
      <c r="F622" s="10">
        <v>61161.900000000001</v>
      </c>
      <c r="G622" s="3"/>
      <c r="H622" s="3">
        <v>60</v>
      </c>
      <c r="I622" s="3">
        <v>55.588745000000003</v>
      </c>
      <c r="J622" s="6">
        <v>-0.10000000000000001</v>
      </c>
      <c r="K622" s="3">
        <f t="shared" si="150"/>
        <v>4946.3468483824963</v>
      </c>
      <c r="L622" s="3">
        <f t="shared" si="151"/>
        <v>1.0420035699854935</v>
      </c>
      <c r="M622" s="3">
        <f t="shared" si="152"/>
        <v>5154.1110744010557</v>
      </c>
      <c r="N622" s="3"/>
      <c r="O622" s="3"/>
      <c r="P622" s="3">
        <f t="shared" si="153"/>
        <v>0</v>
      </c>
      <c r="Q622" s="3">
        <f t="shared" si="154"/>
        <v>0</v>
      </c>
      <c r="R622" s="3">
        <f t="shared" si="155"/>
        <v>5154.1110744010557</v>
      </c>
      <c r="S622" s="7">
        <f t="shared" si="143"/>
        <v>0</v>
      </c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65" outlineLevel="2">
      <c r="A623" s="9" t="s">
        <v>122</v>
      </c>
      <c r="B623" s="11">
        <v>2017</v>
      </c>
      <c r="C623" s="10">
        <v>1515767.5800000001</v>
      </c>
      <c r="F623" s="10">
        <v>1515767.5800000001</v>
      </c>
      <c r="G623" s="3"/>
      <c r="H623" s="3">
        <v>60</v>
      </c>
      <c r="I623" s="3">
        <v>54.615321999999999</v>
      </c>
      <c r="J623" s="6">
        <v>-0.10000000000000001</v>
      </c>
      <c r="K623" s="3">
        <f t="shared" si="150"/>
        <v>149635.20625421949</v>
      </c>
      <c r="L623" s="3">
        <f t="shared" si="151"/>
        <v>1.0420035699854935</v>
      </c>
      <c r="M623" s="3">
        <f t="shared" si="152"/>
        <v>155920.41911241235</v>
      </c>
      <c r="N623" s="3"/>
      <c r="O623" s="3"/>
      <c r="P623" s="3">
        <f t="shared" si="153"/>
        <v>0</v>
      </c>
      <c r="Q623" s="3">
        <f t="shared" si="154"/>
        <v>0</v>
      </c>
      <c r="R623" s="3">
        <f t="shared" si="155"/>
        <v>155920.41911241235</v>
      </c>
      <c r="S623" s="7">
        <f t="shared" si="143"/>
        <v>0</v>
      </c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65" outlineLevel="2">
      <c r="A624" s="9" t="s">
        <v>122</v>
      </c>
      <c r="B624" s="11">
        <v>2016</v>
      </c>
      <c r="C624" s="10">
        <v>22240.759999999998</v>
      </c>
      <c r="F624" s="10">
        <v>22240.759999999998</v>
      </c>
      <c r="G624" s="3"/>
      <c r="H624" s="3">
        <v>60</v>
      </c>
      <c r="I624" s="3">
        <v>53.644945</v>
      </c>
      <c r="J624" s="6">
        <v>-0.10000000000000001</v>
      </c>
      <c r="K624" s="3">
        <f t="shared" si="150"/>
        <v>2591.2563057663338</v>
      </c>
      <c r="L624" s="3">
        <f t="shared" si="151"/>
        <v>1.0420035699854935</v>
      </c>
      <c r="M624" s="3">
        <f t="shared" si="152"/>
        <v>2700.0983213559412</v>
      </c>
      <c r="N624" s="3"/>
      <c r="O624" s="3"/>
      <c r="P624" s="3">
        <f t="shared" si="153"/>
        <v>0</v>
      </c>
      <c r="Q624" s="3">
        <f t="shared" si="154"/>
        <v>0</v>
      </c>
      <c r="R624" s="3">
        <f t="shared" si="155"/>
        <v>2700.0983213559412</v>
      </c>
      <c r="S624" s="7">
        <f t="shared" si="143"/>
        <v>0</v>
      </c>
      <c r="T624" s="8"/>
      <c r="U624" s="8"/>
      <c r="V624" s="8"/>
      <c r="W624" s="8"/>
      <c r="X624" s="8"/>
      <c r="Y624" s="8"/>
      <c r="Z624" s="8"/>
      <c r="AA624" s="8"/>
      <c r="AB624" s="8"/>
    </row>
    <row r="625" spans="1:19" ht="15.65" outlineLevel="2">
      <c r="A625" s="9" t="s">
        <v>122</v>
      </c>
      <c r="B625" s="11">
        <v>2015</v>
      </c>
      <c r="C625" s="10">
        <v>432.02999999999997</v>
      </c>
      <c r="F625" s="10">
        <v>432.02999999999997</v>
      </c>
      <c r="G625" s="5"/>
      <c r="H625" s="3">
        <v>60</v>
      </c>
      <c r="I625" s="3">
        <v>50.754021999999999</v>
      </c>
      <c r="J625" s="2">
        <v>-0.10000000000000001</v>
      </c>
      <c r="K625" s="1">
        <f t="shared" si="150"/>
        <v>73.233231047899991</v>
      </c>
      <c r="L625" s="1">
        <f t="shared" si="151"/>
        <v>1.0420035699854935</v>
      </c>
      <c r="M625" s="1">
        <f t="shared" si="152"/>
        <v>76.309288193484278</v>
      </c>
      <c r="P625" s="1">
        <f t="shared" si="153"/>
        <v>0</v>
      </c>
      <c r="Q625" s="1">
        <f t="shared" si="154"/>
        <v>0</v>
      </c>
      <c r="R625" s="1">
        <f t="shared" si="155"/>
        <v>76.309288193484278</v>
      </c>
      <c r="S625" s="4">
        <f t="shared" si="143"/>
        <v>0</v>
      </c>
    </row>
    <row r="626" spans="1:19" ht="15.65" outlineLevel="2">
      <c r="A626" s="9" t="s">
        <v>122</v>
      </c>
      <c r="B626" s="11">
        <v>2012</v>
      </c>
      <c r="C626" s="10">
        <v>244504.88000000001</v>
      </c>
      <c r="F626" s="10">
        <v>244504.88000000001</v>
      </c>
      <c r="H626" s="3">
        <v>60</v>
      </c>
      <c r="I626" s="3">
        <v>48.845956999999999</v>
      </c>
      <c r="J626" s="2">
        <v>-0.10000000000000001</v>
      </c>
      <c r="K626" s="1">
        <f t="shared" si="150"/>
        <v>49998.995662547088</v>
      </c>
      <c r="L626" s="1">
        <f t="shared" si="151"/>
        <v>1.0420035699854935</v>
      </c>
      <c r="M626" s="1">
        <f t="shared" si="152"/>
        <v>52099.131976063269</v>
      </c>
      <c r="P626" s="1">
        <f t="shared" si="153"/>
        <v>0</v>
      </c>
      <c r="Q626" s="1">
        <f t="shared" si="154"/>
        <v>0</v>
      </c>
      <c r="R626" s="1">
        <f t="shared" si="155"/>
        <v>52099.131976063269</v>
      </c>
      <c r="S626" s="4">
        <f t="shared" si="143"/>
        <v>0</v>
      </c>
    </row>
    <row r="627" spans="1:19" ht="15.65" outlineLevel="2">
      <c r="A627" s="9" t="s">
        <v>122</v>
      </c>
      <c r="B627" s="11">
        <v>2010</v>
      </c>
      <c r="C627" s="10">
        <v>8800798.0299999993</v>
      </c>
      <c r="F627" s="10">
        <v>8800798.0299999993</v>
      </c>
      <c r="H627" s="3">
        <v>60</v>
      </c>
      <c r="I627" s="3">
        <v>46.955655999999998</v>
      </c>
      <c r="J627" s="2">
        <v>-0.10000000000000001</v>
      </c>
      <c r="K627" s="1">
        <f t="shared" si="150"/>
        <v>2104678.3445937759</v>
      </c>
      <c r="L627" s="1">
        <f t="shared" si="151"/>
        <v>1.0420035699854935</v>
      </c>
      <c r="M627" s="1">
        <f t="shared" si="152"/>
        <v>2193082.3487378731</v>
      </c>
      <c r="P627" s="1">
        <f t="shared" si="153"/>
        <v>0</v>
      </c>
      <c r="Q627" s="1">
        <f t="shared" si="154"/>
        <v>0</v>
      </c>
      <c r="R627" s="1">
        <f t="shared" si="155"/>
        <v>2193082.3487378731</v>
      </c>
      <c r="S627" s="4">
        <f t="shared" si="143"/>
        <v>0</v>
      </c>
    </row>
    <row r="628" spans="1:19" ht="15.65" outlineLevel="2">
      <c r="A628" s="9" t="s">
        <v>122</v>
      </c>
      <c r="B628" s="11">
        <v>2008</v>
      </c>
      <c r="C628" s="10">
        <v>11871.06</v>
      </c>
      <c r="F628" s="10">
        <v>11871.06</v>
      </c>
      <c r="H628" s="3">
        <v>60</v>
      </c>
      <c r="I628" s="3">
        <v>46.017558999999999</v>
      </c>
      <c r="J628" s="2">
        <v>-0.10000000000000001</v>
      </c>
      <c r="K628" s="1">
        <f t="shared" si="150"/>
        <v>3043.0839277201007</v>
      </c>
      <c r="L628" s="1">
        <f t="shared" si="151"/>
        <v>1.0420035699854935</v>
      </c>
      <c r="M628" s="1">
        <f t="shared" si="152"/>
        <v>3170.9043164498225</v>
      </c>
      <c r="P628" s="1">
        <f t="shared" si="153"/>
        <v>0</v>
      </c>
      <c r="Q628" s="1">
        <f t="shared" si="154"/>
        <v>0</v>
      </c>
      <c r="R628" s="1">
        <f t="shared" si="155"/>
        <v>3170.9043164498225</v>
      </c>
      <c r="S628" s="4">
        <f t="shared" si="143"/>
        <v>0</v>
      </c>
    </row>
    <row r="629" spans="1:19" ht="15.65" outlineLevel="2">
      <c r="A629" s="9" t="s">
        <v>122</v>
      </c>
      <c r="B629" s="11">
        <v>2007</v>
      </c>
      <c r="C629" s="10">
        <v>81671.149999999994</v>
      </c>
      <c r="F629" s="10">
        <v>81671.149999999994</v>
      </c>
      <c r="H629" s="3">
        <v>60</v>
      </c>
      <c r="I629" s="3">
        <v>45.08473</v>
      </c>
      <c r="J629" s="2">
        <v>-0.10000000000000001</v>
      </c>
      <c r="K629" s="1">
        <f t="shared" si="150"/>
        <v>22332.699646775833</v>
      </c>
      <c r="L629" s="1">
        <f t="shared" si="151"/>
        <v>1.0420035699854935</v>
      </c>
      <c r="M629" s="1">
        <f t="shared" si="152"/>
        <v>23270.752759354185</v>
      </c>
      <c r="P629" s="1">
        <f t="shared" si="153"/>
        <v>0</v>
      </c>
      <c r="Q629" s="1">
        <f t="shared" si="154"/>
        <v>0</v>
      </c>
      <c r="R629" s="1">
        <f t="shared" si="155"/>
        <v>23270.752759354185</v>
      </c>
      <c r="S629" s="4">
        <f t="shared" si="143"/>
        <v>0</v>
      </c>
    </row>
    <row r="630" spans="1:19" ht="15.65" outlineLevel="2">
      <c r="A630" s="9" t="s">
        <v>122</v>
      </c>
      <c r="B630" s="11">
        <v>2006</v>
      </c>
      <c r="C630" s="10">
        <v>6107492.3700000001</v>
      </c>
      <c r="F630" s="10">
        <v>6107492.3700000001</v>
      </c>
      <c r="H630" s="3">
        <v>60</v>
      </c>
      <c r="I630" s="3">
        <v>44.157442000000003</v>
      </c>
      <c r="J630" s="2">
        <v>-0.10000000000000001</v>
      </c>
      <c r="K630" s="1">
        <f t="shared" si="150"/>
        <v>1773902.2052818453</v>
      </c>
      <c r="L630" s="1">
        <f t="shared" si="151"/>
        <v>1.0420035699854935</v>
      </c>
      <c r="M630" s="1">
        <f t="shared" si="152"/>
        <v>1848412.4307088226</v>
      </c>
      <c r="P630" s="1">
        <f t="shared" si="153"/>
        <v>0</v>
      </c>
      <c r="Q630" s="1">
        <f t="shared" si="154"/>
        <v>0</v>
      </c>
      <c r="R630" s="1">
        <f t="shared" si="155"/>
        <v>1848412.4307088226</v>
      </c>
      <c r="S630" s="4">
        <f t="shared" si="156" ref="S630:S693">+M630-P630-Q630-R630</f>
        <v>0</v>
      </c>
    </row>
    <row r="631" spans="1:19" ht="15.65" outlineLevel="2">
      <c r="A631" s="9" t="s">
        <v>122</v>
      </c>
      <c r="B631" s="11">
        <v>2005</v>
      </c>
      <c r="C631" s="10">
        <v>14658880.060000001</v>
      </c>
      <c r="F631" s="10">
        <v>14658880.060000001</v>
      </c>
      <c r="H631" s="3">
        <v>60</v>
      </c>
      <c r="I631" s="3">
        <v>43.235500999999999</v>
      </c>
      <c r="J631" s="2">
        <v>-0.10000000000000001</v>
      </c>
      <c r="K631" s="1">
        <f t="shared" si="150"/>
        <v>4505394.3019614825</v>
      </c>
      <c r="L631" s="1">
        <f t="shared" si="151"/>
        <v>1.0420035699854935</v>
      </c>
      <c r="M631" s="1">
        <f t="shared" si="152"/>
        <v>4694636.9468361652</v>
      </c>
      <c r="P631" s="1">
        <f t="shared" si="153"/>
        <v>0</v>
      </c>
      <c r="Q631" s="1">
        <f t="shared" si="154"/>
        <v>0</v>
      </c>
      <c r="R631" s="1">
        <f t="shared" si="155"/>
        <v>4694636.9468361652</v>
      </c>
      <c r="S631" s="4">
        <f t="shared" si="156"/>
        <v>0</v>
      </c>
    </row>
    <row r="632" spans="1:19" ht="15.65" outlineLevel="2">
      <c r="A632" s="9" t="s">
        <v>122</v>
      </c>
      <c r="B632" s="11">
        <v>2004</v>
      </c>
      <c r="C632" s="10">
        <v>396961.97999999998</v>
      </c>
      <c r="F632" s="10">
        <v>396961.97999999998</v>
      </c>
      <c r="H632" s="3">
        <v>60</v>
      </c>
      <c r="I632" s="3">
        <v>42.319561</v>
      </c>
      <c r="J632" s="2">
        <v>-0.10000000000000001</v>
      </c>
      <c r="K632" s="1">
        <f t="shared" si="150"/>
        <v>128671.80466633568</v>
      </c>
      <c r="L632" s="1">
        <f t="shared" si="151"/>
        <v>1.0420035699854935</v>
      </c>
      <c r="M632" s="1">
        <f t="shared" si="152"/>
        <v>134076.47981879785</v>
      </c>
      <c r="P632" s="1">
        <f t="shared" si="153"/>
        <v>0</v>
      </c>
      <c r="Q632" s="1">
        <f t="shared" si="154"/>
        <v>0</v>
      </c>
      <c r="R632" s="1">
        <f t="shared" si="155"/>
        <v>134076.47981879785</v>
      </c>
      <c r="S632" s="4">
        <f t="shared" si="156"/>
        <v>0</v>
      </c>
    </row>
    <row r="633" spans="1:19" ht="15.65" outlineLevel="2">
      <c r="A633" s="9" t="s">
        <v>122</v>
      </c>
      <c r="B633" s="11">
        <v>2003</v>
      </c>
      <c r="C633" s="10">
        <v>3647207.0499999998</v>
      </c>
      <c r="F633" s="10">
        <v>3647207.0499999998</v>
      </c>
      <c r="H633" s="3">
        <v>60</v>
      </c>
      <c r="I633" s="3">
        <v>41.409889</v>
      </c>
      <c r="J633" s="2">
        <v>-0.10000000000000001</v>
      </c>
      <c r="K633" s="1">
        <f t="shared" si="150"/>
        <v>1243036.3714905137</v>
      </c>
      <c r="L633" s="1">
        <f t="shared" si="151"/>
        <v>1.0420035699854935</v>
      </c>
      <c r="M633" s="1">
        <f t="shared" si="152"/>
        <v>1295248.3367149294</v>
      </c>
      <c r="P633" s="1">
        <f t="shared" si="153"/>
        <v>0</v>
      </c>
      <c r="Q633" s="1">
        <f t="shared" si="154"/>
        <v>0</v>
      </c>
      <c r="R633" s="1">
        <f t="shared" si="155"/>
        <v>1295248.3367149294</v>
      </c>
      <c r="S633" s="4">
        <f t="shared" si="156"/>
        <v>0</v>
      </c>
    </row>
    <row r="634" spans="1:19" ht="15.65" outlineLevel="2">
      <c r="A634" s="9" t="s">
        <v>122</v>
      </c>
      <c r="B634" s="11">
        <v>2002</v>
      </c>
      <c r="C634" s="10">
        <v>3839.0900000000001</v>
      </c>
      <c r="F634" s="10">
        <v>3839.0900000000001</v>
      </c>
      <c r="H634" s="3">
        <v>60</v>
      </c>
      <c r="I634" s="3">
        <v>40.506208999999998</v>
      </c>
      <c r="J634" s="2">
        <v>-0.10000000000000001</v>
      </c>
      <c r="K634" s="1">
        <f t="shared" si="150"/>
        <v>1372.0376649868172</v>
      </c>
      <c r="L634" s="1">
        <f t="shared" si="151"/>
        <v>1.0420035699854935</v>
      </c>
      <c r="M634" s="1">
        <f t="shared" si="152"/>
        <v>1429.668145070824</v>
      </c>
      <c r="P634" s="1">
        <f t="shared" si="153"/>
        <v>0</v>
      </c>
      <c r="Q634" s="1">
        <f t="shared" si="154"/>
        <v>0</v>
      </c>
      <c r="R634" s="1">
        <f t="shared" si="155"/>
        <v>1429.668145070824</v>
      </c>
      <c r="S634" s="4">
        <f t="shared" si="156"/>
        <v>0</v>
      </c>
    </row>
    <row r="635" spans="1:19" ht="15.65" outlineLevel="2">
      <c r="A635" s="9" t="s">
        <v>122</v>
      </c>
      <c r="B635" s="11">
        <v>2001</v>
      </c>
      <c r="C635" s="10">
        <v>805.04999999999995</v>
      </c>
      <c r="F635" s="10">
        <v>805.04999999999995</v>
      </c>
      <c r="H635" s="3">
        <v>60</v>
      </c>
      <c r="I635" s="3">
        <v>39.609220999999998</v>
      </c>
      <c r="J635" s="2">
        <v>-0.10000000000000001</v>
      </c>
      <c r="K635" s="1">
        <f t="shared" si="150"/>
        <v>300.95260495575002</v>
      </c>
      <c r="L635" s="1">
        <f t="shared" si="151"/>
        <v>1.0420035699854935</v>
      </c>
      <c r="M635" s="1">
        <f t="shared" si="152"/>
        <v>313.59368876032545</v>
      </c>
      <c r="P635" s="1">
        <f t="shared" si="153"/>
        <v>0</v>
      </c>
      <c r="Q635" s="1">
        <f t="shared" si="154"/>
        <v>0</v>
      </c>
      <c r="R635" s="1">
        <f t="shared" si="155"/>
        <v>313.59368876032545</v>
      </c>
      <c r="S635" s="4">
        <f t="shared" si="156"/>
        <v>0</v>
      </c>
    </row>
    <row r="636" spans="1:19" ht="15.65" outlineLevel="2">
      <c r="A636" s="9" t="s">
        <v>122</v>
      </c>
      <c r="B636" s="11">
        <v>2000</v>
      </c>
      <c r="C636" s="10">
        <v>905447.14000000001</v>
      </c>
      <c r="F636" s="10">
        <v>905447.14000000001</v>
      </c>
      <c r="H636" s="3">
        <v>60</v>
      </c>
      <c r="I636" s="3">
        <v>38.719163000000002</v>
      </c>
      <c r="J636" s="2">
        <v>-0.10000000000000001</v>
      </c>
      <c r="K636" s="1">
        <f t="shared" si="150"/>
        <v>353259.00497169665</v>
      </c>
      <c r="L636" s="1">
        <f t="shared" si="151"/>
        <v>1.0420035699854935</v>
      </c>
      <c r="M636" s="1">
        <f t="shared" si="152"/>
        <v>368097.14431003109</v>
      </c>
      <c r="P636" s="1">
        <f t="shared" si="153"/>
        <v>0</v>
      </c>
      <c r="Q636" s="1">
        <f t="shared" si="154"/>
        <v>0</v>
      </c>
      <c r="R636" s="1">
        <f t="shared" si="155"/>
        <v>368097.14431003109</v>
      </c>
      <c r="S636" s="4">
        <f t="shared" si="156"/>
        <v>0</v>
      </c>
    </row>
    <row r="637" spans="1:19" ht="15.65" outlineLevel="2">
      <c r="A637" s="9" t="s">
        <v>122</v>
      </c>
      <c r="B637" s="11">
        <v>1999</v>
      </c>
      <c r="C637" s="10">
        <v>32774.800000000003</v>
      </c>
      <c r="F637" s="10">
        <v>32774.800000000003</v>
      </c>
      <c r="H637" s="3">
        <v>60</v>
      </c>
      <c r="I637" s="3">
        <v>37.835684000000001</v>
      </c>
      <c r="J637" s="2">
        <v>-0.10000000000000001</v>
      </c>
      <c r="K637" s="1">
        <f t="shared" si="150"/>
        <v>13317.902107341333</v>
      </c>
      <c r="L637" s="1">
        <f t="shared" si="151"/>
        <v>1.0420035699854935</v>
      </c>
      <c r="M637" s="1">
        <f t="shared" si="152"/>
        <v>13877.301540566996</v>
      </c>
      <c r="P637" s="1">
        <f t="shared" si="153"/>
        <v>0</v>
      </c>
      <c r="Q637" s="1">
        <f t="shared" si="154"/>
        <v>0</v>
      </c>
      <c r="R637" s="1">
        <f t="shared" si="155"/>
        <v>13877.301540566996</v>
      </c>
      <c r="S637" s="4">
        <f t="shared" si="156"/>
        <v>0</v>
      </c>
    </row>
    <row r="638" spans="1:19" ht="15.65" outlineLevel="2">
      <c r="A638" s="9" t="s">
        <v>122</v>
      </c>
      <c r="B638" s="11">
        <v>1998</v>
      </c>
      <c r="C638" s="10">
        <v>30972.470000000001</v>
      </c>
      <c r="F638" s="10">
        <v>30972.470000000001</v>
      </c>
      <c r="H638" s="3">
        <v>60</v>
      </c>
      <c r="I638" s="3">
        <v>36.959510000000002</v>
      </c>
      <c r="J638" s="2">
        <v>-0.10000000000000001</v>
      </c>
      <c r="K638" s="1">
        <f t="shared" si="150"/>
        <v>13083.049564022165</v>
      </c>
      <c r="L638" s="1">
        <f t="shared" si="151"/>
        <v>1.0420035699854935</v>
      </c>
      <c r="M638" s="1">
        <f t="shared" si="152"/>
        <v>13632.584352008251</v>
      </c>
      <c r="P638" s="1">
        <f t="shared" si="153"/>
        <v>0</v>
      </c>
      <c r="Q638" s="1">
        <f t="shared" si="154"/>
        <v>0</v>
      </c>
      <c r="R638" s="1">
        <f t="shared" si="155"/>
        <v>13632.584352008251</v>
      </c>
      <c r="S638" s="4">
        <f t="shared" si="156"/>
        <v>0</v>
      </c>
    </row>
    <row r="639" spans="1:19" ht="15.65" outlineLevel="2">
      <c r="A639" s="9" t="s">
        <v>122</v>
      </c>
      <c r="B639" s="11">
        <v>1997</v>
      </c>
      <c r="C639" s="10">
        <v>1570318.74</v>
      </c>
      <c r="F639" s="10">
        <v>1570318.74</v>
      </c>
      <c r="H639" s="3">
        <v>60</v>
      </c>
      <c r="I639" s="3">
        <v>36.090868</v>
      </c>
      <c r="J639" s="2">
        <v>-0.10000000000000001</v>
      </c>
      <c r="K639" s="1">
        <f t="shared" si="150"/>
        <v>688324.23067345086</v>
      </c>
      <c r="L639" s="1">
        <f t="shared" si="151"/>
        <v>1.0420035699854935</v>
      </c>
      <c r="M639" s="1">
        <f t="shared" si="152"/>
        <v>717236.30566925416</v>
      </c>
      <c r="P639" s="1">
        <f t="shared" si="153"/>
        <v>0</v>
      </c>
      <c r="Q639" s="1">
        <f t="shared" si="154"/>
        <v>0</v>
      </c>
      <c r="R639" s="1">
        <f t="shared" si="155"/>
        <v>717236.30566925416</v>
      </c>
      <c r="S639" s="4">
        <f t="shared" si="156"/>
        <v>0</v>
      </c>
    </row>
    <row r="640" spans="1:19" ht="15.65" outlineLevel="2">
      <c r="A640" s="9" t="s">
        <v>122</v>
      </c>
      <c r="B640" s="11">
        <v>1996</v>
      </c>
      <c r="C640" s="10">
        <v>234650.79000000001</v>
      </c>
      <c r="F640" s="10">
        <v>234650.79000000001</v>
      </c>
      <c r="H640" s="3">
        <v>60</v>
      </c>
      <c r="I640" s="3">
        <v>35.229312</v>
      </c>
      <c r="J640" s="2">
        <v>-0.10000000000000001</v>
      </c>
      <c r="K640" s="1">
        <f t="shared" si="150"/>
        <v>106561.79431413123</v>
      </c>
      <c r="L640" s="1">
        <f t="shared" si="151"/>
        <v>1.0420035699854935</v>
      </c>
      <c r="M640" s="1">
        <f t="shared" si="152"/>
        <v>111037.77009938459</v>
      </c>
      <c r="P640" s="1">
        <f t="shared" si="153"/>
        <v>0</v>
      </c>
      <c r="Q640" s="1">
        <f t="shared" si="154"/>
        <v>0</v>
      </c>
      <c r="R640" s="1">
        <f t="shared" si="155"/>
        <v>111037.77009938459</v>
      </c>
      <c r="S640" s="4">
        <f t="shared" si="156"/>
        <v>0</v>
      </c>
    </row>
    <row r="641" spans="1:19" ht="15.65" outlineLevel="2">
      <c r="A641" s="9" t="s">
        <v>122</v>
      </c>
      <c r="B641" s="11">
        <v>1995</v>
      </c>
      <c r="C641" s="10">
        <v>844923.22999999998</v>
      </c>
      <c r="F641" s="10">
        <v>844923.22999999998</v>
      </c>
      <c r="H641" s="3">
        <v>60</v>
      </c>
      <c r="I641" s="3">
        <v>31.862083999999999</v>
      </c>
      <c r="J641" s="2">
        <v>-0.10000000000000001</v>
      </c>
      <c r="K641" s="1">
        <f t="shared" si="150"/>
        <v>435863.61265679257</v>
      </c>
      <c r="L641" s="1">
        <f t="shared" si="151"/>
        <v>1.0420035699854935</v>
      </c>
      <c r="M641" s="1">
        <f t="shared" si="152"/>
        <v>454171.44041515217</v>
      </c>
      <c r="P641" s="1">
        <f t="shared" si="153"/>
        <v>0</v>
      </c>
      <c r="Q641" s="1">
        <f t="shared" si="154"/>
        <v>0</v>
      </c>
      <c r="R641" s="1">
        <f t="shared" si="155"/>
        <v>454171.44041515217</v>
      </c>
      <c r="S641" s="4">
        <f t="shared" si="156"/>
        <v>0</v>
      </c>
    </row>
    <row r="642" spans="1:19" ht="15.65" outlineLevel="2">
      <c r="A642" s="9" t="s">
        <v>122</v>
      </c>
      <c r="B642" s="11">
        <v>1991</v>
      </c>
      <c r="C642" s="10">
        <v>3118.2600000000002</v>
      </c>
      <c r="F642" s="10">
        <v>3118.2600000000002</v>
      </c>
      <c r="H642" s="3">
        <v>60</v>
      </c>
      <c r="I642" s="3">
        <v>31.040854</v>
      </c>
      <c r="J642" s="2">
        <v>-0.10000000000000001</v>
      </c>
      <c r="K642" s="1">
        <f t="shared" si="150"/>
        <v>1655.5393544426001</v>
      </c>
      <c r="L642" s="1">
        <f t="shared" si="151"/>
        <v>1.0420035699854935</v>
      </c>
      <c r="M642" s="1">
        <f t="shared" si="152"/>
        <v>1725.0779175806686</v>
      </c>
      <c r="P642" s="1">
        <f t="shared" si="153"/>
        <v>0</v>
      </c>
      <c r="Q642" s="1">
        <f t="shared" si="154"/>
        <v>0</v>
      </c>
      <c r="R642" s="1">
        <f t="shared" si="155"/>
        <v>1725.0779175806686</v>
      </c>
      <c r="S642" s="4">
        <f t="shared" si="156"/>
        <v>0</v>
      </c>
    </row>
    <row r="643" spans="1:19" ht="15.65" outlineLevel="2">
      <c r="A643" s="9" t="s">
        <v>122</v>
      </c>
      <c r="B643" s="11">
        <v>1990</v>
      </c>
      <c r="C643" s="10">
        <v>1827.5899999999999</v>
      </c>
      <c r="F643" s="10">
        <v>1827.5899999999999</v>
      </c>
      <c r="H643" s="3">
        <v>60</v>
      </c>
      <c r="I643" s="3">
        <v>30.227575000000002</v>
      </c>
      <c r="J643" s="2">
        <v>-0.10000000000000001</v>
      </c>
      <c r="K643" s="1">
        <f t="shared" si="150"/>
        <v>997.54941377208331</v>
      </c>
      <c r="L643" s="1">
        <f t="shared" si="151"/>
        <v>1.0420035699854935</v>
      </c>
      <c r="M643" s="1">
        <f t="shared" si="152"/>
        <v>1039.4500503874469</v>
      </c>
      <c r="P643" s="1">
        <f t="shared" si="153"/>
        <v>0</v>
      </c>
      <c r="Q643" s="1">
        <f t="shared" si="154"/>
        <v>0</v>
      </c>
      <c r="R643" s="1">
        <f t="shared" si="155"/>
        <v>1039.4500503874469</v>
      </c>
      <c r="S643" s="4">
        <f t="shared" si="156"/>
        <v>0</v>
      </c>
    </row>
    <row r="644" spans="1:19" ht="15.65" outlineLevel="2">
      <c r="A644" s="9" t="s">
        <v>122</v>
      </c>
      <c r="B644" s="11">
        <v>1989</v>
      </c>
      <c r="C644" s="10">
        <v>550582.57999999996</v>
      </c>
      <c r="F644" s="10">
        <v>550582.57999999996</v>
      </c>
      <c r="H644" s="3">
        <v>60</v>
      </c>
      <c r="I644" s="3">
        <v>26.294854000000001</v>
      </c>
      <c r="J644" s="2">
        <v>-0.10000000000000001</v>
      </c>
      <c r="K644" s="1">
        <f t="shared" si="150"/>
        <v>340220.21447253908</v>
      </c>
      <c r="L644" s="1">
        <f t="shared" si="151"/>
        <v>1.0420035699854935</v>
      </c>
      <c r="M644" s="1">
        <f t="shared" si="152"/>
        <v>354510.67806161597</v>
      </c>
      <c r="P644" s="1">
        <f t="shared" si="153"/>
        <v>0</v>
      </c>
      <c r="Q644" s="1">
        <f t="shared" si="154"/>
        <v>0</v>
      </c>
      <c r="R644" s="1">
        <f t="shared" si="155"/>
        <v>354510.67806161597</v>
      </c>
      <c r="S644" s="4">
        <f t="shared" si="156"/>
        <v>0</v>
      </c>
    </row>
    <row r="645" spans="1:19" ht="15.65" outlineLevel="2">
      <c r="A645" s="9" t="s">
        <v>122</v>
      </c>
      <c r="B645" s="11">
        <v>1984</v>
      </c>
      <c r="C645" s="10">
        <v>72490.350000000006</v>
      </c>
      <c r="F645" s="10">
        <v>72490.350000000006</v>
      </c>
      <c r="H645" s="3">
        <v>60</v>
      </c>
      <c r="I645" s="3">
        <v>25.535681</v>
      </c>
      <c r="J645" s="2">
        <v>-0.10000000000000001</v>
      </c>
      <c r="K645" s="1">
        <f t="shared" si="150"/>
        <v>45802.726691730262</v>
      </c>
      <c r="L645" s="1">
        <f t="shared" si="151"/>
        <v>1.0420035699854935</v>
      </c>
      <c r="M645" s="1">
        <f t="shared" si="152"/>
        <v>47726.604727852784</v>
      </c>
      <c r="P645" s="1">
        <f t="shared" si="153"/>
        <v>0</v>
      </c>
      <c r="Q645" s="1">
        <f t="shared" si="154"/>
        <v>0</v>
      </c>
      <c r="R645" s="1">
        <f t="shared" si="155"/>
        <v>47726.604727852784</v>
      </c>
      <c r="S645" s="4">
        <f t="shared" si="156"/>
        <v>0</v>
      </c>
    </row>
    <row r="646" spans="1:19" ht="15.65" outlineLevel="2">
      <c r="A646" s="9" t="s">
        <v>122</v>
      </c>
      <c r="B646" s="11">
        <v>1983</v>
      </c>
      <c r="C646" s="10">
        <v>2114404.6499999999</v>
      </c>
      <c r="F646" s="10">
        <v>2114404.6499999999</v>
      </c>
      <c r="H646" s="3">
        <v>60</v>
      </c>
      <c r="I646" s="3">
        <v>24.047625</v>
      </c>
      <c r="J646" s="2">
        <v>-0.10000000000000001</v>
      </c>
      <c r="K646" s="1">
        <f t="shared" si="150"/>
        <v>1393660.9294399687</v>
      </c>
      <c r="L646" s="1">
        <f t="shared" si="151"/>
        <v>1.0420035699854935</v>
      </c>
      <c r="M646" s="1">
        <f t="shared" si="152"/>
        <v>1452199.6638257483</v>
      </c>
      <c r="P646" s="1">
        <f t="shared" si="153"/>
        <v>0</v>
      </c>
      <c r="Q646" s="1">
        <f t="shared" si="154"/>
        <v>0</v>
      </c>
      <c r="R646" s="1">
        <f t="shared" si="155"/>
        <v>1452199.6638257483</v>
      </c>
      <c r="S646" s="4">
        <f t="shared" si="156"/>
        <v>0</v>
      </c>
    </row>
    <row r="647" spans="1:19" ht="15.65" outlineLevel="2">
      <c r="A647" s="9" t="s">
        <v>122</v>
      </c>
      <c r="B647" s="11">
        <v>1981</v>
      </c>
      <c r="C647" s="10">
        <v>2348.7600000000002</v>
      </c>
      <c r="F647" s="10">
        <v>2348.7600000000002</v>
      </c>
      <c r="H647" s="3">
        <v>60</v>
      </c>
      <c r="I647" s="3">
        <v>22.599948000000001</v>
      </c>
      <c r="J647" s="2">
        <v>-0.10000000000000001</v>
      </c>
      <c r="K647" s="1">
        <f t="shared" si="150"/>
        <v>1610.4686791512002</v>
      </c>
      <c r="L647" s="1">
        <f t="shared" si="151"/>
        <v>1.0420035699854935</v>
      </c>
      <c r="M647" s="1">
        <f t="shared" si="152"/>
        <v>1678.1141130253729</v>
      </c>
      <c r="P647" s="1">
        <f t="shared" si="153"/>
        <v>0</v>
      </c>
      <c r="Q647" s="1">
        <f t="shared" si="154"/>
        <v>0</v>
      </c>
      <c r="R647" s="1">
        <f t="shared" si="155"/>
        <v>1678.1141130253729</v>
      </c>
      <c r="S647" s="4">
        <f t="shared" si="156"/>
        <v>0</v>
      </c>
    </row>
    <row r="648" spans="1:19" ht="15.65" outlineLevel="2">
      <c r="A648" s="9" t="s">
        <v>122</v>
      </c>
      <c r="B648" s="11">
        <v>1979</v>
      </c>
      <c r="C648" s="10">
        <v>2114.8299999999999</v>
      </c>
      <c r="F648" s="10">
        <v>2114.8299999999999</v>
      </c>
      <c r="H648" s="3">
        <v>60</v>
      </c>
      <c r="I648" s="3">
        <v>21.892720000000001</v>
      </c>
      <c r="J648" s="2">
        <v>-0.10000000000000001</v>
      </c>
      <c r="K648" s="1">
        <f t="shared" si="150"/>
        <v>1477.4910143106667</v>
      </c>
      <c r="L648" s="1">
        <f t="shared" si="151"/>
        <v>1.0420035699854935</v>
      </c>
      <c r="M648" s="1">
        <f t="shared" si="152"/>
        <v>1539.5509115332027</v>
      </c>
      <c r="P648" s="1">
        <f t="shared" si="153"/>
        <v>0</v>
      </c>
      <c r="Q648" s="1">
        <f t="shared" si="154"/>
        <v>0</v>
      </c>
      <c r="R648" s="1">
        <f t="shared" si="155"/>
        <v>1539.5509115332027</v>
      </c>
      <c r="S648" s="4">
        <f t="shared" si="156"/>
        <v>0</v>
      </c>
    </row>
    <row r="649" spans="1:19" ht="15.65" outlineLevel="2">
      <c r="A649" s="9" t="s">
        <v>122</v>
      </c>
      <c r="B649" s="11">
        <v>1978</v>
      </c>
      <c r="C649" s="10">
        <v>777003.47999999998</v>
      </c>
      <c r="F649" s="10">
        <v>777003.47999999998</v>
      </c>
      <c r="H649" s="3">
        <v>60</v>
      </c>
      <c r="I649" s="3">
        <v>21.196007999999999</v>
      </c>
      <c r="J649" s="2">
        <v>-0.10000000000000001</v>
      </c>
      <c r="K649" s="1">
        <f t="shared" si="150"/>
        <v>552765.34173468966</v>
      </c>
      <c r="L649" s="1">
        <f t="shared" si="151"/>
        <v>1.0420035699854935</v>
      </c>
      <c r="M649" s="1">
        <f t="shared" si="152"/>
        <v>575983.45945179788</v>
      </c>
      <c r="P649" s="1">
        <f t="shared" si="153"/>
        <v>0</v>
      </c>
      <c r="Q649" s="1">
        <f t="shared" si="154"/>
        <v>0</v>
      </c>
      <c r="R649" s="1">
        <f t="shared" si="155"/>
        <v>575983.45945179788</v>
      </c>
      <c r="S649" s="4">
        <f t="shared" si="156"/>
        <v>0</v>
      </c>
    </row>
    <row r="650" spans="1:19" ht="15.65" outlineLevel="2">
      <c r="A650" s="9" t="s">
        <v>122</v>
      </c>
      <c r="B650" s="11">
        <v>1977</v>
      </c>
      <c r="C650" s="10">
        <v>644100.78000000003</v>
      </c>
      <c r="F650" s="10">
        <v>644100.78000000003</v>
      </c>
      <c r="H650" s="3">
        <v>60</v>
      </c>
      <c r="I650" s="3">
        <v>19.177617000000001</v>
      </c>
      <c r="J650" s="2">
        <v>-0.10000000000000001</v>
      </c>
      <c r="K650" s="1">
        <f t="shared" si="150"/>
        <v>482051.693415577</v>
      </c>
      <c r="L650" s="1">
        <f t="shared" si="151"/>
        <v>1.0420035699854935</v>
      </c>
      <c r="M650" s="1">
        <f t="shared" si="152"/>
        <v>502299.58545658382</v>
      </c>
      <c r="P650" s="1">
        <f t="shared" si="153"/>
        <v>0</v>
      </c>
      <c r="Q650" s="1">
        <f t="shared" si="154"/>
        <v>0</v>
      </c>
      <c r="R650" s="1">
        <f t="shared" si="155"/>
        <v>502299.58545658382</v>
      </c>
      <c r="S650" s="4">
        <f t="shared" si="156"/>
        <v>0</v>
      </c>
    </row>
    <row r="651" spans="1:19" ht="15.65" outlineLevel="2">
      <c r="A651" s="9" t="s">
        <v>122</v>
      </c>
      <c r="B651" s="11">
        <v>1974</v>
      </c>
      <c r="C651" s="10">
        <v>617840.71999999997</v>
      </c>
      <c r="F651" s="10">
        <v>617840.71999999997</v>
      </c>
      <c r="H651" s="3">
        <v>60</v>
      </c>
      <c r="I651" s="3">
        <v>18.529684</v>
      </c>
      <c r="J651" s="2">
        <v>-0.10000000000000001</v>
      </c>
      <c r="K651" s="1">
        <f t="shared" si="150"/>
        <v>469737.58142790454</v>
      </c>
      <c r="L651" s="1">
        <f t="shared" si="151"/>
        <v>1.0420035699854935</v>
      </c>
      <c r="M651" s="1">
        <f t="shared" si="152"/>
        <v>489468.23680422798</v>
      </c>
      <c r="P651" s="1">
        <f t="shared" si="153"/>
        <v>0</v>
      </c>
      <c r="Q651" s="1">
        <f t="shared" si="154"/>
        <v>0</v>
      </c>
      <c r="R651" s="1">
        <f t="shared" si="155"/>
        <v>489468.23680422798</v>
      </c>
      <c r="S651" s="4">
        <f t="shared" si="156"/>
        <v>0</v>
      </c>
    </row>
    <row r="652" spans="1:19" ht="15.65" outlineLevel="2">
      <c r="A652" s="9" t="s">
        <v>122</v>
      </c>
      <c r="B652" s="11">
        <v>1973</v>
      </c>
      <c r="C652" s="10">
        <v>637834.56000000006</v>
      </c>
      <c r="F652" s="10">
        <v>637834.56000000006</v>
      </c>
      <c r="H652" s="3">
        <v>60</v>
      </c>
      <c r="I652" s="3">
        <v>17.895242</v>
      </c>
      <c r="J652" s="2">
        <v>-0.10000000000000001</v>
      </c>
      <c r="K652" s="1">
        <f t="shared" si="150"/>
        <v>492357.61286866886</v>
      </c>
      <c r="L652" s="1">
        <f t="shared" si="151"/>
        <v>1.0420035699854935</v>
      </c>
      <c r="M652" s="1">
        <f t="shared" si="152"/>
        <v>513038.39031868847</v>
      </c>
      <c r="P652" s="1">
        <f t="shared" si="153"/>
        <v>0</v>
      </c>
      <c r="Q652" s="1">
        <f t="shared" si="154"/>
        <v>0</v>
      </c>
      <c r="R652" s="1">
        <f t="shared" si="155"/>
        <v>513038.39031868847</v>
      </c>
      <c r="S652" s="4">
        <f t="shared" si="156"/>
        <v>0</v>
      </c>
    </row>
    <row r="653" spans="1:19" ht="15.65" outlineLevel="2">
      <c r="A653" s="9" t="s">
        <v>122</v>
      </c>
      <c r="B653" s="11">
        <v>1972</v>
      </c>
      <c r="C653" s="10">
        <v>858375.01000000001</v>
      </c>
      <c r="F653" s="10">
        <v>858375.01000000001</v>
      </c>
      <c r="H653" s="3">
        <v>60</v>
      </c>
      <c r="I653" s="3">
        <v>17.273548999999999</v>
      </c>
      <c r="J653" s="2">
        <v>-0.10000000000000001</v>
      </c>
      <c r="K653" s="1">
        <f t="shared" si="150"/>
        <v>672380.82641380769</v>
      </c>
      <c r="L653" s="1">
        <f t="shared" si="151"/>
        <v>1.0420035699854935</v>
      </c>
      <c r="M653" s="1">
        <f t="shared" si="152"/>
        <v>700623.22151298402</v>
      </c>
      <c r="P653" s="1">
        <f t="shared" si="153"/>
        <v>0</v>
      </c>
      <c r="Q653" s="1">
        <f t="shared" si="154"/>
        <v>0</v>
      </c>
      <c r="R653" s="1">
        <f t="shared" si="155"/>
        <v>700623.22151298402</v>
      </c>
      <c r="S653" s="4">
        <f t="shared" si="156"/>
        <v>0</v>
      </c>
    </row>
    <row r="654" spans="1:19" ht="15.65" outlineLevel="2">
      <c r="A654" s="9" t="s">
        <v>122</v>
      </c>
      <c r="B654" s="11">
        <v>1971</v>
      </c>
      <c r="C654" s="10">
        <v>391474.77000000002</v>
      </c>
      <c r="F654" s="10">
        <v>391474.77000000002</v>
      </c>
      <c r="H654" s="3">
        <v>60</v>
      </c>
      <c r="I654" s="3">
        <v>16.66611</v>
      </c>
      <c r="J654" s="2">
        <v>-0.10000000000000001</v>
      </c>
      <c r="K654" s="1">
        <f t="shared" si="150"/>
        <v>311008.95138418057</v>
      </c>
      <c r="L654" s="1">
        <f t="shared" si="151"/>
        <v>1.0420035699854935</v>
      </c>
      <c r="M654" s="1">
        <f t="shared" si="152"/>
        <v>324072.43763976096</v>
      </c>
      <c r="P654" s="1">
        <f t="shared" si="153"/>
        <v>0</v>
      </c>
      <c r="Q654" s="1">
        <f t="shared" si="154"/>
        <v>0</v>
      </c>
      <c r="R654" s="1">
        <f t="shared" si="155"/>
        <v>324072.43763976096</v>
      </c>
      <c r="S654" s="4">
        <f t="shared" si="156"/>
        <v>0</v>
      </c>
    </row>
    <row r="655" spans="1:19" ht="15.65" outlineLevel="2">
      <c r="A655" s="9" t="s">
        <v>122</v>
      </c>
      <c r="B655" s="11">
        <v>1970</v>
      </c>
      <c r="C655" s="10">
        <v>500358.09000000003</v>
      </c>
      <c r="F655" s="10">
        <v>500358.09000000003</v>
      </c>
      <c r="H655" s="3">
        <v>60</v>
      </c>
      <c r="I655" s="3">
        <v>15.494424</v>
      </c>
      <c r="J655" s="2">
        <v>-0.10000000000000001</v>
      </c>
      <c r="K655" s="1">
        <f t="shared" si="150"/>
        <v>408259.95836468041</v>
      </c>
      <c r="L655" s="1">
        <f t="shared" si="151"/>
        <v>1.0420035699854935</v>
      </c>
      <c r="M655" s="1">
        <f t="shared" si="152"/>
        <v>425408.33409812592</v>
      </c>
      <c r="P655" s="1">
        <f t="shared" si="153"/>
        <v>0</v>
      </c>
      <c r="Q655" s="1">
        <f t="shared" si="154"/>
        <v>0</v>
      </c>
      <c r="R655" s="1">
        <f t="shared" si="155"/>
        <v>425408.33409812592</v>
      </c>
      <c r="S655" s="4">
        <f t="shared" si="156"/>
        <v>0</v>
      </c>
    </row>
    <row r="656" spans="1:19" ht="15.65" outlineLevel="2">
      <c r="A656" s="9" t="s">
        <v>122</v>
      </c>
      <c r="B656" s="11">
        <v>1968</v>
      </c>
      <c r="C656" s="10">
        <v>716648.39000000001</v>
      </c>
      <c r="F656" s="10">
        <v>716648.39000000001</v>
      </c>
      <c r="H656" s="3">
        <v>60</v>
      </c>
      <c r="I656" s="3">
        <v>14.930831</v>
      </c>
      <c r="J656" s="2">
        <v>-0.10000000000000001</v>
      </c>
      <c r="K656" s="1">
        <f t="shared" si="150"/>
        <v>592143.70237894508</v>
      </c>
      <c r="L656" s="1">
        <f t="shared" si="151"/>
        <v>1.0420035699854935</v>
      </c>
      <c r="M656" s="1">
        <f t="shared" si="152"/>
        <v>617015.85182328837</v>
      </c>
      <c r="P656" s="1">
        <f t="shared" si="153"/>
        <v>0</v>
      </c>
      <c r="Q656" s="1">
        <f t="shared" si="154"/>
        <v>0</v>
      </c>
      <c r="R656" s="1">
        <f t="shared" si="155"/>
        <v>617015.85182328837</v>
      </c>
      <c r="S656" s="4">
        <f t="shared" si="156"/>
        <v>0</v>
      </c>
    </row>
    <row r="657" spans="1:19" ht="15.65" outlineLevel="2">
      <c r="A657" s="9" t="s">
        <v>122</v>
      </c>
      <c r="B657" s="11">
        <v>1967</v>
      </c>
      <c r="C657" s="10">
        <v>879.57000000000005</v>
      </c>
      <c r="F657" s="10">
        <v>879.57000000000005</v>
      </c>
      <c r="H657" s="3">
        <v>60</v>
      </c>
      <c r="I657" s="3">
        <v>12.831396</v>
      </c>
      <c r="J657" s="2">
        <v>-0.10000000000000001</v>
      </c>
      <c r="K657" s="1">
        <f t="shared" si="150"/>
        <v>760.61496537180017</v>
      </c>
      <c r="L657" s="1">
        <f t="shared" si="151"/>
        <v>1.0420035699854935</v>
      </c>
      <c r="M657" s="1">
        <f t="shared" si="152"/>
        <v>792.56350930180827</v>
      </c>
      <c r="P657" s="1">
        <f t="shared" si="153"/>
        <v>0</v>
      </c>
      <c r="Q657" s="1">
        <f t="shared" si="154"/>
        <v>0</v>
      </c>
      <c r="R657" s="1">
        <f t="shared" si="155"/>
        <v>792.56350930180827</v>
      </c>
      <c r="S657" s="4">
        <f t="shared" si="156"/>
        <v>0</v>
      </c>
    </row>
    <row r="658" spans="1:19" ht="15.65" outlineLevel="2">
      <c r="A658" s="9" t="s">
        <v>122</v>
      </c>
      <c r="B658" s="11">
        <v>1963</v>
      </c>
      <c r="C658" s="10">
        <v>286636.52000000002</v>
      </c>
      <c r="F658" s="10">
        <v>286636.52000000002</v>
      </c>
      <c r="H658" s="3">
        <v>60</v>
      </c>
      <c r="I658" s="3">
        <v>12.345637999999999</v>
      </c>
      <c r="J658" s="2">
        <v>-0.10000000000000001</v>
      </c>
      <c r="K658" s="1">
        <f t="shared" si="150"/>
        <v>250423.8089191711</v>
      </c>
      <c r="L658" s="1">
        <f t="shared" si="151"/>
        <v>1.0420035699854935</v>
      </c>
      <c r="M658" s="1">
        <f t="shared" si="152"/>
        <v>260942.50290314134</v>
      </c>
      <c r="P658" s="1">
        <f t="shared" si="153"/>
        <v>0</v>
      </c>
      <c r="Q658" s="1">
        <f t="shared" si="154"/>
        <v>0</v>
      </c>
      <c r="R658" s="1">
        <f t="shared" si="155"/>
        <v>260942.50290314134</v>
      </c>
      <c r="S658" s="4">
        <f t="shared" si="156"/>
        <v>0</v>
      </c>
    </row>
    <row r="659" spans="1:19" ht="15.65" outlineLevel="2">
      <c r="A659" s="9" t="s">
        <v>122</v>
      </c>
      <c r="B659" s="11">
        <v>1962</v>
      </c>
      <c r="C659" s="10">
        <v>301706.01000000001</v>
      </c>
      <c r="F659" s="10">
        <v>301706.01000000001</v>
      </c>
      <c r="H659" s="3">
        <v>60</v>
      </c>
      <c r="I659" s="3">
        <v>5.2040870000000004</v>
      </c>
      <c r="J659" s="2">
        <v>-0.10000000000000001</v>
      </c>
      <c r="K659" s="1">
        <f t="shared" si="150"/>
        <v>303091.36505151406</v>
      </c>
      <c r="L659" s="1">
        <f t="shared" si="151"/>
        <v>1.0420035699854935</v>
      </c>
      <c r="M659" s="1">
        <f t="shared" si="152"/>
        <v>315822.28441545408</v>
      </c>
      <c r="P659" s="1">
        <f t="shared" si="153"/>
        <v>0</v>
      </c>
      <c r="Q659" s="1">
        <f t="shared" si="154"/>
        <v>0</v>
      </c>
      <c r="R659" s="1">
        <f t="shared" si="155"/>
        <v>315822.28441545408</v>
      </c>
      <c r="S659" s="4">
        <f t="shared" si="156"/>
        <v>0</v>
      </c>
    </row>
    <row r="660" spans="1:19" ht="15.65" outlineLevel="2">
      <c r="A660" s="9" t="s">
        <v>122</v>
      </c>
      <c r="B660" s="11">
        <v>1941</v>
      </c>
      <c r="C660" s="10">
        <v>32.799999999999997</v>
      </c>
      <c r="F660" s="10">
        <v>32.799999999999997</v>
      </c>
      <c r="H660" s="3">
        <v>60</v>
      </c>
      <c r="I660" s="3">
        <v>0</v>
      </c>
      <c r="J660" s="2">
        <v>-0.10000000000000001</v>
      </c>
      <c r="K660" s="1">
        <f t="shared" si="150"/>
        <v>36.079999999999998</v>
      </c>
      <c r="L660" s="1">
        <f t="shared" si="151"/>
        <v>1.0420035699854935</v>
      </c>
      <c r="M660" s="1">
        <f t="shared" si="152"/>
        <v>36.079999999999998</v>
      </c>
      <c r="P660" s="1">
        <f t="shared" si="153"/>
        <v>0</v>
      </c>
      <c r="Q660" s="1">
        <f t="shared" si="154"/>
        <v>0</v>
      </c>
      <c r="R660" s="1">
        <f t="shared" si="155"/>
        <v>36.079999999999998</v>
      </c>
      <c r="S660" s="4">
        <f t="shared" si="156"/>
        <v>0</v>
      </c>
    </row>
    <row r="661" spans="1:19" ht="15.65" outlineLevel="2">
      <c r="A661" s="9" t="s">
        <v>122</v>
      </c>
      <c r="B661" s="11">
        <v>1915</v>
      </c>
      <c r="C661" s="10">
        <v>2859.3400000000001</v>
      </c>
      <c r="F661" s="10">
        <v>2859.3400000000001</v>
      </c>
      <c r="H661" s="3">
        <v>60</v>
      </c>
      <c r="I661" s="3">
        <v>0</v>
      </c>
      <c r="J661" s="2">
        <v>-0.10000000000000001</v>
      </c>
      <c r="K661" s="1">
        <f t="shared" si="150"/>
        <v>3145.2740000000003</v>
      </c>
      <c r="L661" s="1">
        <f t="shared" si="151"/>
        <v>1.0420035699854935</v>
      </c>
      <c r="M661" s="1">
        <f t="shared" si="152"/>
        <v>3145.2740000000003</v>
      </c>
      <c r="P661" s="1">
        <f t="shared" si="153"/>
        <v>0</v>
      </c>
      <c r="Q661" s="1">
        <f t="shared" si="154"/>
        <v>0</v>
      </c>
      <c r="R661" s="1">
        <f t="shared" si="155"/>
        <v>3145.2740000000003</v>
      </c>
      <c r="S661" s="4">
        <f t="shared" si="156"/>
        <v>0</v>
      </c>
    </row>
    <row r="662" spans="1:19" ht="15.65" outlineLevel="1">
      <c r="A662" s="9" t="s">
        <v>139</v>
      </c>
      <c r="B662" s="11"/>
      <c r="C662" s="10">
        <f>SUBTOTAL(9,C619:C661)</f>
        <v>60197134.75999999</v>
      </c>
      <c r="D662" s="10">
        <f>SUBTOTAL(9,D619:D661)</f>
        <v>0</v>
      </c>
      <c r="E662" s="10">
        <f>SUBTOTAL(9,E619:E661)</f>
        <v>0</v>
      </c>
      <c r="F662" s="10">
        <f>SUBTOTAL(9,F619:F661)</f>
        <v>60197134.75999999</v>
      </c>
      <c r="K662" s="1">
        <f>SUBTOTAL(9,K619:K661)</f>
        <v>18557116.111081135</v>
      </c>
      <c r="L662" s="1">
        <v>1.0420035699854935</v>
      </c>
      <c r="M662" s="1">
        <f>SUBTOTAL(9,M619:M661)</f>
        <v>19336447.608156472</v>
      </c>
      <c r="N662" s="1">
        <v>19336447.608156476</v>
      </c>
      <c r="O662" s="1">
        <f>+N662-M662</f>
        <v>0</v>
      </c>
      <c r="P662" s="1">
        <f>SUBTOTAL(9,P619:P661)</f>
        <v>0</v>
      </c>
      <c r="Q662" s="1">
        <f>SUBTOTAL(9,Q619:Q661)</f>
        <v>0</v>
      </c>
      <c r="R662" s="1">
        <f>SUBTOTAL(9,R619:R661)</f>
        <v>19336447.608156472</v>
      </c>
      <c r="S662" s="4">
        <f t="shared" si="156"/>
        <v>0</v>
      </c>
    </row>
    <row r="663" spans="1:19" ht="15.65" outlineLevel="2">
      <c r="A663" s="9" t="s">
        <v>123</v>
      </c>
      <c r="B663" s="11" t="s">
        <v>111</v>
      </c>
      <c r="C663" s="10">
        <v>5357721.8099999996</v>
      </c>
      <c r="F663" s="10">
        <v>5357721.8099999996</v>
      </c>
      <c r="H663" s="3">
        <v>50</v>
      </c>
      <c r="I663" s="3">
        <v>49.5</v>
      </c>
      <c r="J663" s="2">
        <v>-0.20000000000000001</v>
      </c>
      <c r="K663" s="1">
        <f t="shared" si="157" ref="K663:K706">+C663*(1-I663/H663)*(1-J663)</f>
        <v>64292.661720000047</v>
      </c>
      <c r="L663" s="1">
        <f t="shared" si="158" ref="L663:L706">$L$707</f>
        <v>1.12092996886208</v>
      </c>
      <c r="M663" s="1">
        <f t="shared" si="159" ref="M663:M706">IF((C663*(1-J663)-K663*L663)&lt;0,C663*(1-J663),K663*L663)</f>
        <v>72067.57129985989</v>
      </c>
      <c r="P663" s="1">
        <f t="shared" si="160" ref="P663:P706">+D663/$C663*$M663</f>
        <v>0</v>
      </c>
      <c r="Q663" s="1">
        <f t="shared" si="161" ref="Q663:Q706">+E663/$C663*$M663</f>
        <v>0</v>
      </c>
      <c r="R663" s="1">
        <f t="shared" si="162" ref="R663:R706">+F663/$C663*$M663</f>
        <v>72067.57129985989</v>
      </c>
      <c r="S663" s="4">
        <f t="shared" si="156"/>
        <v>0</v>
      </c>
    </row>
    <row r="664" spans="1:19" ht="15.65" outlineLevel="2">
      <c r="A664" s="9" t="s">
        <v>123</v>
      </c>
      <c r="B664" s="11" t="s">
        <v>110</v>
      </c>
      <c r="C664" s="10">
        <v>7310004.8499999996</v>
      </c>
      <c r="F664" s="10">
        <v>7310004.8499999996</v>
      </c>
      <c r="H664" s="3">
        <v>50</v>
      </c>
      <c r="I664" s="3">
        <v>48.5</v>
      </c>
      <c r="J664" s="2">
        <v>-0.20000000000000001</v>
      </c>
      <c r="K664" s="1">
        <f t="shared" si="157"/>
        <v>263160.1746000002</v>
      </c>
      <c r="L664" s="1">
        <f t="shared" si="158"/>
        <v>1.12092996886208</v>
      </c>
      <c r="M664" s="1">
        <f t="shared" si="159"/>
        <v>294984.12632011774</v>
      </c>
      <c r="P664" s="1">
        <f t="shared" si="160"/>
        <v>0</v>
      </c>
      <c r="Q664" s="1">
        <f t="shared" si="161"/>
        <v>0</v>
      </c>
      <c r="R664" s="1">
        <f t="shared" si="162"/>
        <v>294984.12632011774</v>
      </c>
      <c r="S664" s="4">
        <f t="shared" si="156"/>
        <v>0</v>
      </c>
    </row>
    <row r="665" spans="1:19" ht="15.65" outlineLevel="2">
      <c r="A665" s="9" t="s">
        <v>123</v>
      </c>
      <c r="B665" s="11" t="s">
        <v>109</v>
      </c>
      <c r="C665" s="10">
        <v>5337759.29</v>
      </c>
      <c r="F665" s="10">
        <v>5337759.29</v>
      </c>
      <c r="H665" s="3">
        <v>50</v>
      </c>
      <c r="I665" s="3">
        <v>47.5</v>
      </c>
      <c r="J665" s="2">
        <v>-0.20000000000000001</v>
      </c>
      <c r="K665" s="1">
        <f t="shared" si="157"/>
        <v>320265.55740000028</v>
      </c>
      <c r="L665" s="1">
        <f t="shared" si="158"/>
        <v>1.12092996886208</v>
      </c>
      <c r="M665" s="1">
        <f t="shared" si="159"/>
        <v>358995.26128397899</v>
      </c>
      <c r="P665" s="1">
        <f t="shared" si="160"/>
        <v>0</v>
      </c>
      <c r="Q665" s="1">
        <f t="shared" si="161"/>
        <v>0</v>
      </c>
      <c r="R665" s="1">
        <f t="shared" si="162"/>
        <v>358995.26128397899</v>
      </c>
      <c r="S665" s="4">
        <f t="shared" si="156"/>
        <v>0</v>
      </c>
    </row>
    <row r="666" spans="1:19" ht="15.65" outlineLevel="2">
      <c r="A666" s="9" t="s">
        <v>123</v>
      </c>
      <c r="B666" s="11" t="s">
        <v>108</v>
      </c>
      <c r="C666" s="10">
        <v>2471665.9900000002</v>
      </c>
      <c r="F666" s="10">
        <v>2471665.9900000002</v>
      </c>
      <c r="H666" s="3">
        <v>50</v>
      </c>
      <c r="I666" s="3">
        <v>46.5</v>
      </c>
      <c r="J666" s="2">
        <v>-0.20000000000000001</v>
      </c>
      <c r="K666" s="1">
        <f t="shared" si="157"/>
        <v>207619.94315999988</v>
      </c>
      <c r="L666" s="1">
        <f t="shared" si="158"/>
        <v>1.12092996886208</v>
      </c>
      <c r="M666" s="1">
        <f t="shared" si="159"/>
        <v>232727.41642148548</v>
      </c>
      <c r="P666" s="1">
        <f t="shared" si="160"/>
        <v>0</v>
      </c>
      <c r="Q666" s="1">
        <f t="shared" si="161"/>
        <v>0</v>
      </c>
      <c r="R666" s="1">
        <f t="shared" si="162"/>
        <v>232727.41642148548</v>
      </c>
      <c r="S666" s="4">
        <f t="shared" si="156"/>
        <v>0</v>
      </c>
    </row>
    <row r="667" spans="1:19" ht="15.65" outlineLevel="2">
      <c r="A667" s="9" t="s">
        <v>123</v>
      </c>
      <c r="B667" s="11" t="s">
        <v>107</v>
      </c>
      <c r="C667" s="10">
        <v>1714572.8000000001</v>
      </c>
      <c r="F667" s="10">
        <v>1714572.8000000001</v>
      </c>
      <c r="H667" s="3">
        <v>50</v>
      </c>
      <c r="I667" s="3">
        <v>45.500005000000002</v>
      </c>
      <c r="J667" s="2">
        <v>-0.20000000000000001</v>
      </c>
      <c r="K667" s="1">
        <f t="shared" si="157"/>
        <v>185173.65665126403</v>
      </c>
      <c r="L667" s="1">
        <f t="shared" si="158"/>
        <v>1.12092996886208</v>
      </c>
      <c r="M667" s="1">
        <f t="shared" si="159"/>
        <v>207566.70118417888</v>
      </c>
      <c r="P667" s="1">
        <f t="shared" si="160"/>
        <v>0</v>
      </c>
      <c r="Q667" s="1">
        <f t="shared" si="161"/>
        <v>0</v>
      </c>
      <c r="R667" s="1">
        <f t="shared" si="162"/>
        <v>207566.70118417888</v>
      </c>
      <c r="S667" s="4">
        <f t="shared" si="156"/>
        <v>0</v>
      </c>
    </row>
    <row r="668" spans="1:19" ht="15.65" outlineLevel="2">
      <c r="A668" s="9" t="s">
        <v>123</v>
      </c>
      <c r="B668" s="11" t="s">
        <v>106</v>
      </c>
      <c r="C668" s="10">
        <v>1521121.28</v>
      </c>
      <c r="F668" s="10">
        <v>1521121.28</v>
      </c>
      <c r="H668" s="3">
        <v>50</v>
      </c>
      <c r="I668" s="3">
        <v>44.500017999999997</v>
      </c>
      <c r="J668" s="2">
        <v>-0.20000000000000001</v>
      </c>
      <c r="K668" s="1">
        <f t="shared" si="157"/>
        <v>200787.35183560717</v>
      </c>
      <c r="L668" s="1">
        <f t="shared" si="158"/>
        <v>1.12092996886208</v>
      </c>
      <c r="M668" s="1">
        <f t="shared" si="159"/>
        <v>225068.56004098663</v>
      </c>
      <c r="P668" s="1">
        <f t="shared" si="160"/>
        <v>0</v>
      </c>
      <c r="Q668" s="1">
        <f t="shared" si="161"/>
        <v>0</v>
      </c>
      <c r="R668" s="1">
        <f t="shared" si="162"/>
        <v>225068.56004098663</v>
      </c>
      <c r="S668" s="4">
        <f t="shared" si="156"/>
        <v>0</v>
      </c>
    </row>
    <row r="669" spans="1:19" ht="15.65" outlineLevel="2">
      <c r="A669" s="9" t="s">
        <v>123</v>
      </c>
      <c r="B669" s="11" t="s">
        <v>105</v>
      </c>
      <c r="C669" s="10">
        <v>40993.989999999998</v>
      </c>
      <c r="F669" s="10">
        <v>40993.989999999998</v>
      </c>
      <c r="H669" s="3">
        <v>50</v>
      </c>
      <c r="I669" s="3">
        <v>43.500070999999998</v>
      </c>
      <c r="J669" s="2">
        <v>-0.20000000000000001</v>
      </c>
      <c r="K669" s="1">
        <f t="shared" si="157"/>
        <v>6394.9925862410437</v>
      </c>
      <c r="L669" s="1">
        <f t="shared" si="158"/>
        <v>1.12092996886208</v>
      </c>
      <c r="M669" s="1">
        <f t="shared" si="159"/>
        <v>7168.3388405684054</v>
      </c>
      <c r="P669" s="1">
        <f t="shared" si="160"/>
        <v>0</v>
      </c>
      <c r="Q669" s="1">
        <f t="shared" si="161"/>
        <v>0</v>
      </c>
      <c r="R669" s="1">
        <f t="shared" si="162"/>
        <v>7168.3388405684054</v>
      </c>
      <c r="S669" s="4">
        <f t="shared" si="156"/>
        <v>0</v>
      </c>
    </row>
    <row r="670" spans="1:19" ht="15.65" outlineLevel="2">
      <c r="A670" s="9" t="s">
        <v>123</v>
      </c>
      <c r="B670" s="11" t="s">
        <v>104</v>
      </c>
      <c r="C670" s="10">
        <v>11712.6</v>
      </c>
      <c r="F670" s="10">
        <v>11712.6</v>
      </c>
      <c r="G670" s="5"/>
      <c r="H670" s="3">
        <v>50</v>
      </c>
      <c r="I670" s="3">
        <v>42.500196000000003</v>
      </c>
      <c r="J670" s="2">
        <v>-0.20000000000000001</v>
      </c>
      <c r="K670" s="1">
        <f t="shared" si="157"/>
        <v>2108.2129039295996</v>
      </c>
      <c r="L670" s="1">
        <f t="shared" si="158"/>
        <v>1.12092996886208</v>
      </c>
      <c r="M670" s="1">
        <f t="shared" si="159"/>
        <v>2363.1590247564413</v>
      </c>
      <c r="P670" s="1">
        <f t="shared" si="160"/>
        <v>0</v>
      </c>
      <c r="Q670" s="1">
        <f t="shared" si="161"/>
        <v>0</v>
      </c>
      <c r="R670" s="1">
        <f t="shared" si="162"/>
        <v>2363.1590247564413</v>
      </c>
      <c r="S670" s="4">
        <f t="shared" si="156"/>
        <v>0</v>
      </c>
    </row>
    <row r="671" spans="1:19" ht="15.65" outlineLevel="2">
      <c r="A671" s="9" t="s">
        <v>123</v>
      </c>
      <c r="B671" s="11" t="s">
        <v>103</v>
      </c>
      <c r="C671" s="10">
        <v>214233.29999999999</v>
      </c>
      <c r="F671" s="10">
        <v>214233.29999999999</v>
      </c>
      <c r="H671" s="3">
        <v>50</v>
      </c>
      <c r="I671" s="3">
        <v>41.500484999999998</v>
      </c>
      <c r="J671" s="2">
        <v>-0.20000000000000001</v>
      </c>
      <c r="K671" s="1">
        <f t="shared" si="157"/>
        <v>43701.09952438801</v>
      </c>
      <c r="L671" s="1">
        <f t="shared" si="158"/>
        <v>1.12092996886208</v>
      </c>
      <c r="M671" s="1">
        <f t="shared" si="159"/>
        <v>48985.87212911091</v>
      </c>
      <c r="P671" s="1">
        <f t="shared" si="160"/>
        <v>0</v>
      </c>
      <c r="Q671" s="1">
        <f t="shared" si="161"/>
        <v>0</v>
      </c>
      <c r="R671" s="1">
        <f t="shared" si="162"/>
        <v>48985.87212911091</v>
      </c>
      <c r="S671" s="4">
        <f t="shared" si="156"/>
        <v>0</v>
      </c>
    </row>
    <row r="672" spans="1:19" ht="15.65" outlineLevel="2">
      <c r="A672" s="9" t="s">
        <v>123</v>
      </c>
      <c r="B672" s="11" t="s">
        <v>102</v>
      </c>
      <c r="C672" s="10">
        <v>764770.80000000005</v>
      </c>
      <c r="F672" s="10">
        <v>764770.80000000005</v>
      </c>
      <c r="H672" s="3">
        <v>50</v>
      </c>
      <c r="I672" s="3">
        <v>40.501075999999998</v>
      </c>
      <c r="J672" s="2">
        <v>-0.20000000000000001</v>
      </c>
      <c r="K672" s="1">
        <f t="shared" si="157"/>
        <v>174347.99295886085</v>
      </c>
      <c r="L672" s="1">
        <f t="shared" si="158"/>
        <v>1.12092996886208</v>
      </c>
      <c r="M672" s="1">
        <f t="shared" si="159"/>
        <v>195431.89031854202</v>
      </c>
      <c r="P672" s="1">
        <f t="shared" si="160"/>
        <v>0</v>
      </c>
      <c r="Q672" s="1">
        <f t="shared" si="161"/>
        <v>0</v>
      </c>
      <c r="R672" s="1">
        <f t="shared" si="162"/>
        <v>195431.89031854202</v>
      </c>
      <c r="S672" s="4">
        <f t="shared" si="156"/>
        <v>0</v>
      </c>
    </row>
    <row r="673" spans="1:19" ht="15.65" outlineLevel="2">
      <c r="A673" s="9" t="s">
        <v>123</v>
      </c>
      <c r="B673" s="11" t="s">
        <v>101</v>
      </c>
      <c r="C673" s="10">
        <v>886188.57999999996</v>
      </c>
      <c r="F673" s="10">
        <v>886188.57999999996</v>
      </c>
      <c r="H673" s="3">
        <v>50</v>
      </c>
      <c r="I673" s="3">
        <v>39.502172000000002</v>
      </c>
      <c r="J673" s="2">
        <v>-0.20000000000000001</v>
      </c>
      <c r="K673" s="1">
        <f t="shared" si="157"/>
        <v>223273.32692170169</v>
      </c>
      <c r="L673" s="1">
        <f t="shared" si="158"/>
        <v>1.12092996886208</v>
      </c>
      <c r="M673" s="1">
        <f t="shared" si="159"/>
        <v>250273.76339407609</v>
      </c>
      <c r="P673" s="1">
        <f t="shared" si="160"/>
        <v>0</v>
      </c>
      <c r="Q673" s="1">
        <f t="shared" si="161"/>
        <v>0</v>
      </c>
      <c r="R673" s="1">
        <f t="shared" si="162"/>
        <v>250273.76339407609</v>
      </c>
      <c r="S673" s="4">
        <f t="shared" si="156"/>
        <v>0</v>
      </c>
    </row>
    <row r="674" spans="1:19" ht="15.65" outlineLevel="2">
      <c r="A674" s="9" t="s">
        <v>123</v>
      </c>
      <c r="B674" s="11" t="s">
        <v>100</v>
      </c>
      <c r="C674" s="10">
        <v>9806346.3000000007</v>
      </c>
      <c r="F674" s="10">
        <v>9806346.3000000007</v>
      </c>
      <c r="H674" s="3">
        <v>50</v>
      </c>
      <c r="I674" s="3">
        <v>38.504075</v>
      </c>
      <c r="J674" s="2">
        <v>-0.20000000000000001</v>
      </c>
      <c r="K674" s="1">
        <f t="shared" si="157"/>
        <v>2705592.5181318605</v>
      </c>
      <c r="L674" s="1">
        <f t="shared" si="158"/>
        <v>1.12092996886208</v>
      </c>
      <c r="M674" s="1">
        <f t="shared" si="159"/>
        <v>3032779.7371030231</v>
      </c>
      <c r="P674" s="1">
        <f t="shared" si="160"/>
        <v>0</v>
      </c>
      <c r="Q674" s="1">
        <f t="shared" si="161"/>
        <v>0</v>
      </c>
      <c r="R674" s="1">
        <f t="shared" si="162"/>
        <v>3032779.7371030231</v>
      </c>
      <c r="S674" s="4">
        <f t="shared" si="156"/>
        <v>0</v>
      </c>
    </row>
    <row r="675" spans="1:19" ht="15.65" outlineLevel="2">
      <c r="A675" s="9" t="s">
        <v>123</v>
      </c>
      <c r="B675" s="11" t="s">
        <v>99</v>
      </c>
      <c r="C675" s="10">
        <v>3064.1599999999999</v>
      </c>
      <c r="F675" s="10">
        <v>3064.1599999999999</v>
      </c>
      <c r="H675" s="3">
        <v>50</v>
      </c>
      <c r="I675" s="3">
        <v>37.507199999999997</v>
      </c>
      <c r="J675" s="2">
        <v>-0.20000000000000001</v>
      </c>
      <c r="K675" s="1">
        <f t="shared" si="157"/>
        <v>918.71851315200013</v>
      </c>
      <c r="L675" s="1">
        <f t="shared" si="158"/>
        <v>1.12092996886208</v>
      </c>
      <c r="M675" s="1">
        <f t="shared" si="159"/>
        <v>1029.8191143404879</v>
      </c>
      <c r="P675" s="1">
        <f t="shared" si="160"/>
        <v>0</v>
      </c>
      <c r="Q675" s="1">
        <f t="shared" si="161"/>
        <v>0</v>
      </c>
      <c r="R675" s="1">
        <f t="shared" si="162"/>
        <v>1029.8191143404879</v>
      </c>
      <c r="S675" s="4">
        <f t="shared" si="156"/>
        <v>0</v>
      </c>
    </row>
    <row r="676" spans="1:19" ht="15.65" outlineLevel="2">
      <c r="A676" s="9" t="s">
        <v>123</v>
      </c>
      <c r="B676" s="11" t="s">
        <v>97</v>
      </c>
      <c r="C676" s="10">
        <v>142885.06</v>
      </c>
      <c r="F676" s="10">
        <v>142885.06</v>
      </c>
      <c r="H676" s="3">
        <v>50</v>
      </c>
      <c r="I676" s="3">
        <v>35.519382</v>
      </c>
      <c r="J676" s="2">
        <v>-0.20000000000000001</v>
      </c>
      <c r="K676" s="1">
        <f t="shared" si="157"/>
        <v>49657.535322409924</v>
      </c>
      <c r="L676" s="1">
        <f t="shared" si="158"/>
        <v>1.12092996886208</v>
      </c>
      <c r="M676" s="1">
        <f t="shared" si="159"/>
        <v>55662.619522716588</v>
      </c>
      <c r="P676" s="1">
        <f t="shared" si="160"/>
        <v>0</v>
      </c>
      <c r="Q676" s="1">
        <f t="shared" si="161"/>
        <v>0</v>
      </c>
      <c r="R676" s="1">
        <f t="shared" si="162"/>
        <v>55662.619522716588</v>
      </c>
      <c r="S676" s="4">
        <f t="shared" si="156"/>
        <v>0</v>
      </c>
    </row>
    <row r="677" spans="1:19" ht="15.65" outlineLevel="2">
      <c r="A677" s="9" t="s">
        <v>123</v>
      </c>
      <c r="B677" s="11" t="s">
        <v>96</v>
      </c>
      <c r="C677" s="10">
        <v>2774527.4399999999</v>
      </c>
      <c r="F677" s="10">
        <v>2774527.4399999999</v>
      </c>
      <c r="H677" s="3">
        <v>50</v>
      </c>
      <c r="I677" s="3">
        <v>34.529924999999999</v>
      </c>
      <c r="J677" s="2">
        <v>-0.20000000000000001</v>
      </c>
      <c r="K677" s="1">
        <f t="shared" si="157"/>
        <v>1030131.542072592</v>
      </c>
      <c r="L677" s="1">
        <f t="shared" si="158"/>
        <v>1.12092996886208</v>
      </c>
      <c r="M677" s="1">
        <f t="shared" si="159"/>
        <v>1154705.317379277</v>
      </c>
      <c r="P677" s="1">
        <f t="shared" si="160"/>
        <v>0</v>
      </c>
      <c r="Q677" s="1">
        <f t="shared" si="161"/>
        <v>0</v>
      </c>
      <c r="R677" s="1">
        <f t="shared" si="162"/>
        <v>1154705.317379277</v>
      </c>
      <c r="S677" s="4">
        <f t="shared" si="156"/>
        <v>0</v>
      </c>
    </row>
    <row r="678" spans="1:19" ht="15.65" outlineLevel="2">
      <c r="A678" s="9" t="s">
        <v>123</v>
      </c>
      <c r="B678" s="11" t="s">
        <v>95</v>
      </c>
      <c r="C678" s="10">
        <v>18568308.199999999</v>
      </c>
      <c r="F678" s="10">
        <v>18568308.199999999</v>
      </c>
      <c r="H678" s="3">
        <v>50</v>
      </c>
      <c r="I678" s="3">
        <v>33.544657999999998</v>
      </c>
      <c r="J678" s="2">
        <v>-0.20000000000000001</v>
      </c>
      <c r="K678" s="1">
        <f t="shared" si="157"/>
        <v>7333148.6830177056</v>
      </c>
      <c r="L678" s="1">
        <f t="shared" si="158"/>
        <v>1.12092996886208</v>
      </c>
      <c r="M678" s="1">
        <f t="shared" si="159"/>
        <v>8219946.1249160394</v>
      </c>
      <c r="P678" s="1">
        <f t="shared" si="160"/>
        <v>0</v>
      </c>
      <c r="Q678" s="1">
        <f t="shared" si="161"/>
        <v>0</v>
      </c>
      <c r="R678" s="1">
        <f t="shared" si="162"/>
        <v>8219946.1249160394</v>
      </c>
      <c r="S678" s="4">
        <f t="shared" si="156"/>
        <v>0</v>
      </c>
    </row>
    <row r="679" spans="1:19" ht="15.65" outlineLevel="2">
      <c r="A679" s="9" t="s">
        <v>123</v>
      </c>
      <c r="B679" s="11" t="s">
        <v>94</v>
      </c>
      <c r="C679" s="10">
        <v>161147.64000000001</v>
      </c>
      <c r="F679" s="10">
        <v>161147.64000000001</v>
      </c>
      <c r="H679" s="3">
        <v>50</v>
      </c>
      <c r="I679" s="3">
        <v>32.564673999999997</v>
      </c>
      <c r="J679" s="2">
        <v>-0.20000000000000001</v>
      </c>
      <c r="K679" s="1">
        <f t="shared" si="157"/>
        <v>67431.879300735367</v>
      </c>
      <c r="L679" s="1">
        <f t="shared" si="158"/>
        <v>1.12092996886208</v>
      </c>
      <c r="M679" s="1">
        <f t="shared" si="159"/>
        <v>75586.414364884826</v>
      </c>
      <c r="P679" s="1">
        <f t="shared" si="160"/>
        <v>0</v>
      </c>
      <c r="Q679" s="1">
        <f t="shared" si="161"/>
        <v>0</v>
      </c>
      <c r="R679" s="1">
        <f t="shared" si="162"/>
        <v>75586.414364884826</v>
      </c>
      <c r="S679" s="4">
        <f t="shared" si="156"/>
        <v>0</v>
      </c>
    </row>
    <row r="680" spans="1:19" ht="15.65" outlineLevel="2">
      <c r="A680" s="9" t="s">
        <v>123</v>
      </c>
      <c r="B680" s="11" t="s">
        <v>93</v>
      </c>
      <c r="C680" s="10">
        <v>4527165.5899999999</v>
      </c>
      <c r="F680" s="10">
        <v>4527165.5899999999</v>
      </c>
      <c r="H680" s="3">
        <v>50</v>
      </c>
      <c r="I680" s="3">
        <v>31.591182</v>
      </c>
      <c r="J680" s="2">
        <v>-0.20000000000000001</v>
      </c>
      <c r="K680" s="1">
        <f t="shared" si="157"/>
        <v>2000154.4176521427</v>
      </c>
      <c r="L680" s="1">
        <f t="shared" si="158"/>
        <v>1.12092996886208</v>
      </c>
      <c r="M680" s="1">
        <f t="shared" si="159"/>
        <v>2242033.029098168</v>
      </c>
      <c r="P680" s="1">
        <f t="shared" si="160"/>
        <v>0</v>
      </c>
      <c r="Q680" s="1">
        <f t="shared" si="161"/>
        <v>0</v>
      </c>
      <c r="R680" s="1">
        <f t="shared" si="162"/>
        <v>2242033.029098168</v>
      </c>
      <c r="S680" s="4">
        <f t="shared" si="156"/>
        <v>0</v>
      </c>
    </row>
    <row r="681" spans="1:19" ht="15.65" outlineLevel="2">
      <c r="A681" s="9" t="s">
        <v>123</v>
      </c>
      <c r="B681" s="11" t="s">
        <v>92</v>
      </c>
      <c r="C681" s="10">
        <v>8719717.2400000002</v>
      </c>
      <c r="F681" s="10">
        <v>8719717.2400000002</v>
      </c>
      <c r="H681" s="3">
        <v>50</v>
      </c>
      <c r="I681" s="3">
        <v>30.625506000000001</v>
      </c>
      <c r="J681" s="2">
        <v>-0.20000000000000001</v>
      </c>
      <c r="K681" s="1">
        <f t="shared" si="157"/>
        <v>4054562.6243538368</v>
      </c>
      <c r="L681" s="1">
        <f t="shared" si="158"/>
        <v>1.12092996886208</v>
      </c>
      <c r="M681" s="1">
        <f t="shared" si="159"/>
        <v>4544880.7562662996</v>
      </c>
      <c r="P681" s="1">
        <f t="shared" si="160"/>
        <v>0</v>
      </c>
      <c r="Q681" s="1">
        <f t="shared" si="161"/>
        <v>0</v>
      </c>
      <c r="R681" s="1">
        <f t="shared" si="162"/>
        <v>4544880.7562662996</v>
      </c>
      <c r="S681" s="4">
        <f t="shared" si="156"/>
        <v>0</v>
      </c>
    </row>
    <row r="682" spans="1:19" ht="15.65" outlineLevel="2">
      <c r="A682" s="9" t="s">
        <v>123</v>
      </c>
      <c r="B682" s="11" t="s">
        <v>91</v>
      </c>
      <c r="C682" s="10">
        <v>10291.84</v>
      </c>
      <c r="F682" s="10">
        <v>10291.84</v>
      </c>
      <c r="H682" s="3">
        <v>50</v>
      </c>
      <c r="I682" s="3">
        <v>29.669042000000001</v>
      </c>
      <c r="J682" s="2">
        <v>-0.20000000000000001</v>
      </c>
      <c r="K682" s="1">
        <f t="shared" si="157"/>
        <v>5021.8312027852799</v>
      </c>
      <c r="L682" s="1">
        <f t="shared" si="158"/>
        <v>1.12092996886208</v>
      </c>
      <c r="M682" s="1">
        <f t="shared" si="159"/>
        <v>5629.1210937687256</v>
      </c>
      <c r="P682" s="1">
        <f t="shared" si="160"/>
        <v>0</v>
      </c>
      <c r="Q682" s="1">
        <f t="shared" si="161"/>
        <v>0</v>
      </c>
      <c r="R682" s="1">
        <f t="shared" si="162"/>
        <v>5629.1210937687256</v>
      </c>
      <c r="S682" s="4">
        <f t="shared" si="156"/>
        <v>0</v>
      </c>
    </row>
    <row r="683" spans="1:19" ht="15.65" outlineLevel="2">
      <c r="A683" s="9" t="s">
        <v>123</v>
      </c>
      <c r="B683" s="11" t="s">
        <v>90</v>
      </c>
      <c r="C683" s="10">
        <v>936310.27000000002</v>
      </c>
      <c r="F683" s="10">
        <v>936310.27000000002</v>
      </c>
      <c r="H683" s="3">
        <v>50</v>
      </c>
      <c r="I683" s="3">
        <v>28.72325</v>
      </c>
      <c r="J683" s="2">
        <v>-0.20000000000000001</v>
      </c>
      <c r="K683" s="1">
        <f t="shared" si="157"/>
        <v>478119.34889333998</v>
      </c>
      <c r="L683" s="1">
        <f t="shared" si="158"/>
        <v>1.12092996886208</v>
      </c>
      <c r="M683" s="1">
        <f t="shared" si="159"/>
        <v>535938.30686736957</v>
      </c>
      <c r="P683" s="1">
        <f t="shared" si="160"/>
        <v>0</v>
      </c>
      <c r="Q683" s="1">
        <f t="shared" si="161"/>
        <v>0</v>
      </c>
      <c r="R683" s="1">
        <f t="shared" si="162"/>
        <v>535938.30686736957</v>
      </c>
      <c r="S683" s="4">
        <f t="shared" si="156"/>
        <v>0</v>
      </c>
    </row>
    <row r="684" spans="1:19" ht="15.65" outlineLevel="2">
      <c r="A684" s="9" t="s">
        <v>123</v>
      </c>
      <c r="B684" s="11" t="s">
        <v>89</v>
      </c>
      <c r="C684" s="10">
        <v>22301.759999999998</v>
      </c>
      <c r="F684" s="10">
        <v>22301.759999999998</v>
      </c>
      <c r="H684" s="3">
        <v>50</v>
      </c>
      <c r="I684" s="3">
        <v>27.789614</v>
      </c>
      <c r="J684" s="2">
        <v>-0.20000000000000001</v>
      </c>
      <c r="K684" s="1">
        <f t="shared" si="157"/>
        <v>11887.936753904638</v>
      </c>
      <c r="L684" s="1">
        <f t="shared" si="158"/>
        <v>1.12092996886208</v>
      </c>
      <c r="M684" s="1">
        <f t="shared" si="159"/>
        <v>13325.544575388702</v>
      </c>
      <c r="P684" s="1">
        <f t="shared" si="160"/>
        <v>0</v>
      </c>
      <c r="Q684" s="1">
        <f t="shared" si="161"/>
        <v>0</v>
      </c>
      <c r="R684" s="1">
        <f t="shared" si="162"/>
        <v>13325.544575388702</v>
      </c>
      <c r="S684" s="4">
        <f t="shared" si="156"/>
        <v>0</v>
      </c>
    </row>
    <row r="685" spans="1:19" ht="15.65" outlineLevel="2">
      <c r="A685" s="9" t="s">
        <v>123</v>
      </c>
      <c r="B685" s="11" t="s">
        <v>88</v>
      </c>
      <c r="C685" s="10">
        <v>77702.630000000005</v>
      </c>
      <c r="F685" s="10">
        <v>77702.630000000005</v>
      </c>
      <c r="H685" s="3">
        <v>50</v>
      </c>
      <c r="I685" s="3">
        <v>26.869603000000001</v>
      </c>
      <c r="J685" s="2">
        <v>-0.20000000000000001</v>
      </c>
      <c r="K685" s="1">
        <f t="shared" si="157"/>
        <v>43135.024316258634</v>
      </c>
      <c r="L685" s="1">
        <f t="shared" si="158"/>
        <v>1.12092996886208</v>
      </c>
      <c r="M685" s="1">
        <f t="shared" si="159"/>
        <v>48351.341463688856</v>
      </c>
      <c r="P685" s="1">
        <f t="shared" si="160"/>
        <v>0</v>
      </c>
      <c r="Q685" s="1">
        <f t="shared" si="161"/>
        <v>0</v>
      </c>
      <c r="R685" s="1">
        <f t="shared" si="162"/>
        <v>48351.341463688856</v>
      </c>
      <c r="S685" s="4">
        <f t="shared" si="156"/>
        <v>0</v>
      </c>
    </row>
    <row r="686" spans="1:19" ht="15.65" outlineLevel="2">
      <c r="A686" s="9" t="s">
        <v>123</v>
      </c>
      <c r="B686" s="11" t="s">
        <v>87</v>
      </c>
      <c r="C686" s="10">
        <v>2580568.3300000001</v>
      </c>
      <c r="F686" s="10">
        <v>2580568.3300000001</v>
      </c>
      <c r="H686" s="3">
        <v>50</v>
      </c>
      <c r="I686" s="3">
        <v>25.964668</v>
      </c>
      <c r="J686" s="2">
        <v>-0.20000000000000001</v>
      </c>
      <c r="K686" s="1">
        <f t="shared" si="157"/>
        <v>1488595.5974456535</v>
      </c>
      <c r="L686" s="1">
        <f t="shared" si="158"/>
        <v>1.12092996886208</v>
      </c>
      <c r="M686" s="1">
        <f t="shared" si="159"/>
        <v>1668611.4166929857</v>
      </c>
      <c r="P686" s="1">
        <f t="shared" si="160"/>
        <v>0</v>
      </c>
      <c r="Q686" s="1">
        <f t="shared" si="161"/>
        <v>0</v>
      </c>
      <c r="R686" s="1">
        <f t="shared" si="162"/>
        <v>1668611.4166929857</v>
      </c>
      <c r="S686" s="4">
        <f t="shared" si="156"/>
        <v>0</v>
      </c>
    </row>
    <row r="687" spans="1:19" ht="15.65" outlineLevel="2">
      <c r="A687" s="9" t="s">
        <v>123</v>
      </c>
      <c r="B687" s="11" t="s">
        <v>86</v>
      </c>
      <c r="C687" s="10">
        <v>268185.54999999999</v>
      </c>
      <c r="F687" s="10">
        <v>268185.54999999999</v>
      </c>
      <c r="H687" s="3">
        <v>50</v>
      </c>
      <c r="I687" s="3">
        <v>25.076180999999998</v>
      </c>
      <c r="J687" s="2">
        <v>-0.20000000000000001</v>
      </c>
      <c r="K687" s="1">
        <f t="shared" si="157"/>
        <v>160420.99455877082</v>
      </c>
      <c r="L687" s="1">
        <f t="shared" si="158"/>
        <v>1.12092996886208</v>
      </c>
      <c r="M687" s="1">
        <f t="shared" si="159"/>
        <v>179820.70043558689</v>
      </c>
      <c r="P687" s="1">
        <f t="shared" si="160"/>
        <v>0</v>
      </c>
      <c r="Q687" s="1">
        <f t="shared" si="161"/>
        <v>0</v>
      </c>
      <c r="R687" s="1">
        <f t="shared" si="162"/>
        <v>179820.70043558689</v>
      </c>
      <c r="S687" s="4">
        <f t="shared" si="156"/>
        <v>0</v>
      </c>
    </row>
    <row r="688" spans="1:19" ht="15.65" outlineLevel="2">
      <c r="A688" s="9" t="s">
        <v>123</v>
      </c>
      <c r="B688" s="11" t="s">
        <v>85</v>
      </c>
      <c r="C688" s="10">
        <v>1166798.8000000001</v>
      </c>
      <c r="F688" s="10">
        <v>1166798.8000000001</v>
      </c>
      <c r="H688" s="3">
        <v>50</v>
      </c>
      <c r="I688" s="3">
        <v>24.205435000000001</v>
      </c>
      <c r="J688" s="2">
        <v>-0.20000000000000001</v>
      </c>
      <c r="K688" s="1">
        <f t="shared" si="157"/>
        <v>722329.61972452817</v>
      </c>
      <c r="L688" s="1">
        <f t="shared" si="158"/>
        <v>1.12092996886208</v>
      </c>
      <c r="M688" s="1">
        <f t="shared" si="159"/>
        <v>809680.91814597347</v>
      </c>
      <c r="P688" s="1">
        <f t="shared" si="160"/>
        <v>0</v>
      </c>
      <c r="Q688" s="1">
        <f t="shared" si="161"/>
        <v>0</v>
      </c>
      <c r="R688" s="1">
        <f t="shared" si="162"/>
        <v>809680.91814597347</v>
      </c>
      <c r="S688" s="4">
        <f t="shared" si="156"/>
        <v>0</v>
      </c>
    </row>
    <row r="689" spans="1:19" ht="15.65" outlineLevel="2">
      <c r="A689" s="9" t="s">
        <v>123</v>
      </c>
      <c r="B689" s="11" t="s">
        <v>81</v>
      </c>
      <c r="C689" s="10">
        <v>11280.209999999999</v>
      </c>
      <c r="F689" s="10">
        <v>11280.209999999999</v>
      </c>
      <c r="H689" s="3">
        <v>50</v>
      </c>
      <c r="I689" s="3">
        <v>20.921416000000001</v>
      </c>
      <c r="J689" s="2">
        <v>-0.20000000000000001</v>
      </c>
      <c r="K689" s="1">
        <f t="shared" si="157"/>
        <v>7872.3008165433575</v>
      </c>
      <c r="L689" s="1">
        <f t="shared" si="158"/>
        <v>1.12092996886208</v>
      </c>
      <c r="M689" s="1">
        <f t="shared" si="159"/>
        <v>8824.2979091608722</v>
      </c>
      <c r="P689" s="1">
        <f t="shared" si="160"/>
        <v>0</v>
      </c>
      <c r="Q689" s="1">
        <f t="shared" si="161"/>
        <v>0</v>
      </c>
      <c r="R689" s="1">
        <f t="shared" si="162"/>
        <v>8824.2979091608722</v>
      </c>
      <c r="S689" s="4">
        <f t="shared" si="156"/>
        <v>0</v>
      </c>
    </row>
    <row r="690" spans="1:19" ht="15.65" outlineLevel="2">
      <c r="A690" s="9" t="s">
        <v>123</v>
      </c>
      <c r="B690" s="11" t="s">
        <v>74</v>
      </c>
      <c r="C690" s="10">
        <v>299304.04999999999</v>
      </c>
      <c r="F690" s="10">
        <v>299304.04999999999</v>
      </c>
      <c r="H690" s="3">
        <v>50</v>
      </c>
      <c r="I690" s="3">
        <v>16.033239999999999</v>
      </c>
      <c r="J690" s="2">
        <v>-0.20000000000000001</v>
      </c>
      <c r="K690" s="1">
        <f t="shared" si="157"/>
        <v>243993.33200107201</v>
      </c>
      <c r="L690" s="1">
        <f t="shared" si="158"/>
        <v>1.12092996886208</v>
      </c>
      <c r="M690" s="1">
        <f t="shared" si="159"/>
        <v>273499.43804251676</v>
      </c>
      <c r="P690" s="1">
        <f t="shared" si="160"/>
        <v>0</v>
      </c>
      <c r="Q690" s="1">
        <f t="shared" si="161"/>
        <v>0</v>
      </c>
      <c r="R690" s="1">
        <f t="shared" si="162"/>
        <v>273499.43804251676</v>
      </c>
      <c r="S690" s="4">
        <f t="shared" si="156"/>
        <v>0</v>
      </c>
    </row>
    <row r="691" spans="1:19" ht="15.65" outlineLevel="2">
      <c r="A691" s="9" t="s">
        <v>123</v>
      </c>
      <c r="B691" s="11" t="s">
        <v>73</v>
      </c>
      <c r="C691" s="10">
        <v>1078054.26</v>
      </c>
      <c r="F691" s="10">
        <v>1078054.26</v>
      </c>
      <c r="H691" s="3">
        <v>50</v>
      </c>
      <c r="I691" s="3">
        <v>15.426313</v>
      </c>
      <c r="J691" s="2">
        <v>-0.20000000000000001</v>
      </c>
      <c r="K691" s="1">
        <f t="shared" si="157"/>
        <v>894535.45330215874</v>
      </c>
      <c r="L691" s="1">
        <f t="shared" si="158"/>
        <v>1.12092996886208</v>
      </c>
      <c r="M691" s="1">
        <f t="shared" si="159"/>
        <v>1002711.5978160154</v>
      </c>
      <c r="P691" s="1">
        <f t="shared" si="160"/>
        <v>0</v>
      </c>
      <c r="Q691" s="1">
        <f t="shared" si="161"/>
        <v>0</v>
      </c>
      <c r="R691" s="1">
        <f t="shared" si="162"/>
        <v>1002711.5978160154</v>
      </c>
      <c r="S691" s="4">
        <f t="shared" si="156"/>
        <v>0</v>
      </c>
    </row>
    <row r="692" spans="1:19" ht="15.65" outlineLevel="2">
      <c r="A692" s="9" t="s">
        <v>123</v>
      </c>
      <c r="B692" s="11" t="s">
        <v>72</v>
      </c>
      <c r="C692" s="10">
        <v>10384.24</v>
      </c>
      <c r="F692" s="10">
        <v>10384.24</v>
      </c>
      <c r="H692" s="3">
        <v>50</v>
      </c>
      <c r="I692" s="3">
        <v>14.841443999999999</v>
      </c>
      <c r="J692" s="2">
        <v>-0.20000000000000001</v>
      </c>
      <c r="K692" s="1">
        <f t="shared" si="157"/>
        <v>8762.2772053785593</v>
      </c>
      <c r="L692" s="1">
        <f t="shared" si="158"/>
        <v>1.12092996886208</v>
      </c>
      <c r="M692" s="1">
        <f t="shared" si="159"/>
        <v>9821.8991149859012</v>
      </c>
      <c r="P692" s="1">
        <f t="shared" si="160"/>
        <v>0</v>
      </c>
      <c r="Q692" s="1">
        <f t="shared" si="161"/>
        <v>0</v>
      </c>
      <c r="R692" s="1">
        <f t="shared" si="162"/>
        <v>9821.8991149859012</v>
      </c>
      <c r="S692" s="4">
        <f t="shared" si="156"/>
        <v>0</v>
      </c>
    </row>
    <row r="693" spans="1:19" ht="15.65" outlineLevel="2">
      <c r="A693" s="9" t="s">
        <v>123</v>
      </c>
      <c r="B693" s="11" t="s">
        <v>69</v>
      </c>
      <c r="C693" s="10">
        <v>632279.20999999996</v>
      </c>
      <c r="F693" s="10">
        <v>632279.20999999996</v>
      </c>
      <c r="H693" s="3">
        <v>50</v>
      </c>
      <c r="I693" s="3">
        <v>12.711925000000001</v>
      </c>
      <c r="J693" s="2">
        <v>-0.20000000000000001</v>
      </c>
      <c r="K693" s="1">
        <f t="shared" si="157"/>
        <v>565835.39048209786</v>
      </c>
      <c r="L693" s="1">
        <f t="shared" si="158"/>
        <v>1.12092996886208</v>
      </c>
      <c r="M693" s="1">
        <f t="shared" si="159"/>
        <v>634261.84663416084</v>
      </c>
      <c r="P693" s="1">
        <f t="shared" si="160"/>
        <v>0</v>
      </c>
      <c r="Q693" s="1">
        <f t="shared" si="161"/>
        <v>0</v>
      </c>
      <c r="R693" s="1">
        <f t="shared" si="162"/>
        <v>634261.84663416084</v>
      </c>
      <c r="S693" s="4">
        <f t="shared" si="156"/>
        <v>0</v>
      </c>
    </row>
    <row r="694" spans="1:19" ht="15.65" outlineLevel="2">
      <c r="A694" s="9" t="s">
        <v>123</v>
      </c>
      <c r="B694" s="11" t="s">
        <v>68</v>
      </c>
      <c r="C694" s="10">
        <v>843149.79000000004</v>
      </c>
      <c r="F694" s="10">
        <v>843149.79000000004</v>
      </c>
      <c r="H694" s="3">
        <v>50</v>
      </c>
      <c r="I694" s="3">
        <v>12.228961999999999</v>
      </c>
      <c r="J694" s="2">
        <v>-0.20000000000000001</v>
      </c>
      <c r="K694" s="1">
        <f t="shared" si="157"/>
        <v>764319.42618676845</v>
      </c>
      <c r="L694" s="1">
        <f t="shared" si="158"/>
        <v>1.12092996886208</v>
      </c>
      <c r="M694" s="1">
        <f t="shared" si="159"/>
        <v>856748.55059621716</v>
      </c>
      <c r="P694" s="1">
        <f t="shared" si="160"/>
        <v>0</v>
      </c>
      <c r="Q694" s="1">
        <f t="shared" si="161"/>
        <v>0</v>
      </c>
      <c r="R694" s="1">
        <f t="shared" si="162"/>
        <v>856748.55059621716</v>
      </c>
      <c r="S694" s="4">
        <f t="shared" si="163" ref="S694:S708">+M694-P694-Q694-R694</f>
        <v>0</v>
      </c>
    </row>
    <row r="695" spans="1:19" ht="15.65" outlineLevel="2">
      <c r="A695" s="9" t="s">
        <v>123</v>
      </c>
      <c r="B695" s="11" t="s">
        <v>67</v>
      </c>
      <c r="C695" s="10">
        <v>1472810</v>
      </c>
      <c r="F695" s="10">
        <v>1472810</v>
      </c>
      <c r="H695" s="3">
        <v>50</v>
      </c>
      <c r="I695" s="3">
        <v>11.764427</v>
      </c>
      <c r="J695" s="2">
        <v>-0.20000000000000001</v>
      </c>
      <c r="K695" s="1">
        <f t="shared" si="157"/>
        <v>1351529.6224831201</v>
      </c>
      <c r="L695" s="1">
        <f t="shared" si="158"/>
        <v>1.12092996886208</v>
      </c>
      <c r="M695" s="1">
        <f t="shared" si="159"/>
        <v>1514970.0576461824</v>
      </c>
      <c r="P695" s="1">
        <f t="shared" si="160"/>
        <v>0</v>
      </c>
      <c r="Q695" s="1">
        <f t="shared" si="161"/>
        <v>0</v>
      </c>
      <c r="R695" s="1">
        <f t="shared" si="162"/>
        <v>1514970.0576461824</v>
      </c>
      <c r="S695" s="4">
        <f t="shared" si="163"/>
        <v>0</v>
      </c>
    </row>
    <row r="696" spans="1:19" ht="15.65" outlineLevel="2">
      <c r="A696" s="9" t="s">
        <v>123</v>
      </c>
      <c r="B696" s="11" t="s">
        <v>66</v>
      </c>
      <c r="C696" s="10">
        <v>509452.21000000002</v>
      </c>
      <c r="F696" s="10">
        <v>509452.21000000002</v>
      </c>
      <c r="H696" s="3">
        <v>50</v>
      </c>
      <c r="I696" s="3">
        <v>10.887838</v>
      </c>
      <c r="J696" s="2">
        <v>-0.20000000000000001</v>
      </c>
      <c r="K696" s="1">
        <f t="shared" si="157"/>
        <v>478218.6568506725</v>
      </c>
      <c r="L696" s="1">
        <f t="shared" si="158"/>
        <v>1.12092996886208</v>
      </c>
      <c r="M696" s="1">
        <f t="shared" si="159"/>
        <v>536049.62413289002</v>
      </c>
      <c r="P696" s="1">
        <f t="shared" si="160"/>
        <v>0</v>
      </c>
      <c r="Q696" s="1">
        <f t="shared" si="161"/>
        <v>0</v>
      </c>
      <c r="R696" s="1">
        <f t="shared" si="162"/>
        <v>536049.62413289002</v>
      </c>
      <c r="S696" s="4">
        <f t="shared" si="163"/>
        <v>0</v>
      </c>
    </row>
    <row r="697" spans="1:19" ht="15.65" outlineLevel="2">
      <c r="A697" s="9" t="s">
        <v>123</v>
      </c>
      <c r="B697" s="11" t="s">
        <v>65</v>
      </c>
      <c r="C697" s="10">
        <v>1191762.9199999999</v>
      </c>
      <c r="F697" s="10">
        <v>1191762.9199999999</v>
      </c>
      <c r="H697" s="3">
        <v>50</v>
      </c>
      <c r="I697" s="3">
        <v>10.474378</v>
      </c>
      <c r="J697" s="2">
        <v>-0.20000000000000001</v>
      </c>
      <c r="K697" s="1">
        <f t="shared" si="157"/>
        <v>1130524.0965488695</v>
      </c>
      <c r="L697" s="1">
        <f t="shared" si="158"/>
        <v>1.12092996886208</v>
      </c>
      <c r="M697" s="1">
        <f t="shared" si="159"/>
        <v>1267238.3403423554</v>
      </c>
      <c r="P697" s="1">
        <f t="shared" si="160"/>
        <v>0</v>
      </c>
      <c r="Q697" s="1">
        <f t="shared" si="161"/>
        <v>0</v>
      </c>
      <c r="R697" s="1">
        <f t="shared" si="162"/>
        <v>1267238.3403423554</v>
      </c>
      <c r="S697" s="4">
        <f t="shared" si="163"/>
        <v>0</v>
      </c>
    </row>
    <row r="698" spans="1:19" ht="15.65" outlineLevel="2">
      <c r="A698" s="9" t="s">
        <v>123</v>
      </c>
      <c r="B698" s="11" t="s">
        <v>64</v>
      </c>
      <c r="C698" s="10">
        <v>500341.06</v>
      </c>
      <c r="F698" s="10">
        <v>500341.06</v>
      </c>
      <c r="H698" s="3">
        <v>50</v>
      </c>
      <c r="I698" s="3">
        <v>10.076542999999999</v>
      </c>
      <c r="J698" s="2">
        <v>-0.20000000000000001</v>
      </c>
      <c r="K698" s="1">
        <f t="shared" si="157"/>
        <v>479408.27506186609</v>
      </c>
      <c r="L698" s="1">
        <f t="shared" si="158"/>
        <v>1.12092996886208</v>
      </c>
      <c r="M698" s="1">
        <f t="shared" si="159"/>
        <v>537383.102837321</v>
      </c>
      <c r="P698" s="1">
        <f t="shared" si="160"/>
        <v>0</v>
      </c>
      <c r="Q698" s="1">
        <f t="shared" si="161"/>
        <v>0</v>
      </c>
      <c r="R698" s="1">
        <f t="shared" si="162"/>
        <v>537383.102837321</v>
      </c>
      <c r="S698" s="4">
        <f t="shared" si="163"/>
        <v>0</v>
      </c>
    </row>
    <row r="699" spans="1:19" ht="15.65" outlineLevel="2">
      <c r="A699" s="9" t="s">
        <v>123</v>
      </c>
      <c r="B699" s="11" t="s">
        <v>63</v>
      </c>
      <c r="C699" s="10">
        <v>252394.12</v>
      </c>
      <c r="F699" s="10">
        <v>252394.12</v>
      </c>
      <c r="H699" s="3">
        <v>50</v>
      </c>
      <c r="I699" s="3">
        <v>9.6936459999999993</v>
      </c>
      <c r="J699" s="2">
        <v>-0.20000000000000001</v>
      </c>
      <c r="K699" s="1">
        <f t="shared" si="157"/>
        <v>244154.08195772351</v>
      </c>
      <c r="L699" s="1">
        <f t="shared" si="158"/>
        <v>1.12092996886208</v>
      </c>
      <c r="M699" s="1">
        <f t="shared" si="159"/>
        <v>273679.62748642074</v>
      </c>
      <c r="P699" s="1">
        <f t="shared" si="160"/>
        <v>0</v>
      </c>
      <c r="Q699" s="1">
        <f t="shared" si="161"/>
        <v>0</v>
      </c>
      <c r="R699" s="1">
        <f t="shared" si="162"/>
        <v>273679.62748642074</v>
      </c>
      <c r="S699" s="4">
        <f t="shared" si="163"/>
        <v>0</v>
      </c>
    </row>
    <row r="700" spans="1:19" ht="15.65" outlineLevel="2">
      <c r="A700" s="9" t="s">
        <v>123</v>
      </c>
      <c r="B700" s="11" t="s">
        <v>62</v>
      </c>
      <c r="C700" s="10">
        <v>175351.95999999999</v>
      </c>
      <c r="F700" s="10">
        <v>175351.95999999999</v>
      </c>
      <c r="H700" s="3">
        <v>50</v>
      </c>
      <c r="I700" s="3">
        <v>9.3250159999999997</v>
      </c>
      <c r="J700" s="2">
        <v>-0.20000000000000001</v>
      </c>
      <c r="K700" s="1">
        <f t="shared" si="157"/>
        <v>171178.51601684734</v>
      </c>
      <c r="L700" s="1">
        <f t="shared" si="158"/>
        <v>1.12092996886208</v>
      </c>
      <c r="M700" s="1">
        <f t="shared" si="159"/>
        <v>191879.12862862175</v>
      </c>
      <c r="P700" s="1">
        <f t="shared" si="160"/>
        <v>0</v>
      </c>
      <c r="Q700" s="1">
        <f t="shared" si="161"/>
        <v>0</v>
      </c>
      <c r="R700" s="1">
        <f t="shared" si="162"/>
        <v>191879.12862862175</v>
      </c>
      <c r="S700" s="4">
        <f t="shared" si="163"/>
        <v>0</v>
      </c>
    </row>
    <row r="701" spans="1:19" ht="15.65" outlineLevel="2">
      <c r="A701" s="9" t="s">
        <v>123</v>
      </c>
      <c r="B701" s="11" t="s">
        <v>61</v>
      </c>
      <c r="C701" s="10">
        <v>879114.32999999996</v>
      </c>
      <c r="F701" s="10">
        <v>879114.32999999996</v>
      </c>
      <c r="H701" s="3">
        <v>50</v>
      </c>
      <c r="I701" s="3">
        <v>8.6279500000000002</v>
      </c>
      <c r="J701" s="2">
        <v>-0.20000000000000001</v>
      </c>
      <c r="K701" s="1">
        <f t="shared" si="157"/>
        <v>872898.2883954359</v>
      </c>
      <c r="L701" s="1">
        <f t="shared" si="158"/>
        <v>1.12092996886208</v>
      </c>
      <c r="M701" s="1">
        <f t="shared" si="159"/>
        <v>978457.85123085883</v>
      </c>
      <c r="P701" s="1">
        <f t="shared" si="160"/>
        <v>0</v>
      </c>
      <c r="Q701" s="1">
        <f t="shared" si="161"/>
        <v>0</v>
      </c>
      <c r="R701" s="1">
        <f t="shared" si="162"/>
        <v>978457.85123085883</v>
      </c>
      <c r="S701" s="4">
        <f t="shared" si="163"/>
        <v>0</v>
      </c>
    </row>
    <row r="702" spans="1:19" ht="15.65" outlineLevel="2">
      <c r="A702" s="9" t="s">
        <v>123</v>
      </c>
      <c r="B702" s="11">
        <v>1970</v>
      </c>
      <c r="C702" s="10">
        <v>5741.6800000000003</v>
      </c>
      <c r="F702" s="10">
        <v>5741.6800000000003</v>
      </c>
      <c r="H702" s="3">
        <v>50</v>
      </c>
      <c r="I702" s="3">
        <v>8.2982630000000004</v>
      </c>
      <c r="J702" s="2">
        <v>-0.20000000000000001</v>
      </c>
      <c r="K702" s="1">
        <f t="shared" si="157"/>
        <v>5746.5127031558404</v>
      </c>
      <c r="L702" s="1">
        <f t="shared" si="158"/>
        <v>1.12092996886208</v>
      </c>
      <c r="M702" s="1">
        <f t="shared" si="159"/>
        <v>6441.4383054140235</v>
      </c>
      <c r="P702" s="1">
        <f t="shared" si="160"/>
        <v>0</v>
      </c>
      <c r="Q702" s="1">
        <f t="shared" si="161"/>
        <v>0</v>
      </c>
      <c r="R702" s="1">
        <f t="shared" si="162"/>
        <v>6441.4383054140235</v>
      </c>
      <c r="S702" s="4">
        <f t="shared" si="163"/>
        <v>0</v>
      </c>
    </row>
    <row r="703" spans="1:19" ht="15.65" outlineLevel="2">
      <c r="A703" s="9" t="s">
        <v>123</v>
      </c>
      <c r="B703" s="11">
        <v>1968</v>
      </c>
      <c r="C703" s="10">
        <v>184.63999999999999</v>
      </c>
      <c r="F703" s="10">
        <v>184.63999999999999</v>
      </c>
      <c r="H703" s="3">
        <v>50</v>
      </c>
      <c r="I703" s="3">
        <v>7.673616</v>
      </c>
      <c r="J703" s="2">
        <v>-0.20000000000000001</v>
      </c>
      <c r="K703" s="1">
        <f t="shared" si="157"/>
        <v>187.56344500224</v>
      </c>
      <c r="L703" s="1">
        <f t="shared" si="158"/>
        <v>1.12092996886208</v>
      </c>
      <c r="M703" s="1">
        <f t="shared" si="159"/>
        <v>210.24548656602534</v>
      </c>
      <c r="P703" s="1">
        <f t="shared" si="160"/>
        <v>0</v>
      </c>
      <c r="Q703" s="1">
        <f t="shared" si="161"/>
        <v>0</v>
      </c>
      <c r="R703" s="1">
        <f t="shared" si="162"/>
        <v>210.24548656602534</v>
      </c>
      <c r="S703" s="4">
        <f t="shared" si="163"/>
        <v>0</v>
      </c>
    </row>
    <row r="704" spans="1:19" ht="15.65" outlineLevel="2">
      <c r="A704" s="9" t="s">
        <v>123</v>
      </c>
      <c r="B704" s="11">
        <v>1967</v>
      </c>
      <c r="C704" s="10">
        <v>405357.03999999998</v>
      </c>
      <c r="F704" s="10">
        <v>405357.03999999998</v>
      </c>
      <c r="H704" s="3">
        <v>50</v>
      </c>
      <c r="I704" s="3">
        <v>7.0915840000000001</v>
      </c>
      <c r="J704" s="2">
        <v>-0.20000000000000001</v>
      </c>
      <c r="K704" s="1">
        <f t="shared" si="157"/>
        <v>417437.48402036732</v>
      </c>
      <c r="L704" s="1">
        <f t="shared" si="158"/>
        <v>1.12092996886208</v>
      </c>
      <c r="M704" s="1">
        <f t="shared" si="159"/>
        <v>467918.18596481532</v>
      </c>
      <c r="P704" s="1">
        <f t="shared" si="160"/>
        <v>0</v>
      </c>
      <c r="Q704" s="1">
        <f t="shared" si="161"/>
        <v>0</v>
      </c>
      <c r="R704" s="1">
        <f t="shared" si="162"/>
        <v>467918.18596481532</v>
      </c>
      <c r="S704" s="4">
        <f t="shared" si="163"/>
        <v>0</v>
      </c>
    </row>
    <row r="705" spans="1:19" ht="15.65" outlineLevel="2">
      <c r="A705" s="9" t="s">
        <v>123</v>
      </c>
      <c r="B705" s="11">
        <v>1965</v>
      </c>
      <c r="C705" s="10">
        <v>431186.58000000002</v>
      </c>
      <c r="F705" s="10">
        <v>431186.58000000002</v>
      </c>
      <c r="H705" s="3">
        <v>50</v>
      </c>
      <c r="I705" s="3">
        <v>6.8152520000000001</v>
      </c>
      <c r="J705" s="2">
        <v>-0.20000000000000001</v>
      </c>
      <c r="K705" s="1">
        <f t="shared" si="157"/>
        <v>446896.41115876415</v>
      </c>
      <c r="L705" s="1">
        <f t="shared" si="158"/>
        <v>1.12092996886208</v>
      </c>
      <c r="M705" s="1">
        <f t="shared" si="159"/>
        <v>500939.58024476876</v>
      </c>
      <c r="P705" s="1">
        <f t="shared" si="160"/>
        <v>0</v>
      </c>
      <c r="Q705" s="1">
        <f t="shared" si="161"/>
        <v>0</v>
      </c>
      <c r="R705" s="1">
        <f t="shared" si="162"/>
        <v>500939.58024476876</v>
      </c>
      <c r="S705" s="4">
        <f t="shared" si="163"/>
        <v>0</v>
      </c>
    </row>
    <row r="706" spans="1:19" ht="15.65" outlineLevel="2">
      <c r="A706" s="9" t="s">
        <v>123</v>
      </c>
      <c r="B706" s="11">
        <v>1963</v>
      </c>
      <c r="C706" s="10">
        <v>3128.1799999999998</v>
      </c>
      <c r="F706" s="10">
        <v>3128.1799999999998</v>
      </c>
      <c r="H706" s="3">
        <v>50</v>
      </c>
      <c r="I706" s="3">
        <v>5.3342010000000002</v>
      </c>
      <c r="J706" s="2">
        <v>-0.20000000000000001</v>
      </c>
      <c r="K706" s="1">
        <f t="shared" si="157"/>
        <v>3353.3438187796796</v>
      </c>
      <c r="L706" s="1">
        <f t="shared" si="158"/>
        <v>1.12092996886208</v>
      </c>
      <c r="M706" s="1">
        <f t="shared" si="159"/>
        <v>3753.8159999999998</v>
      </c>
      <c r="P706" s="1">
        <f t="shared" si="160"/>
        <v>0</v>
      </c>
      <c r="Q706" s="1">
        <f t="shared" si="161"/>
        <v>0</v>
      </c>
      <c r="R706" s="1">
        <f t="shared" si="162"/>
        <v>3753.8159999999998</v>
      </c>
      <c r="S706" s="4">
        <f t="shared" si="163"/>
        <v>0</v>
      </c>
    </row>
    <row r="707" spans="1:19" ht="15.65" outlineLevel="1">
      <c r="A707" s="9" t="s">
        <v>140</v>
      </c>
      <c r="B707" s="11"/>
      <c r="C707" s="10">
        <f>SUBTOTAL(9,C663:C706)</f>
        <v>84097342.579999998</v>
      </c>
      <c r="D707" s="10">
        <f>SUBTOTAL(9,D663:D706)</f>
        <v>0</v>
      </c>
      <c r="E707" s="10">
        <f>SUBTOTAL(9,E663:E706)</f>
        <v>0</v>
      </c>
      <c r="F707" s="10">
        <f>SUBTOTAL(9,F663:F706)</f>
        <v>84097342.579999998</v>
      </c>
      <c r="K707" s="1">
        <f>SUBTOTAL(9,K663:K706)</f>
        <v>29929084.273976289</v>
      </c>
      <c r="L707" s="1">
        <v>1.12092996886208</v>
      </c>
      <c r="M707" s="1">
        <f>SUBTOTAL(9,M663:M706)</f>
        <v>33548402.455716442</v>
      </c>
      <c r="N707" s="1">
        <v>33548402.455716442</v>
      </c>
      <c r="O707" s="1">
        <f>+N707-M707</f>
        <v>0</v>
      </c>
      <c r="P707" s="1">
        <f>SUBTOTAL(9,P663:P706)</f>
        <v>0</v>
      </c>
      <c r="Q707" s="1">
        <f>SUBTOTAL(9,Q663:Q706)</f>
        <v>0</v>
      </c>
      <c r="R707" s="1">
        <f>SUBTOTAL(9,R663:R706)</f>
        <v>33548402.455716442</v>
      </c>
      <c r="S707" s="4">
        <f t="shared" si="163"/>
        <v>0</v>
      </c>
    </row>
    <row r="708" spans="1:19" ht="15.65">
      <c r="A708" s="9" t="s">
        <v>3</v>
      </c>
      <c r="B708" s="11"/>
      <c r="C708" s="10">
        <f>SUBTOTAL(9,C3:C706)</f>
        <v>11249950125.220001</v>
      </c>
      <c r="D708" s="10">
        <f>SUBTOTAL(9,D3:D706)</f>
        <v>32539117.649999999</v>
      </c>
      <c r="E708" s="10">
        <f>SUBTOTAL(9,E3:E706)</f>
        <v>381860650.57225347</v>
      </c>
      <c r="F708" s="10">
        <f>SUBTOTAL(9,F3:F706)</f>
        <v>10835550356.997751</v>
      </c>
      <c r="K708" s="1">
        <f>SUBTOTAL(9,K3:K706)</f>
        <v>2585174232.2580123</v>
      </c>
      <c r="M708" s="1">
        <f>SUBTOTAL(9,M3:M706)</f>
        <v>2880090706.1499972</v>
      </c>
      <c r="N708" s="1">
        <f>SUM(N110:N707)</f>
        <v>2880090706.1500025</v>
      </c>
      <c r="P708" s="1">
        <f t="shared" si="164" ref="P708:R708">SUBTOTAL(9,P3:P706)</f>
        <v>20956727.369441111</v>
      </c>
      <c r="Q708" s="1">
        <f t="shared" si="164"/>
        <v>97170477.011244759</v>
      </c>
      <c r="R708" s="1">
        <f t="shared" si="164"/>
        <v>2761963501.7693124</v>
      </c>
      <c r="S708" s="4">
        <f t="shared" si="163"/>
        <v>0</v>
      </c>
    </row>
  </sheetData>
  <sortState ref="A3:F706">
    <sortCondition sortBy="value" ref="A3:A706"/>
    <sortCondition descending="1" sortBy="value" ref="B3:B706"/>
  </sortState>
  <mergeCells count="2">
    <mergeCell ref="P1:R1"/>
    <mergeCell ref="D1:F1"/>
  </mergeCells>
  <pageMargins left="0.75" right="0.75" top="3.25" bottom="1" header="1.5" footer="0.5"/>
  <pageSetup fitToHeight="15" fitToWidth="2" horizontalDpi="1200" verticalDpi="1200" orientation="landscape" scale="82" r:id="rId1"/>
  <headerFooter>
    <oddHeader>&amp;C&amp;"Arial,Bold"
2022 RATE CASE
ONCOR ELECTRIC DELVIERY COMPANY LLC
WP II-B-5_03 ONCOR LEGACY
TRANSMISSION FUNCTION ALLOCATION
TEST YEAR ENDING DECEMBER 31, 2021
SPONSOR: D.A. WATSON&amp;R&amp;"Arial,Bold"WP/II-B-5/03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II-B-5_03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