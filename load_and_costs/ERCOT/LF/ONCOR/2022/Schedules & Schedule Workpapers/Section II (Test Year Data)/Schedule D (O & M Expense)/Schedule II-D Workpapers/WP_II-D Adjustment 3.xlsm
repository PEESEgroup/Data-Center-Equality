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0490" windowHeight="7455" activeTab="0"/>
  </bookViews>
  <sheets>
    <sheet name="Pensions" sheetId="1" r:id="rId2"/>
  </sheets>
  <definedNames>
    <definedName name="_xlnm.Print_Area" localSheetId="0">Pensions!$A$1:$D$20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</calcChain>
</file>

<file path=xl/sharedStrings.xml><?xml version="1.0" encoding="utf-8"?>
<sst xmlns="http://schemas.openxmlformats.org/spreadsheetml/2006/main" count="16" uniqueCount="16">
  <si>
    <t>Oncor Electric Delivery Company LLC</t>
  </si>
  <si>
    <t>Known and Measurable Adjustment Recoverable Pensions</t>
  </si>
  <si>
    <t>Total</t>
  </si>
  <si>
    <t>ESD</t>
  </si>
  <si>
    <t>TRN</t>
  </si>
  <si>
    <t>PAYXAG Factor</t>
  </si>
  <si>
    <t>2022 Annual Pension Accrual:</t>
  </si>
  <si>
    <t>Vistra Plan</t>
  </si>
  <si>
    <t xml:space="preserve">Oncor Plan </t>
  </si>
  <si>
    <t>Supplemental Plan</t>
  </si>
  <si>
    <t>Total Accrual</t>
  </si>
  <si>
    <t xml:space="preserve">Test Year Expense Ratio </t>
  </si>
  <si>
    <t>2022 O&amp;M Expense</t>
  </si>
  <si>
    <t>Test Year Book Expense</t>
  </si>
  <si>
    <t>Adjustment to Account 926-0000</t>
  </si>
  <si>
    <t>WP II-D Adjustment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</si>
</sst>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</numFmts>
  <fonts count="4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39" fontId="0" fillId="0" borderId="0" xfId="0" applyNumberFormat="1"/>
    <xf numFmtId="44" fontId="0" fillId="0" borderId="0" xfId="0" applyNumberFormat="1"/>
    <xf numFmtId="43" fontId="0" fillId="0" borderId="0" xfId="0" applyNumberFormat="1"/>
    <xf numFmtId="10" fontId="0" fillId="0" borderId="0" xfId="15" applyNumberFormat="1" applyFont="1"/>
    <xf numFmtId="0" fontId="0" fillId="0" borderId="0" xfId="0" applyFill="1"/>
    <xf numFmtId="39" fontId="0" fillId="0" borderId="0" xfId="0" applyNumberFormat="1" applyFill="1"/>
    <xf numFmtId="43" fontId="0" fillId="0" borderId="0" xfId="18" applyFont="1" applyFill="1"/>
    <xf numFmtId="39" fontId="0" fillId="0" borderId="1" xfId="0" applyNumberFormat="1" applyFill="1" applyBorder="1"/>
    <xf numFmtId="0" fontId="0" fillId="0" borderId="1" xfId="0" applyFill="1" applyBorder="1" applyAlignment="1">
      <alignment horizontal="center"/>
    </xf>
    <xf numFmtId="164" fontId="0" fillId="0" borderId="0" xfId="16" applyNumberFormat="1" applyFont="1" applyFill="1"/>
    <xf numFmtId="9" fontId="0" fillId="0" borderId="0" xfId="15" applyFont="1" applyFill="1"/>
    <xf numFmtId="10" fontId="0" fillId="0" borderId="1" xfId="0" applyNumberFormat="1" applyFill="1" applyBorder="1"/>
    <xf numFmtId="0" fontId="2" fillId="0" borderId="0" xfId="0" applyFont="1" applyFill="1"/>
    <xf numFmtId="0" fontId="2" fillId="0" borderId="2" xfId="0" applyFont="1" applyFill="1" applyBorder="1"/>
    <xf numFmtId="39" fontId="2" fillId="0" borderId="3" xfId="0" applyNumberFormat="1" applyFont="1" applyFill="1" applyBorder="1"/>
    <xf numFmtId="39" fontId="2" fillId="0" borderId="4" xfId="0" applyNumberFormat="1" applyFont="1" applyFill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I23"/>
  <sheetViews>
    <sheetView tabSelected="1" workbookViewId="0" topLeftCell="A1">
      <selection pane="topLeft" activeCell="G18" sqref="G18"/>
    </sheetView>
  </sheetViews>
  <sheetFormatPr defaultRowHeight="15"/>
  <cols>
    <col min="1" max="1" width="41.2857142857143" customWidth="1"/>
    <col min="2" max="3" width="16" bestFit="1" customWidth="1"/>
    <col min="4" max="4" width="15" bestFit="1" customWidth="1"/>
    <col min="7" max="7" width="20.4285714285714" bestFit="1" customWidth="1"/>
    <col min="8" max="8" width="14.5714285714286" bestFit="1" customWidth="1"/>
    <col min="9" max="9" width="9.57142857142857" bestFit="1" customWidth="1"/>
  </cols>
  <sheetData>
    <row r="1" spans="1:5" ht="15">
      <c r="A1" t="s">
        <v>0</v>
      </c>
      <c r="E1" s="1"/>
    </row>
    <row r="2" spans="1:1" ht="15">
      <c r="A2" t="s">
        <v>1</v>
      </c>
    </row>
    <row r="5" spans="2:4" ht="15">
      <c r="B5" s="2" t="s">
        <v>2</v>
      </c>
      <c r="C5" s="2" t="s">
        <v>3</v>
      </c>
      <c r="D5" s="2" t="s">
        <v>4</v>
      </c>
    </row>
    <row r="6" spans="1:4" ht="15">
      <c r="A6" t="s">
        <v>5</v>
      </c>
      <c r="B6" s="2"/>
      <c r="C6" s="3">
        <v>0.77979843567877405</v>
      </c>
      <c r="D6" s="3">
        <v>0.22020156432122592</v>
      </c>
    </row>
    <row r="7" spans="1:9" ht="15">
      <c r="A7" s="8" t="s">
        <v>6</v>
      </c>
      <c r="B7" s="8"/>
      <c r="C7" s="8"/>
      <c r="D7" s="8"/>
      <c r="E7" s="8"/>
      <c r="F7" s="8"/>
      <c r="G7" s="8"/>
      <c r="H7" s="8"/>
      <c r="I7" s="8"/>
    </row>
    <row r="8" spans="1:9" ht="15">
      <c r="A8" s="8" t="s">
        <v>7</v>
      </c>
      <c r="B8" s="9">
        <v>-3251157</v>
      </c>
      <c r="C8" s="9">
        <f>B8*C6</f>
        <v>-2535247.142746096</v>
      </c>
      <c r="D8" s="9">
        <f>B8*D6</f>
        <v>-715909.85725390387</v>
      </c>
      <c r="E8" s="9"/>
      <c r="F8" s="8"/>
      <c r="G8" s="10"/>
      <c r="H8" s="8"/>
      <c r="I8" s="8"/>
    </row>
    <row r="9" spans="1:9" ht="15">
      <c r="A9" s="8" t="s">
        <v>8</v>
      </c>
      <c r="B9" s="9">
        <v>44958584</v>
      </c>
      <c r="C9" s="9">
        <f>B9*C6</f>
        <v>35058633.473532759</v>
      </c>
      <c r="D9" s="9">
        <f>B9*D6</f>
        <v>9899950.5264672395</v>
      </c>
      <c r="E9" s="9"/>
      <c r="F9" s="8"/>
      <c r="G9" s="10"/>
      <c r="H9" s="8"/>
      <c r="I9" s="8"/>
    </row>
    <row r="10" spans="1:9" ht="15">
      <c r="A10" s="8" t="s">
        <v>9</v>
      </c>
      <c r="B10" s="11">
        <v>6309066</v>
      </c>
      <c r="C10" s="11">
        <f>B10*C6</f>
        <v>4919799.7973941406</v>
      </c>
      <c r="D10" s="11">
        <f>B10*D6</f>
        <v>1389266.2026058596</v>
      </c>
      <c r="E10" s="9"/>
      <c r="F10" s="8"/>
      <c r="G10" s="10"/>
      <c r="H10" s="12"/>
      <c r="I10" s="12"/>
    </row>
    <row r="11" spans="1:9" ht="15">
      <c r="A11" s="8" t="s">
        <v>10</v>
      </c>
      <c r="B11" s="9">
        <f>SUM(B8:B10)</f>
        <v>48016493</v>
      </c>
      <c r="C11" s="9">
        <f t="shared" si="0" ref="C11:D11">SUM(C8:C10)</f>
        <v>37443186.128180802</v>
      </c>
      <c r="D11" s="9">
        <f t="shared" si="0"/>
        <v>10573306.871819196</v>
      </c>
      <c r="E11" s="9"/>
      <c r="F11" s="8"/>
      <c r="G11" s="8"/>
      <c r="H11" s="13"/>
      <c r="I11" s="14"/>
    </row>
    <row r="12" spans="1:9" ht="15">
      <c r="A12" s="8" t="s">
        <v>11</v>
      </c>
      <c r="B12" s="15">
        <v>0.46566865849001887</v>
      </c>
      <c r="C12" s="15">
        <f>+B12</f>
        <v>0.46566865849001887</v>
      </c>
      <c r="D12" s="15">
        <f>+B12</f>
        <v>0.46566865849001887</v>
      </c>
      <c r="E12" s="8"/>
      <c r="F12" s="8"/>
      <c r="G12" s="8"/>
      <c r="H12" s="8"/>
      <c r="I12" s="8"/>
    </row>
    <row r="13" spans="1:9" ht="15">
      <c r="A13" s="8" t="s">
        <v>12</v>
      </c>
      <c r="B13" s="9">
        <f>B11*B12</f>
        <v>22359775.880705383</v>
      </c>
      <c r="C13" s="9">
        <f t="shared" si="1" ref="C13:D13">C11*C12</f>
        <v>17436118.253902037</v>
      </c>
      <c r="D13" s="9">
        <f t="shared" si="1"/>
        <v>4923657.6268033432</v>
      </c>
      <c r="E13" s="8"/>
      <c r="F13" s="8"/>
      <c r="G13" s="8"/>
      <c r="H13" s="8"/>
      <c r="I13" s="8"/>
    </row>
    <row r="14" spans="1:9" ht="15">
      <c r="A14" s="8"/>
      <c r="B14" s="9"/>
      <c r="C14" s="9"/>
      <c r="D14" s="9"/>
      <c r="E14" s="8"/>
      <c r="F14" s="8"/>
      <c r="G14" s="8"/>
      <c r="H14" s="8"/>
      <c r="I14" s="8"/>
    </row>
    <row r="15" spans="1:4" ht="15">
      <c r="A15" t="s">
        <v>13</v>
      </c>
      <c r="B15" s="4">
        <f>C15+D15</f>
        <v>42446295</v>
      </c>
      <c r="C15" s="4">
        <v>33532573</v>
      </c>
      <c r="D15" s="4">
        <v>8913722</v>
      </c>
    </row>
    <row r="16" spans="2:4" ht="15.75" thickBot="1">
      <c r="B16" s="4"/>
      <c r="C16" s="4"/>
      <c r="D16" s="4"/>
    </row>
    <row r="17" spans="1:5" ht="15.75" thickBot="1">
      <c r="A17" s="17" t="s">
        <v>14</v>
      </c>
      <c r="B17" s="18">
        <f>B13-B15</f>
        <v>-20086519.119294617</v>
      </c>
      <c r="C17" s="18">
        <f t="shared" si="2" ref="C17:D17">C13-C15</f>
        <v>-16096454.746097963</v>
      </c>
      <c r="D17" s="19">
        <f t="shared" si="2"/>
        <v>-3990064.3731966568</v>
      </c>
      <c r="E17" s="16"/>
    </row>
    <row r="20" spans="1:4" ht="15">
      <c r="A20" t="s">
        <v>15</v>
      </c>
      <c r="B20" s="5">
        <v>-20086519.120000001</v>
      </c>
      <c r="C20" s="5">
        <f>B20-D20</f>
        <v>-15663436.190000001</v>
      </c>
      <c r="D20" s="5">
        <v>-4423082.9299999997</v>
      </c>
    </row>
    <row r="21" spans="2:4" ht="15">
      <c r="B21" s="6"/>
      <c r="C21" s="7"/>
      <c r="D21" s="7"/>
    </row>
    <row r="23" spans="2:4" ht="15">
      <c r="B23" s="5"/>
      <c r="C23" s="5"/>
      <c r="D23" s="5"/>
    </row>
  </sheetData>
  <printOptions horizontalCentered="1"/>
  <pageMargins left="0.45" right="0.45" top="1.75" bottom="0.5" header="1" footer="0.3"/>
  <pageSetup orientation="landscape" r:id="rId1"/>
  <headerFooter>
    <oddHeader>&amp;R&amp;"-,Bold"WP/II-D ADJUSTMENT /3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Pensions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