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105" yWindow="3450" windowWidth="12165" windowHeight="9090" activeTab="0"/>
  </bookViews>
  <sheets>
    <sheet name="Net Jets PUR" sheetId="3" r:id="rId3"/>
    <sheet name="Updates" sheetId="2" state="hidden" r:id="rId4"/>
  </sheets>
  <definedNames>
    <definedName name="NvsAnswerCol" localSheetId="0">"'[DR_2372527_2372763_Oper Exp_SGA_Oth Deductions-YTD 2021 Dec.xls]Sheet1'!$A$7:$A$37"</definedName>
    <definedName name="NvsASD">"V2021-12-31"</definedName>
    <definedName name="NvsAutoDrillOk">"VY"</definedName>
    <definedName name="NvsElapsedTime" localSheetId="0">0.0000462962998426519</definedName>
    <definedName name="NvsElapsedTime">0.000127314815472346</definedName>
    <definedName name="NvsEndTime" localSheetId="0">44578.4576157407</definedName>
    <definedName name="NvsEndTime">44578.4566435185</definedName>
    <definedName name="NvsInstCritOpt" localSheetId="0">"S"</definedName>
    <definedName name="NvsInstLang">"VENG"</definedName>
    <definedName name="NvsInstSpec">"%,QUVLR_OPER_EXP_OTH_SGA,SYTD,FBUSINESS_UNIT,TF_BU_D_BASE,N3DELV,FCURRENCY_CD,VUSD,FTU_EC,V754"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rentRef">"'[Oper Exp_SGA_Oth Deductions-YTD 2021 Dec.xls]Sheet1'!$D$222"</definedName>
    <definedName name="NvsQueryName" localSheetId="0">"TU_PUR_DIST_DRILL"</definedName>
    <definedName name="NvsReqBU">"VX0001"</definedName>
    <definedName name="NvsReqBUOnly">"VN"</definedName>
    <definedName name="NvsRowCount" localSheetId="0">31</definedName>
    <definedName name="NvsSheetType" localSheetId="0">"T"</definedName>
    <definedName name="NvsTranslateLedger" localSheetId="0">'Net Jets PUR'!$A$42</definedName>
    <definedName name="NvsTranslateLedger">#REF!</definedName>
    <definedName name="NvsTransLed">"VY"</definedName>
    <definedName name="NvsTreeASD">"V2021-12-31"</definedName>
    <definedName name="NvsUpdateOption" localSheetId="0">"N"</definedName>
    <definedName name="_xlnm.Print_Area" localSheetId="0">'Net Jets PUR'!$A$1:$S$45</definedName>
    <definedName name="_xlnm.Print_Titles" localSheetId="0">'Net Jets PUR'!$3:$7</definedName>
  </definedNames>
  <calcPr calcId="152511"/>
</workbook>
</file>

<file path=xl/calcChain.xml><?xml version="1.0" encoding="utf-8"?>
<calcChain xmlns="http://schemas.openxmlformats.org/spreadsheetml/2006/main">
  <c r="L43" i="3" l="1"/>
</calcChain>
</file>

<file path=xl/sharedStrings.xml><?xml version="1.0" encoding="utf-8"?>
<sst xmlns="http://schemas.openxmlformats.org/spreadsheetml/2006/main" count="507" uniqueCount="130">
  <si>
    <t>Journal</t>
  </si>
  <si>
    <t>DeptID</t>
  </si>
  <si>
    <t>Account</t>
  </si>
  <si>
    <t>Expnd Cd</t>
  </si>
  <si>
    <t>Proj</t>
  </si>
  <si>
    <t>Activity</t>
  </si>
  <si>
    <t>TU Loc</t>
  </si>
  <si>
    <t>Monetary Amount</t>
  </si>
  <si>
    <t>Period</t>
  </si>
  <si>
    <t>Year</t>
  </si>
  <si>
    <t>Ledger</t>
  </si>
  <si>
    <t>Updates:</t>
  </si>
  <si>
    <t>Per verbal request from Kenny Synatsck and verbal approval from Janie Bryant on 01/31/20:</t>
  </si>
  <si>
    <t>Hide blank columns I, K, and M to allow pivot table and filter functionalities.</t>
  </si>
  <si>
    <t>PUR0954280</t>
  </si>
  <si>
    <t>PUR0954717</t>
  </si>
  <si>
    <t>PUR0959935</t>
  </si>
  <si>
    <t>PUR0960449</t>
  </si>
  <si>
    <t>PUR0957705</t>
  </si>
  <si>
    <t>PUR0958755</t>
  </si>
  <si>
    <t>PUR0963688</t>
  </si>
  <si>
    <t>PUR0964231</t>
  </si>
  <si>
    <t>PUR0965719</t>
  </si>
  <si>
    <t>PUR0955873</t>
  </si>
  <si>
    <t>PUR0963595</t>
  </si>
  <si>
    <t>PUR0956813</t>
  </si>
  <si>
    <t>PUR0962393</t>
  </si>
  <si>
    <t>521100</t>
  </si>
  <si>
    <t>9210000</t>
  </si>
  <si>
    <t>754</t>
  </si>
  <si>
    <t>00004500</t>
  </si>
  <si>
    <t>4500</t>
  </si>
  <si>
    <t>0000</t>
  </si>
  <si>
    <t>521000</t>
  </si>
  <si>
    <t>ACTUALS</t>
  </si>
  <si>
    <t>903179687</t>
  </si>
  <si>
    <t>903181415</t>
  </si>
  <si>
    <t>903182887</t>
  </si>
  <si>
    <t>PURCHASE DRILL</t>
  </si>
  <si>
    <t>Template</t>
  </si>
  <si>
    <t>New Voucher ID</t>
  </si>
  <si>
    <t>PMMS Voucher Number</t>
  </si>
  <si>
    <t>Vendor Name</t>
  </si>
  <si>
    <t>New Vendor ID</t>
  </si>
  <si>
    <t>PMMS Vendor ID</t>
  </si>
  <si>
    <t>checkno</t>
  </si>
  <si>
    <t>Invoice Number</t>
  </si>
  <si>
    <t>PURCHASE</t>
  </si>
  <si>
    <t>00480835</t>
  </si>
  <si>
    <t>NET JETS SALES INC</t>
  </si>
  <si>
    <t>3017544</t>
  </si>
  <si>
    <t>000590950</t>
  </si>
  <si>
    <t>2200375260</t>
  </si>
  <si>
    <t>903100062</t>
  </si>
  <si>
    <t>00480838</t>
  </si>
  <si>
    <t>903099363</t>
  </si>
  <si>
    <t>00480834</t>
  </si>
  <si>
    <t>903101794</t>
  </si>
  <si>
    <t>00483560</t>
  </si>
  <si>
    <t>2200376447</t>
  </si>
  <si>
    <t>903107809</t>
  </si>
  <si>
    <t>00483559</t>
  </si>
  <si>
    <t>903106344</t>
  </si>
  <si>
    <t>00490116</t>
  </si>
  <si>
    <t>2200379692</t>
  </si>
  <si>
    <t>903117236</t>
  </si>
  <si>
    <t>00490120</t>
  </si>
  <si>
    <t>903117237</t>
  </si>
  <si>
    <t>00495815</t>
  </si>
  <si>
    <t>2200382505</t>
  </si>
  <si>
    <t>903130119</t>
  </si>
  <si>
    <t>00495807</t>
  </si>
  <si>
    <t>903130118</t>
  </si>
  <si>
    <t>00501223</t>
  </si>
  <si>
    <t>2200384746</t>
  </si>
  <si>
    <t>903135951</t>
  </si>
  <si>
    <t>00501229</t>
  </si>
  <si>
    <t>903134486</t>
  </si>
  <si>
    <t>00507143</t>
  </si>
  <si>
    <t>2200387482</t>
  </si>
  <si>
    <t>903147388</t>
  </si>
  <si>
    <t>00507131</t>
  </si>
  <si>
    <t>903149307</t>
  </si>
  <si>
    <t>00507148</t>
  </si>
  <si>
    <t>903147249</t>
  </si>
  <si>
    <t>00512134</t>
  </si>
  <si>
    <t>2200390306</t>
  </si>
  <si>
    <t>903159037</t>
  </si>
  <si>
    <t>00512137</t>
  </si>
  <si>
    <t>903160561</t>
  </si>
  <si>
    <t>00515434</t>
  </si>
  <si>
    <t>2200391217</t>
  </si>
  <si>
    <t>903172986</t>
  </si>
  <si>
    <t>00515436</t>
  </si>
  <si>
    <t>903172985</t>
  </si>
  <si>
    <t>00522580</t>
  </si>
  <si>
    <t>NETJETS SALES INC</t>
  </si>
  <si>
    <t>000590951</t>
  </si>
  <si>
    <t>2200396984</t>
  </si>
  <si>
    <t>00522570</t>
  </si>
  <si>
    <t>2200396983</t>
  </si>
  <si>
    <t>00522579</t>
  </si>
  <si>
    <t>00526631</t>
  </si>
  <si>
    <t>2200401500</t>
  </si>
  <si>
    <t>903195166</t>
  </si>
  <si>
    <t>00526628</t>
  </si>
  <si>
    <t>2200401499</t>
  </si>
  <si>
    <t>903195165</t>
  </si>
  <si>
    <t>00526634</t>
  </si>
  <si>
    <t>2200404216</t>
  </si>
  <si>
    <t>903190761</t>
  </si>
  <si>
    <t>00526653</t>
  </si>
  <si>
    <t>2200401766</t>
  </si>
  <si>
    <t>903190760</t>
  </si>
  <si>
    <t>00530879</t>
  </si>
  <si>
    <t>2200404334</t>
  </si>
  <si>
    <t>903205680</t>
  </si>
  <si>
    <t>00530899</t>
  </si>
  <si>
    <t>903202018</t>
  </si>
  <si>
    <t>00530883</t>
  </si>
  <si>
    <t>903205679</t>
  </si>
  <si>
    <t>00535541</t>
  </si>
  <si>
    <t>2200410295</t>
  </si>
  <si>
    <t>903211070</t>
  </si>
  <si>
    <t>00535543</t>
  </si>
  <si>
    <t>903217085</t>
  </si>
  <si>
    <t>K&amp;M adjustment for Net Jets - aircraft</t>
  </si>
  <si>
    <t>Oncor Electric Delivery Company LLC</t>
  </si>
  <si>
    <t>K&amp;M Adjustment to Remove O&amp;M Costs for Net Jets</t>
  </si>
  <si>
    <t>FINANCIAL INFORMATION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</si>
</sst>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m/d/yy\ h:mm\ AM/PM"/>
  </numFmts>
  <fonts count="7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</border>
    <border>
      <left/>
      <right/>
      <top/>
      <bottom style="double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0" fillId="0" borderId="0">
      <alignment/>
      <protection/>
    </xf>
  </cellStyleXfs>
  <cellXfs count="28">
    <xf numFmtId="0" fontId="0" fillId="0" borderId="0" xfId="0"/>
    <xf numFmtId="0" fontId="5" fillId="0" borderId="0" xfId="0" applyFont="1"/>
    <xf numFmtId="0" fontId="6" fillId="0" borderId="0" xfId="0" applyFont="1"/>
    <xf numFmtId="0" fontId="0" fillId="0" borderId="0" xfId="20">
      <alignment/>
      <protection/>
    </xf>
    <xf numFmtId="0" fontId="0" fillId="0" borderId="0" xfId="20" applyFill="1">
      <alignment/>
      <protection/>
    </xf>
    <xf numFmtId="40" fontId="0" fillId="0" borderId="0" xfId="20" applyNumberFormat="1" applyFill="1">
      <alignment/>
      <protection/>
    </xf>
    <xf numFmtId="0" fontId="3" fillId="0" borderId="0" xfId="20" applyFont="1" applyFill="1">
      <alignment/>
      <protection/>
    </xf>
    <xf numFmtId="40" fontId="3" fillId="0" borderId="0" xfId="20" applyNumberFormat="1" applyFont="1" applyFill="1">
      <alignment/>
      <protection/>
    </xf>
    <xf numFmtId="0" fontId="2" fillId="0" borderId="1" xfId="20" applyFont="1" applyFill="1" applyBorder="1" applyAlignment="1">
      <alignment wrapText="1"/>
      <protection/>
    </xf>
    <xf numFmtId="40" fontId="2" fillId="0" borderId="1" xfId="20" applyNumberFormat="1" applyFont="1" applyFill="1" applyBorder="1" applyAlignment="1">
      <alignment wrapText="1"/>
      <protection/>
    </xf>
    <xf numFmtId="0" fontId="0" fillId="0" borderId="0" xfId="20" applyFill="1" quotePrefix="1">
      <alignment/>
      <protection/>
    </xf>
    <xf numFmtId="0" fontId="2" fillId="0" borderId="2" xfId="20" applyFont="1" applyFill="1" applyBorder="1">
      <alignment/>
      <protection/>
    </xf>
    <xf numFmtId="40" fontId="2" fillId="0" borderId="2" xfId="20" applyNumberFormat="1" applyFont="1" applyFill="1" applyBorder="1">
      <alignment/>
      <protection/>
    </xf>
    <xf numFmtId="40" fontId="4" fillId="0" borderId="0" xfId="20" applyNumberFormat="1" applyFont="1" applyFill="1" applyAlignment="1">
      <alignment horizontal="left" wrapText="1"/>
      <protection/>
    </xf>
    <xf numFmtId="0" fontId="2" fillId="0" borderId="3" xfId="20" applyFont="1" applyFill="1" applyBorder="1">
      <alignment/>
      <protection/>
    </xf>
    <xf numFmtId="0" fontId="2" fillId="0" borderId="4" xfId="20" applyFont="1" applyFill="1" applyBorder="1">
      <alignment/>
      <protection/>
    </xf>
    <xf numFmtId="40" fontId="2" fillId="0" borderId="4" xfId="20" applyNumberFormat="1" applyFont="1" applyFill="1" applyBorder="1">
      <alignment/>
      <protection/>
    </xf>
    <xf numFmtId="0" fontId="2" fillId="0" borderId="5" xfId="20" applyFont="1" applyFill="1" applyBorder="1">
      <alignment/>
      <protection/>
    </xf>
    <xf numFmtId="0" fontId="2" fillId="0" borderId="6" xfId="20" applyFont="1" applyFill="1" applyBorder="1">
      <alignment/>
      <protection/>
    </xf>
    <xf numFmtId="0" fontId="2" fillId="0" borderId="0" xfId="20" applyFont="1" applyFill="1" applyBorder="1">
      <alignment/>
      <protection/>
    </xf>
    <xf numFmtId="40" fontId="2" fillId="0" borderId="0" xfId="20" applyNumberFormat="1" applyFont="1" applyFill="1" applyBorder="1">
      <alignment/>
      <protection/>
    </xf>
    <xf numFmtId="0" fontId="2" fillId="0" borderId="7" xfId="20" applyFont="1" applyFill="1" applyBorder="1">
      <alignment/>
      <protection/>
    </xf>
    <xf numFmtId="44" fontId="2" fillId="0" borderId="0" xfId="16" applyNumberFormat="1" applyFont="1" applyFill="1" applyBorder="1"/>
    <xf numFmtId="0" fontId="2" fillId="0" borderId="8" xfId="20" applyFont="1" applyFill="1" applyBorder="1">
      <alignment/>
      <protection/>
    </xf>
    <xf numFmtId="0" fontId="2" fillId="0" borderId="9" xfId="20" applyFont="1" applyFill="1" applyBorder="1">
      <alignment/>
      <protection/>
    </xf>
    <xf numFmtId="40" fontId="2" fillId="0" borderId="9" xfId="20" applyNumberFormat="1" applyFont="1" applyFill="1" applyBorder="1">
      <alignment/>
      <protection/>
    </xf>
    <xf numFmtId="0" fontId="2" fillId="0" borderId="10" xfId="20" applyFont="1" applyFill="1" applyBorder="1">
      <alignment/>
      <protection/>
    </xf>
    <xf numFmtId="164" fontId="4" fillId="0" borderId="0" xfId="20" applyNumberFormat="1" applyFont="1" applyFill="1" applyAlignment="1">
      <alignment horizontal="center"/>
      <protection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tyles" Target="styles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4" Type="http://schemas.openxmlformats.org/officeDocument/2006/relationships/worksheet" Target="worksheets/sheet2.xml" /><Relationship Id="rId6" Type="http://schemas.openxmlformats.org/officeDocument/2006/relationships/sharedStrings" Target="sharedStrings.xml" /><Relationship Id="rId3" Type="http://schemas.openxmlformats.org/officeDocument/2006/relationships/worksheet" Target="worksheets/sheet1.xml" /><Relationship Id="rId7" Type="http://schemas.openxmlformats.org/officeDocument/2006/relationships/calcChain" Target="calcChain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>
    <pageSetUpPr fitToPage="1"/>
  </sheetPr>
  <dimension ref="A1:S44"/>
  <sheetViews>
    <sheetView tabSelected="1" workbookViewId="0" topLeftCell="A1">
      <pane xSplit="3" ySplit="7" topLeftCell="D8" activePane="bottomRight" state="frozen"/>
      <selection pane="topLeft" activeCell="B2" sqref="B2"/>
      <selection pane="bottomLeft" activeCell="B7" sqref="B7"/>
      <selection pane="topRight" activeCell="I2" sqref="I2"/>
      <selection pane="bottomRight" activeCell="L4" sqref="L4"/>
    </sheetView>
  </sheetViews>
  <sheetFormatPr defaultColWidth="8.71428571428571" defaultRowHeight="12.75" customHeight="1"/>
  <cols>
    <col min="1" max="1" width="9.14285714285714" style="4" customWidth="1"/>
    <col min="2" max="2" width="11.2857142857143" style="4" customWidth="1"/>
    <col min="3" max="3" width="11.8571428571429" style="4" customWidth="1"/>
    <col min="4" max="4" width="5.14285714285714" style="4" customWidth="1"/>
    <col min="5" max="6" width="7" style="4" customWidth="1"/>
    <col min="7" max="7" width="8.28571428571429" style="4" customWidth="1"/>
    <col min="8" max="8" width="6.71428571428571" style="4" customWidth="1"/>
    <col min="9" max="9" width="7.28571428571429" style="4" customWidth="1"/>
    <col min="10" max="10" width="9" style="4" customWidth="1"/>
    <col min="11" max="11" width="7.57142857142857" style="4" customWidth="1"/>
    <col min="12" max="12" width="13.4285714285714" style="5" customWidth="1"/>
    <col min="13" max="14" width="9" style="4" customWidth="1"/>
    <col min="15" max="15" width="20.1428571428571" style="4" customWidth="1"/>
    <col min="16" max="16" width="8" style="4" customWidth="1"/>
    <col min="17" max="17" width="10" style="4" customWidth="1"/>
    <col min="18" max="18" width="11" style="4" customWidth="1"/>
    <col min="19" max="19" width="10" style="4" customWidth="1"/>
    <col min="20" max="16384" width="8.71428571428571" style="3"/>
  </cols>
  <sheetData>
    <row r="1" spans="1:1" ht="12.75">
      <c r="A1" s="4" t="s">
        <v>127</v>
      </c>
    </row>
    <row r="2" spans="1:1" ht="12.75">
      <c r="A2" s="4" t="s">
        <v>128</v>
      </c>
    </row>
    <row r="3" spans="1:12" s="6" customFormat="1" ht="15.75">
      <c r="A3" s="6" t="s">
        <v>129</v>
      </c>
      <c r="L3" s="7"/>
    </row>
    <row r="4" spans="12:12" s="4" customFormat="1" ht="12.75" customHeight="1">
      <c r="L4" s="5"/>
    </row>
    <row r="5" spans="1:12" s="6" customFormat="1" ht="15.75">
      <c r="A5" s="6" t="s">
        <v>38</v>
      </c>
      <c r="L5" s="7"/>
    </row>
    <row r="6" spans="12:12" s="4" customFormat="1" ht="12.75">
      <c r="L6" s="5"/>
    </row>
    <row r="7" spans="1:19" s="8" customFormat="1" ht="39" thickBot="1">
      <c r="A7" s="8" t="s">
        <v>10</v>
      </c>
      <c r="B7" s="8" t="s">
        <v>39</v>
      </c>
      <c r="C7" s="8" t="s">
        <v>0</v>
      </c>
      <c r="D7" s="8" t="s">
        <v>9</v>
      </c>
      <c r="E7" s="8" t="s">
        <v>8</v>
      </c>
      <c r="F7" s="8" t="s">
        <v>1</v>
      </c>
      <c r="G7" s="8" t="s">
        <v>2</v>
      </c>
      <c r="H7" s="8" t="s">
        <v>3</v>
      </c>
      <c r="I7" s="8" t="s">
        <v>6</v>
      </c>
      <c r="J7" s="8" t="s">
        <v>4</v>
      </c>
      <c r="K7" s="8" t="s">
        <v>5</v>
      </c>
      <c r="L7" s="9" t="s">
        <v>7</v>
      </c>
      <c r="M7" s="8" t="s">
        <v>40</v>
      </c>
      <c r="N7" s="8" t="s">
        <v>41</v>
      </c>
      <c r="O7" s="8" t="s">
        <v>42</v>
      </c>
      <c r="P7" s="8" t="s">
        <v>43</v>
      </c>
      <c r="Q7" s="8" t="s">
        <v>44</v>
      </c>
      <c r="R7" s="8" t="s">
        <v>45</v>
      </c>
      <c r="S7" s="8" t="s">
        <v>46</v>
      </c>
    </row>
    <row r="8" spans="1:19" s="4" customFormat="1" ht="12.75" customHeight="1" thickTop="1">
      <c r="A8" s="4" t="s">
        <v>34</v>
      </c>
      <c r="B8" s="4" t="s">
        <v>47</v>
      </c>
      <c r="C8" s="4" t="s">
        <v>14</v>
      </c>
      <c r="D8" s="4">
        <v>2021</v>
      </c>
      <c r="E8" s="4">
        <v>2</v>
      </c>
      <c r="F8" s="4" t="s">
        <v>27</v>
      </c>
      <c r="G8" s="4" t="s">
        <v>28</v>
      </c>
      <c r="H8" s="4" t="s">
        <v>29</v>
      </c>
      <c r="I8" s="4" t="s">
        <v>32</v>
      </c>
      <c r="J8" s="4" t="s">
        <v>30</v>
      </c>
      <c r="K8" s="4" t="s">
        <v>31</v>
      </c>
      <c r="L8" s="5">
        <v>31822</v>
      </c>
      <c r="M8" s="10" t="s">
        <v>48</v>
      </c>
      <c r="N8" s="4" t="s">
        <v>48</v>
      </c>
      <c r="O8" s="4" t="s">
        <v>49</v>
      </c>
      <c r="P8" s="4" t="s">
        <v>50</v>
      </c>
      <c r="Q8" s="4" t="s">
        <v>51</v>
      </c>
      <c r="R8" s="4" t="s">
        <v>52</v>
      </c>
      <c r="S8" s="4" t="s">
        <v>53</v>
      </c>
    </row>
    <row r="9" spans="1:19" s="4" customFormat="1" ht="12.75" customHeight="1">
      <c r="A9" s="4" t="s">
        <v>34</v>
      </c>
      <c r="B9" s="4" t="s">
        <v>47</v>
      </c>
      <c r="C9" s="4" t="s">
        <v>14</v>
      </c>
      <c r="D9" s="4">
        <v>2021</v>
      </c>
      <c r="E9" s="4">
        <v>2</v>
      </c>
      <c r="F9" s="4" t="s">
        <v>27</v>
      </c>
      <c r="G9" s="4" t="s">
        <v>28</v>
      </c>
      <c r="H9" s="4" t="s">
        <v>29</v>
      </c>
      <c r="I9" s="4" t="s">
        <v>32</v>
      </c>
      <c r="J9" s="4" t="s">
        <v>30</v>
      </c>
      <c r="K9" s="4" t="s">
        <v>31</v>
      </c>
      <c r="L9" s="5">
        <v>6081.5600000000004</v>
      </c>
      <c r="M9" s="10" t="s">
        <v>54</v>
      </c>
      <c r="N9" s="4" t="s">
        <v>54</v>
      </c>
      <c r="O9" s="4" t="s">
        <v>49</v>
      </c>
      <c r="P9" s="4" t="s">
        <v>50</v>
      </c>
      <c r="Q9" s="4" t="s">
        <v>51</v>
      </c>
      <c r="R9" s="4" t="s">
        <v>52</v>
      </c>
      <c r="S9" s="4" t="s">
        <v>55</v>
      </c>
    </row>
    <row r="10" spans="1:19" s="4" customFormat="1" ht="12.75" customHeight="1">
      <c r="A10" s="4" t="s">
        <v>34</v>
      </c>
      <c r="B10" s="4" t="s">
        <v>47</v>
      </c>
      <c r="C10" s="4" t="s">
        <v>14</v>
      </c>
      <c r="D10" s="4">
        <v>2021</v>
      </c>
      <c r="E10" s="4">
        <v>2</v>
      </c>
      <c r="F10" s="4" t="s">
        <v>27</v>
      </c>
      <c r="G10" s="4" t="s">
        <v>28</v>
      </c>
      <c r="H10" s="4" t="s">
        <v>29</v>
      </c>
      <c r="I10" s="4" t="s">
        <v>32</v>
      </c>
      <c r="J10" s="4" t="s">
        <v>30</v>
      </c>
      <c r="K10" s="4" t="s">
        <v>31</v>
      </c>
      <c r="L10" s="5">
        <v>19093</v>
      </c>
      <c r="M10" s="10" t="s">
        <v>56</v>
      </c>
      <c r="N10" s="4" t="s">
        <v>56</v>
      </c>
      <c r="O10" s="4" t="s">
        <v>49</v>
      </c>
      <c r="P10" s="4" t="s">
        <v>50</v>
      </c>
      <c r="Q10" s="4" t="s">
        <v>51</v>
      </c>
      <c r="R10" s="4" t="s">
        <v>52</v>
      </c>
      <c r="S10" s="4" t="s">
        <v>57</v>
      </c>
    </row>
    <row r="11" spans="1:19" s="4" customFormat="1" ht="12.75" customHeight="1">
      <c r="A11" s="4" t="s">
        <v>34</v>
      </c>
      <c r="B11" s="4" t="s">
        <v>47</v>
      </c>
      <c r="C11" s="4" t="s">
        <v>15</v>
      </c>
      <c r="D11" s="4">
        <v>2021</v>
      </c>
      <c r="E11" s="4">
        <v>2</v>
      </c>
      <c r="F11" s="4" t="s">
        <v>27</v>
      </c>
      <c r="G11" s="4" t="s">
        <v>28</v>
      </c>
      <c r="H11" s="4" t="s">
        <v>29</v>
      </c>
      <c r="I11" s="4" t="s">
        <v>32</v>
      </c>
      <c r="J11" s="4" t="s">
        <v>30</v>
      </c>
      <c r="K11" s="4" t="s">
        <v>31</v>
      </c>
      <c r="L11" s="5">
        <v>19093</v>
      </c>
      <c r="M11" s="10" t="s">
        <v>58</v>
      </c>
      <c r="N11" s="4" t="s">
        <v>58</v>
      </c>
      <c r="O11" s="4" t="s">
        <v>49</v>
      </c>
      <c r="P11" s="4" t="s">
        <v>50</v>
      </c>
      <c r="Q11" s="4" t="s">
        <v>51</v>
      </c>
      <c r="R11" s="4" t="s">
        <v>59</v>
      </c>
      <c r="S11" s="4" t="s">
        <v>60</v>
      </c>
    </row>
    <row r="12" spans="1:19" s="4" customFormat="1" ht="12.75" customHeight="1">
      <c r="A12" s="4" t="s">
        <v>34</v>
      </c>
      <c r="B12" s="4" t="s">
        <v>47</v>
      </c>
      <c r="C12" s="4" t="s">
        <v>15</v>
      </c>
      <c r="D12" s="4">
        <v>2021</v>
      </c>
      <c r="E12" s="4">
        <v>2</v>
      </c>
      <c r="F12" s="4" t="s">
        <v>27</v>
      </c>
      <c r="G12" s="4" t="s">
        <v>28</v>
      </c>
      <c r="H12" s="4" t="s">
        <v>29</v>
      </c>
      <c r="I12" s="4" t="s">
        <v>32</v>
      </c>
      <c r="J12" s="4" t="s">
        <v>30</v>
      </c>
      <c r="K12" s="4" t="s">
        <v>31</v>
      </c>
      <c r="L12" s="5">
        <v>31822</v>
      </c>
      <c r="M12" s="10" t="s">
        <v>61</v>
      </c>
      <c r="N12" s="4" t="s">
        <v>61</v>
      </c>
      <c r="O12" s="4" t="s">
        <v>49</v>
      </c>
      <c r="P12" s="4" t="s">
        <v>50</v>
      </c>
      <c r="Q12" s="4" t="s">
        <v>51</v>
      </c>
      <c r="R12" s="4" t="s">
        <v>59</v>
      </c>
      <c r="S12" s="4" t="s">
        <v>62</v>
      </c>
    </row>
    <row r="13" spans="1:19" s="4" customFormat="1" ht="12.75" customHeight="1">
      <c r="A13" s="4" t="s">
        <v>34</v>
      </c>
      <c r="B13" s="4" t="s">
        <v>47</v>
      </c>
      <c r="C13" s="4" t="s">
        <v>23</v>
      </c>
      <c r="D13" s="4">
        <v>2021</v>
      </c>
      <c r="E13" s="4">
        <v>3</v>
      </c>
      <c r="F13" s="4" t="s">
        <v>27</v>
      </c>
      <c r="G13" s="4" t="s">
        <v>28</v>
      </c>
      <c r="H13" s="4" t="s">
        <v>29</v>
      </c>
      <c r="I13" s="4" t="s">
        <v>32</v>
      </c>
      <c r="J13" s="4" t="s">
        <v>30</v>
      </c>
      <c r="K13" s="4" t="s">
        <v>31</v>
      </c>
      <c r="L13" s="5">
        <v>31822</v>
      </c>
      <c r="M13" s="10" t="s">
        <v>63</v>
      </c>
      <c r="N13" s="4" t="s">
        <v>63</v>
      </c>
      <c r="O13" s="4" t="s">
        <v>49</v>
      </c>
      <c r="P13" s="4" t="s">
        <v>50</v>
      </c>
      <c r="Q13" s="4" t="s">
        <v>51</v>
      </c>
      <c r="R13" s="4" t="s">
        <v>64</v>
      </c>
      <c r="S13" s="4" t="s">
        <v>65</v>
      </c>
    </row>
    <row r="14" spans="1:19" s="4" customFormat="1" ht="12.75" customHeight="1">
      <c r="A14" s="4" t="s">
        <v>34</v>
      </c>
      <c r="B14" s="4" t="s">
        <v>47</v>
      </c>
      <c r="C14" s="4" t="s">
        <v>23</v>
      </c>
      <c r="D14" s="4">
        <v>2021</v>
      </c>
      <c r="E14" s="4">
        <v>3</v>
      </c>
      <c r="F14" s="4" t="s">
        <v>27</v>
      </c>
      <c r="G14" s="4" t="s">
        <v>28</v>
      </c>
      <c r="H14" s="4" t="s">
        <v>29</v>
      </c>
      <c r="I14" s="4" t="s">
        <v>32</v>
      </c>
      <c r="J14" s="4" t="s">
        <v>30</v>
      </c>
      <c r="K14" s="4" t="s">
        <v>31</v>
      </c>
      <c r="L14" s="5">
        <v>19093</v>
      </c>
      <c r="M14" s="10" t="s">
        <v>66</v>
      </c>
      <c r="N14" s="4" t="s">
        <v>66</v>
      </c>
      <c r="O14" s="4" t="s">
        <v>49</v>
      </c>
      <c r="P14" s="4" t="s">
        <v>50</v>
      </c>
      <c r="Q14" s="4" t="s">
        <v>51</v>
      </c>
      <c r="R14" s="4" t="s">
        <v>64</v>
      </c>
      <c r="S14" s="4" t="s">
        <v>67</v>
      </c>
    </row>
    <row r="15" spans="1:19" s="4" customFormat="1" ht="12.75" customHeight="1">
      <c r="A15" s="4" t="s">
        <v>34</v>
      </c>
      <c r="B15" s="4" t="s">
        <v>47</v>
      </c>
      <c r="C15" s="4" t="s">
        <v>25</v>
      </c>
      <c r="D15" s="4">
        <v>2021</v>
      </c>
      <c r="E15" s="4">
        <v>4</v>
      </c>
      <c r="F15" s="4" t="s">
        <v>27</v>
      </c>
      <c r="G15" s="4" t="s">
        <v>28</v>
      </c>
      <c r="H15" s="4" t="s">
        <v>29</v>
      </c>
      <c r="I15" s="4" t="s">
        <v>32</v>
      </c>
      <c r="J15" s="4" t="s">
        <v>30</v>
      </c>
      <c r="K15" s="4" t="s">
        <v>31</v>
      </c>
      <c r="L15" s="5">
        <v>19093</v>
      </c>
      <c r="M15" s="10" t="s">
        <v>68</v>
      </c>
      <c r="N15" s="4" t="s">
        <v>68</v>
      </c>
      <c r="O15" s="4" t="s">
        <v>49</v>
      </c>
      <c r="P15" s="4" t="s">
        <v>50</v>
      </c>
      <c r="Q15" s="4" t="s">
        <v>51</v>
      </c>
      <c r="R15" s="4" t="s">
        <v>69</v>
      </c>
      <c r="S15" s="4" t="s">
        <v>70</v>
      </c>
    </row>
    <row r="16" spans="1:19" s="4" customFormat="1" ht="12.75" customHeight="1">
      <c r="A16" s="4" t="s">
        <v>34</v>
      </c>
      <c r="B16" s="4" t="s">
        <v>47</v>
      </c>
      <c r="C16" s="4" t="s">
        <v>25</v>
      </c>
      <c r="D16" s="4">
        <v>2021</v>
      </c>
      <c r="E16" s="4">
        <v>4</v>
      </c>
      <c r="F16" s="4" t="s">
        <v>27</v>
      </c>
      <c r="G16" s="4" t="s">
        <v>28</v>
      </c>
      <c r="H16" s="4" t="s">
        <v>29</v>
      </c>
      <c r="I16" s="4" t="s">
        <v>32</v>
      </c>
      <c r="J16" s="4" t="s">
        <v>30</v>
      </c>
      <c r="K16" s="4" t="s">
        <v>31</v>
      </c>
      <c r="L16" s="5">
        <v>31822</v>
      </c>
      <c r="M16" s="10" t="s">
        <v>71</v>
      </c>
      <c r="N16" s="4" t="s">
        <v>71</v>
      </c>
      <c r="O16" s="4" t="s">
        <v>49</v>
      </c>
      <c r="P16" s="4" t="s">
        <v>50</v>
      </c>
      <c r="Q16" s="4" t="s">
        <v>51</v>
      </c>
      <c r="R16" s="4" t="s">
        <v>69</v>
      </c>
      <c r="S16" s="4" t="s">
        <v>72</v>
      </c>
    </row>
    <row r="17" spans="1:19" s="4" customFormat="1" ht="12.75" customHeight="1">
      <c r="A17" s="4" t="s">
        <v>34</v>
      </c>
      <c r="B17" s="4" t="s">
        <v>47</v>
      </c>
      <c r="C17" s="4" t="s">
        <v>18</v>
      </c>
      <c r="D17" s="4">
        <v>2021</v>
      </c>
      <c r="E17" s="4">
        <v>5</v>
      </c>
      <c r="F17" s="4" t="s">
        <v>27</v>
      </c>
      <c r="G17" s="4" t="s">
        <v>28</v>
      </c>
      <c r="H17" s="4" t="s">
        <v>29</v>
      </c>
      <c r="I17" s="4" t="s">
        <v>32</v>
      </c>
      <c r="J17" s="4" t="s">
        <v>30</v>
      </c>
      <c r="K17" s="4" t="s">
        <v>31</v>
      </c>
      <c r="L17" s="5">
        <v>19093</v>
      </c>
      <c r="M17" s="10" t="s">
        <v>73</v>
      </c>
      <c r="N17" s="4" t="s">
        <v>73</v>
      </c>
      <c r="O17" s="4" t="s">
        <v>49</v>
      </c>
      <c r="P17" s="4" t="s">
        <v>50</v>
      </c>
      <c r="Q17" s="4" t="s">
        <v>51</v>
      </c>
      <c r="R17" s="4" t="s">
        <v>74</v>
      </c>
      <c r="S17" s="4" t="s">
        <v>75</v>
      </c>
    </row>
    <row r="18" spans="1:19" s="4" customFormat="1" ht="12.75" customHeight="1">
      <c r="A18" s="4" t="s">
        <v>34</v>
      </c>
      <c r="B18" s="4" t="s">
        <v>47</v>
      </c>
      <c r="C18" s="4" t="s">
        <v>18</v>
      </c>
      <c r="D18" s="4">
        <v>2021</v>
      </c>
      <c r="E18" s="4">
        <v>5</v>
      </c>
      <c r="F18" s="4" t="s">
        <v>27</v>
      </c>
      <c r="G18" s="4" t="s">
        <v>28</v>
      </c>
      <c r="H18" s="4" t="s">
        <v>29</v>
      </c>
      <c r="I18" s="4" t="s">
        <v>32</v>
      </c>
      <c r="J18" s="4" t="s">
        <v>30</v>
      </c>
      <c r="K18" s="4" t="s">
        <v>31</v>
      </c>
      <c r="L18" s="5">
        <v>31822</v>
      </c>
      <c r="M18" s="10" t="s">
        <v>76</v>
      </c>
      <c r="N18" s="4" t="s">
        <v>76</v>
      </c>
      <c r="O18" s="4" t="s">
        <v>49</v>
      </c>
      <c r="P18" s="4" t="s">
        <v>50</v>
      </c>
      <c r="Q18" s="4" t="s">
        <v>51</v>
      </c>
      <c r="R18" s="4" t="s">
        <v>74</v>
      </c>
      <c r="S18" s="4" t="s">
        <v>77</v>
      </c>
    </row>
    <row r="19" spans="1:19" s="4" customFormat="1" ht="12.75" customHeight="1">
      <c r="A19" s="4" t="s">
        <v>34</v>
      </c>
      <c r="B19" s="4" t="s">
        <v>47</v>
      </c>
      <c r="C19" s="4" t="s">
        <v>19</v>
      </c>
      <c r="D19" s="4">
        <v>2021</v>
      </c>
      <c r="E19" s="4">
        <v>6</v>
      </c>
      <c r="F19" s="4" t="s">
        <v>27</v>
      </c>
      <c r="G19" s="4" t="s">
        <v>28</v>
      </c>
      <c r="H19" s="4" t="s">
        <v>29</v>
      </c>
      <c r="I19" s="4" t="s">
        <v>32</v>
      </c>
      <c r="J19" s="4" t="s">
        <v>30</v>
      </c>
      <c r="K19" s="4" t="s">
        <v>31</v>
      </c>
      <c r="L19" s="5">
        <v>31822</v>
      </c>
      <c r="M19" s="10" t="s">
        <v>78</v>
      </c>
      <c r="N19" s="4" t="s">
        <v>78</v>
      </c>
      <c r="O19" s="4" t="s">
        <v>49</v>
      </c>
      <c r="P19" s="4" t="s">
        <v>50</v>
      </c>
      <c r="Q19" s="4" t="s">
        <v>51</v>
      </c>
      <c r="R19" s="4" t="s">
        <v>79</v>
      </c>
      <c r="S19" s="4" t="s">
        <v>80</v>
      </c>
    </row>
    <row r="20" spans="1:19" s="4" customFormat="1" ht="12.75" customHeight="1">
      <c r="A20" s="4" t="s">
        <v>34</v>
      </c>
      <c r="B20" s="4" t="s">
        <v>47</v>
      </c>
      <c r="C20" s="4" t="s">
        <v>19</v>
      </c>
      <c r="D20" s="4">
        <v>2021</v>
      </c>
      <c r="E20" s="4">
        <v>6</v>
      </c>
      <c r="F20" s="4" t="s">
        <v>27</v>
      </c>
      <c r="G20" s="4" t="s">
        <v>28</v>
      </c>
      <c r="H20" s="4" t="s">
        <v>29</v>
      </c>
      <c r="I20" s="4" t="s">
        <v>32</v>
      </c>
      <c r="J20" s="4" t="s">
        <v>30</v>
      </c>
      <c r="K20" s="4" t="s">
        <v>31</v>
      </c>
      <c r="L20" s="5">
        <v>19093</v>
      </c>
      <c r="M20" s="10" t="s">
        <v>81</v>
      </c>
      <c r="N20" s="4" t="s">
        <v>81</v>
      </c>
      <c r="O20" s="4" t="s">
        <v>49</v>
      </c>
      <c r="P20" s="4" t="s">
        <v>50</v>
      </c>
      <c r="Q20" s="4" t="s">
        <v>51</v>
      </c>
      <c r="R20" s="4" t="s">
        <v>79</v>
      </c>
      <c r="S20" s="4" t="s">
        <v>82</v>
      </c>
    </row>
    <row r="21" spans="1:19" s="4" customFormat="1" ht="12.75" customHeight="1">
      <c r="A21" s="4" t="s">
        <v>34</v>
      </c>
      <c r="B21" s="4" t="s">
        <v>47</v>
      </c>
      <c r="C21" s="4" t="s">
        <v>19</v>
      </c>
      <c r="D21" s="4">
        <v>2021</v>
      </c>
      <c r="E21" s="4">
        <v>6</v>
      </c>
      <c r="F21" s="4" t="s">
        <v>33</v>
      </c>
      <c r="G21" s="4" t="s">
        <v>28</v>
      </c>
      <c r="H21" s="4" t="s">
        <v>29</v>
      </c>
      <c r="I21" s="4" t="s">
        <v>32</v>
      </c>
      <c r="J21" s="4" t="s">
        <v>30</v>
      </c>
      <c r="K21" s="4" t="s">
        <v>31</v>
      </c>
      <c r="L21" s="5">
        <v>12451.790000000001</v>
      </c>
      <c r="M21" s="10" t="s">
        <v>83</v>
      </c>
      <c r="N21" s="4" t="s">
        <v>83</v>
      </c>
      <c r="O21" s="4" t="s">
        <v>49</v>
      </c>
      <c r="P21" s="4" t="s">
        <v>50</v>
      </c>
      <c r="Q21" s="4" t="s">
        <v>51</v>
      </c>
      <c r="R21" s="4" t="s">
        <v>79</v>
      </c>
      <c r="S21" s="4" t="s">
        <v>84</v>
      </c>
    </row>
    <row r="22" spans="1:19" s="4" customFormat="1" ht="12.75" customHeight="1">
      <c r="A22" s="4" t="s">
        <v>34</v>
      </c>
      <c r="B22" s="4" t="s">
        <v>47</v>
      </c>
      <c r="C22" s="4" t="s">
        <v>16</v>
      </c>
      <c r="D22" s="4">
        <v>2021</v>
      </c>
      <c r="E22" s="4">
        <v>7</v>
      </c>
      <c r="F22" s="4" t="s">
        <v>27</v>
      </c>
      <c r="G22" s="4" t="s">
        <v>28</v>
      </c>
      <c r="H22" s="4" t="s">
        <v>29</v>
      </c>
      <c r="I22" s="4" t="s">
        <v>32</v>
      </c>
      <c r="J22" s="4" t="s">
        <v>30</v>
      </c>
      <c r="K22" s="4" t="s">
        <v>31</v>
      </c>
      <c r="L22" s="5">
        <v>31822</v>
      </c>
      <c r="M22" s="10" t="s">
        <v>85</v>
      </c>
      <c r="N22" s="4" t="s">
        <v>85</v>
      </c>
      <c r="O22" s="4" t="s">
        <v>49</v>
      </c>
      <c r="P22" s="4" t="s">
        <v>50</v>
      </c>
      <c r="Q22" s="4" t="s">
        <v>51</v>
      </c>
      <c r="R22" s="4" t="s">
        <v>86</v>
      </c>
      <c r="S22" s="4" t="s">
        <v>87</v>
      </c>
    </row>
    <row r="23" spans="1:19" s="4" customFormat="1" ht="12.75" customHeight="1">
      <c r="A23" s="4" t="s">
        <v>34</v>
      </c>
      <c r="B23" s="4" t="s">
        <v>47</v>
      </c>
      <c r="C23" s="4" t="s">
        <v>16</v>
      </c>
      <c r="D23" s="4">
        <v>2021</v>
      </c>
      <c r="E23" s="4">
        <v>7</v>
      </c>
      <c r="F23" s="4" t="s">
        <v>27</v>
      </c>
      <c r="G23" s="4" t="s">
        <v>28</v>
      </c>
      <c r="H23" s="4" t="s">
        <v>29</v>
      </c>
      <c r="I23" s="4" t="s">
        <v>32</v>
      </c>
      <c r="J23" s="4" t="s">
        <v>30</v>
      </c>
      <c r="K23" s="4" t="s">
        <v>31</v>
      </c>
      <c r="L23" s="5">
        <v>19093</v>
      </c>
      <c r="M23" s="10" t="s">
        <v>88</v>
      </c>
      <c r="N23" s="4" t="s">
        <v>88</v>
      </c>
      <c r="O23" s="4" t="s">
        <v>49</v>
      </c>
      <c r="P23" s="4" t="s">
        <v>50</v>
      </c>
      <c r="Q23" s="4" t="s">
        <v>51</v>
      </c>
      <c r="R23" s="4" t="s">
        <v>86</v>
      </c>
      <c r="S23" s="4" t="s">
        <v>89</v>
      </c>
    </row>
    <row r="24" spans="1:19" s="4" customFormat="1" ht="12.75" customHeight="1">
      <c r="A24" s="4" t="s">
        <v>34</v>
      </c>
      <c r="B24" s="4" t="s">
        <v>47</v>
      </c>
      <c r="C24" s="4" t="s">
        <v>17</v>
      </c>
      <c r="D24" s="4">
        <v>2021</v>
      </c>
      <c r="E24" s="4">
        <v>8</v>
      </c>
      <c r="F24" s="4" t="s">
        <v>27</v>
      </c>
      <c r="G24" s="4" t="s">
        <v>28</v>
      </c>
      <c r="H24" s="4" t="s">
        <v>29</v>
      </c>
      <c r="I24" s="4" t="s">
        <v>32</v>
      </c>
      <c r="J24" s="4" t="s">
        <v>30</v>
      </c>
      <c r="K24" s="4" t="s">
        <v>31</v>
      </c>
      <c r="L24" s="5">
        <v>19093</v>
      </c>
      <c r="M24" s="10" t="s">
        <v>90</v>
      </c>
      <c r="N24" s="4" t="s">
        <v>90</v>
      </c>
      <c r="O24" s="4" t="s">
        <v>49</v>
      </c>
      <c r="P24" s="4" t="s">
        <v>50</v>
      </c>
      <c r="Q24" s="4" t="s">
        <v>51</v>
      </c>
      <c r="R24" s="4" t="s">
        <v>91</v>
      </c>
      <c r="S24" s="4" t="s">
        <v>92</v>
      </c>
    </row>
    <row r="25" spans="1:19" s="4" customFormat="1" ht="12.75" customHeight="1">
      <c r="A25" s="4" t="s">
        <v>34</v>
      </c>
      <c r="B25" s="4" t="s">
        <v>47</v>
      </c>
      <c r="C25" s="4" t="s">
        <v>17</v>
      </c>
      <c r="D25" s="4">
        <v>2021</v>
      </c>
      <c r="E25" s="4">
        <v>8</v>
      </c>
      <c r="F25" s="4" t="s">
        <v>27</v>
      </c>
      <c r="G25" s="4" t="s">
        <v>28</v>
      </c>
      <c r="H25" s="4" t="s">
        <v>29</v>
      </c>
      <c r="I25" s="4" t="s">
        <v>32</v>
      </c>
      <c r="J25" s="4" t="s">
        <v>30</v>
      </c>
      <c r="K25" s="4" t="s">
        <v>31</v>
      </c>
      <c r="L25" s="5">
        <v>31822</v>
      </c>
      <c r="M25" s="10" t="s">
        <v>93</v>
      </c>
      <c r="N25" s="4" t="s">
        <v>93</v>
      </c>
      <c r="O25" s="4" t="s">
        <v>49</v>
      </c>
      <c r="P25" s="4" t="s">
        <v>50</v>
      </c>
      <c r="Q25" s="4" t="s">
        <v>51</v>
      </c>
      <c r="R25" s="4" t="s">
        <v>91</v>
      </c>
      <c r="S25" s="4" t="s">
        <v>94</v>
      </c>
    </row>
    <row r="26" spans="1:19" s="4" customFormat="1" ht="12.75" customHeight="1">
      <c r="A26" s="4" t="s">
        <v>34</v>
      </c>
      <c r="B26" s="4" t="s">
        <v>47</v>
      </c>
      <c r="C26" s="4" t="s">
        <v>26</v>
      </c>
      <c r="D26" s="4">
        <v>2021</v>
      </c>
      <c r="E26" s="4">
        <v>10</v>
      </c>
      <c r="F26" s="4" t="s">
        <v>27</v>
      </c>
      <c r="G26" s="4" t="s">
        <v>28</v>
      </c>
      <c r="H26" s="4" t="s">
        <v>29</v>
      </c>
      <c r="I26" s="4" t="s">
        <v>32</v>
      </c>
      <c r="J26" s="4" t="s">
        <v>30</v>
      </c>
      <c r="K26" s="4" t="s">
        <v>31</v>
      </c>
      <c r="L26" s="5">
        <v>31822</v>
      </c>
      <c r="M26" s="10" t="s">
        <v>95</v>
      </c>
      <c r="N26" s="4" t="s">
        <v>95</v>
      </c>
      <c r="O26" s="4" t="s">
        <v>96</v>
      </c>
      <c r="P26" s="4" t="s">
        <v>50</v>
      </c>
      <c r="Q26" s="4" t="s">
        <v>97</v>
      </c>
      <c r="R26" s="4" t="s">
        <v>98</v>
      </c>
      <c r="S26" s="4" t="s">
        <v>36</v>
      </c>
    </row>
    <row r="27" spans="1:19" s="4" customFormat="1" ht="12.75" customHeight="1">
      <c r="A27" s="4" t="s">
        <v>34</v>
      </c>
      <c r="B27" s="4" t="s">
        <v>47</v>
      </c>
      <c r="C27" s="4" t="s">
        <v>26</v>
      </c>
      <c r="D27" s="4">
        <v>2021</v>
      </c>
      <c r="E27" s="4">
        <v>10</v>
      </c>
      <c r="F27" s="4" t="s">
        <v>27</v>
      </c>
      <c r="G27" s="4" t="s">
        <v>28</v>
      </c>
      <c r="H27" s="4" t="s">
        <v>29</v>
      </c>
      <c r="I27" s="4" t="s">
        <v>32</v>
      </c>
      <c r="J27" s="4" t="s">
        <v>30</v>
      </c>
      <c r="K27" s="4" t="s">
        <v>31</v>
      </c>
      <c r="L27" s="5">
        <v>11980.58</v>
      </c>
      <c r="M27" s="10" t="s">
        <v>99</v>
      </c>
      <c r="N27" s="4" t="s">
        <v>99</v>
      </c>
      <c r="O27" s="4" t="s">
        <v>49</v>
      </c>
      <c r="P27" s="4" t="s">
        <v>50</v>
      </c>
      <c r="Q27" s="4" t="s">
        <v>51</v>
      </c>
      <c r="R27" s="4" t="s">
        <v>100</v>
      </c>
      <c r="S27" s="4" t="s">
        <v>35</v>
      </c>
    </row>
    <row r="28" spans="1:19" s="4" customFormat="1" ht="12.75" customHeight="1">
      <c r="A28" s="4" t="s">
        <v>34</v>
      </c>
      <c r="B28" s="4" t="s">
        <v>47</v>
      </c>
      <c r="C28" s="4" t="s">
        <v>26</v>
      </c>
      <c r="D28" s="4">
        <v>2021</v>
      </c>
      <c r="E28" s="4">
        <v>10</v>
      </c>
      <c r="F28" s="4" t="s">
        <v>27</v>
      </c>
      <c r="G28" s="4" t="s">
        <v>28</v>
      </c>
      <c r="H28" s="4" t="s">
        <v>29</v>
      </c>
      <c r="I28" s="4" t="s">
        <v>32</v>
      </c>
      <c r="J28" s="4" t="s">
        <v>30</v>
      </c>
      <c r="K28" s="4" t="s">
        <v>31</v>
      </c>
      <c r="L28" s="5">
        <v>19093</v>
      </c>
      <c r="M28" s="10" t="s">
        <v>101</v>
      </c>
      <c r="N28" s="4" t="s">
        <v>101</v>
      </c>
      <c r="O28" s="4" t="s">
        <v>49</v>
      </c>
      <c r="P28" s="4" t="s">
        <v>50</v>
      </c>
      <c r="Q28" s="4" t="s">
        <v>51</v>
      </c>
      <c r="R28" s="4" t="s">
        <v>100</v>
      </c>
      <c r="S28" s="4" t="s">
        <v>37</v>
      </c>
    </row>
    <row r="29" spans="1:19" s="4" customFormat="1" ht="12.75" customHeight="1">
      <c r="A29" s="4" t="s">
        <v>34</v>
      </c>
      <c r="B29" s="4" t="s">
        <v>47</v>
      </c>
      <c r="C29" s="4" t="s">
        <v>24</v>
      </c>
      <c r="D29" s="4">
        <v>2021</v>
      </c>
      <c r="E29" s="4">
        <v>11</v>
      </c>
      <c r="F29" s="4" t="s">
        <v>27</v>
      </c>
      <c r="G29" s="4" t="s">
        <v>28</v>
      </c>
      <c r="H29" s="4" t="s">
        <v>29</v>
      </c>
      <c r="I29" s="4" t="s">
        <v>32</v>
      </c>
      <c r="J29" s="4" t="s">
        <v>30</v>
      </c>
      <c r="K29" s="4" t="s">
        <v>31</v>
      </c>
      <c r="L29" s="5">
        <v>19093</v>
      </c>
      <c r="M29" s="10" t="s">
        <v>102</v>
      </c>
      <c r="N29" s="4" t="s">
        <v>102</v>
      </c>
      <c r="O29" s="4" t="s">
        <v>49</v>
      </c>
      <c r="P29" s="4" t="s">
        <v>50</v>
      </c>
      <c r="Q29" s="4" t="s">
        <v>51</v>
      </c>
      <c r="R29" s="4" t="s">
        <v>103</v>
      </c>
      <c r="S29" s="4" t="s">
        <v>104</v>
      </c>
    </row>
    <row r="30" spans="1:19" s="4" customFormat="1" ht="12.75" customHeight="1">
      <c r="A30" s="4" t="s">
        <v>34</v>
      </c>
      <c r="B30" s="4" t="s">
        <v>47</v>
      </c>
      <c r="C30" s="4" t="s">
        <v>24</v>
      </c>
      <c r="D30" s="4">
        <v>2021</v>
      </c>
      <c r="E30" s="4">
        <v>11</v>
      </c>
      <c r="F30" s="4" t="s">
        <v>27</v>
      </c>
      <c r="G30" s="4" t="s">
        <v>28</v>
      </c>
      <c r="H30" s="4" t="s">
        <v>29</v>
      </c>
      <c r="I30" s="4" t="s">
        <v>32</v>
      </c>
      <c r="J30" s="4" t="s">
        <v>30</v>
      </c>
      <c r="K30" s="4" t="s">
        <v>31</v>
      </c>
      <c r="L30" s="5">
        <v>31822</v>
      </c>
      <c r="M30" s="10" t="s">
        <v>105</v>
      </c>
      <c r="N30" s="4" t="s">
        <v>105</v>
      </c>
      <c r="O30" s="4" t="s">
        <v>96</v>
      </c>
      <c r="P30" s="4" t="s">
        <v>50</v>
      </c>
      <c r="Q30" s="4" t="s">
        <v>97</v>
      </c>
      <c r="R30" s="4" t="s">
        <v>106</v>
      </c>
      <c r="S30" s="4" t="s">
        <v>107</v>
      </c>
    </row>
    <row r="31" spans="1:19" s="4" customFormat="1" ht="12.75" customHeight="1">
      <c r="A31" s="4" t="s">
        <v>34</v>
      </c>
      <c r="B31" s="4" t="s">
        <v>47</v>
      </c>
      <c r="C31" s="4" t="s">
        <v>24</v>
      </c>
      <c r="D31" s="4">
        <v>2021</v>
      </c>
      <c r="E31" s="4">
        <v>11</v>
      </c>
      <c r="F31" s="4" t="s">
        <v>27</v>
      </c>
      <c r="G31" s="4" t="s">
        <v>28</v>
      </c>
      <c r="H31" s="4" t="s">
        <v>29</v>
      </c>
      <c r="I31" s="4" t="s">
        <v>32</v>
      </c>
      <c r="J31" s="4" t="s">
        <v>30</v>
      </c>
      <c r="K31" s="4" t="s">
        <v>31</v>
      </c>
      <c r="L31" s="5">
        <v>23961.150000000001</v>
      </c>
      <c r="M31" s="10" t="s">
        <v>108</v>
      </c>
      <c r="N31" s="4" t="s">
        <v>108</v>
      </c>
      <c r="O31" s="4" t="s">
        <v>49</v>
      </c>
      <c r="P31" s="4" t="s">
        <v>50</v>
      </c>
      <c r="Q31" s="4" t="s">
        <v>51</v>
      </c>
      <c r="R31" s="4" t="s">
        <v>109</v>
      </c>
      <c r="S31" s="4" t="s">
        <v>110</v>
      </c>
    </row>
    <row r="32" spans="1:19" s="4" customFormat="1" ht="12.75" customHeight="1">
      <c r="A32" s="4" t="s">
        <v>34</v>
      </c>
      <c r="B32" s="4" t="s">
        <v>47</v>
      </c>
      <c r="C32" s="4" t="s">
        <v>20</v>
      </c>
      <c r="D32" s="4">
        <v>2021</v>
      </c>
      <c r="E32" s="4">
        <v>11</v>
      </c>
      <c r="F32" s="4" t="s">
        <v>27</v>
      </c>
      <c r="G32" s="4" t="s">
        <v>28</v>
      </c>
      <c r="H32" s="4" t="s">
        <v>29</v>
      </c>
      <c r="I32" s="4" t="s">
        <v>32</v>
      </c>
      <c r="J32" s="4" t="s">
        <v>30</v>
      </c>
      <c r="K32" s="4" t="s">
        <v>31</v>
      </c>
      <c r="L32" s="5">
        <v>11536.85</v>
      </c>
      <c r="M32" s="10" t="s">
        <v>111</v>
      </c>
      <c r="N32" s="4" t="s">
        <v>111</v>
      </c>
      <c r="O32" s="4" t="s">
        <v>49</v>
      </c>
      <c r="P32" s="4" t="s">
        <v>50</v>
      </c>
      <c r="Q32" s="4" t="s">
        <v>51</v>
      </c>
      <c r="R32" s="4" t="s">
        <v>112</v>
      </c>
      <c r="S32" s="4" t="s">
        <v>113</v>
      </c>
    </row>
    <row r="33" spans="1:19" s="4" customFormat="1" ht="12.75" customHeight="1">
      <c r="A33" s="4" t="s">
        <v>34</v>
      </c>
      <c r="B33" s="4" t="s">
        <v>47</v>
      </c>
      <c r="C33" s="4" t="s">
        <v>21</v>
      </c>
      <c r="D33" s="4">
        <v>2021</v>
      </c>
      <c r="E33" s="4">
        <v>11</v>
      </c>
      <c r="F33" s="4" t="s">
        <v>27</v>
      </c>
      <c r="G33" s="4" t="s">
        <v>28</v>
      </c>
      <c r="H33" s="4" t="s">
        <v>29</v>
      </c>
      <c r="I33" s="4" t="s">
        <v>32</v>
      </c>
      <c r="J33" s="4" t="s">
        <v>30</v>
      </c>
      <c r="K33" s="4" t="s">
        <v>31</v>
      </c>
      <c r="L33" s="5">
        <v>19093</v>
      </c>
      <c r="M33" s="10" t="s">
        <v>114</v>
      </c>
      <c r="N33" s="4" t="s">
        <v>114</v>
      </c>
      <c r="O33" s="4" t="s">
        <v>49</v>
      </c>
      <c r="P33" s="4" t="s">
        <v>50</v>
      </c>
      <c r="Q33" s="4" t="s">
        <v>51</v>
      </c>
      <c r="R33" s="4" t="s">
        <v>115</v>
      </c>
      <c r="S33" s="4" t="s">
        <v>116</v>
      </c>
    </row>
    <row r="34" spans="1:19" s="4" customFormat="1" ht="12.75" customHeight="1">
      <c r="A34" s="4" t="s">
        <v>34</v>
      </c>
      <c r="B34" s="4" t="s">
        <v>47</v>
      </c>
      <c r="C34" s="4" t="s">
        <v>21</v>
      </c>
      <c r="D34" s="4">
        <v>2021</v>
      </c>
      <c r="E34" s="4">
        <v>11</v>
      </c>
      <c r="F34" s="4" t="s">
        <v>27</v>
      </c>
      <c r="G34" s="4" t="s">
        <v>28</v>
      </c>
      <c r="H34" s="4" t="s">
        <v>29</v>
      </c>
      <c r="I34" s="4" t="s">
        <v>32</v>
      </c>
      <c r="J34" s="4" t="s">
        <v>30</v>
      </c>
      <c r="K34" s="4" t="s">
        <v>31</v>
      </c>
      <c r="L34" s="5">
        <v>53765.879999999997</v>
      </c>
      <c r="M34" s="10" t="s">
        <v>117</v>
      </c>
      <c r="N34" s="4" t="s">
        <v>117</v>
      </c>
      <c r="O34" s="4" t="s">
        <v>49</v>
      </c>
      <c r="P34" s="4" t="s">
        <v>50</v>
      </c>
      <c r="Q34" s="4" t="s">
        <v>51</v>
      </c>
      <c r="R34" s="4" t="s">
        <v>115</v>
      </c>
      <c r="S34" s="4" t="s">
        <v>118</v>
      </c>
    </row>
    <row r="35" spans="1:19" s="4" customFormat="1" ht="12.75" customHeight="1">
      <c r="A35" s="4" t="s">
        <v>34</v>
      </c>
      <c r="B35" s="4" t="s">
        <v>47</v>
      </c>
      <c r="C35" s="4" t="s">
        <v>21</v>
      </c>
      <c r="D35" s="4">
        <v>2021</v>
      </c>
      <c r="E35" s="4">
        <v>11</v>
      </c>
      <c r="F35" s="4" t="s">
        <v>27</v>
      </c>
      <c r="G35" s="4" t="s">
        <v>28</v>
      </c>
      <c r="H35" s="4" t="s">
        <v>29</v>
      </c>
      <c r="I35" s="4" t="s">
        <v>32</v>
      </c>
      <c r="J35" s="4" t="s">
        <v>30</v>
      </c>
      <c r="K35" s="4" t="s">
        <v>31</v>
      </c>
      <c r="L35" s="5">
        <v>31822</v>
      </c>
      <c r="M35" s="10" t="s">
        <v>119</v>
      </c>
      <c r="N35" s="4" t="s">
        <v>119</v>
      </c>
      <c r="O35" s="4" t="s">
        <v>49</v>
      </c>
      <c r="P35" s="4" t="s">
        <v>50</v>
      </c>
      <c r="Q35" s="4" t="s">
        <v>51</v>
      </c>
      <c r="R35" s="4" t="s">
        <v>115</v>
      </c>
      <c r="S35" s="4" t="s">
        <v>120</v>
      </c>
    </row>
    <row r="36" spans="1:19" s="4" customFormat="1" ht="12.75" customHeight="1">
      <c r="A36" s="4" t="s">
        <v>34</v>
      </c>
      <c r="B36" s="4" t="s">
        <v>47</v>
      </c>
      <c r="C36" s="4" t="s">
        <v>22</v>
      </c>
      <c r="D36" s="4">
        <v>2021</v>
      </c>
      <c r="E36" s="4">
        <v>12</v>
      </c>
      <c r="F36" s="4" t="s">
        <v>27</v>
      </c>
      <c r="G36" s="4" t="s">
        <v>28</v>
      </c>
      <c r="H36" s="4" t="s">
        <v>29</v>
      </c>
      <c r="I36" s="4" t="s">
        <v>32</v>
      </c>
      <c r="J36" s="4" t="s">
        <v>30</v>
      </c>
      <c r="K36" s="4" t="s">
        <v>31</v>
      </c>
      <c r="L36" s="5">
        <v>33015</v>
      </c>
      <c r="M36" s="10" t="s">
        <v>121</v>
      </c>
      <c r="N36" s="4" t="s">
        <v>121</v>
      </c>
      <c r="O36" s="4" t="s">
        <v>49</v>
      </c>
      <c r="P36" s="4" t="s">
        <v>50</v>
      </c>
      <c r="Q36" s="4" t="s">
        <v>51</v>
      </c>
      <c r="R36" s="4" t="s">
        <v>122</v>
      </c>
      <c r="S36" s="4" t="s">
        <v>123</v>
      </c>
    </row>
    <row r="37" spans="1:19" s="4" customFormat="1" ht="12.75" customHeight="1">
      <c r="A37" s="4" t="s">
        <v>34</v>
      </c>
      <c r="B37" s="4" t="s">
        <v>47</v>
      </c>
      <c r="C37" s="4" t="s">
        <v>22</v>
      </c>
      <c r="D37" s="4">
        <v>2021</v>
      </c>
      <c r="E37" s="4">
        <v>12</v>
      </c>
      <c r="F37" s="4" t="s">
        <v>27</v>
      </c>
      <c r="G37" s="4" t="s">
        <v>28</v>
      </c>
      <c r="H37" s="4" t="s">
        <v>29</v>
      </c>
      <c r="I37" s="4" t="s">
        <v>32</v>
      </c>
      <c r="J37" s="4" t="s">
        <v>30</v>
      </c>
      <c r="K37" s="4" t="s">
        <v>31</v>
      </c>
      <c r="L37" s="5">
        <v>26374.360000000001</v>
      </c>
      <c r="M37" s="10" t="s">
        <v>124</v>
      </c>
      <c r="N37" s="4" t="s">
        <v>124</v>
      </c>
      <c r="O37" s="4" t="s">
        <v>49</v>
      </c>
      <c r="P37" s="4" t="s">
        <v>50</v>
      </c>
      <c r="Q37" s="4" t="s">
        <v>51</v>
      </c>
      <c r="R37" s="4" t="s">
        <v>122</v>
      </c>
      <c r="S37" s="4" t="s">
        <v>125</v>
      </c>
    </row>
    <row r="38" spans="12:12" s="4" customFormat="1" ht="12.75" customHeight="1">
      <c r="L38" s="5"/>
    </row>
    <row r="39" spans="12:12" s="11" customFormat="1" ht="12.75" customHeight="1" thickBot="1">
      <c r="L39" s="12">
        <f>SUM(L8:L38)</f>
        <v>739232.16999999993</v>
      </c>
    </row>
    <row r="40" spans="12:12" s="4" customFormat="1" ht="12.75" customHeight="1" thickTop="1" thickBot="1">
      <c r="L40" s="5"/>
    </row>
    <row r="41" spans="1:13" s="4" customFormat="1" ht="22.5" customHeight="1">
      <c r="A41" s="13"/>
      <c r="B41" s="27"/>
      <c r="C41" s="27"/>
      <c r="E41" s="14"/>
      <c r="F41" s="15" t="s">
        <v>126</v>
      </c>
      <c r="G41" s="15"/>
      <c r="H41" s="15"/>
      <c r="I41" s="15"/>
      <c r="J41" s="15"/>
      <c r="K41" s="15"/>
      <c r="L41" s="16"/>
      <c r="M41" s="17"/>
    </row>
    <row r="42" spans="1:13" s="4" customFormat="1" ht="12.75" customHeight="1" hidden="1">
      <c r="A42" s="4" t="str">
        <f>"Y"</f>
        <v>Y</v>
      </c>
      <c r="E42" s="18"/>
      <c r="F42" s="19"/>
      <c r="G42" s="19"/>
      <c r="H42" s="19"/>
      <c r="I42" s="19"/>
      <c r="J42" s="19"/>
      <c r="K42" s="19"/>
      <c r="L42" s="20"/>
      <c r="M42" s="21"/>
    </row>
    <row r="43" spans="5:13" s="4" customFormat="1" ht="12.75" customHeight="1">
      <c r="E43" s="18"/>
      <c r="F43" s="19" t="str">
        <f t="shared" si="0" ref="F43:K43">F37</f>
        <v>521100</v>
      </c>
      <c r="G43" s="19" t="str">
        <f t="shared" si="0"/>
        <v>9210000</v>
      </c>
      <c r="H43" s="19" t="str">
        <f t="shared" si="0"/>
        <v>754</v>
      </c>
      <c r="I43" s="19" t="str">
        <f t="shared" si="0"/>
        <v>0000</v>
      </c>
      <c r="J43" s="19" t="str">
        <f t="shared" si="0"/>
        <v>00004500</v>
      </c>
      <c r="K43" s="19" t="str">
        <f t="shared" si="0"/>
        <v>4500</v>
      </c>
      <c r="L43" s="22">
        <f>-L39</f>
        <v>-739232.16999999993</v>
      </c>
      <c r="M43" s="21"/>
    </row>
    <row r="44" spans="5:13" s="4" customFormat="1" ht="12.75" customHeight="1" thickBot="1">
      <c r="E44" s="23"/>
      <c r="F44" s="24"/>
      <c r="G44" s="24"/>
      <c r="H44" s="24"/>
      <c r="I44" s="24"/>
      <c r="J44" s="24"/>
      <c r="K44" s="24"/>
      <c r="L44" s="25"/>
      <c r="M44" s="26"/>
    </row>
  </sheetData>
  <mergeCells count="1">
    <mergeCell ref="B41:C41"/>
  </mergeCells>
  <printOptions horizontalCentered="1"/>
  <pageMargins left="0.5" right="0.5" top="1.5" bottom="0.5" header="1" footer="0.5"/>
  <pageSetup horizontalDpi="300" verticalDpi="300" orientation="landscape" scale="68" r:id="rId1"/>
  <headerFooter alignWithMargins="0">
    <oddHeader>&amp;R&amp;"Arial,Bold"WP/II-D ADJUSTMENT /13
Page 2 of 2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/>
  <dimension ref="A1:A3"/>
  <sheetViews>
    <sheetView workbookViewId="0" topLeftCell="A1">
      <selection pane="topLeft" activeCell="A5" sqref="A5"/>
    </sheetView>
  </sheetViews>
  <sheetFormatPr defaultRowHeight="12.75"/>
  <cols>
    <col min="1" max="16384" width="9.14285714285714" style="1"/>
  </cols>
  <sheetData>
    <row r="1" spans="1:1" ht="15.75">
      <c r="A1" s="2" t="s">
        <v>11</v>
      </c>
    </row>
    <row r="2" spans="1:1" ht="12.75">
      <c r="A2" s="1" t="s">
        <v>12</v>
      </c>
    </row>
    <row r="3" spans="1:1" ht="12.75">
      <c r="A3" s="1" t="s">
        <v>13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 Jets PUR</vt:lpstr>
      <vt:lpstr>Updates</vt:lpstr>
    </vt:vector>
  </TitlesOfParts>
  <Template/>
  <Manager/>
  <Company/>
  <HyperlinkBase>p:\psfs\psprod\jrnldoc\prod</HyperlinkBase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