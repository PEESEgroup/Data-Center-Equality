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jpeg" ContentType="image/jpeg"/>
  <Override PartName="/xl/vbaProject.bin" ContentType="application/vnd.ms-office.vbaProject"/>
  <Override PartName="/xl/drawings/drawing1.xml" ContentType="application/vnd.openxmlformats-officedocument.drawing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360" yWindow="15" windowWidth="10380" windowHeight="6795" activeTab="0"/>
  </bookViews>
  <sheets>
    <sheet name="Sheet1" sheetId="1" r:id="rId3"/>
  </sheets>
  <definedNames>
    <definedName name="By_Summary_Ledger">Sheet1!#REF!</definedName>
    <definedName name="Date1">Sheet1!$Q$6</definedName>
    <definedName name="Labels">Sheet1!$B$6:$B$7</definedName>
    <definedName name="Ledgers">Sheet1!$D$1:$N$1</definedName>
    <definedName name="NvsASD">"V2021-12-31"</definedName>
    <definedName name="NvsAutoDrillOk">"VN"</definedName>
    <definedName name="NvsDrillHyperLink" localSheetId="0">"https://fimprod.corp.oncor.com/psp/fimprd/EMPLOYEE/ERP/c/REPORT_BOOKS.IC_RUN_DRILLDOWN.GBL?Action=A&amp;NVS_INSTANCE=2390610_1781868"</definedName>
    <definedName name="NvsElapsedTime">0.0000231481462833472</definedName>
    <definedName name="NvsEndTime">44615.9060532407</definedName>
    <definedName name="NvsInstLang">"VENG"</definedName>
    <definedName name="NvsInstSpec">"%,FDEPTID,TF_DEPT_D_ESD,NESD,FPROJECT_ID,VLEGAGCID"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"%,X,RPF..,CPF.."</definedName>
    <definedName name="NvsPanelBusUnit">"V"</definedName>
    <definedName name="NvsPanelEffdt">"V2099-01-01"</definedName>
    <definedName name="NvsPanelSetid">"VSHARE"</definedName>
    <definedName name="NvsReqBU">"VESD"</definedName>
    <definedName name="NvsReqBUOnly">"VY"</definedName>
    <definedName name="NvsSheetType" localSheetId="0">"M"</definedName>
    <definedName name="NvsTransLed">"VN"</definedName>
    <definedName name="NvsTree.F_ACNT_D_PRIME1" localSheetId="0">"NNNNY"</definedName>
    <definedName name="NvsTree.MR_ACNT_OM_D_BASE" localSheetId="0">"YNNYN"</definedName>
    <definedName name="NvsTreeASD">"V2099-12-31"</definedName>
    <definedName name="NvsValTbl.ACCOUNT">"GL_ACCOUNT_TBL"</definedName>
    <definedName name="NvsValTbl.CURRENCY_CD">"CURRENCY_CD_TBL"</definedName>
    <definedName name="NvsValTbl.DEPTID">"DEPARTMENT_TBL"</definedName>
    <definedName name="NvsValTbl.PROJECT_ID">"PROJECT_ID_VW"</definedName>
    <definedName name="_xlnm.Print_Area" localSheetId="0">Sheet1!$A$1:$L$17</definedName>
    <definedName name="_xlnm.Print_Titles" localSheetId="0">Sheet1!$3:$12</definedName>
    <definedName name="Variables">Sheet1!$Q$3:$Q$7</definedName>
  </definedNames>
  <calcPr calcId="152511"/>
</workbook>
</file>

<file path=xl/calcChain.xml><?xml version="1.0" encoding="utf-8"?>
<calcChain xmlns="http://schemas.openxmlformats.org/spreadsheetml/2006/main">
  <c r="J14" i="1" l="1"/>
</calcChain>
</file>

<file path=xl/sharedStrings.xml><?xml version="1.0" encoding="utf-8"?>
<sst xmlns="http://schemas.openxmlformats.org/spreadsheetml/2006/main" count="31" uniqueCount="26">
  <si>
    <t>Actual</t>
  </si>
  <si>
    <t>Plan</t>
  </si>
  <si>
    <t>%,C</t>
  </si>
  <si>
    <t>Total</t>
  </si>
  <si>
    <t>Description</t>
  </si>
  <si>
    <t>$ Variance</t>
  </si>
  <si>
    <t>Year to Date</t>
  </si>
  <si>
    <t>Year-End</t>
  </si>
  <si>
    <t>%,ATT,FDESCR,UDESCR</t>
  </si>
  <si>
    <t>Current Month</t>
  </si>
  <si>
    <t>%,ATF,FPROJECT_ID,UPROJECT_ID</t>
  </si>
  <si>
    <t>Project</t>
  </si>
  <si>
    <t>%,LACTUALS,SPER</t>
  </si>
  <si>
    <t>%,LPLAN,SPER</t>
  </si>
  <si>
    <t>%,LACTUALS,SYTD</t>
  </si>
  <si>
    <t>%,LPLAN,SYTD</t>
  </si>
  <si>
    <t>%,LPLAN,SALLYEAR</t>
  </si>
  <si>
    <t>O&amp;M Expenses</t>
  </si>
  <si>
    <t>%,FACCOUNT,TF_ACNT_D_PRIME1,N903.3,NCOST_OF_SALES,NDIRECT_COSTS,NMAINT_SGA,NOP_ADM_GEN,NOP_CUST_ACCTS,NOP_CUST_SERV,NOP_SALES,NPLAN_OMXFUEL,NSGA_PLAN,N408.19,N408.1,NPAYROLL_TAXES_408.1,N"OTHER _TAXES_408.1",NPLAN_TAXOTHR,NPAYROLL_TAXES_408.2,NPLAN_PAYROLL_TAXES,NOTHER_TAXES_408.2,N426.57,N426.45,FPROJECT_ID,X,_</t>
  </si>
  <si>
    <t>%,VLEGAGCID</t>
  </si>
  <si>
    <t>LEGAGCID</t>
  </si>
  <si>
    <t>Texas AG CID</t>
  </si>
  <si>
    <t>Oncor Electric Delivery Company LLC</t>
  </si>
  <si>
    <t>K&amp;M O&amp;M Adjustment to remove legal expense project LEGAGCID</t>
  </si>
  <si>
    <t>Project LEGAGCID for Dept. ESD</t>
  </si>
  <si>
    <t>As of:  2021-12-31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</si>
</sst>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&quot;$&quot;#,##0.00_);[Red]\(&quot;$&quot;#,##0.00\)"/>
    <numFmt numFmtId="43" formatCode="_(* #,##0.00_);_(* \(#,##0.00\);_(* &quot;-&quot;??_);_(@_)"/>
    <numFmt numFmtId="164" formatCode="m/d/yy\ h:mm\ AM/PM"/>
    <numFmt numFmtId="165" formatCode="0.0"/>
    <numFmt numFmtId="166" formatCode="0.0_);[Red]\(0.0\)"/>
  </numFmts>
  <fonts count="6"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u val="single"/>
      <sz val="10"/>
      <color indexed="12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medium">
        <color auto="1"/>
      </top>
      <bottom/>
    </border>
    <border>
      <left/>
      <right/>
      <top style="thin">
        <color auto="1"/>
      </top>
      <bottom style="double">
        <color auto="1"/>
      </bottom>
    </border>
    <border>
      <left/>
      <right/>
      <top style="medium">
        <color auto="1"/>
      </top>
      <bottom style="medium">
        <color auto="1"/>
      </bottom>
    </border>
  </borders>
  <cellStyleXfs count="21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5" fillId="0" borderId="0" applyNumberFormat="0" applyFill="0" applyBorder="0">
      <alignment/>
      <protection locked="0"/>
    </xf>
  </cellStyleXfs>
  <cellXfs count="50">
    <xf numFmtId="0" fontId="0" fillId="0" borderId="0" xfId="0"/>
    <xf numFmtId="164" fontId="3" fillId="0" borderId="0" xfId="0" applyNumberFormat="1" applyFont="1" applyFill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center"/>
    </xf>
    <xf numFmtId="40" fontId="3" fillId="0" borderId="0" xfId="18" applyNumberFormat="1" applyFont="1"/>
    <xf numFmtId="40" fontId="3" fillId="0" borderId="0" xfId="15" applyNumberFormat="1" applyFont="1"/>
    <xf numFmtId="40" fontId="3" fillId="0" borderId="0" xfId="15" applyNumberFormat="1" applyFont="1" applyBorder="1"/>
    <xf numFmtId="40" fontId="3" fillId="0" borderId="0" xfId="0" applyNumberFormat="1" applyFont="1" applyFill="1" applyBorder="1"/>
    <xf numFmtId="40" fontId="3" fillId="0" borderId="0" xfId="0" applyNumberFormat="1" applyFont="1" applyFill="1"/>
    <xf numFmtId="0" fontId="4" fillId="0" borderId="0" xfId="0" applyFont="1" applyFill="1" applyAlignment="1">
      <alignment horizontal="left"/>
    </xf>
    <xf numFmtId="0" fontId="3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Border="1"/>
    <xf numFmtId="0" fontId="4" fillId="0" borderId="0" xfId="0" applyFont="1" applyFill="1" applyAlignment="1">
      <alignment horizontal="center"/>
    </xf>
    <xf numFmtId="0" fontId="4" fillId="0" borderId="0" xfId="0" applyFont="1" applyFill="1"/>
    <xf numFmtId="40" fontId="4" fillId="0" borderId="0" xfId="0" applyNumberFormat="1" applyFont="1" applyFill="1" applyBorder="1" applyAlignment="1">
      <alignment horizontal="center"/>
    </xf>
    <xf numFmtId="40" fontId="3" fillId="0" borderId="0" xfId="0" applyNumberFormat="1" applyFont="1" applyBorder="1"/>
    <xf numFmtId="8" fontId="4" fillId="0" borderId="0" xfId="0" applyNumberFormat="1" applyFont="1"/>
    <xf numFmtId="8" fontId="4" fillId="0" borderId="0" xfId="0" applyNumberFormat="1" applyFont="1" applyFill="1" applyAlignment="1">
      <alignment/>
    </xf>
    <xf numFmtId="0" fontId="2" fillId="0" borderId="0" xfId="0" applyFont="1" applyFill="1" applyAlignment="1">
      <alignment horizontal="left"/>
    </xf>
    <xf numFmtId="0" fontId="0" fillId="0" borderId="0" xfId="0" applyFont="1" applyFill="1" applyAlignment="1">
      <alignment horizontal="left"/>
    </xf>
    <xf numFmtId="0" fontId="5" fillId="0" borderId="0" xfId="20" applyAlignment="1" applyProtection="1">
      <alignment/>
      <protection/>
    </xf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center"/>
    </xf>
    <xf numFmtId="0" fontId="3" fillId="0" borderId="0" xfId="0" applyNumberFormat="1" applyFont="1" applyAlignment="1">
      <alignment horizontal="left"/>
    </xf>
    <xf numFmtId="165" fontId="3" fillId="0" borderId="0" xfId="0" applyNumberFormat="1" applyFont="1" applyAlignment="1">
      <alignment horizontal="left"/>
    </xf>
    <xf numFmtId="46" fontId="3" fillId="0" borderId="0" xfId="0" applyNumberFormat="1" applyFont="1"/>
    <xf numFmtId="165" fontId="3" fillId="0" borderId="0" xfId="0" applyNumberFormat="1" applyFont="1"/>
    <xf numFmtId="40" fontId="4" fillId="0" borderId="1" xfId="0" applyNumberFormat="1" applyFont="1" applyFill="1" applyBorder="1" applyAlignment="1">
      <alignment horizontal="center"/>
    </xf>
    <xf numFmtId="166" fontId="4" fillId="0" borderId="0" xfId="0" applyNumberFormat="1" applyFont="1" applyBorder="1"/>
    <xf numFmtId="40" fontId="3" fillId="0" borderId="0" xfId="0" applyNumberFormat="1" applyFont="1" applyFill="1" applyAlignment="1">
      <alignment horizontal="left"/>
    </xf>
    <xf numFmtId="0" fontId="2" fillId="0" borderId="0" xfId="0" applyFont="1" applyFill="1" applyAlignment="1" quotePrefix="1">
      <alignment horizontal="left"/>
    </xf>
    <xf numFmtId="40" fontId="2" fillId="0" borderId="0" xfId="0" applyNumberFormat="1" applyFont="1" applyFill="1" applyAlignment="1">
      <alignment horizontal="left"/>
    </xf>
    <xf numFmtId="40" fontId="4" fillId="0" borderId="0" xfId="0" applyNumberFormat="1" applyFont="1" applyFill="1" applyBorder="1" applyAlignment="1">
      <alignment/>
    </xf>
    <xf numFmtId="40" fontId="4" fillId="0" borderId="0" xfId="0" applyNumberFormat="1" applyFont="1" applyFill="1"/>
    <xf numFmtId="40" fontId="4" fillId="0" borderId="0" xfId="0" applyNumberFormat="1" applyFont="1" applyFill="1" applyAlignment="1">
      <alignment horizontal="left"/>
    </xf>
    <xf numFmtId="40" fontId="4" fillId="0" borderId="0" xfId="0" applyNumberFormat="1" applyFont="1" applyFill="1" applyAlignment="1">
      <alignment horizontal="center"/>
    </xf>
    <xf numFmtId="40" fontId="4" fillId="0" borderId="0" xfId="0" applyNumberFormat="1" applyFont="1" applyFill="1" applyAlignment="1">
      <alignment horizontal="center" wrapText="1"/>
    </xf>
    <xf numFmtId="40" fontId="4" fillId="0" borderId="0" xfId="0" applyNumberFormat="1" applyFont="1" applyFill="1" applyAlignment="1" quotePrefix="1">
      <alignment horizontal="center" wrapText="1"/>
    </xf>
    <xf numFmtId="40" fontId="3" fillId="0" borderId="0" xfId="18" applyNumberFormat="1" applyFont="1" applyFill="1"/>
    <xf numFmtId="40" fontId="3" fillId="0" borderId="0" xfId="15" applyNumberFormat="1" applyFont="1" applyFill="1"/>
    <xf numFmtId="40" fontId="3" fillId="0" borderId="0" xfId="15" applyNumberFormat="1" applyFont="1" applyFill="1" applyBorder="1"/>
    <xf numFmtId="0" fontId="3" fillId="0" borderId="0" xfId="0" applyFont="1" applyFill="1" applyBorder="1"/>
    <xf numFmtId="8" fontId="4" fillId="0" borderId="2" xfId="18" applyNumberFormat="1" applyFont="1" applyFill="1" applyBorder="1"/>
    <xf numFmtId="8" fontId="4" fillId="0" borderId="2" xfId="15" applyNumberFormat="1" applyFont="1" applyFill="1" applyBorder="1"/>
    <xf numFmtId="8" fontId="4" fillId="0" borderId="0" xfId="15" applyNumberFormat="1" applyFont="1" applyFill="1" applyBorder="1"/>
    <xf numFmtId="46" fontId="3" fillId="0" borderId="0" xfId="0" applyNumberFormat="1" applyFont="1" applyFill="1"/>
    <xf numFmtId="40" fontId="4" fillId="0" borderId="3" xfId="0" applyNumberFormat="1" applyFont="1" applyFill="1" applyBorder="1"/>
    <xf numFmtId="40" fontId="4" fillId="0" borderId="3" xfId="0" applyNumberFormat="1" applyFont="1" applyFill="1" applyBorder="1" applyAlignment="1">
      <alignment horizontal="center"/>
    </xf>
    <xf numFmtId="40" fontId="3" fillId="0" borderId="3" xfId="0" applyNumberFormat="1" applyFont="1" applyFill="1" applyBorder="1"/>
  </cellXfs>
  <cellStyles count="7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Hyperlink" xfId="20" builtinId="8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sharedStrings" Target="sharedStrings.xml" /><Relationship Id="rId1" Type="http://schemas.openxmlformats.org/officeDocument/2006/relationships/theme" Target="theme/theme1.xml" /><Relationship Id="rId2" Type="http://schemas.microsoft.com/office/2006/relationships/vbaProject" Target="vbaProject.bin" /><Relationship Id="rId4" Type="http://schemas.openxmlformats.org/officeDocument/2006/relationships/styles" Target="styles.xml" /><Relationship Id="rId6" Type="http://schemas.openxmlformats.org/officeDocument/2006/relationships/calcChain" Target="calcChain.xml" /><Relationship Id="rId3" Type="http://schemas.openxmlformats.org/officeDocument/2006/relationships/worksheet" Target="worksheets/sheet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e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 editAs="oneCell">
    <xdr:from>
      <xdr:col>1</xdr:col>
      <xdr:colOff>0</xdr:colOff>
      <xdr:row>1</xdr:row>
      <xdr:rowOff>0</xdr:rowOff>
    </xdr:from>
    <xdr:to>
      <xdr:col>2</xdr:col>
      <xdr:colOff>0</xdr:colOff>
      <xdr:row>1</xdr:row>
      <xdr:rowOff>542925</xdr:rowOff>
    </xdr:to>
    <xdr:pic>
      <xdr:nvPicPr>
        <xdr:cNvPr id="1033" name="Picture 1" descr="Oncor Logo.JPG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0" y="0"/>
          <a:ext cx="847725" cy="542925"/>
        </a:xfrm>
        <a:prstGeom prst="rect"/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">
    <pageSetUpPr fitToPage="1"/>
  </sheetPr>
  <dimension ref="A1:AF27"/>
  <sheetViews>
    <sheetView showGridLines="0" tabSelected="1" workbookViewId="0" topLeftCell="A1">
      <pane xSplit="3" ySplit="12" topLeftCell="D13" activePane="bottomRight" state="frozen"/>
      <selection pane="topLeft" activeCell="B2" sqref="B2"/>
      <selection pane="bottomLeft" activeCell="B11" sqref="B11"/>
      <selection pane="topRight" activeCell="D2" sqref="D2"/>
      <selection pane="bottomRight" activeCell="L19" sqref="L19"/>
    </sheetView>
  </sheetViews>
  <sheetFormatPr defaultRowHeight="12.75" outlineLevelRow="1"/>
  <cols>
    <col min="1" max="1" width="6" style="2" hidden="1" customWidth="1"/>
    <col min="2" max="2" width="12.7142857142857" style="2" customWidth="1"/>
    <col min="3" max="3" width="10.7142857142857" style="2" customWidth="1"/>
    <col min="4" max="5" width="13.7142857142857" style="4" customWidth="1"/>
    <col min="6" max="6" width="13.7142857142857" style="5" customWidth="1"/>
    <col min="7" max="7" width="1" style="6" customWidth="1"/>
    <col min="8" max="9" width="13.7142857142857" style="4" customWidth="1"/>
    <col min="10" max="10" width="13.7142857142857" style="5" customWidth="1"/>
    <col min="11" max="11" width="1" style="6" customWidth="1"/>
    <col min="12" max="13" width="13.7142857142857" style="5" customWidth="1"/>
    <col min="14" max="14" width="13.7142857142857" style="4" customWidth="1"/>
    <col min="15" max="27" width="9.14285714285714" style="2"/>
    <col min="28" max="28" width="27.1428571428571" style="2" bestFit="1" customWidth="1"/>
    <col min="29" max="30" width="9.14285714285714" style="2"/>
    <col min="31" max="31" width="8.71428571428571" customWidth="1"/>
    <col min="32" max="16384" width="9.14285714285714" style="2"/>
  </cols>
  <sheetData>
    <row r="1" spans="2:14" ht="16.5" customHeight="1" hidden="1">
      <c r="B1" s="3" t="s">
        <v>10</v>
      </c>
      <c r="C1" s="2" t="s">
        <v>8</v>
      </c>
      <c r="D1" s="4" t="s">
        <v>12</v>
      </c>
      <c r="E1" s="4" t="s">
        <v>13</v>
      </c>
      <c r="F1" s="5" t="s">
        <v>2</v>
      </c>
      <c r="H1" s="4" t="s">
        <v>14</v>
      </c>
      <c r="I1" s="4" t="s">
        <v>15</v>
      </c>
      <c r="J1" s="5" t="s">
        <v>2</v>
      </c>
      <c r="K1" s="7"/>
      <c r="L1" s="4" t="s">
        <v>16</v>
      </c>
      <c r="M1" s="8"/>
      <c r="N1" s="8"/>
    </row>
    <row r="2" spans="2:31" ht="43.5" customHeight="1">
      <c r="B2" s="3"/>
      <c r="K2" s="7"/>
      <c r="L2" s="4"/>
      <c r="M2" s="8"/>
      <c r="N2" s="8"/>
      <c r="AE2" s="2"/>
    </row>
    <row r="3" spans="1:31" ht="12.75">
      <c r="A3" s="21"/>
      <c r="B3" s="31" t="s">
        <v>22</v>
      </c>
      <c r="C3" s="9"/>
      <c r="K3" s="7"/>
      <c r="L3" s="8"/>
      <c r="N3" s="8"/>
      <c r="Q3" s="22"/>
      <c r="U3" s="26"/>
      <c r="AE3" s="2"/>
    </row>
    <row r="4" spans="2:31" ht="12.75">
      <c r="B4" s="31" t="s">
        <v>23</v>
      </c>
      <c r="C4" s="9"/>
      <c r="Q4" s="27"/>
      <c r="AE4" s="2"/>
    </row>
    <row r="5" spans="2:31" ht="12.75">
      <c r="B5" s="19" t="s">
        <v>17</v>
      </c>
      <c r="C5" s="9"/>
      <c r="Q5" s="27"/>
      <c r="AE5" s="2"/>
    </row>
    <row r="6" spans="2:31" ht="12.75">
      <c r="B6" s="19" t="s">
        <v>24</v>
      </c>
      <c r="C6" s="9"/>
      <c r="Q6" s="10"/>
      <c r="AE6" s="2"/>
    </row>
    <row r="7" spans="2:31" ht="12.75">
      <c r="B7" s="20" t="s">
        <v>25</v>
      </c>
      <c r="C7" s="9"/>
      <c r="Q7" s="22"/>
      <c r="AE7" s="2"/>
    </row>
    <row r="8" spans="3:31" ht="11.25">
      <c r="C8" s="9"/>
      <c r="Q8" s="24"/>
      <c r="AE8" s="2"/>
    </row>
    <row r="9" spans="3:31" ht="12" thickBot="1">
      <c r="C9" s="10"/>
      <c r="N9" s="5"/>
      <c r="Q9" s="12"/>
      <c r="AE9" s="2"/>
    </row>
    <row r="10" spans="2:32" s="11" customFormat="1" ht="12" thickBot="1">
      <c r="B10" s="23"/>
      <c r="D10" s="47"/>
      <c r="E10" s="48" t="s">
        <v>9</v>
      </c>
      <c r="F10" s="49"/>
      <c r="G10" s="7"/>
      <c r="H10" s="49"/>
      <c r="I10" s="48" t="s">
        <v>6</v>
      </c>
      <c r="J10" s="48"/>
      <c r="K10" s="7"/>
      <c r="L10" s="48" t="s">
        <v>7</v>
      </c>
      <c r="M10" s="40"/>
      <c r="N10" s="39"/>
      <c r="AA10" s="2"/>
      <c r="AB10" s="2"/>
      <c r="AC10" s="2"/>
      <c r="AD10" s="2"/>
      <c r="AE10" s="2"/>
      <c r="AF10" s="2"/>
    </row>
    <row r="11" spans="1:32" s="12" customFormat="1" ht="11.25">
      <c r="A11" s="2"/>
      <c r="B11" s="13" t="s">
        <v>11</v>
      </c>
      <c r="C11" s="14" t="s">
        <v>4</v>
      </c>
      <c r="D11" s="28" t="s">
        <v>0</v>
      </c>
      <c r="E11" s="28" t="s">
        <v>1</v>
      </c>
      <c r="F11" s="28" t="s">
        <v>5</v>
      </c>
      <c r="G11" s="15"/>
      <c r="H11" s="28" t="s">
        <v>0</v>
      </c>
      <c r="I11" s="28" t="s">
        <v>1</v>
      </c>
      <c r="J11" s="28" t="s">
        <v>5</v>
      </c>
      <c r="K11" s="15"/>
      <c r="L11" s="28" t="s">
        <v>1</v>
      </c>
      <c r="M11" s="5"/>
      <c r="N11" s="4"/>
      <c r="AA11" s="2"/>
      <c r="AB11" s="2"/>
      <c r="AC11" s="2"/>
      <c r="AD11" s="2"/>
      <c r="AE11" s="2"/>
      <c r="AF11" s="2"/>
    </row>
    <row r="12" spans="1:32" s="12" customFormat="1" ht="11.25">
      <c r="A12" s="2"/>
      <c r="B12" s="13"/>
      <c r="C12" s="14"/>
      <c r="D12" s="16"/>
      <c r="E12" s="16"/>
      <c r="F12" s="16"/>
      <c r="G12" s="16"/>
      <c r="H12" s="16"/>
      <c r="I12" s="16"/>
      <c r="J12" s="16"/>
      <c r="K12" s="16"/>
      <c r="L12" s="16"/>
      <c r="M12" s="15"/>
      <c r="N12" s="15"/>
      <c r="AA12" s="2"/>
      <c r="AB12" s="2"/>
      <c r="AC12" s="2"/>
      <c r="AD12" s="2"/>
      <c r="AE12" s="2"/>
      <c r="AF12" s="2"/>
    </row>
    <row r="13" spans="1:31" ht="11.25" outlineLevel="1">
      <c r="A13" s="2" t="s">
        <v>19</v>
      </c>
      <c r="B13" s="23" t="s">
        <v>20</v>
      </c>
      <c r="C13" s="11" t="s">
        <v>21</v>
      </c>
      <c r="D13" s="39">
        <v>9660</v>
      </c>
      <c r="E13" s="39">
        <v>0</v>
      </c>
      <c r="F13" s="40">
        <f>D13-E13</f>
        <v>9660</v>
      </c>
      <c r="G13" s="41"/>
      <c r="H13" s="39">
        <v>677523</v>
      </c>
      <c r="I13" s="39">
        <v>0</v>
      </c>
      <c r="J13" s="40">
        <f>H13-I13</f>
        <v>677523</v>
      </c>
      <c r="K13" s="7"/>
      <c r="L13" s="39">
        <v>0</v>
      </c>
      <c r="M13" s="8"/>
      <c r="N13" s="8"/>
      <c r="AE13" s="2"/>
    </row>
    <row r="14" spans="1:32" s="12" customFormat="1" ht="11.25" customHeight="1" thickBot="1">
      <c r="A14" s="29" t="s">
        <v>18</v>
      </c>
      <c r="B14" s="18" t="s">
        <v>3</v>
      </c>
      <c r="C14" s="42"/>
      <c r="D14" s="43">
        <v>9660</v>
      </c>
      <c r="E14" s="43">
        <v>0</v>
      </c>
      <c r="F14" s="44">
        <f>D14-E14</f>
        <v>9660</v>
      </c>
      <c r="G14" s="45"/>
      <c r="H14" s="43">
        <v>677523</v>
      </c>
      <c r="I14" s="43">
        <v>0</v>
      </c>
      <c r="J14" s="44">
        <f>H14-I14</f>
        <v>677523</v>
      </c>
      <c r="K14" s="45"/>
      <c r="L14" s="43">
        <v>0</v>
      </c>
      <c r="M14" s="7"/>
      <c r="N14" s="16"/>
      <c r="AA14" s="2"/>
      <c r="AB14" s="2"/>
      <c r="AC14" s="2"/>
      <c r="AD14" s="2"/>
      <c r="AE14" s="2"/>
      <c r="AF14" s="2"/>
    </row>
    <row r="15" spans="1:31" s="17" customFormat="1" ht="13.5" thickTop="1">
      <c r="A15" s="2"/>
      <c r="B15" s="23"/>
      <c r="C15" s="11"/>
      <c r="D15" s="39"/>
      <c r="E15" s="39"/>
      <c r="F15" s="40"/>
      <c r="G15" s="41"/>
      <c r="H15" s="39"/>
      <c r="I15" s="39"/>
      <c r="J15" s="40"/>
      <c r="K15" s="41"/>
      <c r="L15" s="40"/>
      <c r="M15" s="7"/>
      <c r="N15" s="16"/>
      <c r="Q15" s="2"/>
      <c r="AE15"/>
    </row>
    <row r="16" spans="2:17" ht="12.75">
      <c r="B16" s="30"/>
      <c r="C16" s="1"/>
      <c r="D16" s="39"/>
      <c r="E16" s="39"/>
      <c r="F16" s="40"/>
      <c r="G16" s="41"/>
      <c r="H16" s="39"/>
      <c r="I16" s="39"/>
      <c r="J16" s="40"/>
      <c r="K16" s="41"/>
      <c r="L16" s="40"/>
      <c r="M16" s="40"/>
      <c r="Q16" s="25"/>
    </row>
    <row r="17" spans="2:13" ht="12.75">
      <c r="B17" s="11"/>
      <c r="C17" s="46"/>
      <c r="D17" s="39"/>
      <c r="E17" s="39"/>
      <c r="F17" s="40"/>
      <c r="G17" s="41"/>
      <c r="H17" s="39"/>
      <c r="I17" s="39"/>
      <c r="J17" s="40"/>
      <c r="K17" s="41"/>
      <c r="L17" s="40"/>
      <c r="M17" s="40"/>
    </row>
    <row r="18" spans="2:13" ht="12.75">
      <c r="B18" s="11"/>
      <c r="C18" s="11"/>
      <c r="D18" s="39"/>
      <c r="E18" s="39"/>
      <c r="F18" s="40"/>
      <c r="G18" s="41"/>
      <c r="H18" s="32"/>
      <c r="I18" s="33"/>
      <c r="J18" s="8"/>
      <c r="K18" s="34"/>
      <c r="L18" s="40"/>
      <c r="M18" s="40"/>
    </row>
    <row r="19" spans="2:13" ht="12.75">
      <c r="B19" s="11"/>
      <c r="C19" s="11"/>
      <c r="D19" s="39"/>
      <c r="E19" s="39"/>
      <c r="F19" s="40"/>
      <c r="G19" s="41"/>
      <c r="H19" s="35"/>
      <c r="I19" s="33"/>
      <c r="J19" s="34"/>
      <c r="K19" s="36"/>
      <c r="L19" s="40"/>
      <c r="M19" s="40"/>
    </row>
    <row r="20" spans="2:13" ht="12.75">
      <c r="B20" s="11"/>
      <c r="C20" s="11"/>
      <c r="D20" s="39"/>
      <c r="E20" s="39"/>
      <c r="F20" s="40"/>
      <c r="G20" s="41"/>
      <c r="H20" s="36"/>
      <c r="I20" s="15"/>
      <c r="J20" s="37"/>
      <c r="K20" s="38"/>
      <c r="L20" s="40"/>
      <c r="M20" s="40"/>
    </row>
    <row r="21" spans="2:13" ht="12.75">
      <c r="B21" s="11"/>
      <c r="C21" s="11"/>
      <c r="D21" s="39"/>
      <c r="E21" s="39"/>
      <c r="F21" s="40"/>
      <c r="G21" s="4"/>
      <c r="J21" s="4"/>
      <c r="K21" s="4"/>
      <c r="L21" s="4"/>
      <c r="M21" s="4"/>
    </row>
    <row r="22" spans="2:13" ht="12.75">
      <c r="B22" s="11"/>
      <c r="C22" s="11"/>
      <c r="D22" s="39"/>
      <c r="E22" s="39"/>
      <c r="F22" s="40"/>
      <c r="G22" s="4"/>
      <c r="J22" s="4"/>
      <c r="K22" s="4"/>
      <c r="L22" s="4"/>
      <c r="M22" s="4"/>
    </row>
    <row r="23" spans="2:13" ht="12.75">
      <c r="B23" s="11"/>
      <c r="C23" s="11"/>
      <c r="D23" s="39"/>
      <c r="E23" s="39"/>
      <c r="F23" s="40"/>
      <c r="G23" s="4"/>
      <c r="J23" s="4"/>
      <c r="K23" s="4"/>
      <c r="L23" s="4"/>
      <c r="M23" s="4"/>
    </row>
    <row r="24" spans="2:13" ht="12.75">
      <c r="B24" s="11"/>
      <c r="C24" s="11"/>
      <c r="D24" s="39"/>
      <c r="E24" s="39"/>
      <c r="F24" s="40"/>
      <c r="G24" s="4"/>
      <c r="J24" s="4"/>
      <c r="K24" s="4"/>
      <c r="L24" s="4"/>
      <c r="M24" s="4"/>
    </row>
    <row r="25" spans="2:13" ht="12.75">
      <c r="B25" s="11"/>
      <c r="C25" s="11"/>
      <c r="D25" s="39"/>
      <c r="E25" s="39"/>
      <c r="F25" s="40"/>
      <c r="G25" s="4"/>
      <c r="J25" s="4"/>
      <c r="K25" s="4"/>
      <c r="L25" s="4"/>
      <c r="M25" s="4"/>
    </row>
    <row r="26" spans="2:13" ht="12.75">
      <c r="B26" s="11"/>
      <c r="C26" s="11"/>
      <c r="D26" s="39"/>
      <c r="E26" s="39"/>
      <c r="F26" s="40"/>
      <c r="G26" s="4"/>
      <c r="J26" s="4"/>
      <c r="K26" s="4"/>
      <c r="L26" s="4"/>
      <c r="M26" s="4"/>
    </row>
    <row r="27" spans="7:13" ht="12.75">
      <c r="G27" s="4"/>
      <c r="J27" s="4"/>
      <c r="K27" s="4"/>
      <c r="L27" s="4"/>
      <c r="M27" s="4"/>
    </row>
  </sheetData>
  <printOptions horizontalCentered="1"/>
  <pageMargins left="0.5" right="0.5" top="1.5" bottom="0.5" header="1" footer="0.5"/>
  <pageSetup orientation="landscape" r:id="rId2"/>
  <headerFooter alignWithMargins="0">
    <oddHeader>&amp;R&amp;"Arial,Bold"WP/II-D ADJUSTMENT /30
Page 2 of 2</oddHead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