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0490" windowHeight="7455" activeTab="0"/>
  </bookViews>
  <sheets>
    <sheet name="FAS 112" sheetId="1" r:id="rId2"/>
  </sheets>
  <definedNames>
    <definedName name="_xlnm.Print_Area" localSheetId="0">'FAS 112'!$A$1:$F$18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</calcChain>
</file>

<file path=xl/sharedStrings.xml><?xml version="1.0" encoding="utf-8"?>
<sst xmlns="http://schemas.openxmlformats.org/spreadsheetml/2006/main" count="18" uniqueCount="18">
  <si>
    <t>Oncor Electric Delivery Company LLC</t>
  </si>
  <si>
    <t>Known and Measurable Adjustment ASC 712-10</t>
  </si>
  <si>
    <t xml:space="preserve">Post-Employment Benefits ASC 712-10 (formerly FAS 112) </t>
  </si>
  <si>
    <t>Total</t>
  </si>
  <si>
    <t>ESD</t>
  </si>
  <si>
    <t>TRN</t>
  </si>
  <si>
    <t>PAYXAG Factor</t>
  </si>
  <si>
    <t>Journal 872270 Jan 2022</t>
  </si>
  <si>
    <t>Year End 12/31/2021 Liability per Aon Report</t>
  </si>
  <si>
    <t>Liability at 12/31/2021 prior to Aon Report in January 2022</t>
  </si>
  <si>
    <t>12/31/2021 adjustment booked January 2022</t>
  </si>
  <si>
    <t>expense and liability under-accrued at 12-31-2021</t>
  </si>
  <si>
    <t>Test Year Book Expense / estimated accrual</t>
  </si>
  <si>
    <t>EC 586 FAS 112 accrual</t>
  </si>
  <si>
    <t>Test Year Expense as adjusted</t>
  </si>
  <si>
    <t xml:space="preserve">Test Year Expense Ratio </t>
  </si>
  <si>
    <t xml:space="preserve"> TBD (Sch II-D-3.4)</t>
  </si>
  <si>
    <t>Adjustment to Account 926-0000 for ASC 712-10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</si>
</sst>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  <numFmt numFmtId="165" formatCode="0.0%"/>
  </numFmts>
  <fonts count="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5" fillId="2" borderId="0">
      <alignment/>
      <protection/>
    </xf>
  </cellStyleXfs>
  <cellXfs count="24">
    <xf numFmtId="0" fontId="0" fillId="0" borderId="0" xfId="0"/>
    <xf numFmtId="0" fontId="4" fillId="0" borderId="0" xfId="0" applyFont="1"/>
    <xf numFmtId="49" fontId="6" fillId="0" borderId="0" xfId="20" applyNumberFormat="1" applyFont="1" applyFill="1" applyBorder="1" applyAlignment="1" applyProtection="1">
      <alignment/>
      <protection locked="0"/>
    </xf>
    <xf numFmtId="0" fontId="0" fillId="0" borderId="0" xfId="0" applyBorder="1" applyAlignment="1" applyProtection="1">
      <alignment/>
      <protection locked="0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39" fontId="0" fillId="0" borderId="0" xfId="0" applyNumberFormat="1"/>
    <xf numFmtId="0" fontId="3" fillId="3" borderId="0" xfId="0" applyFont="1" applyFill="1"/>
    <xf numFmtId="43" fontId="3" fillId="3" borderId="0" xfId="18" applyFont="1" applyFill="1"/>
    <xf numFmtId="0" fontId="3" fillId="0" borderId="0" xfId="0" applyFont="1"/>
    <xf numFmtId="39" fontId="0" fillId="0" borderId="1" xfId="0" applyNumberFormat="1" applyBorder="1"/>
    <xf numFmtId="0" fontId="0" fillId="0" borderId="0" xfId="0" applyFill="1"/>
    <xf numFmtId="39" fontId="0" fillId="0" borderId="0" xfId="0" applyNumberFormat="1" applyFill="1"/>
    <xf numFmtId="10" fontId="0" fillId="0" borderId="1" xfId="0" applyNumberFormat="1" applyBorder="1"/>
    <xf numFmtId="0" fontId="0" fillId="4" borderId="0" xfId="0" applyFill="1"/>
    <xf numFmtId="42" fontId="0" fillId="0" borderId="0" xfId="0" applyNumberFormat="1"/>
    <xf numFmtId="43" fontId="0" fillId="0" borderId="0" xfId="0" applyNumberFormat="1"/>
    <xf numFmtId="10" fontId="0" fillId="0" borderId="0" xfId="15" applyNumberFormat="1" applyFont="1"/>
    <xf numFmtId="44" fontId="0" fillId="0" borderId="0" xfId="0" applyNumberFormat="1"/>
    <xf numFmtId="165" fontId="0" fillId="0" borderId="0" xfId="15" applyNumberFormat="1" applyFont="1" applyFill="1"/>
    <xf numFmtId="43" fontId="0" fillId="0" borderId="0" xfId="18" applyFont="1" applyFill="1"/>
    <xf numFmtId="0" fontId="2" fillId="0" borderId="2" xfId="0" applyFont="1" applyFill="1" applyBorder="1"/>
    <xf numFmtId="39" fontId="2" fillId="0" borderId="3" xfId="0" applyNumberFormat="1" applyFont="1" applyFill="1" applyBorder="1"/>
    <xf numFmtId="39" fontId="2" fillId="0" borderId="4" xfId="0" applyNumberFormat="1" applyFont="1" applyFill="1" applyBorder="1"/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_JE_UPLOAD_sub" xfId="2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J23"/>
  <sheetViews>
    <sheetView tabSelected="1" workbookViewId="0" topLeftCell="A1">
      <selection pane="topLeft" activeCell="C20" sqref="C20"/>
    </sheetView>
  </sheetViews>
  <sheetFormatPr defaultRowHeight="15"/>
  <cols>
    <col min="1" max="1" width="50.5714285714286" customWidth="1"/>
    <col min="2" max="2" width="16.4285714285714" customWidth="1"/>
    <col min="3" max="3" width="13.5714285714286" bestFit="1" customWidth="1"/>
    <col min="4" max="4" width="12.7142857142857" bestFit="1" customWidth="1"/>
    <col min="5" max="5" width="42.8571428571429" bestFit="1" customWidth="1"/>
    <col min="8" max="8" width="12.2857142857143" bestFit="1" customWidth="1"/>
  </cols>
  <sheetData>
    <row r="1" spans="1:5" ht="15">
      <c r="A1" t="s">
        <v>0</v>
      </c>
      <c r="E1" s="1"/>
    </row>
    <row r="2" spans="1:1" ht="15">
      <c r="A2" t="s">
        <v>1</v>
      </c>
    </row>
    <row r="4" spans="1:9" ht="15">
      <c r="A4" s="2" t="s">
        <v>2</v>
      </c>
      <c r="B4" s="2"/>
      <c r="C4" s="3"/>
      <c r="D4" s="3"/>
      <c r="E4" s="3"/>
      <c r="F4" s="3"/>
      <c r="G4" s="3"/>
      <c r="H4" s="3"/>
      <c r="I4" s="3"/>
    </row>
    <row r="6" spans="2:4" ht="15">
      <c r="B6" s="4" t="s">
        <v>3</v>
      </c>
      <c r="C6" s="4" t="s">
        <v>4</v>
      </c>
      <c r="D6" s="4" t="s">
        <v>5</v>
      </c>
    </row>
    <row r="7" spans="1:5" ht="15">
      <c r="A7" t="s">
        <v>6</v>
      </c>
      <c r="B7" s="4"/>
      <c r="C7" s="5">
        <v>0.84952279580108625</v>
      </c>
      <c r="D7" s="5">
        <v>0.15047720419891378</v>
      </c>
      <c r="E7" t="s">
        <v>7</v>
      </c>
    </row>
    <row r="8" spans="1:10" ht="13.7" customHeight="1">
      <c r="A8" t="s">
        <v>8</v>
      </c>
      <c r="B8" s="6">
        <v>14823404</v>
      </c>
      <c r="C8" s="6">
        <f>B8*C7</f>
        <v>12592819.609369006</v>
      </c>
      <c r="D8" s="6">
        <f>B8*D7</f>
        <v>2230584.3906309954</v>
      </c>
      <c r="F8" s="7"/>
      <c r="G8" s="7"/>
      <c r="H8" s="8"/>
      <c r="I8" s="9"/>
      <c r="J8" s="9"/>
    </row>
    <row r="9" spans="1:10" ht="15">
      <c r="A9" t="s">
        <v>9</v>
      </c>
      <c r="B9" s="10">
        <v>12847037</v>
      </c>
      <c r="C9" s="10">
        <f>B9*C7</f>
        <v>10913850.789999999</v>
      </c>
      <c r="D9" s="10">
        <f>B9*D7</f>
        <v>1933186.2100000007</v>
      </c>
      <c r="F9" s="7"/>
      <c r="G9" s="7"/>
      <c r="H9" s="8"/>
      <c r="I9" s="9"/>
      <c r="J9" s="9"/>
    </row>
    <row r="10" spans="1:10" ht="15">
      <c r="A10" t="s">
        <v>10</v>
      </c>
      <c r="B10" s="6">
        <f>B8-B9</f>
        <v>1976367</v>
      </c>
      <c r="C10" s="6">
        <f>C8-C9</f>
        <v>1678968.8193690069</v>
      </c>
      <c r="D10" s="6">
        <f>D8-D9</f>
        <v>297398.18063099473</v>
      </c>
      <c r="E10" t="s">
        <v>11</v>
      </c>
      <c r="F10" s="7"/>
      <c r="G10" s="7"/>
      <c r="H10" s="8"/>
      <c r="I10" s="9"/>
      <c r="J10" s="9"/>
    </row>
    <row r="11" spans="6:10" ht="15">
      <c r="F11" s="7"/>
      <c r="G11" s="7"/>
      <c r="H11" s="8"/>
      <c r="I11" s="9"/>
      <c r="J11" s="9"/>
    </row>
    <row r="12" spans="1:10" ht="15">
      <c r="A12" t="s">
        <v>12</v>
      </c>
      <c r="B12" s="10">
        <v>400000</v>
      </c>
      <c r="C12" s="10">
        <f>B12*C7</f>
        <v>339809.11832043453</v>
      </c>
      <c r="D12" s="10">
        <f>B12-C12</f>
        <v>60190.881679565471</v>
      </c>
      <c r="E12" t="s">
        <v>13</v>
      </c>
      <c r="F12" s="7"/>
      <c r="G12" s="7"/>
      <c r="H12" s="8"/>
      <c r="I12" s="9"/>
      <c r="J12" s="9"/>
    </row>
    <row r="13" spans="2:10" ht="15">
      <c r="B13" s="6"/>
      <c r="C13" s="6"/>
      <c r="D13" s="6"/>
      <c r="F13" s="7"/>
      <c r="G13" s="7"/>
      <c r="H13" s="8"/>
      <c r="I13" s="9"/>
      <c r="J13" s="9"/>
    </row>
    <row r="14" spans="1:4" ht="15">
      <c r="A14" s="11" t="s">
        <v>14</v>
      </c>
      <c r="B14" s="12">
        <f>B10+B12</f>
        <v>2376367</v>
      </c>
      <c r="C14" s="12">
        <f t="shared" si="0" ref="C14:D14">C10+C12</f>
        <v>2018777.9376894415</v>
      </c>
      <c r="D14" s="12">
        <f t="shared" si="0"/>
        <v>357589.0623105602</v>
      </c>
    </row>
    <row r="15" spans="1:5" ht="15">
      <c r="A15" t="s">
        <v>15</v>
      </c>
      <c r="B15" s="13">
        <v>0.46566865849001887</v>
      </c>
      <c r="C15" s="13">
        <f>+B15</f>
        <v>0.46566865849001887</v>
      </c>
      <c r="D15" s="13">
        <f>+B15</f>
        <v>0.46566865849001887</v>
      </c>
      <c r="E15" t="s">
        <v>16</v>
      </c>
    </row>
    <row r="16" spans="1:5" ht="15.75" thickBot="1">
      <c r="A16" s="11"/>
      <c r="B16" s="11"/>
      <c r="C16" s="11"/>
      <c r="D16" s="11"/>
      <c r="E16" s="11"/>
    </row>
    <row r="17" spans="1:5" ht="15.75" thickBot="1">
      <c r="A17" s="21" t="s">
        <v>17</v>
      </c>
      <c r="B17" s="22">
        <f>B10*B15</f>
        <v>920332.16957394313</v>
      </c>
      <c r="C17" s="22">
        <f t="shared" si="1" ref="C17:D17">C10*C15</f>
        <v>781843.15776213631</v>
      </c>
      <c r="D17" s="23">
        <f t="shared" si="1"/>
        <v>138489.01181180764</v>
      </c>
      <c r="E17" s="11"/>
    </row>
    <row r="18" spans="1:5" ht="15">
      <c r="A18" s="11"/>
      <c r="B18" s="11"/>
      <c r="C18" s="11"/>
      <c r="D18" s="19"/>
      <c r="E18" s="11"/>
    </row>
    <row r="19" spans="1:5" s="14" customFormat="1" ht="15">
      <c r="A19" s="11"/>
      <c r="B19" s="20"/>
      <c r="C19" s="11"/>
      <c r="D19" s="11"/>
      <c r="E19" s="11"/>
    </row>
    <row r="20" spans="2:4" ht="15">
      <c r="B20" s="15"/>
      <c r="C20" s="15"/>
      <c r="D20" s="15"/>
    </row>
    <row r="21" spans="2:4" ht="15">
      <c r="B21" s="16"/>
      <c r="C21" s="17"/>
      <c r="D21" s="17"/>
    </row>
    <row r="23" spans="2:4" ht="15">
      <c r="B23" s="18"/>
      <c r="C23" s="18"/>
      <c r="D23" s="18"/>
    </row>
  </sheetData>
  <dataValidations count="1">
    <dataValidation type="textLength" showInputMessage="1" showErrorMessage="1" prompt="Required, Maximum 254 Characters" error="Mut be between 1 and 254 Characters" sqref="A4:B4">
      <formula1>1</formula1>
      <formula2>254</formula2>
    </dataValidation>
  </dataValidations>
  <printOptions horizontalCentered="1"/>
  <pageMargins left="0.5" right="0.5" top="1.5" bottom="0.5" header="1" footer="0.3"/>
  <pageSetup orientation="landscape" scale="87" r:id="rId1"/>
  <headerFooter>
    <oddHeader>&amp;R&amp;"-,Bold"WP/II-D ADJUSTMENT /5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FAS 112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