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120" yWindow="135" windowWidth="12120" windowHeight="9090" activeTab="0"/>
  </bookViews>
  <sheets>
    <sheet name="Sheet1" sheetId="1" r:id="rId2"/>
  </sheets>
  <definedNames>
    <definedName name="NvsAnswerCol" localSheetId="0">"'[DR_2384551_2384661_Oper Exp_SGA_Oth Deductions-YTD 2022 Jan.xls]Sheet1'!$A$7:$A$139"</definedName>
    <definedName name="NvsASD">"V2022-01-31"</definedName>
    <definedName name="NvsAutoDrillOk">"VY"</definedName>
    <definedName name="NvsElapsedTime">0.0000347222230629995</definedName>
    <definedName name="NvsEndTime">44602.3983796296</definedName>
    <definedName name="NvsInstCritOpt" localSheetId="0">"S"</definedName>
    <definedName name="NvsInstLang">"VENG"</definedName>
    <definedName name="NvsInstSpec">"%,QUVLR_OPER_EXP_OTH_SGA,SYTD-1YR,FBUSINESS_UNIT,TF_BU_D_BASE,N3DELV,FCURRENCY_CD,VUSD,FTU_EC,V853"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ParentRef">"'[Oper Exp_SGA_Oth Deductions-YTD 2022 Jan.xls]Sheet1'!$E$201"</definedName>
    <definedName name="NvsQueryName" localSheetId="0">"TU_ARV_DIST_DRILL"</definedName>
    <definedName name="NvsReqBU">"VX0001"</definedName>
    <definedName name="NvsReqBUOnly">"VN"</definedName>
    <definedName name="NvsRowCount" localSheetId="0">133</definedName>
    <definedName name="NvsSheetType" localSheetId="0">"T"</definedName>
    <definedName name="NvsTranslateLedger">Sheet1!$A$9</definedName>
    <definedName name="NvsTransLed">"VY"</definedName>
    <definedName name="NvsTreeASD">"V2022-01-31"</definedName>
    <definedName name="NvsUpdateOption" localSheetId="0">"N"</definedName>
    <definedName name="_xlnm.Print_Area" localSheetId="0">Sheet1!$A$1:$Q$11</definedName>
  </definedNames>
  <calcPr calcId="152511"/>
</workbook>
</file>

<file path=xl/calcChain.xml><?xml version="1.0" encoding="utf-8"?>
<calcChain xmlns="http://schemas.openxmlformats.org/spreadsheetml/2006/main">
  <c r="A9" i="1" l="1"/>
</calcChain>
</file>

<file path=xl/sharedStrings.xml><?xml version="1.0" encoding="utf-8"?>
<sst xmlns="http://schemas.openxmlformats.org/spreadsheetml/2006/main" count="33" uniqueCount="33">
  <si>
    <t>Journal</t>
  </si>
  <si>
    <t>Account</t>
  </si>
  <si>
    <t>Activity</t>
  </si>
  <si>
    <t>Monetary Amount</t>
  </si>
  <si>
    <t>Period</t>
  </si>
  <si>
    <t>Year</t>
  </si>
  <si>
    <t>Ledger</t>
  </si>
  <si>
    <t>Acctg Date</t>
  </si>
  <si>
    <t>Template</t>
  </si>
  <si>
    <t>EC</t>
  </si>
  <si>
    <t>Project ID</t>
  </si>
  <si>
    <t>Location</t>
  </si>
  <si>
    <t>Feeder ID</t>
  </si>
  <si>
    <t>Deposit ID</t>
  </si>
  <si>
    <t>Deptid</t>
  </si>
  <si>
    <t>BU</t>
  </si>
  <si>
    <t>AR Dist. Detail</t>
  </si>
  <si>
    <t>ACTUALS</t>
  </si>
  <si>
    <t>853</t>
  </si>
  <si>
    <t>0000</t>
  </si>
  <si>
    <t>A7</t>
  </si>
  <si>
    <t>AR_DIRJRNL</t>
  </si>
  <si>
    <t>2021-01-28</t>
  </si>
  <si>
    <t>TRN</t>
  </si>
  <si>
    <t>515522</t>
  </si>
  <si>
    <t>5710000</t>
  </si>
  <si>
    <t>262S</t>
  </si>
  <si>
    <t>20P52902</t>
  </si>
  <si>
    <t>1023962</t>
  </si>
  <si>
    <t>ARDJ954261</t>
  </si>
  <si>
    <t>O&amp;M project 20P52902 - North Network Under ground Dig-in</t>
  </si>
  <si>
    <t>2021 reimbursement for 2020 repair</t>
  </si>
  <si>
    <t>FINANCIAL INFORMATION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</si>
</sst>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/yy\ h:mm\ AM/PM"/>
  </numFmts>
  <fonts count="6"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MS Sans Serif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</border>
    <border>
      <left/>
      <right style="medium">
        <color auto="1"/>
      </right>
      <top style="medium">
        <color auto="1"/>
      </top>
      <bottom style="medium">
        <color auto="1"/>
      </bottom>
    </border>
    <border>
      <left style="medium">
        <color auto="1"/>
      </left>
      <right/>
      <top style="medium">
        <color auto="1"/>
      </top>
      <bottom style="medium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5" fillId="0" borderId="1">
      <alignment horizontal="center"/>
      <protection/>
    </xf>
  </cellStyleXfs>
  <cellXfs count="19">
    <xf numFmtId="0" fontId="0" fillId="0" borderId="0" xfId="0"/>
    <xf numFmtId="0" fontId="3" fillId="0" borderId="0" xfId="0" applyFont="1"/>
    <xf numFmtId="0" fontId="0" fillId="0" borderId="0" xfId="0" applyFill="1"/>
    <xf numFmtId="0" fontId="3" fillId="0" borderId="0" xfId="0" applyFont="1" applyFill="1"/>
    <xf numFmtId="40" fontId="4" fillId="0" borderId="0" xfId="0" applyNumberFormat="1" applyFont="1" applyFill="1" applyAlignment="1">
      <alignment horizontal="left" wrapText="1"/>
    </xf>
    <xf numFmtId="40" fontId="0" fillId="0" borderId="0" xfId="0" applyNumberFormat="1" applyFill="1"/>
    <xf numFmtId="40" fontId="3" fillId="0" borderId="0" xfId="0" applyNumberFormat="1" applyFont="1" applyFill="1"/>
    <xf numFmtId="0" fontId="2" fillId="0" borderId="1" xfId="0" applyFont="1" applyFill="1" applyBorder="1"/>
    <xf numFmtId="164" fontId="4" fillId="0" borderId="0" xfId="0" applyNumberFormat="1" applyFont="1" applyFill="1" applyAlignment="1">
      <alignment horizontal="center"/>
    </xf>
    <xf numFmtId="0" fontId="5" fillId="0" borderId="1" xfId="20" applyFill="1" applyBorder="1" applyAlignment="1">
      <alignment horizontal="center" wrapText="1"/>
      <protection/>
    </xf>
    <xf numFmtId="0" fontId="5" fillId="0" borderId="1" xfId="20" applyBorder="1" applyAlignment="1">
      <alignment horizontal="center" wrapText="1"/>
      <protection/>
    </xf>
    <xf numFmtId="0" fontId="5" fillId="0" borderId="1" xfId="20" applyFont="1" applyBorder="1" applyAlignment="1">
      <alignment horizontal="center" wrapText="1"/>
      <protection/>
    </xf>
    <xf numFmtId="0" fontId="5" fillId="0" borderId="1" xfId="20" applyFont="1" applyFill="1" applyBorder="1" applyAlignment="1">
      <alignment horizontal="center" wrapText="1"/>
      <protection/>
    </xf>
    <xf numFmtId="0" fontId="0" fillId="0" borderId="0" xfId="0" applyFont="1" applyFill="1"/>
    <xf numFmtId="0" fontId="2" fillId="0" borderId="2" xfId="0" applyFont="1" applyFill="1" applyBorder="1"/>
    <xf numFmtId="164" fontId="4" fillId="0" borderId="0" xfId="0" applyNumberFormat="1" applyFont="1" applyFill="1" applyAlignment="1">
      <alignment horizontal="center"/>
    </xf>
    <xf numFmtId="0" fontId="0" fillId="0" borderId="0" xfId="0" applyFill="1" quotePrefix="1"/>
    <xf numFmtId="43" fontId="0" fillId="0" borderId="0" xfId="0" applyNumberFormat="1" applyFill="1"/>
    <xf numFmtId="43" fontId="2" fillId="0" borderId="3" xfId="0" applyNumberFormat="1" applyFont="1" applyFill="1" applyBorder="1"/>
  </cellXfs>
  <cellStyles count="7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PSHeading" xfId="2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P11"/>
  <sheetViews>
    <sheetView tabSelected="1" workbookViewId="0" topLeftCell="A1">
      <pane xSplit="2" ySplit="5" topLeftCell="C6" activePane="bottomRight" state="frozen"/>
      <selection pane="topLeft" activeCell="A1" sqref="A1"/>
      <selection pane="bottomLeft" activeCell="A7" sqref="A7"/>
      <selection pane="topRight" activeCell="D1" sqref="D1"/>
      <selection pane="bottomRight" activeCell="K16" sqref="K16"/>
    </sheetView>
  </sheetViews>
  <sheetFormatPr defaultRowHeight="12.75"/>
  <cols>
    <col min="1" max="1" width="9.14285714285714" style="2" customWidth="1"/>
    <col min="2" max="2" width="4.57142857142857" style="2" bestFit="1" customWidth="1"/>
    <col min="3" max="3" width="7.85714285714286" style="2" customWidth="1"/>
    <col min="4" max="4" width="6" style="2" customWidth="1"/>
    <col min="5" max="5" width="7.85714285714286" style="2" customWidth="1"/>
    <col min="6" max="6" width="9.14285714285714" style="2" customWidth="1"/>
    <col min="7" max="7" width="4.14285714285714" style="2" customWidth="1"/>
    <col min="8" max="8" width="9.71428571428571" style="2" customWidth="1"/>
    <col min="9" max="9" width="8.42857142857143" style="2" customWidth="1"/>
    <col min="10" max="10" width="11" style="2" bestFit="1" customWidth="1"/>
    <col min="11" max="11" width="20.5714285714286" style="5" customWidth="1"/>
    <col min="12" max="12" width="8.42857142857143" style="2" customWidth="1"/>
    <col min="13" max="13" width="9" style="2" customWidth="1"/>
    <col min="14" max="14" width="12" style="2" customWidth="1"/>
    <col min="15" max="15" width="10.1428571428571" style="2" bestFit="1" customWidth="1"/>
    <col min="16" max="16" width="11.7142857142857" style="2" bestFit="1" customWidth="1"/>
  </cols>
  <sheetData>
    <row r="1" spans="1:16" s="1" customFormat="1" ht="15.75">
      <c r="A1" s="3" t="s">
        <v>32</v>
      </c>
      <c r="B1" s="3"/>
      <c r="C1" s="3"/>
      <c r="D1" s="3"/>
      <c r="E1" s="3"/>
      <c r="F1" s="3"/>
      <c r="G1" s="3"/>
      <c r="H1" s="3"/>
      <c r="I1" s="3"/>
      <c r="J1" s="3"/>
      <c r="K1" s="6"/>
      <c r="L1" s="3"/>
      <c r="M1" s="3"/>
      <c r="N1" s="3"/>
      <c r="P1" s="3"/>
    </row>
    <row r="3" spans="1:16" s="1" customFormat="1" ht="15.75">
      <c r="A3" s="3" t="s">
        <v>16</v>
      </c>
      <c r="B3" s="3"/>
      <c r="C3" s="3"/>
      <c r="D3" s="3"/>
      <c r="E3" s="3"/>
      <c r="F3" s="3"/>
      <c r="G3" s="3"/>
      <c r="H3" s="3"/>
      <c r="I3" s="3"/>
      <c r="J3" s="3"/>
      <c r="K3" s="6"/>
      <c r="L3" s="3"/>
      <c r="M3" s="3"/>
      <c r="N3" s="3"/>
      <c r="P3" s="3"/>
    </row>
    <row r="4" spans="1:16" s="1" customFormat="1" ht="15.75">
      <c r="A4" s="3"/>
      <c r="B4" s="3"/>
      <c r="C4" s="3"/>
      <c r="D4" s="3"/>
      <c r="E4" s="3"/>
      <c r="F4" s="3"/>
      <c r="G4" s="3"/>
      <c r="H4" s="3"/>
      <c r="I4" s="3"/>
      <c r="J4" s="3"/>
      <c r="K4" s="6"/>
      <c r="L4" s="3"/>
      <c r="M4" s="3"/>
      <c r="N4" s="3"/>
      <c r="O4" s="3"/>
      <c r="P4" s="3"/>
    </row>
    <row r="5" spans="1:16" s="7" customFormat="1" ht="36" customHeight="1" thickBot="1">
      <c r="A5" s="9" t="s">
        <v>6</v>
      </c>
      <c r="B5" s="7" t="s">
        <v>15</v>
      </c>
      <c r="C5" s="9" t="s">
        <v>4</v>
      </c>
      <c r="D5" s="10" t="s">
        <v>5</v>
      </c>
      <c r="E5" s="11" t="s">
        <v>14</v>
      </c>
      <c r="F5" s="9" t="s">
        <v>1</v>
      </c>
      <c r="G5" s="10" t="s">
        <v>9</v>
      </c>
      <c r="H5" s="10" t="s">
        <v>11</v>
      </c>
      <c r="I5" s="10" t="s">
        <v>2</v>
      </c>
      <c r="J5" s="10" t="s">
        <v>10</v>
      </c>
      <c r="K5" s="9" t="s">
        <v>3</v>
      </c>
      <c r="L5" s="10" t="s">
        <v>12</v>
      </c>
      <c r="M5" s="10" t="s">
        <v>13</v>
      </c>
      <c r="N5" s="9" t="s">
        <v>8</v>
      </c>
      <c r="O5" s="12" t="s">
        <v>7</v>
      </c>
      <c r="P5" s="10" t="s">
        <v>0</v>
      </c>
    </row>
    <row r="6" spans="1:16" s="2" customFormat="1" ht="12.75">
      <c r="A6" s="2" t="s">
        <v>17</v>
      </c>
      <c r="B6" s="2" t="s">
        <v>23</v>
      </c>
      <c r="C6" s="2">
        <v>1</v>
      </c>
      <c r="D6" s="2">
        <v>2021</v>
      </c>
      <c r="E6" s="2" t="s">
        <v>24</v>
      </c>
      <c r="F6" s="2" t="s">
        <v>25</v>
      </c>
      <c r="G6" s="2" t="s">
        <v>18</v>
      </c>
      <c r="H6" s="2" t="s">
        <v>19</v>
      </c>
      <c r="I6" s="2" t="s">
        <v>26</v>
      </c>
      <c r="J6" s="2" t="s">
        <v>27</v>
      </c>
      <c r="K6" s="17">
        <v>-444308.09000000003</v>
      </c>
      <c r="L6" s="2" t="s">
        <v>20</v>
      </c>
      <c r="M6" s="2" t="s">
        <v>28</v>
      </c>
      <c r="N6" s="2" t="s">
        <v>21</v>
      </c>
      <c r="O6" s="16" t="s">
        <v>22</v>
      </c>
      <c r="P6" s="2" t="s">
        <v>29</v>
      </c>
    </row>
    <row r="7" spans="11:11" ht="13.5" thickBot="1">
      <c r="K7" s="17"/>
    </row>
    <row r="8" spans="1:14" ht="13.5" thickBot="1">
      <c r="A8" s="4"/>
      <c r="B8" s="15"/>
      <c r="C8" s="15"/>
      <c r="K8" s="18">
        <f>-K6</f>
        <v>444308.09000000003</v>
      </c>
      <c r="L8" s="14"/>
      <c r="N8" s="8"/>
    </row>
    <row r="9" spans="1:1" ht="12.75" hidden="1">
      <c r="A9" s="2" t="str">
        <f>"Y"</f>
        <v>Y</v>
      </c>
    </row>
    <row r="10" spans="11:11" ht="12.75">
      <c r="K10" s="13" t="s">
        <v>30</v>
      </c>
    </row>
    <row r="11" spans="11:11" ht="12.75">
      <c r="K11" s="13" t="s">
        <v>31</v>
      </c>
    </row>
  </sheetData>
  <mergeCells count="1">
    <mergeCell ref="B8:C8"/>
  </mergeCells>
  <printOptions horizontalCentered="1"/>
  <pageMargins left="0.5" right="0.5" top="1.5" bottom="0.5" header="1" footer="0.5"/>
  <pageSetup orientation="landscape" scale="80" r:id="rId1"/>
  <headerFooter alignWithMargins="0">
    <oddHeader>&amp;R&amp;"Arial,Bold"WP/II-D ADJUSTMENT /6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