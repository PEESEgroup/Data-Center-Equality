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20" yWindow="135" windowWidth="12120" windowHeight="9090" activeTab="0"/>
  </bookViews>
  <sheets>
    <sheet name="K&amp;M" sheetId="1" r:id="rId3"/>
  </sheets>
  <definedNames>
    <definedName name="NvsAnswerCol" localSheetId="0">"'[DR_2379579_2384873_Oper Exp_SGA_Oth Deductions-YTD 2021 Dec.xls]Sheet1'!$A$7:$A$11"</definedName>
    <definedName name="NvsASD">"V2021-12-31"</definedName>
    <definedName name="NvsAutoDrillOk">"VY"</definedName>
    <definedName name="NvsElapsedTime">0.0000347222230629995</definedName>
    <definedName name="NvsEndTime">44602.7055902778</definedName>
    <definedName name="NvsInstCritOpt" localSheetId="0">"S"</definedName>
    <definedName name="NvsInstLang">"VENG"</definedName>
    <definedName name="NvsInstSpec">"%,QUVLR_OPER_EXP_OTH_SGA,SYTD,FBUSINESS_UNIT,TF_BU_D_BASE,N3DELV,FCURRENCY_CD,VUSD,FTU_EC,V055"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"'[Oper Exp_SGA_Oth Deductions-YTD 2021 Dec.xls]Sheet1'!$D$18"</definedName>
    <definedName name="NvsQueryName" localSheetId="0">"TU_PUR_DIST_DRILL"</definedName>
    <definedName name="NvsReqBU">"VX0001"</definedName>
    <definedName name="NvsReqBUOnly">"VN"</definedName>
    <definedName name="NvsRowCount" localSheetId="0">5</definedName>
    <definedName name="NvsSheetType" localSheetId="0">"T"</definedName>
    <definedName name="NvsTranslateLedger">'K&amp;M'!$A$13</definedName>
    <definedName name="NvsTransLed">"VY"</definedName>
    <definedName name="NvsTreeASD">"V2021-12-31"</definedName>
    <definedName name="NvsUpdateOption" localSheetId="0">"N"</definedName>
    <definedName name="_xlnm.Print_Area" localSheetId="0">'K&amp;M'!$A$1:$S$14</definedName>
    <definedName name="_xlnm.Print_Titles" localSheetId="0">'K&amp;M'!$3:$7</definedName>
  </definedNames>
  <calcPr calcId="152511" iterate="1" iterateCount="100" iterateDelta="0.001"/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<sst xmlns="http://schemas.openxmlformats.org/spreadsheetml/2006/main" count="40" uniqueCount="38">
  <si>
    <t>PURCHASE DRILL</t>
  </si>
  <si>
    <t>Ledger</t>
  </si>
  <si>
    <t>Template</t>
  </si>
  <si>
    <t>Journal</t>
  </si>
  <si>
    <t>DeptID</t>
  </si>
  <si>
    <t>Account</t>
  </si>
  <si>
    <t>Expnd Cd</t>
  </si>
  <si>
    <t>TU Loc</t>
  </si>
  <si>
    <t>Proj</t>
  </si>
  <si>
    <t>Activity</t>
  </si>
  <si>
    <t>Monetary Amount</t>
  </si>
  <si>
    <t>Period</t>
  </si>
  <si>
    <t>Year</t>
  </si>
  <si>
    <t>Vendor Name</t>
  </si>
  <si>
    <t>checkno</t>
  </si>
  <si>
    <t>Invoice Number</t>
  </si>
  <si>
    <t>New Voucher ID</t>
  </si>
  <si>
    <t>PMMS Voucher Number</t>
  </si>
  <si>
    <t>New Vendor ID</t>
  </si>
  <si>
    <t>PMMS Vendor ID</t>
  </si>
  <si>
    <t>ACTUALS</t>
  </si>
  <si>
    <t>PURCHASE</t>
  </si>
  <si>
    <t>JPR0956683</t>
  </si>
  <si>
    <t>556100</t>
  </si>
  <si>
    <t>9302000</t>
  </si>
  <si>
    <t>055</t>
  </si>
  <si>
    <t>0000</t>
  </si>
  <si>
    <t>00000000</t>
  </si>
  <si>
    <t>00493410</t>
  </si>
  <si>
    <t>INTRALINKS INC</t>
  </si>
  <si>
    <t>3020010</t>
  </si>
  <si>
    <t>000790450</t>
  </si>
  <si>
    <t>2200381305</t>
  </si>
  <si>
    <t>INV01119894</t>
  </si>
  <si>
    <t>Exclude SDTS Bond Reporting Exchange</t>
  </si>
  <si>
    <t>Oncor Electric Delivery Company LLC</t>
  </si>
  <si>
    <t>K&amp;M O&amp;M Adjustment to remove bond reporting exchange fee</t>
  </si>
  <si>
    <t>FINANCIAL INFORMATION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</si>
</sst>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/yy\ h:mm\ AM/PM"/>
  </numFmts>
  <fonts count="5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double">
        <color auto="1"/>
      </bottom>
    </border>
    <border>
      <left/>
      <right/>
      <top/>
      <bottom style="thick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0" fillId="0" borderId="0" xfId="0" applyFill="1"/>
    <xf numFmtId="0" fontId="2" fillId="0" borderId="1" xfId="0" applyFont="1" applyFill="1" applyBorder="1"/>
    <xf numFmtId="0" fontId="3" fillId="0" borderId="0" xfId="0" applyFont="1" applyFill="1"/>
    <xf numFmtId="40" fontId="4" fillId="0" borderId="0" xfId="0" applyNumberFormat="1" applyFont="1" applyFill="1" applyAlignment="1">
      <alignment horizontal="left" wrapText="1"/>
    </xf>
    <xf numFmtId="40" fontId="0" fillId="0" borderId="0" xfId="0" applyNumberFormat="1" applyFill="1"/>
    <xf numFmtId="40" fontId="3" fillId="0" borderId="0" xfId="0" applyNumberFormat="1" applyFont="1" applyFill="1"/>
    <xf numFmtId="40" fontId="2" fillId="0" borderId="1" xfId="0" applyNumberFormat="1" applyFont="1" applyFill="1" applyBorder="1"/>
    <xf numFmtId="0" fontId="2" fillId="0" borderId="2" xfId="0" applyFont="1" applyFill="1" applyBorder="1" applyAlignment="1">
      <alignment wrapText="1"/>
    </xf>
    <xf numFmtId="40" fontId="2" fillId="0" borderId="2" xfId="0" applyNumberFormat="1" applyFont="1" applyFill="1" applyBorder="1" applyAlignment="1">
      <alignment wrapText="1"/>
    </xf>
    <xf numFmtId="0" fontId="0" fillId="0" borderId="0" xfId="0" applyFill="1" quotePrefix="1"/>
    <xf numFmtId="43" fontId="2" fillId="0" borderId="3" xfId="18" applyFont="1" applyFill="1" applyBorder="1"/>
    <xf numFmtId="0" fontId="2" fillId="0" borderId="4" xfId="0" applyFont="1" applyFill="1" applyBorder="1"/>
    <xf numFmtId="0" fontId="2" fillId="0" borderId="5" xfId="0" applyFont="1" applyFill="1" applyBorder="1"/>
    <xf numFmtId="0" fontId="0" fillId="0" borderId="4" xfId="0" applyFill="1" applyBorder="1"/>
    <xf numFmtId="0" fontId="0" fillId="0" borderId="5" xfId="0" applyFill="1" applyBorder="1"/>
    <xf numFmtId="164" fontId="4" fillId="0" borderId="0" xfId="0" applyNumberFormat="1" applyFont="1" applyFill="1" applyAlignment="1">
      <alignment horizont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styles" Target="styles.xml" /><Relationship Id="rId6" Type="http://schemas.openxmlformats.org/officeDocument/2006/relationships/calcChain" Target="calcChain.xml" /><Relationship Id="rId3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pageSetUpPr fitToPage="1"/>
  </sheetPr>
  <dimension ref="A1:S13"/>
  <sheetViews>
    <sheetView tabSelected="1" workbookViewId="0" topLeftCell="A1">
      <pane xSplit="3" ySplit="7" topLeftCell="D8" activePane="bottomRight" state="frozen"/>
      <selection pane="topLeft" activeCell="B2" sqref="B2"/>
      <selection pane="bottomLeft" activeCell="B7" sqref="B7"/>
      <selection pane="topRight" activeCell="I2" sqref="I2"/>
      <selection pane="bottomRight" activeCell="H26" sqref="H26"/>
    </sheetView>
  </sheetViews>
  <sheetFormatPr defaultRowHeight="12.75" customHeight="1"/>
  <cols>
    <col min="1" max="1" width="9.14285714285714" style="2" customWidth="1"/>
    <col min="2" max="2" width="11.2857142857143" style="2" customWidth="1"/>
    <col min="3" max="3" width="11.8571428571429" style="2" customWidth="1"/>
    <col min="4" max="4" width="5.14285714285714" style="2" customWidth="1"/>
    <col min="5" max="6" width="7" style="2" customWidth="1"/>
    <col min="7" max="7" width="8.28571428571429" style="2" customWidth="1"/>
    <col min="8" max="8" width="6.71428571428571" style="2" customWidth="1"/>
    <col min="9" max="9" width="7.28571428571429" style="2" customWidth="1"/>
    <col min="10" max="10" width="9" style="2" customWidth="1"/>
    <col min="11" max="11" width="7.57142857142857" style="2" customWidth="1"/>
    <col min="12" max="12" width="10.7142857142857" style="6" customWidth="1"/>
    <col min="13" max="14" width="9" style="2" customWidth="1"/>
    <col min="15" max="15" width="23.1428571428571" style="2" customWidth="1"/>
    <col min="16" max="16" width="8" style="2" customWidth="1"/>
    <col min="17" max="17" width="10" style="2" customWidth="1"/>
    <col min="18" max="18" width="11" style="2" customWidth="1"/>
    <col min="19" max="19" width="12.8571428571429" style="2" customWidth="1"/>
  </cols>
  <sheetData>
    <row r="1" spans="1:1" ht="12.75">
      <c r="A1" s="2" t="s">
        <v>35</v>
      </c>
    </row>
    <row r="2" spans="1:1" ht="12.75">
      <c r="A2" s="2" t="s">
        <v>36</v>
      </c>
    </row>
    <row r="3" spans="1:12" s="4" customFormat="1" ht="15.75">
      <c r="A3" s="4" t="s">
        <v>37</v>
      </c>
      <c r="L3" s="7"/>
    </row>
    <row r="5" spans="1:19" s="1" customFormat="1" ht="15.75">
      <c r="A5" s="4" t="s">
        <v>0</v>
      </c>
      <c r="B5" s="4"/>
      <c r="C5" s="4"/>
      <c r="D5" s="4"/>
      <c r="E5" s="4"/>
      <c r="F5" s="4"/>
      <c r="G5" s="4"/>
      <c r="H5" s="4"/>
      <c r="I5" s="4"/>
      <c r="J5" s="4"/>
      <c r="K5" s="4"/>
      <c r="L5" s="7"/>
      <c r="M5" s="4"/>
      <c r="N5" s="4"/>
      <c r="O5" s="4"/>
      <c r="P5" s="4"/>
      <c r="Q5" s="4"/>
      <c r="R5" s="4"/>
      <c r="S5" s="4"/>
    </row>
    <row r="7" spans="1:19" s="9" customFormat="1" ht="39" thickBot="1">
      <c r="A7" s="9" t="s">
        <v>1</v>
      </c>
      <c r="B7" s="9" t="s">
        <v>2</v>
      </c>
      <c r="C7" s="9" t="s">
        <v>3</v>
      </c>
      <c r="D7" s="9" t="s">
        <v>12</v>
      </c>
      <c r="E7" s="9" t="s">
        <v>11</v>
      </c>
      <c r="F7" s="9" t="s">
        <v>4</v>
      </c>
      <c r="G7" s="9" t="s">
        <v>5</v>
      </c>
      <c r="H7" s="9" t="s">
        <v>6</v>
      </c>
      <c r="I7" s="9" t="s">
        <v>7</v>
      </c>
      <c r="J7" s="9" t="s">
        <v>8</v>
      </c>
      <c r="K7" s="9" t="s">
        <v>9</v>
      </c>
      <c r="L7" s="10" t="s">
        <v>10</v>
      </c>
      <c r="M7" s="9" t="s">
        <v>16</v>
      </c>
      <c r="N7" s="9" t="s">
        <v>17</v>
      </c>
      <c r="O7" s="9" t="s">
        <v>13</v>
      </c>
      <c r="P7" s="9" t="s">
        <v>18</v>
      </c>
      <c r="Q7" s="9" t="s">
        <v>19</v>
      </c>
      <c r="R7" s="9" t="s">
        <v>14</v>
      </c>
      <c r="S7" s="9" t="s">
        <v>15</v>
      </c>
    </row>
    <row r="8" spans="1:19" s="2" customFormat="1" ht="12.75" customHeight="1" thickTop="1">
      <c r="A8" s="2" t="s">
        <v>20</v>
      </c>
      <c r="B8" s="2" t="s">
        <v>21</v>
      </c>
      <c r="C8" s="2" t="s">
        <v>22</v>
      </c>
      <c r="D8" s="2">
        <v>2021</v>
      </c>
      <c r="E8" s="2">
        <v>4</v>
      </c>
      <c r="F8" s="2" t="s">
        <v>23</v>
      </c>
      <c r="G8" s="2" t="s">
        <v>24</v>
      </c>
      <c r="H8" s="2" t="s">
        <v>25</v>
      </c>
      <c r="I8" s="2" t="s">
        <v>26</v>
      </c>
      <c r="J8" s="2" t="s">
        <v>27</v>
      </c>
      <c r="K8" s="2" t="s">
        <v>26</v>
      </c>
      <c r="L8" s="6">
        <v>8010.5</v>
      </c>
      <c r="M8" s="11" t="s">
        <v>28</v>
      </c>
      <c r="N8" s="2" t="s">
        <v>28</v>
      </c>
      <c r="O8" s="2" t="s">
        <v>29</v>
      </c>
      <c r="P8" s="2" t="s">
        <v>30</v>
      </c>
      <c r="Q8" s="2" t="s">
        <v>31</v>
      </c>
      <c r="R8" s="2" t="s">
        <v>32</v>
      </c>
      <c r="S8" s="2" t="s">
        <v>33</v>
      </c>
    </row>
    <row r="9" spans="12:12" s="2" customFormat="1" ht="12.75" customHeight="1">
      <c r="L9" s="6"/>
    </row>
    <row r="10" spans="12:12" s="3" customFormat="1" ht="12.75" customHeight="1" thickBot="1">
      <c r="L10" s="8">
        <f>SUM(L8:L9)</f>
        <v>8010.5</v>
      </c>
    </row>
    <row r="11" ht="12.75" customHeight="1" thickTop="1" thickBot="1"/>
    <row r="12" spans="1:18" ht="22.5" customHeight="1" thickBot="1">
      <c r="A12" s="5"/>
      <c r="B12" s="17"/>
      <c r="C12" s="17"/>
      <c r="L12" s="12">
        <f>-L10</f>
        <v>-8010.5</v>
      </c>
      <c r="M12" s="13"/>
      <c r="N12" s="13"/>
      <c r="O12" s="14" t="s">
        <v>34</v>
      </c>
      <c r="P12" s="15"/>
      <c r="Q12" s="15"/>
      <c r="R12" s="16"/>
    </row>
    <row r="13" spans="1:1" ht="12.75" customHeight="1" hidden="1">
      <c r="A13" s="2" t="str">
        <f>"Y"</f>
        <v>Y</v>
      </c>
    </row>
  </sheetData>
  <mergeCells count="1">
    <mergeCell ref="B12:C12"/>
  </mergeCells>
  <printOptions horizontalCentered="1"/>
  <pageMargins left="0.5" right="0.5" top="1.5" bottom="0.5" header="1" footer="0.5"/>
  <pageSetup horizontalDpi="300" verticalDpi="300" orientation="landscape" scale="70" r:id="rId1"/>
  <headerFooter alignWithMargins="0">
    <oddHeader>&amp;R&amp;"Arial,Bold"WP/II-D ADJUSTMENT /22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