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105" yWindow="3450" windowWidth="12165" windowHeight="9090" activeTab="0"/>
  </bookViews>
  <sheets>
    <sheet name="Sheet1" sheetId="1" r:id="rId3"/>
    <sheet name="Updates" sheetId="2" state="hidden" r:id="rId4"/>
  </sheets>
  <definedNames>
    <definedName name="NvsAnswerCol" localSheetId="0">"'[DR_2372708_2372752_ESD Trial Balance Dec 2021.xls]Sheet1'!$A$7:$A$20"</definedName>
    <definedName name="NvsASD">"V2021-12-31"</definedName>
    <definedName name="NvsAutoDrillOk">"VN"</definedName>
    <definedName name="NvsElapsedTime">0.0000462962925666943</definedName>
    <definedName name="NvsEndTime">44578.393912037</definedName>
    <definedName name="NvsInstCritOpt" localSheetId="0">"S"</definedName>
    <definedName name="NvsInstLang">"VENG"</definedName>
    <definedName name="NvsInstSpec">"%,LTU_SUM01,SBAL,FPROJECT_ID,VEEACCRUE,FACCOUNT,V9080000"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ParentRef">"'[DR_2372527_2372708_ESD Trial Balance Dec 2021.xls]Sheet1'!$P$14"</definedName>
    <definedName name="NvsQueryName" localSheetId="0">"TU_JRNL_LINE_DRILL_NODESC"</definedName>
    <definedName name="NvsReqBU">"VESD"</definedName>
    <definedName name="NvsReqBUOnly">"VY"</definedName>
    <definedName name="NvsRowCount" localSheetId="0">14</definedName>
    <definedName name="NvsSheetType" localSheetId="0">"T"</definedName>
    <definedName name="NvsTranslateLedger">Sheet1!$B$28</definedName>
    <definedName name="NvsTransLed">"VY"</definedName>
    <definedName name="NvsTreeASD">"V2021-12-31"</definedName>
    <definedName name="NvsUpdateOption" localSheetId="0">"N"</definedName>
    <definedName name="_xlnm.Print_Area" localSheetId="0">Sheet1!$B$4:$O$30</definedName>
  </definedNames>
  <calcPr calcId="152511"/>
</workbook>
</file>

<file path=xl/calcChain.xml><?xml version="1.0" encoding="utf-8"?>
<calcChain xmlns="http://schemas.openxmlformats.org/spreadsheetml/2006/main">
  <c r="M30" i="1" l="1"/>
</calcChain>
</file>

<file path=xl/sharedStrings.xml><?xml version="1.0" encoding="utf-8"?>
<sst xmlns="http://schemas.openxmlformats.org/spreadsheetml/2006/main" count="209" uniqueCount="65">
  <si>
    <t>TU FINANCIAL INFORMATION MANAGEMENT REPORT</t>
  </si>
  <si>
    <t>%,OH</t>
  </si>
  <si>
    <t>%,OA</t>
  </si>
  <si>
    <t>%,OT</t>
  </si>
  <si>
    <t>Source</t>
  </si>
  <si>
    <t>%,HJournal,RJRNL_DRILL_VW,FJOURNAL_ID,B</t>
  </si>
  <si>
    <t>Journal</t>
  </si>
  <si>
    <t>%,HUnit,RJRNL_DRILL_VW,FBUSINESS_UNIT,B</t>
  </si>
  <si>
    <t>Unit</t>
  </si>
  <si>
    <t>%,HDate,RJRNL_DRILL_VW,FJOURNAL_DATE,B</t>
  </si>
  <si>
    <t>Date</t>
  </si>
  <si>
    <t>%,HDeptID,RJRNL_DRILL_VW,FDEPTID,B</t>
  </si>
  <si>
    <t>DeptID</t>
  </si>
  <si>
    <t>%,HAccount,RJRNL_DRILL_VW,FACCOUNT,B</t>
  </si>
  <si>
    <t>Account</t>
  </si>
  <si>
    <t>%,HExpnd Cd,RJRNL_DRILL_VW,FTU_EC,B</t>
  </si>
  <si>
    <t>Expnd Cd</t>
  </si>
  <si>
    <t>%,HProj,RJRNL_DRILL_VW,FPROJECT_ID,B</t>
  </si>
  <si>
    <t>Proj</t>
  </si>
  <si>
    <t>%,HActivity,RJRNL_DRILL_VW,FTU_ACTIVITY,B</t>
  </si>
  <si>
    <t>Activity</t>
  </si>
  <si>
    <t>%,HTU Loc,RJRNL_DRILL_VW,FTU_LOCATION,B</t>
  </si>
  <si>
    <t>TU Loc</t>
  </si>
  <si>
    <t>%,HAffl,RJRNL_DRILL_VW,FAFFILIATE,B</t>
  </si>
  <si>
    <t>Affl</t>
  </si>
  <si>
    <t>%,HMonetary Amount,RJRNL_DRILL_VW,FMONETARY_AMOUNT,B</t>
  </si>
  <si>
    <t>Monetary Amount</t>
  </si>
  <si>
    <t>%,HJournal Line Description,RJRNL_DRILL_VW,FLINE_DESCR,B</t>
  </si>
  <si>
    <t>Journal Line Description</t>
  </si>
  <si>
    <t>ALL SOURCE SUMMARY</t>
  </si>
  <si>
    <t>Report generated:</t>
  </si>
  <si>
    <t>%,OC</t>
  </si>
  <si>
    <t>Upload Journal Documentation</t>
  </si>
  <si>
    <t>%,HSource,RJRNL_DRILL_VW,FSOURCE</t>
  </si>
  <si>
    <t>ESD</t>
  </si>
  <si>
    <t>Updates:</t>
  </si>
  <si>
    <t>Per verbal request from Kenny Synatsck and verbal approval from Janie Bryant on 01/31/20:</t>
  </si>
  <si>
    <t>Hide blank columns I, K, and M to allow pivot table and filter functionalities.</t>
  </si>
  <si>
    <t>UJE</t>
  </si>
  <si>
    <t>0000326029</t>
  </si>
  <si>
    <t>0000962447</t>
  </si>
  <si>
    <t>0000966160</t>
  </si>
  <si>
    <t>2021-04-30</t>
  </si>
  <si>
    <t>519840</t>
  </si>
  <si>
    <t>9080000</t>
  </si>
  <si>
    <t>630</t>
  </si>
  <si>
    <t>EEACCRUE</t>
  </si>
  <si>
    <t>0000</t>
  </si>
  <si>
    <t>Monthly accrual - EECRF</t>
  </si>
  <si>
    <t>2021-11-30</t>
  </si>
  <si>
    <t>2021-06-30</t>
  </si>
  <si>
    <t>2021-03-31</t>
  </si>
  <si>
    <t>2021-09-30</t>
  </si>
  <si>
    <t>2021-12-31</t>
  </si>
  <si>
    <t>2021-05-31</t>
  </si>
  <si>
    <t>2021-07-31</t>
  </si>
  <si>
    <t>2021-02-28</t>
  </si>
  <si>
    <t>2021-08-31</t>
  </si>
  <si>
    <t>2021-01-31</t>
  </si>
  <si>
    <t>2021-10-31</t>
  </si>
  <si>
    <t>K&amp;M adjustment</t>
  </si>
  <si>
    <t>Exclude EECRF expenses (considered in annual EECRF application)</t>
  </si>
  <si>
    <t>Oncor Electric Delivery Company LLC</t>
  </si>
  <si>
    <t>K&amp;M Adjustment to remove EECRF program costs in O&amp;M</t>
  </si>
  <si>
    <t>Click Here To Select Upload Journal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</si>
</sst>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/yy\ h:mm\ AM/PM"/>
  </numFmts>
  <fonts count="8"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10"/>
      <name val="Times New Roman"/>
      <family val="1"/>
    </font>
    <font>
      <b/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double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/>
      <top/>
      <bottom style="thick">
        <color auto="1"/>
      </bottom>
    </border>
    <border>
      <left style="medium">
        <color auto="1"/>
      </left>
      <right/>
      <top style="medium">
        <color auto="1"/>
      </top>
      <bottom style="medium">
        <color auto="1"/>
      </bottom>
    </border>
    <border>
      <left/>
      <right style="medium">
        <color auto="1"/>
      </right>
      <top style="medium">
        <color auto="1"/>
      </top>
      <bottom style="medium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24">
    <xf numFmtId="0" fontId="0" fillId="0" borderId="0" xfId="0"/>
    <xf numFmtId="0" fontId="3" fillId="0" borderId="0" xfId="0" applyFont="1"/>
    <xf numFmtId="0" fontId="0" fillId="0" borderId="0" xfId="0" applyFill="1"/>
    <xf numFmtId="0" fontId="3" fillId="0" borderId="0" xfId="0" applyFont="1" applyFill="1"/>
    <xf numFmtId="0" fontId="2" fillId="0" borderId="1" xfId="0" applyFont="1" applyFill="1" applyBorder="1"/>
    <xf numFmtId="40" fontId="4" fillId="0" borderId="0" xfId="0" applyNumberFormat="1" applyFont="1" applyFill="1" applyAlignment="1">
      <alignment horizontal="left" wrapText="1"/>
    </xf>
    <xf numFmtId="40" fontId="0" fillId="0" borderId="0" xfId="0" applyNumberFormat="1" applyFill="1"/>
    <xf numFmtId="40" fontId="3" fillId="0" borderId="0" xfId="0" applyNumberFormat="1" applyFont="1" applyFill="1"/>
    <xf numFmtId="40" fontId="2" fillId="0" borderId="1" xfId="0" applyNumberFormat="1" applyFont="1" applyFill="1" applyBorder="1"/>
    <xf numFmtId="0" fontId="5" fillId="0" borderId="2" xfId="0" applyFont="1" applyFill="1" applyBorder="1" applyAlignment="1" quotePrefix="1">
      <alignment horizontal="center" vertical="center"/>
    </xf>
    <xf numFmtId="164" fontId="4" fillId="0" borderId="0" xfId="0" applyNumberFormat="1" applyFont="1" applyFill="1" applyAlignment="1">
      <alignment horizontal="left"/>
    </xf>
    <xf numFmtId="46" fontId="4" fillId="0" borderId="0" xfId="0" applyNumberFormat="1" applyFont="1"/>
    <xf numFmtId="0" fontId="2" fillId="0" borderId="3" xfId="0" applyFont="1" applyFill="1" applyBorder="1" applyAlignment="1">
      <alignment wrapText="1"/>
    </xf>
    <xf numFmtId="40" fontId="2" fillId="0" borderId="3" xfId="0" applyNumberFormat="1" applyFont="1" applyFill="1" applyBorder="1" applyAlignment="1">
      <alignment wrapText="1"/>
    </xf>
    <xf numFmtId="22" fontId="0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/>
    <xf numFmtId="0" fontId="7" fillId="0" borderId="0" xfId="0" applyFont="1"/>
    <xf numFmtId="14" fontId="0" fillId="0" borderId="0" xfId="0" applyNumberFormat="1" applyFill="1" quotePrefix="1"/>
    <xf numFmtId="43" fontId="0" fillId="0" borderId="0" xfId="0" applyNumberFormat="1" applyFill="1"/>
    <xf numFmtId="40" fontId="0" fillId="0" borderId="0" xfId="0" applyNumberFormat="1" applyFont="1" applyFill="1"/>
    <xf numFmtId="43" fontId="2" fillId="0" borderId="4" xfId="0" applyNumberFormat="1" applyFont="1" applyFill="1" applyBorder="1"/>
    <xf numFmtId="0" fontId="2" fillId="0" borderId="5" xfId="0" applyFont="1" applyFill="1" applyBorder="1"/>
    <xf numFmtId="164" fontId="4" fillId="0" borderId="0" xfId="0" applyNumberFormat="1" applyFont="1" applyFill="1" applyAlignment="1">
      <alignment horizontal="center"/>
    </xf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styles" Target="styles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4" Type="http://schemas.openxmlformats.org/officeDocument/2006/relationships/worksheet" Target="worksheets/sheet2.xml" /><Relationship Id="rId6" Type="http://schemas.openxmlformats.org/officeDocument/2006/relationships/sharedStrings" Target="sharedStrings.xml" /><Relationship Id="rId3" Type="http://schemas.openxmlformats.org/officeDocument/2006/relationships/worksheet" Target="worksheets/sheet1.xml" /><Relationship Id="rId7" Type="http://schemas.openxmlformats.org/officeDocument/2006/relationships/calcChain" Target="calcChain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">
    <pageSetUpPr fitToPage="1"/>
  </sheetPr>
  <dimension ref="A1:AU30"/>
  <sheetViews>
    <sheetView tabSelected="1" workbookViewId="0" topLeftCell="A1">
      <pane xSplit="3" ySplit="8" topLeftCell="D9" activePane="bottomRight" state="frozen"/>
      <selection pane="topLeft" activeCell="B2" sqref="B2"/>
      <selection pane="bottomLeft" activeCell="B7" sqref="B7"/>
      <selection pane="topRight" activeCell="G2" sqref="G2"/>
      <selection pane="bottomRight" activeCell="F7" sqref="F7"/>
    </sheetView>
  </sheetViews>
  <sheetFormatPr defaultRowHeight="12.75"/>
  <cols>
    <col min="1" max="1" width="9.14285714285714" hidden="1" customWidth="1"/>
    <col min="2" max="2" width="9" style="2" customWidth="1"/>
    <col min="3" max="3" width="11" style="2" customWidth="1"/>
    <col min="4" max="4" width="4.85714285714286" style="2" customWidth="1"/>
    <col min="5" max="5" width="16.4285714285714" style="6" customWidth="1"/>
    <col min="6" max="6" width="29.2857142857143" style="2" customWidth="1"/>
    <col min="7" max="7" width="10.1428571428571" style="2" customWidth="1"/>
    <col min="8" max="8" width="7" style="2" customWidth="1"/>
    <col min="9" max="9" width="8.28571428571429" style="2" customWidth="1"/>
    <col min="10" max="10" width="6.71428571428571" style="2" customWidth="1"/>
    <col min="11" max="11" width="11.2857142857143" style="2" customWidth="1"/>
    <col min="12" max="12" width="7.57142857142857" style="2" customWidth="1"/>
    <col min="13" max="13" width="7.28571428571429" style="2" customWidth="1"/>
    <col min="14" max="14" width="4" style="2" customWidth="1"/>
    <col min="15" max="15" width="22.5714285714286" style="2" customWidth="1"/>
    <col min="30" max="30" width="9.42857142857143" bestFit="1" customWidth="1"/>
    <col min="47" max="47" width="12.8571428571429" bestFit="1" customWidth="1"/>
  </cols>
  <sheetData>
    <row r="1" spans="2:15" ht="16.5" customHeight="1" hidden="1">
      <c r="B1" s="2" t="s">
        <v>33</v>
      </c>
      <c r="C1" s="2" t="s">
        <v>5</v>
      </c>
      <c r="D1" s="2" t="s">
        <v>7</v>
      </c>
      <c r="E1" s="6" t="s">
        <v>25</v>
      </c>
      <c r="F1" s="2" t="s">
        <v>31</v>
      </c>
      <c r="G1" s="2" t="s">
        <v>9</v>
      </c>
      <c r="H1" s="2" t="s">
        <v>11</v>
      </c>
      <c r="I1" s="2" t="s">
        <v>13</v>
      </c>
      <c r="J1" s="2" t="s">
        <v>15</v>
      </c>
      <c r="K1" s="2" t="s">
        <v>17</v>
      </c>
      <c r="L1" s="2" t="s">
        <v>19</v>
      </c>
      <c r="M1" s="2" t="s">
        <v>21</v>
      </c>
      <c r="N1" s="2" t="s">
        <v>23</v>
      </c>
      <c r="O1" s="2" t="s">
        <v>27</v>
      </c>
    </row>
    <row r="2" spans="2:2" ht="16.5" customHeight="1">
      <c r="B2" s="2" t="s">
        <v>62</v>
      </c>
    </row>
    <row r="3" spans="2:2" ht="16.5" customHeight="1">
      <c r="B3" s="2" t="s">
        <v>63</v>
      </c>
    </row>
    <row r="4" spans="2:47" s="1" customFormat="1" ht="15.75">
      <c r="B4" s="3" t="s">
        <v>0</v>
      </c>
      <c r="C4" s="3"/>
      <c r="D4" s="3"/>
      <c r="E4" s="7"/>
      <c r="F4" s="3"/>
      <c r="G4" s="3"/>
      <c r="H4" s="3"/>
      <c r="I4" s="3"/>
      <c r="J4" s="3"/>
      <c r="K4" s="3"/>
      <c r="L4" s="3"/>
      <c r="M4" s="3"/>
      <c r="N4" s="3"/>
      <c r="O4" s="3"/>
      <c r="AD4" s="11">
        <f>NvsElapsedTime</f>
        <v>4.6296292566694319E-05</v>
      </c>
      <c r="AU4" s="14">
        <f ca="1">NOW()</f>
        <v>44663.53510601852</v>
      </c>
    </row>
    <row r="6" spans="2:15" s="1" customFormat="1" ht="15.75">
      <c r="B6" s="3" t="s">
        <v>29</v>
      </c>
      <c r="C6" s="3"/>
      <c r="D6" s="3"/>
      <c r="E6" s="7"/>
      <c r="F6" s="3"/>
      <c r="G6" s="3"/>
      <c r="H6" s="3"/>
      <c r="I6" s="3"/>
      <c r="J6" s="3"/>
      <c r="K6" s="3"/>
      <c r="L6" s="3"/>
      <c r="M6" s="3"/>
      <c r="N6" s="3"/>
      <c r="O6" s="3"/>
    </row>
    <row r="8" spans="1:15" s="12" customFormat="1" ht="26.25" thickBot="1">
      <c r="A8" s="12" t="s">
        <v>1</v>
      </c>
      <c r="B8" s="12" t="s">
        <v>4</v>
      </c>
      <c r="C8" s="12" t="s">
        <v>6</v>
      </c>
      <c r="D8" s="12" t="s">
        <v>8</v>
      </c>
      <c r="E8" s="13" t="s">
        <v>26</v>
      </c>
      <c r="F8" s="12" t="s">
        <v>32</v>
      </c>
      <c r="G8" s="12" t="s">
        <v>10</v>
      </c>
      <c r="H8" s="12" t="s">
        <v>12</v>
      </c>
      <c r="I8" s="12" t="s">
        <v>14</v>
      </c>
      <c r="J8" s="12" t="s">
        <v>16</v>
      </c>
      <c r="K8" s="12" t="s">
        <v>18</v>
      </c>
      <c r="L8" s="12" t="s">
        <v>20</v>
      </c>
      <c r="M8" s="12" t="s">
        <v>22</v>
      </c>
      <c r="N8" s="12" t="s">
        <v>24</v>
      </c>
      <c r="O8" s="12" t="s">
        <v>28</v>
      </c>
    </row>
    <row r="9" spans="1:15" s="2" customFormat="1" ht="13.5" thickTop="1">
      <c r="A9" s="2" t="s">
        <v>2</v>
      </c>
      <c r="B9" s="2" t="s">
        <v>38</v>
      </c>
      <c r="C9" s="15" t="s">
        <v>39</v>
      </c>
      <c r="D9" s="2" t="s">
        <v>34</v>
      </c>
      <c r="E9" s="19">
        <v>4474190.1399999997</v>
      </c>
      <c r="F9" s="9" t="s">
        <v>64</v>
      </c>
      <c r="G9" s="18" t="s">
        <v>58</v>
      </c>
      <c r="H9" s="2" t="s">
        <v>43</v>
      </c>
      <c r="I9" s="2" t="s">
        <v>44</v>
      </c>
      <c r="J9" s="2" t="s">
        <v>45</v>
      </c>
      <c r="K9" s="2" t="s">
        <v>46</v>
      </c>
      <c r="L9" s="2" t="s">
        <v>47</v>
      </c>
      <c r="M9" s="2" t="s">
        <v>47</v>
      </c>
      <c r="O9" s="2" t="s">
        <v>48</v>
      </c>
    </row>
    <row r="10" spans="2:15" s="2" customFormat="1" ht="12.75">
      <c r="B10" s="2" t="s">
        <v>38</v>
      </c>
      <c r="C10" s="15" t="s">
        <v>39</v>
      </c>
      <c r="D10" s="2" t="s">
        <v>34</v>
      </c>
      <c r="E10" s="19">
        <v>2025711.1599999999</v>
      </c>
      <c r="F10" s="9" t="s">
        <v>64</v>
      </c>
      <c r="G10" s="18" t="s">
        <v>56</v>
      </c>
      <c r="H10" s="2" t="s">
        <v>43</v>
      </c>
      <c r="I10" s="2" t="s">
        <v>44</v>
      </c>
      <c r="J10" s="2" t="s">
        <v>45</v>
      </c>
      <c r="K10" s="2" t="s">
        <v>46</v>
      </c>
      <c r="L10" s="2" t="s">
        <v>47</v>
      </c>
      <c r="M10" s="2" t="s">
        <v>47</v>
      </c>
      <c r="O10" s="2" t="s">
        <v>48</v>
      </c>
    </row>
    <row r="11" spans="2:15" s="2" customFormat="1" ht="12.75">
      <c r="B11" s="2" t="s">
        <v>38</v>
      </c>
      <c r="C11" s="15" t="s">
        <v>39</v>
      </c>
      <c r="D11" s="2" t="s">
        <v>34</v>
      </c>
      <c r="E11" s="19">
        <v>4184612.0499999998</v>
      </c>
      <c r="F11" s="9" t="s">
        <v>64</v>
      </c>
      <c r="G11" s="18" t="s">
        <v>51</v>
      </c>
      <c r="H11" s="2" t="s">
        <v>43</v>
      </c>
      <c r="I11" s="2" t="s">
        <v>44</v>
      </c>
      <c r="J11" s="2" t="s">
        <v>45</v>
      </c>
      <c r="K11" s="2" t="s">
        <v>46</v>
      </c>
      <c r="L11" s="2" t="s">
        <v>47</v>
      </c>
      <c r="M11" s="2" t="s">
        <v>47</v>
      </c>
      <c r="O11" s="2" t="s">
        <v>48</v>
      </c>
    </row>
    <row r="12" spans="2:15" s="2" customFormat="1" ht="12.75">
      <c r="B12" s="2" t="s">
        <v>38</v>
      </c>
      <c r="C12" s="15" t="s">
        <v>39</v>
      </c>
      <c r="D12" s="2" t="s">
        <v>34</v>
      </c>
      <c r="E12" s="19">
        <v>2593062.9300000002</v>
      </c>
      <c r="F12" s="9" t="s">
        <v>64</v>
      </c>
      <c r="G12" s="18" t="s">
        <v>42</v>
      </c>
      <c r="H12" s="2" t="s">
        <v>43</v>
      </c>
      <c r="I12" s="2" t="s">
        <v>44</v>
      </c>
      <c r="J12" s="2" t="s">
        <v>45</v>
      </c>
      <c r="K12" s="2" t="s">
        <v>46</v>
      </c>
      <c r="L12" s="2" t="s">
        <v>47</v>
      </c>
      <c r="M12" s="2" t="s">
        <v>47</v>
      </c>
      <c r="O12" s="2" t="s">
        <v>48</v>
      </c>
    </row>
    <row r="13" spans="2:15" s="2" customFormat="1" ht="12.75">
      <c r="B13" s="2" t="s">
        <v>38</v>
      </c>
      <c r="C13" s="15" t="s">
        <v>39</v>
      </c>
      <c r="D13" s="2" t="s">
        <v>34</v>
      </c>
      <c r="E13" s="19">
        <v>2864098.5</v>
      </c>
      <c r="F13" s="9" t="s">
        <v>64</v>
      </c>
      <c r="G13" s="18" t="s">
        <v>54</v>
      </c>
      <c r="H13" s="2" t="s">
        <v>43</v>
      </c>
      <c r="I13" s="2" t="s">
        <v>44</v>
      </c>
      <c r="J13" s="2" t="s">
        <v>45</v>
      </c>
      <c r="K13" s="2" t="s">
        <v>46</v>
      </c>
      <c r="L13" s="2" t="s">
        <v>47</v>
      </c>
      <c r="M13" s="2" t="s">
        <v>47</v>
      </c>
      <c r="O13" s="2" t="s">
        <v>48</v>
      </c>
    </row>
    <row r="14" spans="2:15" s="2" customFormat="1" ht="12.75">
      <c r="B14" s="2" t="s">
        <v>38</v>
      </c>
      <c r="C14" s="15" t="s">
        <v>39</v>
      </c>
      <c r="D14" s="2" t="s">
        <v>34</v>
      </c>
      <c r="E14" s="19">
        <v>3605487.2599999998</v>
      </c>
      <c r="F14" s="9" t="s">
        <v>64</v>
      </c>
      <c r="G14" s="18" t="s">
        <v>50</v>
      </c>
      <c r="H14" s="2" t="s">
        <v>43</v>
      </c>
      <c r="I14" s="2" t="s">
        <v>44</v>
      </c>
      <c r="J14" s="2" t="s">
        <v>45</v>
      </c>
      <c r="K14" s="2" t="s">
        <v>46</v>
      </c>
      <c r="L14" s="2" t="s">
        <v>47</v>
      </c>
      <c r="M14" s="2" t="s">
        <v>47</v>
      </c>
      <c r="O14" s="2" t="s">
        <v>48</v>
      </c>
    </row>
    <row r="15" spans="2:15" s="2" customFormat="1" ht="12.75">
      <c r="B15" s="2" t="s">
        <v>38</v>
      </c>
      <c r="C15" s="15" t="s">
        <v>39</v>
      </c>
      <c r="D15" s="2" t="s">
        <v>34</v>
      </c>
      <c r="E15" s="19">
        <v>5323657.0899999999</v>
      </c>
      <c r="F15" s="9" t="s">
        <v>64</v>
      </c>
      <c r="G15" s="18" t="s">
        <v>55</v>
      </c>
      <c r="H15" s="2" t="s">
        <v>43</v>
      </c>
      <c r="I15" s="2" t="s">
        <v>44</v>
      </c>
      <c r="J15" s="2" t="s">
        <v>45</v>
      </c>
      <c r="K15" s="2" t="s">
        <v>46</v>
      </c>
      <c r="L15" s="2" t="s">
        <v>47</v>
      </c>
      <c r="M15" s="2" t="s">
        <v>47</v>
      </c>
      <c r="O15" s="2" t="s">
        <v>48</v>
      </c>
    </row>
    <row r="16" spans="2:15" s="2" customFormat="1" ht="12.75">
      <c r="B16" s="2" t="s">
        <v>38</v>
      </c>
      <c r="C16" s="15" t="s">
        <v>39</v>
      </c>
      <c r="D16" s="2" t="s">
        <v>34</v>
      </c>
      <c r="E16" s="19">
        <v>5460052.6600000001</v>
      </c>
      <c r="F16" s="9" t="s">
        <v>64</v>
      </c>
      <c r="G16" s="18" t="s">
        <v>57</v>
      </c>
      <c r="H16" s="2" t="s">
        <v>43</v>
      </c>
      <c r="I16" s="2" t="s">
        <v>44</v>
      </c>
      <c r="J16" s="2" t="s">
        <v>45</v>
      </c>
      <c r="K16" s="2" t="s">
        <v>46</v>
      </c>
      <c r="L16" s="2" t="s">
        <v>47</v>
      </c>
      <c r="M16" s="2" t="s">
        <v>47</v>
      </c>
      <c r="O16" s="2" t="s">
        <v>48</v>
      </c>
    </row>
    <row r="17" spans="2:15" s="2" customFormat="1" ht="12.75">
      <c r="B17" s="2" t="s">
        <v>38</v>
      </c>
      <c r="C17" s="15" t="s">
        <v>39</v>
      </c>
      <c r="D17" s="2" t="s">
        <v>34</v>
      </c>
      <c r="E17" s="19">
        <v>5509047.2599999998</v>
      </c>
      <c r="F17" s="9" t="s">
        <v>64</v>
      </c>
      <c r="G17" s="18" t="s">
        <v>52</v>
      </c>
      <c r="H17" s="2" t="s">
        <v>43</v>
      </c>
      <c r="I17" s="2" t="s">
        <v>44</v>
      </c>
      <c r="J17" s="2" t="s">
        <v>45</v>
      </c>
      <c r="K17" s="2" t="s">
        <v>46</v>
      </c>
      <c r="L17" s="2" t="s">
        <v>47</v>
      </c>
      <c r="M17" s="2" t="s">
        <v>47</v>
      </c>
      <c r="O17" s="2" t="s">
        <v>48</v>
      </c>
    </row>
    <row r="18" spans="2:15" s="2" customFormat="1" ht="12.75">
      <c r="B18" s="2" t="s">
        <v>38</v>
      </c>
      <c r="C18" s="15" t="s">
        <v>40</v>
      </c>
      <c r="D18" s="2" t="s">
        <v>34</v>
      </c>
      <c r="E18" s="19">
        <v>-7468.5799999999999</v>
      </c>
      <c r="F18" s="9" t="s">
        <v>64</v>
      </c>
      <c r="G18" s="18" t="s">
        <v>52</v>
      </c>
      <c r="H18" s="2" t="s">
        <v>43</v>
      </c>
      <c r="I18" s="2" t="s">
        <v>44</v>
      </c>
      <c r="J18" s="2" t="s">
        <v>45</v>
      </c>
      <c r="K18" s="2" t="s">
        <v>46</v>
      </c>
      <c r="L18" s="2" t="s">
        <v>47</v>
      </c>
      <c r="M18" s="2" t="s">
        <v>47</v>
      </c>
      <c r="O18" s="2" t="s">
        <v>48</v>
      </c>
    </row>
    <row r="19" spans="2:15" s="2" customFormat="1" ht="12.75">
      <c r="B19" s="2" t="s">
        <v>38</v>
      </c>
      <c r="C19" s="15" t="s">
        <v>39</v>
      </c>
      <c r="D19" s="2" t="s">
        <v>34</v>
      </c>
      <c r="E19" s="19">
        <v>4256977.0499999998</v>
      </c>
      <c r="F19" s="9" t="s">
        <v>64</v>
      </c>
      <c r="G19" s="18" t="s">
        <v>59</v>
      </c>
      <c r="H19" s="2" t="s">
        <v>43</v>
      </c>
      <c r="I19" s="2" t="s">
        <v>44</v>
      </c>
      <c r="J19" s="2" t="s">
        <v>45</v>
      </c>
      <c r="K19" s="2" t="s">
        <v>46</v>
      </c>
      <c r="L19" s="2" t="s">
        <v>47</v>
      </c>
      <c r="M19" s="2" t="s">
        <v>47</v>
      </c>
      <c r="O19" s="2" t="s">
        <v>48</v>
      </c>
    </row>
    <row r="20" spans="2:15" s="2" customFormat="1" ht="12.75">
      <c r="B20" s="2" t="s">
        <v>38</v>
      </c>
      <c r="C20" s="15" t="s">
        <v>39</v>
      </c>
      <c r="D20" s="2" t="s">
        <v>34</v>
      </c>
      <c r="E20" s="19">
        <v>3077920.6899999999</v>
      </c>
      <c r="F20" s="9" t="s">
        <v>64</v>
      </c>
      <c r="G20" s="18" t="s">
        <v>49</v>
      </c>
      <c r="H20" s="2" t="s">
        <v>43</v>
      </c>
      <c r="I20" s="2" t="s">
        <v>44</v>
      </c>
      <c r="J20" s="2" t="s">
        <v>45</v>
      </c>
      <c r="K20" s="2" t="s">
        <v>46</v>
      </c>
      <c r="L20" s="2" t="s">
        <v>47</v>
      </c>
      <c r="M20" s="2" t="s">
        <v>47</v>
      </c>
      <c r="O20" s="2" t="s">
        <v>48</v>
      </c>
    </row>
    <row r="21" spans="2:15" s="2" customFormat="1" ht="12.75">
      <c r="B21" s="2" t="s">
        <v>38</v>
      </c>
      <c r="C21" s="15" t="s">
        <v>39</v>
      </c>
      <c r="D21" s="2" t="s">
        <v>34</v>
      </c>
      <c r="E21" s="19">
        <v>2961639.2400000002</v>
      </c>
      <c r="F21" s="9" t="s">
        <v>64</v>
      </c>
      <c r="G21" s="18" t="s">
        <v>53</v>
      </c>
      <c r="H21" s="2" t="s">
        <v>43</v>
      </c>
      <c r="I21" s="2" t="s">
        <v>44</v>
      </c>
      <c r="J21" s="2" t="s">
        <v>45</v>
      </c>
      <c r="K21" s="2" t="s">
        <v>46</v>
      </c>
      <c r="L21" s="2" t="s">
        <v>47</v>
      </c>
      <c r="M21" s="2" t="s">
        <v>47</v>
      </c>
      <c r="O21" s="2" t="s">
        <v>48</v>
      </c>
    </row>
    <row r="22" spans="2:15" s="2" customFormat="1" ht="12.75">
      <c r="B22" s="2" t="s">
        <v>38</v>
      </c>
      <c r="C22" s="15" t="s">
        <v>41</v>
      </c>
      <c r="D22" s="2" t="s">
        <v>34</v>
      </c>
      <c r="E22" s="19">
        <v>321.48000000000002</v>
      </c>
      <c r="F22" s="9" t="s">
        <v>64</v>
      </c>
      <c r="G22" s="18" t="s">
        <v>53</v>
      </c>
      <c r="H22" s="2" t="s">
        <v>43</v>
      </c>
      <c r="I22" s="2" t="s">
        <v>44</v>
      </c>
      <c r="J22" s="2" t="s">
        <v>45</v>
      </c>
      <c r="K22" s="2" t="s">
        <v>46</v>
      </c>
      <c r="L22" s="2" t="s">
        <v>47</v>
      </c>
      <c r="M22" s="2" t="s">
        <v>47</v>
      </c>
      <c r="O22" s="2" t="s">
        <v>48</v>
      </c>
    </row>
    <row r="23" spans="5:5" s="2" customFormat="1" ht="12.75">
      <c r="E23" s="6"/>
    </row>
    <row r="24" spans="1:5" s="4" customFormat="1" ht="13.5" thickBot="1">
      <c r="A24" s="4" t="s">
        <v>3</v>
      </c>
      <c r="E24" s="8">
        <f>SUM(E9:E23)</f>
        <v>46329308.929999992</v>
      </c>
    </row>
    <row r="25" ht="13.5" thickTop="1"/>
    <row r="26" spans="2:6" ht="22.5">
      <c r="B26" s="5" t="s">
        <v>30</v>
      </c>
      <c r="C26" s="23">
        <f>NvsEndTime</f>
        <v>44578.393912037034</v>
      </c>
      <c r="D26" s="23"/>
      <c r="F26" s="10"/>
    </row>
    <row r="28" spans="2:2" ht="12.75" hidden="1">
      <c r="B28" s="2" t="str">
        <f>"Y"</f>
        <v>Y</v>
      </c>
    </row>
    <row r="29" spans="5:5" s="2" customFormat="1" ht="13.5" thickBot="1">
      <c r="E29" s="20" t="s">
        <v>61</v>
      </c>
    </row>
    <row r="30" spans="5:13" s="2" customFormat="1" ht="13.5" thickBot="1">
      <c r="E30" s="21">
        <f>-E24</f>
        <v>-46329308.929999992</v>
      </c>
      <c r="F30" s="22" t="s">
        <v>60</v>
      </c>
      <c r="H30" s="2" t="str">
        <f t="shared" si="0" ref="H30:M30">H22</f>
        <v>519840</v>
      </c>
      <c r="I30" s="2" t="str">
        <f t="shared" si="0"/>
        <v>9080000</v>
      </c>
      <c r="J30" s="2" t="str">
        <f t="shared" si="0"/>
        <v>630</v>
      </c>
      <c r="K30" s="2" t="str">
        <f t="shared" si="0"/>
        <v>EEACCRUE</v>
      </c>
      <c r="L30" s="2" t="str">
        <f t="shared" si="0"/>
        <v>0000</v>
      </c>
      <c r="M30" s="2" t="str">
        <f t="shared" si="0"/>
        <v>0000</v>
      </c>
    </row>
  </sheetData>
  <mergeCells count="1">
    <mergeCell ref="C26:D26"/>
  </mergeCells>
  <pageMargins left="0.5" right="0.5" top="1.5" bottom="0.5" header="1" footer="0.5"/>
  <pageSetup orientation="landscape" scale="83" r:id="rId1"/>
  <headerFooter alignWithMargins="0">
    <oddHeader>&amp;R&amp;"Arial,Bold"WP/II-D ADJUSTMENT /2
Page 2 of 2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"/>
  <dimension ref="A1:A3"/>
  <sheetViews>
    <sheetView workbookViewId="0" topLeftCell="A1">
      <selection pane="topLeft" activeCell="A5" sqref="A5"/>
    </sheetView>
  </sheetViews>
  <sheetFormatPr defaultRowHeight="12.75"/>
  <cols>
    <col min="1" max="16384" width="9.14285714285714" style="16"/>
  </cols>
  <sheetData>
    <row r="1" spans="1:1" ht="15.75">
      <c r="A1" s="17" t="s">
        <v>35</v>
      </c>
    </row>
    <row r="2" spans="1:1" ht="12.75">
      <c r="A2" s="16" t="s">
        <v>36</v>
      </c>
    </row>
    <row r="3" spans="1:1" ht="12.75">
      <c r="A3" s="16" t="s">
        <v>37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Updates</vt:lpstr>
    </vt:vector>
  </TitlesOfParts>
  <Template/>
  <Manager/>
  <Company/>
  <HyperlinkBase>p:\psfs\psprod\jrnldoc\prod</HyperlinkBase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